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假设" sheetId="2" state="visible" r:id="rId4"/>
    <sheet name="分业务" sheetId="3" state="visible" r:id="rId5"/>
    <sheet name="费用" sheetId="4" state="visible" r:id="rId6"/>
    <sheet name="资本开支折旧" sheetId="5" state="visible" r:id="rId7"/>
    <sheet name="营运资本" sheetId="6" state="visible" r:id="rId8"/>
    <sheet name="融资" sheetId="7" state="visible" r:id="rId9"/>
    <sheet name="利润表" sheetId="8" state="visible" r:id="rId10"/>
    <sheet name="资产负债表" sheetId="9" state="visible" r:id="rId11"/>
    <sheet name="现金流量表" sheetId="10" state="visible" r:id="rId12"/>
    <sheet name="估值_DCF" sheetId="11" state="visible" r:id="rId13"/>
    <sheet name="估值_SOTP" sheetId="12" state="visible" r:id="rId14"/>
    <sheet name="估值_相对" sheetId="13" state="visible" r:id="rId15"/>
    <sheet name="情景分析" sheetId="14" state="visible" r:id="rId16"/>
    <sheet name="季度数据" sheetId="15" state="visible" r:id="rId17"/>
    <sheet name="历史报表" sheetId="16" state="visible" r:id="rId18"/>
    <sheet name="核对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<sst xmlns="http://schemas.openxmlformats.org/spreadsheetml/2006/main" count="1480" uniqueCount="959">
  <si>
    <r>
      <rPr>
        <b val="true"/>
        <sz val="14"/>
        <color rgb="FF1F3864"/>
        <rFont val="WenQuanYi Zen Hei"/>
        <family val="2"/>
      </rPr>
      <t xml:space="preserve">烽火通信（</t>
    </r>
    <r>
      <rPr>
        <b val="true"/>
        <sz val="14"/>
        <color rgb="FF1F3864"/>
        <rFont val="Arial"/>
        <family val="0"/>
        <charset val="1"/>
      </rPr>
      <t xml:space="preserve">600498.SH</t>
    </r>
    <r>
      <rPr>
        <b val="true"/>
        <sz val="14"/>
        <color rgb="FF1F3864"/>
        <rFont val="WenQuanYi Zen Hei"/>
        <family val="2"/>
      </rPr>
      <t xml:space="preserve">）财务与估值模型</t>
    </r>
  </si>
  <si>
    <r>
      <rPr>
        <i val="true"/>
        <sz val="9"/>
        <color rgb="FF808080"/>
        <rFont val="WenQuanYi Zen Hei"/>
        <family val="2"/>
      </rPr>
      <t xml:space="preserve">单位：人民币百万元（除特别注明）｜模型日期：</t>
    </r>
    <r>
      <rPr>
        <i val="true"/>
        <sz val="9"/>
        <color rgb="FF808080"/>
        <rFont val="Arial"/>
        <family val="0"/>
        <charset val="1"/>
      </rPr>
      <t xml:space="preserve">2026-10-06</t>
    </r>
    <r>
      <rPr>
        <i val="true"/>
        <sz val="9"/>
        <color rgb="FF808080"/>
        <rFont val="WenQuanYi Zen Hei"/>
        <family val="2"/>
      </rPr>
      <t xml:space="preserve">｜数据：</t>
    </r>
    <r>
      <rPr>
        <i val="true"/>
        <sz val="9"/>
        <color rgb="FF808080"/>
        <rFont val="Arial"/>
        <family val="0"/>
        <charset val="1"/>
      </rPr>
      <t xml:space="preserve">2021–2026H1</t>
    </r>
    <r>
      <rPr>
        <i val="true"/>
        <sz val="9"/>
        <color rgb="FF808080"/>
        <rFont val="WenQuanYi Zen Hei"/>
        <family val="2"/>
      </rPr>
      <t xml:space="preserve">定期报告、</t>
    </r>
    <r>
      <rPr>
        <i val="true"/>
        <sz val="9"/>
        <color rgb="FF808080"/>
        <rFont val="Arial"/>
        <family val="0"/>
        <charset val="1"/>
      </rPr>
      <t xml:space="preserve">Wind</t>
    </r>
  </si>
  <si>
    <t xml:space="preserve">市场数据</t>
  </si>
  <si>
    <t xml:space="preserve">股价（元）</t>
  </si>
  <si>
    <r>
      <rPr>
        <sz val="10"/>
        <color rgb="FF000000"/>
        <rFont val="WenQuanYi Zen Hei"/>
        <family val="2"/>
      </rPr>
      <t xml:space="preserve">总股本（百万股，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年末）</t>
    </r>
  </si>
  <si>
    <t xml:space="preserve">总市值（百万元）</t>
  </si>
  <si>
    <r>
      <rPr>
        <sz val="10"/>
        <color rgb="FF000000"/>
        <rFont val="WenQuanYi Zen Hei"/>
        <family val="2"/>
      </rPr>
      <t xml:space="preserve">净负债（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WenQuanYi Zen Hei"/>
        <family val="2"/>
      </rPr>
      <t xml:space="preserve">末）</t>
    </r>
  </si>
  <si>
    <t xml:space="preserve">当前情景</t>
  </si>
  <si>
    <t xml:space="preserve">模型核对</t>
  </si>
  <si>
    <t xml:space="preserve">核心财务摘要</t>
  </si>
  <si>
    <t xml:space="preserve">百万元</t>
  </si>
  <si>
    <t xml:space="preserve">2023A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</si>
  <si>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</si>
  <si>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</si>
  <si>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</si>
  <si>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</si>
  <si>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</si>
  <si>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营业收入</t>
  </si>
  <si>
    <t xml:space="preserve">  增速</t>
  </si>
  <si>
    <t xml:space="preserve">毛利率</t>
  </si>
  <si>
    <t xml:space="preserve">其中：光纤及线缆毛利</t>
  </si>
  <si>
    <t xml:space="preserve">通信系统设备毛利率</t>
  </si>
  <si>
    <t xml:space="preserve">归母净利润</t>
  </si>
  <si>
    <t xml:space="preserve">  其中：广发基金权益法收益</t>
  </si>
  <si>
    <t xml:space="preserve">  扣除广发基金后归母净利润</t>
  </si>
  <si>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WenQuanYi Zen Hei"/>
        <family val="2"/>
      </rPr>
      <t xml:space="preserve">（元）</t>
    </r>
  </si>
  <si>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（现价）</t>
    </r>
  </si>
  <si>
    <t xml:space="preserve">ROE</t>
  </si>
  <si>
    <t xml:space="preserve">经营活动现金流</t>
  </si>
  <si>
    <t xml:space="preserve">资本开支（含资本化研发）</t>
  </si>
  <si>
    <t xml:space="preserve">应收账款周转天数</t>
  </si>
  <si>
    <t xml:space="preserve">净负债</t>
  </si>
  <si>
    <r>
      <rPr>
        <b val="true"/>
        <sz val="10"/>
        <color rgb="FF1F3864"/>
        <rFont val="WenQuanYi Zen Hei"/>
        <family val="2"/>
      </rPr>
      <t xml:space="preserve">估值汇总（元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WenQuanYi Zen Hei"/>
        <family val="2"/>
      </rPr>
      <t xml:space="preserve">股）</t>
    </r>
  </si>
  <si>
    <t xml:space="preserve">方法</t>
  </si>
  <si>
    <t xml:space="preserve">每股价值</t>
  </si>
  <si>
    <t xml:space="preserve">空间</t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</si>
  <si>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</si>
  <si>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Arial"/>
        <family val="0"/>
        <charset val="1"/>
      </rPr>
      <t xml:space="preserve">WACC/</t>
    </r>
    <r>
      <rPr>
        <sz val="9"/>
        <color rgb="FF808080"/>
        <rFont val="WenQuanYi Zen Hei"/>
        <family val="2"/>
      </rPr>
      <t xml:space="preserve">永续增长见估值</t>
    </r>
    <r>
      <rPr>
        <sz val="9"/>
        <color rgb="FF808080"/>
        <rFont val="Arial"/>
        <family val="0"/>
        <charset val="1"/>
      </rPr>
      <t xml:space="preserve">_DCF</t>
    </r>
    <r>
      <rPr>
        <sz val="9"/>
        <color rgb="FF808080"/>
        <rFont val="WenQuanYi Zen Hei"/>
        <family val="2"/>
      </rPr>
      <t xml:space="preserve">；对营运资本高度敏感</t>
    </r>
  </si>
  <si>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分部</t>
    </r>
    <r>
      <rPr>
        <sz val="10"/>
        <color rgb="FF000000"/>
        <rFont val="Arial"/>
        <family val="0"/>
        <charset val="1"/>
      </rPr>
      <t xml:space="preserve">PE+</t>
    </r>
    <r>
      <rPr>
        <sz val="10"/>
        <color rgb="FF000000"/>
        <rFont val="WenQuanYi Zen Hei"/>
        <family val="2"/>
      </rPr>
      <t xml:space="preserve">广发基金股权）</t>
    </r>
  </si>
  <si>
    <r>
      <rPr>
        <sz val="9"/>
        <color rgb="FF808080"/>
        <rFont val="WenQuanYi Zen Hei"/>
        <family val="2"/>
      </rPr>
      <t xml:space="preserve">光纤按周期折价</t>
    </r>
    <r>
      <rPr>
        <sz val="9"/>
        <color rgb="FF808080"/>
        <rFont val="Arial"/>
        <family val="0"/>
        <charset val="1"/>
      </rPr>
      <t xml:space="preserve">PE</t>
    </r>
    <r>
      <rPr>
        <sz val="9"/>
        <color rgb="FF808080"/>
        <rFont val="WenQuanYi Zen Hei"/>
        <family val="2"/>
      </rPr>
      <t xml:space="preserve">；广发基金按</t>
    </r>
    <r>
      <rPr>
        <sz val="9"/>
        <color rgb="FF808080"/>
        <rFont val="Arial"/>
        <family val="0"/>
        <charset val="1"/>
      </rPr>
      <t xml:space="preserve">15x PE</t>
    </r>
  </si>
  <si>
    <r>
      <rPr>
        <sz val="10"/>
        <color rgb="FF000000"/>
        <rFont val="WenQuanYi Zen Hei"/>
        <family val="2"/>
      </rPr>
      <t xml:space="preserve">目标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</si>
  <si>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目标</t>
    </r>
    <r>
      <rPr>
        <sz val="9"/>
        <color rgb="FF808080"/>
        <rFont val="Arial"/>
        <family val="0"/>
        <charset val="1"/>
      </rPr>
      <t xml:space="preserve">PE</t>
    </r>
    <r>
      <rPr>
        <sz val="9"/>
        <color rgb="FF808080"/>
        <rFont val="WenQuanYi Zen Hei"/>
        <family val="2"/>
      </rPr>
      <t xml:space="preserve">见假设表</t>
    </r>
  </si>
  <si>
    <t xml:space="preserve">三种方法简单平均</t>
  </si>
  <si>
    <t xml:space="preserve">模型结构（工作表导航）</t>
  </si>
  <si>
    <t xml:space="preserve">假设</t>
  </si>
  <si>
    <r>
      <rPr>
        <sz val="10"/>
        <color rgb="FF000000"/>
        <rFont val="WenQuanYi Zen Hei"/>
        <family val="2"/>
      </rPr>
      <t xml:space="preserve">情景开关（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基准</t>
    </r>
    <r>
      <rPr>
        <sz val="10"/>
        <color rgb="FF000000"/>
        <rFont val="Arial"/>
        <family val="0"/>
        <charset val="1"/>
      </rPr>
      <t xml:space="preserve">/2</t>
    </r>
    <r>
      <rPr>
        <sz val="10"/>
        <color rgb="FF000000"/>
        <rFont val="WenQuanYi Zen Hei"/>
        <family val="2"/>
      </rPr>
      <t xml:space="preserve">乐观</t>
    </r>
    <r>
      <rPr>
        <sz val="10"/>
        <color rgb="FF000000"/>
        <rFont val="Arial"/>
        <family val="0"/>
        <charset val="1"/>
      </rPr>
      <t xml:space="preserve">/3</t>
    </r>
    <r>
      <rPr>
        <sz val="10"/>
        <color rgb="FF000000"/>
        <rFont val="WenQuanYi Zen Hei"/>
        <family val="2"/>
      </rPr>
      <t xml:space="preserve">悲观）、市场与估值参数、全部经营驱动假设（三情景）</t>
    </r>
  </si>
  <si>
    <t xml:space="preserve">分业务</t>
  </si>
  <si>
    <r>
      <rPr>
        <sz val="10"/>
        <color rgb="FF000000"/>
        <rFont val="WenQuanYi Zen Hei"/>
        <family val="2"/>
      </rPr>
      <t xml:space="preserve">通信系统设备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光纤及线缆（量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价）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数据网络产品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其他：收入、成本、毛利；分地区；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WenQuanYi Zen Hei"/>
        <family val="2"/>
      </rPr>
      <t xml:space="preserve">对比；成本构成</t>
    </r>
  </si>
  <si>
    <t xml:space="preserve">费用</t>
  </si>
  <si>
    <t xml:space="preserve">期间费用、研发投入与资本化、其他收益、减值、广发基金投资收益、盈利质量分析</t>
  </si>
  <si>
    <t xml:space="preserve">资本开支折旧</t>
  </si>
  <si>
    <r>
      <rPr>
        <sz val="10"/>
        <color rgb="FF000000"/>
        <rFont val="WenQuanYi Zen Hei"/>
        <family val="2"/>
      </rPr>
      <t xml:space="preserve">固定资产原值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累计折旧滚动、在建工程、无形资产、开发支出、</t>
    </r>
    <r>
      <rPr>
        <sz val="10"/>
        <color rgb="FF000000"/>
        <rFont val="Arial"/>
        <family val="0"/>
        <charset val="1"/>
      </rPr>
      <t xml:space="preserve">D&amp;A</t>
    </r>
    <r>
      <rPr>
        <sz val="10"/>
        <color rgb="FF000000"/>
        <rFont val="WenQuanYi Zen Hei"/>
        <family val="2"/>
      </rPr>
      <t xml:space="preserve">与资本开支汇总</t>
    </r>
  </si>
  <si>
    <t xml:space="preserve">营运资本</t>
  </si>
  <si>
    <r>
      <rPr>
        <sz val="10"/>
        <color rgb="FF000000"/>
        <rFont val="WenQuanYi Zen Hei"/>
        <family val="2"/>
      </rPr>
      <t xml:space="preserve">应收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存货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预付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应付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合同负债等驱动与周转天数、净营运资本变动</t>
    </r>
  </si>
  <si>
    <t xml:space="preserve">融资</t>
  </si>
  <si>
    <t xml:space="preserve">现金、短期借款平衡项、长期借款、利息、股本与定增、分红、少数股东、偿债指标</t>
  </si>
  <si>
    <r>
      <rPr>
        <b val="true"/>
        <sz val="10"/>
        <color rgb="FF000000"/>
        <rFont val="WenQuanYi Zen Hei"/>
        <family val="2"/>
      </rPr>
      <t xml:space="preserve">利润表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资产负债表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现金流量表</t>
    </r>
  </si>
  <si>
    <t xml:space="preserve">三表联动（历史链接“历史报表”，预测由明细表驱动），含平衡核对</t>
  </si>
  <si>
    <r>
      <rPr>
        <b val="true"/>
        <sz val="10"/>
        <color rgb="FF000000"/>
        <rFont val="WenQuanYi Zen Hei"/>
        <family val="2"/>
      </rPr>
      <t xml:space="preserve">估值</t>
    </r>
    <r>
      <rPr>
        <b val="true"/>
        <sz val="10"/>
        <color rgb="FF000000"/>
        <rFont val="Arial"/>
        <family val="0"/>
        <charset val="1"/>
      </rPr>
      <t xml:space="preserve">_DCF / </t>
    </r>
    <r>
      <rPr>
        <b val="true"/>
        <sz val="10"/>
        <color rgb="FF000000"/>
        <rFont val="WenQuanYi Zen Hei"/>
        <family val="2"/>
      </rPr>
      <t xml:space="preserve">估值</t>
    </r>
    <r>
      <rPr>
        <b val="true"/>
        <sz val="10"/>
        <color rgb="FF000000"/>
        <rFont val="Arial"/>
        <family val="0"/>
        <charset val="1"/>
      </rPr>
      <t xml:space="preserve">_SOTP / </t>
    </r>
    <r>
      <rPr>
        <b val="true"/>
        <sz val="10"/>
        <color rgb="FF000000"/>
        <rFont val="WenQuanYi Zen Hei"/>
        <family val="2"/>
      </rPr>
      <t xml:space="preserve">估值</t>
    </r>
    <r>
      <rPr>
        <b val="true"/>
        <sz val="10"/>
        <color rgb="FF000000"/>
        <rFont val="Arial"/>
        <family val="0"/>
        <charset val="1"/>
      </rPr>
      <t xml:space="preserve">_</t>
    </r>
    <r>
      <rPr>
        <b val="true"/>
        <sz val="10"/>
        <color rgb="FF000000"/>
        <rFont val="WenQuanYi Zen Hei"/>
        <family val="2"/>
      </rPr>
      <t xml:space="preserve">相对</t>
    </r>
  </si>
  <si>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WenQuanYi Zen Hei"/>
        <family val="2"/>
      </rPr>
      <t xml:space="preserve">折现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敏感性；分部加总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市场隐含预期；可比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、一致预期对比、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矩阵</t>
    </r>
  </si>
  <si>
    <t xml:space="preserve">情景分析</t>
  </si>
  <si>
    <t xml:space="preserve">三情景关键结果快照对比</t>
  </si>
  <si>
    <r>
      <rPr>
        <b val="true"/>
        <sz val="10"/>
        <color rgb="FF000000"/>
        <rFont val="WenQuanYi Zen Hei"/>
        <family val="2"/>
      </rPr>
      <t xml:space="preserve">季度数据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历史报表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核对</t>
    </r>
  </si>
  <si>
    <r>
      <rPr>
        <sz val="10"/>
        <color rgb="FF000000"/>
        <rFont val="WenQuanYi Zen Hei"/>
        <family val="2"/>
      </rPr>
      <t xml:space="preserve">单季利润表；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WenQuanYi Zen Hei"/>
        <family val="2"/>
      </rPr>
      <t xml:space="preserve">原始三表（</t>
    </r>
    <r>
      <rPr>
        <sz val="10"/>
        <color rgb="FF000000"/>
        <rFont val="Arial"/>
        <family val="0"/>
        <charset val="1"/>
      </rPr>
      <t xml:space="preserve">2019–2026H1</t>
    </r>
    <r>
      <rPr>
        <sz val="10"/>
        <color rgb="FF000000"/>
        <rFont val="WenQuanYi Zen Hei"/>
        <family val="2"/>
      </rPr>
      <t xml:space="preserve">）；全模型核对</t>
    </r>
  </si>
  <si>
    <t xml:space="preserve">颜色约定</t>
  </si>
  <si>
    <t xml:space="preserve">蓝色字体</t>
  </si>
  <si>
    <t xml:space="preserve">硬编码输入（历史数据、假设）</t>
  </si>
  <si>
    <t xml:space="preserve">黑色字体</t>
  </si>
  <si>
    <t xml:space="preserve">公式计算</t>
  </si>
  <si>
    <t xml:space="preserve">绿色字体</t>
  </si>
  <si>
    <t xml:space="preserve">链接其他工作表</t>
  </si>
  <si>
    <t xml:space="preserve">黄色底色</t>
  </si>
  <si>
    <r>
      <rPr>
        <sz val="10"/>
        <color rgb="FF000000"/>
        <rFont val="WenQuanYi Zen Hei"/>
        <family val="2"/>
      </rPr>
      <t xml:space="preserve">关键开关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输入（情景、股价、广发基金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、永续增长率）</t>
    </r>
  </si>
  <si>
    <t xml:space="preserve">浅绿底色</t>
  </si>
  <si>
    <t xml:space="preserve">“▶采用”假设行与关键输出</t>
  </si>
  <si>
    <t xml:space="preserve">灰色底色列</t>
  </si>
  <si>
    <r>
      <rPr>
        <sz val="10"/>
        <color rgb="FF000000"/>
        <rFont val="WenQuanYi Zen Hei"/>
        <family val="2"/>
      </rPr>
      <t xml:space="preserve">预测期（</t>
    </r>
    <r>
      <rPr>
        <sz val="10"/>
        <color rgb="FF000000"/>
        <rFont val="Arial"/>
        <family val="0"/>
        <charset val="1"/>
      </rPr>
      <t xml:space="preserve">2026E–2030E</t>
    </r>
    <r>
      <rPr>
        <sz val="10"/>
        <color rgb="FF000000"/>
        <rFont val="WenQuanYi Zen Hei"/>
        <family val="2"/>
      </rPr>
      <t xml:space="preserve">）</t>
    </r>
  </si>
  <si>
    <t xml:space="preserve">关键发现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</si>
  <si>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利润的“隐形支柱”是广发基金：烽火持股</t>
    </r>
    <r>
      <rPr>
        <sz val="10"/>
        <color rgb="FF000000"/>
        <rFont val="Arial"/>
        <family val="0"/>
        <charset val="1"/>
      </rPr>
      <t xml:space="preserve">14.187%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年权益法收益约</t>
    </r>
    <r>
      <rPr>
        <sz val="10"/>
        <color rgb="FF000000"/>
        <rFont val="Arial"/>
        <family val="0"/>
        <charset val="1"/>
      </rPr>
      <t xml:space="preserve">3.9</t>
    </r>
    <r>
      <rPr>
        <sz val="10"/>
        <color rgb="FF000000"/>
        <rFont val="WenQuanYi Zen Hei"/>
        <family val="2"/>
      </rPr>
      <t xml:space="preserve">亿元，占归母净利润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WenQuanYi Zen Hei"/>
        <family val="2"/>
      </rPr>
      <t xml:space="preserve">广发基金净利润</t>
    </r>
    <r>
      <rPr>
        <sz val="10"/>
        <color rgb="FF000000"/>
        <rFont val="Arial"/>
        <family val="0"/>
        <charset val="1"/>
      </rPr>
      <t xml:space="preserve">24.6</t>
    </r>
    <r>
      <rPr>
        <sz val="10"/>
        <color rgb="FF000000"/>
        <rFont val="WenQuanYi Zen Hei"/>
        <family val="2"/>
      </rPr>
      <t xml:space="preserve">亿元（同比</t>
    </r>
    <r>
      <rPr>
        <sz val="10"/>
        <color rgb="FF000000"/>
        <rFont val="Arial"/>
        <family val="0"/>
        <charset val="1"/>
      </rPr>
      <t xml:space="preserve">+108%</t>
    </r>
    <r>
      <rPr>
        <sz val="10"/>
        <color rgb="FF000000"/>
        <rFont val="WenQuanYi Zen Hei"/>
        <family val="2"/>
      </rPr>
      <t xml:space="preserve">），贡献约</t>
    </r>
    <r>
      <rPr>
        <sz val="10"/>
        <color rgb="FF000000"/>
        <rFont val="Arial"/>
        <family val="0"/>
        <charset val="1"/>
      </rPr>
      <t xml:space="preserve">3.5</t>
    </r>
    <r>
      <rPr>
        <sz val="10"/>
        <color rgb="FF000000"/>
        <rFont val="WenQuanYi Zen Hei"/>
        <family val="2"/>
      </rPr>
      <t xml:space="preserve">亿元，超过同期归母净利润</t>
    </r>
    <r>
      <rPr>
        <sz val="10"/>
        <color rgb="FF000000"/>
        <rFont val="Arial"/>
        <family val="0"/>
        <charset val="1"/>
      </rPr>
      <t xml:space="preserve">1.93</t>
    </r>
    <r>
      <rPr>
        <sz val="10"/>
        <color rgb="FF000000"/>
        <rFont val="WenQuanYi Zen Hei"/>
        <family val="2"/>
      </rPr>
      <t xml:space="preserve">亿元。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</si>
  <si>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光纤涨价真实但被主业毛利率下滑抵消：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WenQuanYi Zen Hei"/>
        <family val="2"/>
      </rPr>
      <t xml:space="preserve">光纤及线缆收入</t>
    </r>
    <r>
      <rPr>
        <sz val="10"/>
        <color rgb="FF000000"/>
        <rFont val="Arial"/>
        <family val="0"/>
        <charset val="1"/>
      </rPr>
      <t xml:space="preserve">+48%</t>
    </r>
    <r>
      <rPr>
        <sz val="10"/>
        <color rgb="FF000000"/>
        <rFont val="WenQuanYi Zen Hei"/>
        <family val="2"/>
      </rPr>
      <t xml:space="preserve">、毛利率</t>
    </r>
    <r>
      <rPr>
        <sz val="10"/>
        <color rgb="FF000000"/>
        <rFont val="Arial"/>
        <family val="0"/>
        <charset val="1"/>
      </rPr>
      <t xml:space="preserve">42.3%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+16.8pp</t>
    </r>
    <r>
      <rPr>
        <sz val="10"/>
        <color rgb="FF000000"/>
        <rFont val="WenQuanYi Zen Hei"/>
        <family val="2"/>
      </rPr>
      <t xml:space="preserve">），而通信系统设备毛利率从</t>
    </r>
    <r>
      <rPr>
        <sz val="10"/>
        <color rgb="FF000000"/>
        <rFont val="Arial"/>
        <family val="0"/>
        <charset val="1"/>
      </rPr>
      <t xml:space="preserve">21.2%</t>
    </r>
    <r>
      <rPr>
        <sz val="10"/>
        <color rgb="FF000000"/>
        <rFont val="WenQuanYi Zen Hei"/>
        <family val="2"/>
      </rPr>
      <t xml:space="preserve">降至</t>
    </r>
    <r>
      <rPr>
        <sz val="10"/>
        <color rgb="FF000000"/>
        <rFont val="Arial"/>
        <family val="0"/>
        <charset val="1"/>
      </rPr>
      <t xml:space="preserve">15.0%</t>
    </r>
    <r>
      <rPr>
        <sz val="10"/>
        <color rgb="FF000000"/>
        <rFont val="WenQuanYi Zen Hei"/>
        <family val="2"/>
      </rPr>
      <t xml:space="preserve">，毛利减少约</t>
    </r>
    <r>
      <rPr>
        <sz val="10"/>
        <color rgb="FF000000"/>
        <rFont val="Arial"/>
        <family val="0"/>
        <charset val="1"/>
      </rPr>
      <t xml:space="preserve">5.1</t>
    </r>
    <r>
      <rPr>
        <sz val="10"/>
        <color rgb="FF000000"/>
        <rFont val="WenQuanYi Zen Hei"/>
        <family val="2"/>
      </rPr>
      <t xml:space="preserve">亿元。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</si>
  <si>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盈利质量：研发资本化率由</t>
    </r>
    <r>
      <rPr>
        <sz val="10"/>
        <color rgb="FF000000"/>
        <rFont val="Arial"/>
        <family val="0"/>
        <charset val="1"/>
      </rPr>
      <t xml:space="preserve">2021–2023</t>
    </r>
    <r>
      <rPr>
        <sz val="10"/>
        <color rgb="FF000000"/>
        <rFont val="WenQuanYi Zen Hei"/>
        <family val="2"/>
      </rPr>
      <t xml:space="preserve">年约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WenQuanYi Zen Hei"/>
        <family val="2"/>
      </rPr>
      <t xml:space="preserve">升至</t>
    </r>
    <r>
      <rPr>
        <sz val="10"/>
        <color rgb="FF000000"/>
        <rFont val="Arial"/>
        <family val="0"/>
        <charset val="1"/>
      </rPr>
      <t xml:space="preserve">2024–2025</t>
    </r>
    <r>
      <rPr>
        <sz val="10"/>
        <color rgb="FF000000"/>
        <rFont val="WenQuanYi Zen Hei"/>
        <family val="2"/>
      </rPr>
      <t xml:space="preserve">年约</t>
    </r>
    <r>
      <rPr>
        <sz val="10"/>
        <color rgb="FF000000"/>
        <rFont val="Arial"/>
        <family val="0"/>
        <charset val="1"/>
      </rPr>
      <t xml:space="preserve">19%</t>
    </r>
    <r>
      <rPr>
        <sz val="10"/>
        <color rgb="FF000000"/>
        <rFont val="WenQuanYi Zen Hei"/>
        <family val="2"/>
      </rPr>
      <t xml:space="preserve">，每年额外资本化约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亿元；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研发费用异常偏低。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</si>
  <si>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营运资本与现金流：应收账款周转天数由</t>
    </r>
    <r>
      <rPr>
        <sz val="10"/>
        <color rgb="FF000000"/>
        <rFont val="Arial"/>
        <family val="0"/>
        <charset val="1"/>
      </rPr>
      <t xml:space="preserve">2021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59</t>
    </r>
    <r>
      <rPr>
        <sz val="10"/>
        <color rgb="FF000000"/>
        <rFont val="WenQuanYi Zen Hei"/>
        <family val="2"/>
      </rPr>
      <t xml:space="preserve">天升至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WenQuanYi Zen Hei"/>
        <family val="2"/>
      </rPr>
      <t xml:space="preserve">天；</t>
    </r>
    <r>
      <rPr>
        <sz val="10"/>
        <color rgb="FF000000"/>
        <rFont val="Arial"/>
        <family val="0"/>
        <charset val="1"/>
      </rPr>
      <t xml:space="preserve">2024–2025</t>
    </r>
    <r>
      <rPr>
        <sz val="10"/>
        <color rgb="FF000000"/>
        <rFont val="WenQuanYi Zen Hei"/>
        <family val="2"/>
      </rPr>
      <t xml:space="preserve">年经营现金流</t>
    </r>
    <r>
      <rPr>
        <sz val="10"/>
        <color rgb="FF000000"/>
        <rFont val="Arial"/>
        <family val="0"/>
        <charset val="1"/>
      </rPr>
      <t xml:space="preserve">46–48</t>
    </r>
    <r>
      <rPr>
        <sz val="10"/>
        <color rgb="FF000000"/>
        <rFont val="WenQuanYi Zen Hei"/>
        <family val="2"/>
      </rPr>
      <t xml:space="preserve">亿元主要来自供应链融资列报（短期借款非现金增加</t>
    </r>
    <r>
      <rPr>
        <sz val="10"/>
        <color rgb="FF000000"/>
        <rFont val="Arial"/>
        <family val="0"/>
        <charset val="1"/>
      </rPr>
      <t xml:space="preserve">68.5</t>
    </r>
    <r>
      <rPr>
        <sz val="10"/>
        <color rgb="FF000000"/>
        <rFont val="WenQuanYi Zen Hei"/>
        <family val="2"/>
      </rPr>
      <t xml:space="preserve">亿</t>
    </r>
    <r>
      <rPr>
        <sz val="10"/>
        <color rgb="FF000000"/>
        <rFont val="Arial"/>
        <family val="0"/>
        <charset val="1"/>
      </rPr>
      <t xml:space="preserve">/60.0</t>
    </r>
    <r>
      <rPr>
        <sz val="10"/>
        <color rgb="FF000000"/>
        <rFont val="WenQuanYi Zen Hei"/>
        <family val="2"/>
      </rPr>
      <t xml:space="preserve">亿元），剔除后约−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WenQuanYi Zen Hei"/>
        <family val="2"/>
      </rPr>
      <t xml:space="preserve">亿</t>
    </r>
    <r>
      <rPr>
        <sz val="10"/>
        <color rgb="FF000000"/>
        <rFont val="Arial"/>
        <family val="0"/>
        <charset val="1"/>
      </rPr>
      <t xml:space="preserve">/−12</t>
    </r>
    <r>
      <rPr>
        <sz val="10"/>
        <color rgb="FF000000"/>
        <rFont val="WenQuanYi Zen Hei"/>
        <family val="2"/>
      </rPr>
      <t xml:space="preserve">亿元。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</si>
  <si>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光纤利润集中在子公司武汉烽火光纤：</t>
    </r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WenQuanYi Zen Hei"/>
        <family val="2"/>
      </rPr>
      <t xml:space="preserve">净利</t>
    </r>
    <r>
      <rPr>
        <sz val="10"/>
        <color rgb="FF000000"/>
        <rFont val="Arial"/>
        <family val="0"/>
        <charset val="1"/>
      </rPr>
      <t xml:space="preserve">4.88</t>
    </r>
    <r>
      <rPr>
        <sz val="10"/>
        <color rgb="FF000000"/>
        <rFont val="WenQuanYi Zen Hei"/>
        <family val="2"/>
      </rPr>
      <t xml:space="preserve">亿元（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全年</t>
    </r>
    <r>
      <rPr>
        <sz val="10"/>
        <color rgb="FF000000"/>
        <rFont val="Arial"/>
        <family val="0"/>
        <charset val="1"/>
      </rPr>
      <t xml:space="preserve">0.21</t>
    </r>
    <r>
      <rPr>
        <sz val="10"/>
        <color rgb="FF000000"/>
        <rFont val="WenQuanYi Zen Hei"/>
        <family val="2"/>
      </rPr>
      <t xml:space="preserve">亿元），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月已收回藤仓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股权；但同期烽火星空亏</t>
    </r>
    <r>
      <rPr>
        <sz val="10"/>
        <color rgb="FF000000"/>
        <rFont val="Arial"/>
        <family val="0"/>
        <charset val="1"/>
      </rPr>
      <t xml:space="preserve">3.75</t>
    </r>
    <r>
      <rPr>
        <sz val="10"/>
        <color rgb="FF000000"/>
        <rFont val="WenQuanYi Zen Hei"/>
        <family val="2"/>
      </rPr>
      <t xml:space="preserve">亿、烽火国际亏</t>
    </r>
    <r>
      <rPr>
        <sz val="10"/>
        <color rgb="FF000000"/>
        <rFont val="Arial"/>
        <family val="0"/>
        <charset val="1"/>
      </rPr>
      <t xml:space="preserve">1.72</t>
    </r>
    <r>
      <rPr>
        <sz val="10"/>
        <color rgb="FF000000"/>
        <rFont val="WenQuanYi Zen Hei"/>
        <family val="2"/>
      </rPr>
      <t xml:space="preserve">亿，其余业务合计约亏</t>
    </r>
    <r>
      <rPr>
        <sz val="10"/>
        <color rgb="FF000000"/>
        <rFont val="Arial"/>
        <family val="0"/>
        <charset val="1"/>
      </rPr>
      <t xml:space="preserve">6.6</t>
    </r>
    <r>
      <rPr>
        <sz val="10"/>
        <color rgb="FF000000"/>
        <rFont val="WenQuanYi Zen Hei"/>
        <family val="2"/>
      </rPr>
      <t xml:space="preserve">亿元。</t>
    </r>
  </si>
  <si>
    <r>
      <rPr>
        <sz val="10"/>
        <color rgb="FF000000"/>
        <rFont val="Arial"/>
        <family val="0"/>
        <charset val="1"/>
      </rPr>
      <t xml:space="preserve">6. 2026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月定增预案（≤</t>
    </r>
    <r>
      <rPr>
        <sz val="10"/>
        <color rgb="FF000000"/>
        <rFont val="Arial"/>
        <family val="0"/>
        <charset val="1"/>
      </rPr>
      <t xml:space="preserve">29.13</t>
    </r>
    <r>
      <rPr>
        <sz val="10"/>
        <color rgb="FF000000"/>
        <rFont val="WenQuanYi Zen Hei"/>
        <family val="2"/>
      </rPr>
      <t xml:space="preserve">亿元）：多模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特种光纤</t>
    </r>
    <r>
      <rPr>
        <sz val="10"/>
        <color rgb="FF000000"/>
        <rFont val="Arial"/>
        <family val="0"/>
        <charset val="1"/>
      </rPr>
      <t xml:space="preserve">9.42</t>
    </r>
    <r>
      <rPr>
        <sz val="10"/>
        <color rgb="FF000000"/>
        <rFont val="WenQuanYi Zen Hei"/>
        <family val="2"/>
      </rPr>
      <t xml:space="preserve">亿、超大规格光棒</t>
    </r>
    <r>
      <rPr>
        <sz val="10"/>
        <color rgb="FF000000"/>
        <rFont val="Arial"/>
        <family val="0"/>
        <charset val="1"/>
      </rPr>
      <t xml:space="preserve">5.28</t>
    </r>
    <r>
      <rPr>
        <sz val="10"/>
        <color rgb="FF000000"/>
        <rFont val="WenQuanYi Zen Hei"/>
        <family val="2"/>
      </rPr>
      <t xml:space="preserve">亿、收购藤仓烽火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股权</t>
    </r>
    <r>
      <rPr>
        <sz val="10"/>
        <color rgb="FF000000"/>
        <rFont val="Arial"/>
        <family val="0"/>
        <charset val="1"/>
      </rPr>
      <t xml:space="preserve">5.00</t>
    </r>
    <r>
      <rPr>
        <sz val="10"/>
        <color rgb="FF000000"/>
        <rFont val="WenQuanYi Zen Hei"/>
        <family val="2"/>
      </rPr>
      <t xml:space="preserve">亿、泰国</t>
    </r>
    <r>
      <rPr>
        <sz val="10"/>
        <color rgb="FF000000"/>
        <rFont val="Arial"/>
        <family val="0"/>
        <charset val="1"/>
      </rPr>
      <t xml:space="preserve">3.61</t>
    </r>
    <r>
      <rPr>
        <sz val="10"/>
        <color rgb="FF000000"/>
        <rFont val="WenQuanYi Zen Hei"/>
        <family val="2"/>
      </rPr>
      <t xml:space="preserve">亿、空芯研发</t>
    </r>
    <r>
      <rPr>
        <sz val="10"/>
        <color rgb="FF000000"/>
        <rFont val="Arial"/>
        <family val="0"/>
        <charset val="1"/>
      </rPr>
      <t xml:space="preserve">2.81</t>
    </r>
    <r>
      <rPr>
        <sz val="10"/>
        <color rgb="FF000000"/>
        <rFont val="WenQuanYi Zen Hei"/>
        <family val="2"/>
      </rPr>
      <t xml:space="preserve">亿、补流</t>
    </r>
    <r>
      <rPr>
        <sz val="10"/>
        <color rgb="FF000000"/>
        <rFont val="Arial"/>
        <family val="0"/>
        <charset val="1"/>
      </rPr>
      <t xml:space="preserve">3.00</t>
    </r>
    <r>
      <rPr>
        <sz val="10"/>
        <color rgb="FF000000"/>
        <rFont val="WenQuanYi Zen Hei"/>
        <family val="2"/>
      </rPr>
      <t xml:space="preserve">亿——押注光纤景气延续，按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元发行摊薄约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WenQuanYi Zen Hei"/>
        <family val="2"/>
      </rPr>
      <t xml:space="preserve">。</t>
    </r>
  </si>
  <si>
    <t xml:space="preserve">核心假设与情景（百万元）</t>
  </si>
  <si>
    <r>
      <rPr>
        <i val="true"/>
        <sz val="9"/>
        <color rgb="FF808080"/>
        <rFont val="WenQuanYi Zen Hei"/>
        <family val="2"/>
      </rPr>
      <t xml:space="preserve">黄色单元格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情景开关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关键输入；蓝色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硬编码假设；“▶采用”行为模型实际引用的数值（随情景切换）；历史列为实际值（链接自各明细表）</t>
    </r>
  </si>
  <si>
    <r>
      <rPr>
        <b val="true"/>
        <sz val="10"/>
        <color rgb="FF000000"/>
        <rFont val="WenQuanYi Zen Hei"/>
        <family val="2"/>
      </rPr>
      <t xml:space="preserve">情景选择（</t>
    </r>
    <r>
      <rPr>
        <b val="true"/>
        <sz val="10"/>
        <color rgb="FF000000"/>
        <rFont val="Arial"/>
        <family val="0"/>
        <charset val="1"/>
      </rPr>
      <t xml:space="preserve">1=</t>
    </r>
    <r>
      <rPr>
        <b val="true"/>
        <sz val="10"/>
        <color rgb="FF000000"/>
        <rFont val="WenQuanYi Zen Hei"/>
        <family val="2"/>
      </rPr>
      <t xml:space="preserve">基准，</t>
    </r>
    <r>
      <rPr>
        <b val="true"/>
        <sz val="10"/>
        <color rgb="FF000000"/>
        <rFont val="Arial"/>
        <family val="0"/>
        <charset val="1"/>
      </rPr>
      <t xml:space="preserve">2=</t>
    </r>
    <r>
      <rPr>
        <b val="true"/>
        <sz val="10"/>
        <color rgb="FF000000"/>
        <rFont val="WenQuanYi Zen Hei"/>
        <family val="2"/>
      </rPr>
      <t xml:space="preserve">乐观，</t>
    </r>
    <r>
      <rPr>
        <b val="true"/>
        <sz val="10"/>
        <color rgb="FF000000"/>
        <rFont val="Arial"/>
        <family val="0"/>
        <charset val="1"/>
      </rPr>
      <t xml:space="preserve">3=</t>
    </r>
    <r>
      <rPr>
        <b val="true"/>
        <sz val="10"/>
        <color rgb="FF000000"/>
        <rFont val="WenQuanYi Zen Hei"/>
        <family val="2"/>
      </rPr>
      <t xml:space="preserve">悲观）</t>
    </r>
  </si>
  <si>
    <t xml:space="preserve">切换后全模型重算；“情景分析”表为三种情景的快照对比</t>
  </si>
  <si>
    <t xml:space="preserve">市场与估值参数</t>
  </si>
  <si>
    <r>
      <rPr>
        <sz val="10"/>
        <color rgb="FF000000"/>
        <rFont val="WenQuanYi Zen Hei"/>
        <family val="2"/>
      </rPr>
      <t xml:space="preserve">当前股价（元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股）</t>
    </r>
  </si>
  <si>
    <r>
      <rPr>
        <sz val="9"/>
        <color rgb="FF808080"/>
        <rFont val="Arial"/>
        <family val="0"/>
        <charset val="1"/>
      </rPr>
      <t xml:space="preserve">2026-10-06 Wind</t>
    </r>
    <r>
      <rPr>
        <sz val="9"/>
        <color rgb="FF808080"/>
        <rFont val="WenQuanYi Zen Hei"/>
        <family val="2"/>
      </rPr>
      <t xml:space="preserve">一致预期页倒推：</t>
    </r>
    <r>
      <rPr>
        <sz val="9"/>
        <color rgb="FF808080"/>
        <rFont val="Arial"/>
        <family val="0"/>
        <charset val="1"/>
      </rPr>
      <t xml:space="preserve">PE(2026E)37.50x × EPS 0.952 = 35.70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9/29</t>
    </r>
    <r>
      <rPr>
        <sz val="9"/>
        <color rgb="FF808080"/>
        <rFont val="WenQuanYi Zen Hei"/>
        <family val="2"/>
      </rPr>
      <t xml:space="preserve">收盘</t>
    </r>
    <r>
      <rPr>
        <sz val="9"/>
        <color rgb="FF808080"/>
        <rFont val="Arial"/>
        <family val="0"/>
        <charset val="1"/>
      </rPr>
      <t xml:space="preserve">37.00</t>
    </r>
    <r>
      <rPr>
        <sz val="9"/>
        <color rgb="FF808080"/>
        <rFont val="WenQuanYi Zen Hei"/>
        <family val="2"/>
      </rPr>
      <t xml:space="preserve">（跌停）。可手动更新</t>
    </r>
  </si>
  <si>
    <t xml:space="preserve">估值基准日</t>
  </si>
  <si>
    <r>
      <rPr>
        <sz val="9"/>
        <color rgb="FF808080"/>
        <rFont val="WenQuanYi Zen Hei"/>
        <family val="2"/>
      </rPr>
      <t xml:space="preserve">国庆休市，最后交易日约</t>
    </r>
    <r>
      <rPr>
        <sz val="9"/>
        <color rgb="FF808080"/>
        <rFont val="Arial"/>
        <family val="0"/>
        <charset val="1"/>
      </rPr>
      <t xml:space="preserve">9/30</t>
    </r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</si>
  <si>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WenQuanYi Zen Hei"/>
        <family val="2"/>
      </rPr>
      <t xml:space="preserve">折现基准（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年末）</t>
    </r>
  </si>
  <si>
    <r>
      <rPr>
        <sz val="9"/>
        <color rgb="FF808080"/>
        <rFont val="WenQuanYi Zen Hei"/>
        <family val="2"/>
      </rPr>
      <t xml:space="preserve">先求</t>
    </r>
    <r>
      <rPr>
        <sz val="9"/>
        <color rgb="FF808080"/>
        <rFont val="Arial"/>
        <family val="0"/>
        <charset val="1"/>
      </rPr>
      <t xml:space="preserve">2026</t>
    </r>
    <r>
      <rPr>
        <sz val="9"/>
        <color rgb="FF808080"/>
        <rFont val="WenQuanYi Zen Hei"/>
        <family val="2"/>
      </rPr>
      <t xml:space="preserve">年末价值，再按股权成本折回估值基准日</t>
    </r>
  </si>
  <si>
    <t xml:space="preserve">无风险利率</t>
  </si>
  <si>
    <r>
      <rPr>
        <sz val="9"/>
        <color rgb="FF808080"/>
        <rFont val="Arial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年期国债收益率（假设，约</t>
    </r>
    <r>
      <rPr>
        <sz val="9"/>
        <color rgb="FF808080"/>
        <rFont val="Arial"/>
        <family val="0"/>
        <charset val="1"/>
      </rPr>
      <t xml:space="preserve">1.8%–2.0%</t>
    </r>
    <r>
      <rPr>
        <sz val="9"/>
        <color rgb="FF808080"/>
        <rFont val="WenQuanYi Zen Hei"/>
        <family val="2"/>
      </rPr>
      <t xml:space="preserve">）</t>
    </r>
  </si>
  <si>
    <t xml:space="preserve">股权风险溢价</t>
  </si>
  <si>
    <r>
      <rPr>
        <sz val="9"/>
        <color rgb="FF808080"/>
        <rFont val="Arial"/>
        <family val="0"/>
        <charset val="1"/>
      </rPr>
      <t xml:space="preserve">A</t>
    </r>
    <r>
      <rPr>
        <sz val="9"/>
        <color rgb="FF808080"/>
        <rFont val="WenQuanYi Zen Hei"/>
        <family val="2"/>
      </rPr>
      <t xml:space="preserve">股常用</t>
    </r>
    <r>
      <rPr>
        <sz val="9"/>
        <color rgb="FF808080"/>
        <rFont val="Arial"/>
        <family val="0"/>
        <charset val="1"/>
      </rPr>
      <t xml:space="preserve">5.5%–7%</t>
    </r>
  </si>
  <si>
    <t xml:space="preserve">Beta</t>
  </si>
  <si>
    <r>
      <rPr>
        <sz val="9"/>
        <color rgb="FF808080"/>
        <rFont val="WenQuanYi Zen Hei"/>
        <family val="2"/>
      </rPr>
      <t xml:space="preserve">通信设备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光纤高波动；</t>
    </r>
    <r>
      <rPr>
        <sz val="9"/>
        <color rgb="FF808080"/>
        <rFont val="Arial"/>
        <family val="0"/>
        <charset val="1"/>
      </rPr>
      <t xml:space="preserve">52</t>
    </r>
    <r>
      <rPr>
        <sz val="9"/>
        <color rgb="FF808080"/>
        <rFont val="WenQuanYi Zen Hei"/>
        <family val="2"/>
      </rPr>
      <t xml:space="preserve">周区间</t>
    </r>
    <r>
      <rPr>
        <sz val="9"/>
        <color rgb="FF808080"/>
        <rFont val="Arial"/>
        <family val="0"/>
        <charset val="1"/>
      </rPr>
      <t xml:space="preserve">21.34–87.58</t>
    </r>
    <r>
      <rPr>
        <sz val="9"/>
        <color rgb="FF808080"/>
        <rFont val="WenQuanYi Zen Hei"/>
        <family val="2"/>
      </rPr>
      <t xml:space="preserve">元</t>
    </r>
  </si>
  <si>
    <t xml:space="preserve">税前债务成本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</si>
  <si>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年利息支出</t>
    </r>
    <r>
      <rPr>
        <sz val="9"/>
        <color rgb="FF808080"/>
        <rFont val="Arial"/>
        <family val="0"/>
        <charset val="1"/>
      </rPr>
      <t xml:space="preserve">3.28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平均有息借款约</t>
    </r>
    <r>
      <rPr>
        <sz val="9"/>
        <color rgb="FF808080"/>
        <rFont val="Arial"/>
        <family val="0"/>
        <charset val="1"/>
      </rPr>
      <t xml:space="preserve">108.7</t>
    </r>
    <r>
      <rPr>
        <sz val="9"/>
        <color rgb="FF808080"/>
        <rFont val="WenQuanYi Zen Hei"/>
        <family val="2"/>
      </rPr>
      <t xml:space="preserve">亿≈</t>
    </r>
    <r>
      <rPr>
        <sz val="9"/>
        <color rgb="FF808080"/>
        <rFont val="Arial"/>
        <family val="0"/>
        <charset val="1"/>
      </rPr>
      <t xml:space="preserve">3.0%</t>
    </r>
  </si>
  <si>
    <r>
      <rPr>
        <sz val="10"/>
        <color rgb="FF000000"/>
        <rFont val="WenQuanYi Zen Hei"/>
        <family val="2"/>
      </rPr>
      <t xml:space="preserve">目标债务占比 </t>
    </r>
    <r>
      <rPr>
        <sz val="10"/>
        <color rgb="FF000000"/>
        <rFont val="Arial"/>
        <family val="0"/>
        <charset val="1"/>
      </rPr>
      <t xml:space="preserve">D/(D+E)</t>
    </r>
  </si>
  <si>
    <r>
      <rPr>
        <sz val="9"/>
        <color rgb="FF808080"/>
        <rFont val="WenQuanYi Zen Hei"/>
        <family val="2"/>
      </rPr>
      <t xml:space="preserve">按市值计约</t>
    </r>
    <r>
      <rPr>
        <sz val="9"/>
        <color rgb="FF808080"/>
        <rFont val="Arial"/>
        <family val="0"/>
        <charset val="1"/>
      </rPr>
      <t xml:space="preserve">19%</t>
    </r>
    <r>
      <rPr>
        <sz val="9"/>
        <color rgb="FF808080"/>
        <rFont val="WenQuanYi Zen Hei"/>
        <family val="2"/>
      </rPr>
      <t xml:space="preserve">（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年末有息负债</t>
    </r>
    <r>
      <rPr>
        <sz val="9"/>
        <color rgb="FF808080"/>
        <rFont val="Arial"/>
        <family val="0"/>
        <charset val="1"/>
      </rPr>
      <t xml:space="preserve">116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/(</t>
    </r>
    <r>
      <rPr>
        <sz val="9"/>
        <color rgb="FF808080"/>
        <rFont val="WenQuanYi Zen Hei"/>
        <family val="2"/>
      </rPr>
      <t xml:space="preserve">市值</t>
    </r>
    <r>
      <rPr>
        <sz val="9"/>
        <color rgb="FF808080"/>
        <rFont val="Arial"/>
        <family val="0"/>
        <charset val="1"/>
      </rPr>
      <t xml:space="preserve">485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+116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</si>
  <si>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所用税率</t>
    </r>
  </si>
  <si>
    <r>
      <rPr>
        <sz val="9"/>
        <color rgb="FF808080"/>
        <rFont val="WenQuanYi Zen Hei"/>
        <family val="2"/>
      </rPr>
      <t xml:space="preserve">高新技术企业</t>
    </r>
    <r>
      <rPr>
        <sz val="9"/>
        <color rgb="FF808080"/>
        <rFont val="Arial"/>
        <family val="0"/>
        <charset val="1"/>
      </rPr>
      <t xml:space="preserve">15%</t>
    </r>
  </si>
  <si>
    <t xml:space="preserve">永续增长率</t>
  </si>
  <si>
    <t xml:space="preserve">广发基金持股比例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</si>
  <si>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年年报 附注十、</t>
    </r>
    <r>
      <rPr>
        <sz val="9"/>
        <color rgb="FF808080"/>
        <rFont val="Arial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：</t>
    </r>
    <r>
      <rPr>
        <sz val="9"/>
        <color rgb="FF808080"/>
        <rFont val="Arial"/>
        <family val="0"/>
        <charset val="1"/>
      </rPr>
      <t xml:space="preserve">14.187%</t>
    </r>
    <r>
      <rPr>
        <sz val="9"/>
        <color rgb="FF808080"/>
        <rFont val="WenQuanYi Zen Hei"/>
        <family val="2"/>
      </rPr>
      <t xml:space="preserve">，权益法</t>
    </r>
  </si>
  <si>
    <r>
      <rPr>
        <sz val="10"/>
        <color rgb="FF000000"/>
        <rFont val="WenQuanYi Zen Hei"/>
        <family val="2"/>
      </rPr>
      <t xml:space="preserve">广发基金股权估值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</si>
  <si>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公募基金公司股权交易常见</t>
    </r>
    <r>
      <rPr>
        <sz val="9"/>
        <color rgb="FF808080"/>
        <rFont val="Arial"/>
        <family val="0"/>
        <charset val="1"/>
      </rPr>
      <t xml:space="preserve">10–20x PE</t>
    </r>
    <r>
      <rPr>
        <sz val="9"/>
        <color rgb="FF808080"/>
        <rFont val="WenQuanYi Zen Hei"/>
        <family val="2"/>
      </rPr>
      <t xml:space="preserve">；可调</t>
    </r>
  </si>
  <si>
    <r>
      <rPr>
        <sz val="10"/>
        <color rgb="FF000000"/>
        <rFont val="Arial"/>
        <family val="0"/>
        <charset val="1"/>
      </rPr>
      <t xml:space="preserve">SOTP PE</t>
    </r>
    <r>
      <rPr>
        <sz val="10"/>
        <color rgb="FF000000"/>
        <rFont val="WenQuanYi Zen Hei"/>
        <family val="2"/>
      </rPr>
      <t xml:space="preserve">：通信系统设备（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</si>
  <si>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参考中兴通讯</t>
    </r>
    <r>
      <rPr>
        <sz val="9"/>
        <color rgb="FF808080"/>
        <rFont val="Arial"/>
        <family val="0"/>
        <charset val="1"/>
      </rPr>
      <t xml:space="preserve">PE(TTM)36.7x</t>
    </r>
    <r>
      <rPr>
        <sz val="9"/>
        <color rgb="FF808080"/>
        <rFont val="WenQuanYi Zen Hei"/>
        <family val="2"/>
      </rPr>
      <t xml:space="preserve">（</t>
    </r>
    <r>
      <rPr>
        <sz val="9"/>
        <color rgb="FF808080"/>
        <rFont val="Arial"/>
        <family val="0"/>
        <charset val="1"/>
      </rPr>
      <t xml:space="preserve">2026-08-10</t>
    </r>
    <r>
      <rPr>
        <sz val="9"/>
        <color rgb="FF808080"/>
        <rFont val="WenQuanYi Zen Hei"/>
        <family val="2"/>
      </rPr>
      <t xml:space="preserve">），考虑毛利率较低打折</t>
    </r>
  </si>
  <si>
    <r>
      <rPr>
        <sz val="10"/>
        <color rgb="FF000000"/>
        <rFont val="Arial"/>
        <family val="0"/>
        <charset val="1"/>
      </rPr>
      <t xml:space="preserve">SOTP PE</t>
    </r>
    <r>
      <rPr>
        <sz val="10"/>
        <color rgb="FF000000"/>
        <rFont val="WenQuanYi Zen Hei"/>
        <family val="2"/>
      </rPr>
      <t xml:space="preserve">：光纤及线缆（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</si>
  <si>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景气高点盈利给周期性折价；亨通</t>
    </r>
    <r>
      <rPr>
        <sz val="9"/>
        <color rgb="FF808080"/>
        <rFont val="Arial"/>
        <family val="0"/>
        <charset val="1"/>
      </rPr>
      <t xml:space="preserve">43x/</t>
    </r>
    <r>
      <rPr>
        <sz val="9"/>
        <color rgb="FF808080"/>
        <rFont val="WenQuanYi Zen Hei"/>
        <family val="2"/>
      </rPr>
      <t xml:space="preserve">中天</t>
    </r>
    <r>
      <rPr>
        <sz val="9"/>
        <color rgb="FF808080"/>
        <rFont val="Arial"/>
        <family val="0"/>
        <charset val="1"/>
      </rPr>
      <t xml:space="preserve">34x/</t>
    </r>
    <r>
      <rPr>
        <sz val="9"/>
        <color rgb="FF808080"/>
        <rFont val="WenQuanYi Zen Hei"/>
        <family val="2"/>
      </rPr>
      <t xml:space="preserve">长飞</t>
    </r>
    <r>
      <rPr>
        <sz val="9"/>
        <color rgb="FF808080"/>
        <rFont val="Arial"/>
        <family val="0"/>
        <charset val="1"/>
      </rPr>
      <t xml:space="preserve">109x</t>
    </r>
    <r>
      <rPr>
        <sz val="9"/>
        <color rgb="FF808080"/>
        <rFont val="WenQuanYi Zen Hei"/>
        <family val="2"/>
      </rPr>
      <t xml:space="preserve">（</t>
    </r>
    <r>
      <rPr>
        <sz val="9"/>
        <color rgb="FF808080"/>
        <rFont val="Arial"/>
        <family val="0"/>
        <charset val="1"/>
      </rPr>
      <t xml:space="preserve">TTM</t>
    </r>
    <r>
      <rPr>
        <sz val="9"/>
        <color rgb="FF808080"/>
        <rFont val="WenQuanYi Zen Hei"/>
        <family val="2"/>
      </rPr>
      <t xml:space="preserve">，</t>
    </r>
    <r>
      <rPr>
        <sz val="9"/>
        <color rgb="FF808080"/>
        <rFont val="Arial"/>
        <family val="0"/>
        <charset val="1"/>
      </rPr>
      <t xml:space="preserve">2026-09</t>
    </r>
    <r>
      <rPr>
        <sz val="9"/>
        <color rgb="FF80808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</si>
  <si>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SOTP PE</t>
    </r>
    <r>
      <rPr>
        <sz val="10"/>
        <color rgb="FF000000"/>
        <rFont val="WenQuanYi Zen Hei"/>
        <family val="2"/>
      </rPr>
      <t xml:space="preserve">：数据网络产品（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</si>
  <si>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烽火星空等软件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数据业务</t>
    </r>
  </si>
  <si>
    <r>
      <rPr>
        <sz val="10"/>
        <color rgb="FF000000"/>
        <rFont val="Arial"/>
        <family val="0"/>
        <charset val="1"/>
      </rPr>
      <t xml:space="preserve">SOTP PE</t>
    </r>
    <r>
      <rPr>
        <sz val="10"/>
        <color rgb="FF000000"/>
        <rFont val="WenQuanYi Zen Hei"/>
        <family val="2"/>
      </rPr>
      <t xml:space="preserve">：其他业务（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</si>
  <si>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t xml:space="preserve">费用分摊系数：通信系统设备</t>
  </si>
  <si>
    <r>
      <rPr>
        <sz val="9"/>
        <color rgb="FF808080"/>
        <rFont val="WenQuanYi Zen Hei"/>
        <family val="2"/>
      </rPr>
      <t xml:space="preserve">期间费用（含研发、财务费用）按“收入</t>
    </r>
    <r>
      <rPr>
        <sz val="9"/>
        <color rgb="FF808080"/>
        <rFont val="Arial"/>
        <family val="0"/>
        <charset val="1"/>
      </rPr>
      <t xml:space="preserve">×</t>
    </r>
    <r>
      <rPr>
        <sz val="9"/>
        <color rgb="FF808080"/>
        <rFont val="WenQuanYi Zen Hei"/>
        <family val="2"/>
      </rPr>
      <t xml:space="preserve">系数”分摊至各分部</t>
    </r>
  </si>
  <si>
    <t xml:space="preserve">费用分摊系数：光纤及线缆</t>
  </si>
  <si>
    <r>
      <rPr>
        <sz val="9"/>
        <color rgb="FF808080"/>
        <rFont val="WenQuanYi Zen Hei"/>
        <family val="2"/>
      </rPr>
      <t xml:space="preserve">光纤光缆研发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销售强度低</t>
    </r>
  </si>
  <si>
    <t xml:space="preserve">费用分摊系数：数据网络产品</t>
  </si>
  <si>
    <t xml:space="preserve">费用分摊系数：其他业务</t>
  </si>
  <si>
    <r>
      <rPr>
        <sz val="10"/>
        <color rgb="FF000000"/>
        <rFont val="Arial"/>
        <family val="0"/>
        <charset val="1"/>
      </rPr>
      <t xml:space="preserve">SOTP P/S</t>
    </r>
    <r>
      <rPr>
        <sz val="10"/>
        <color rgb="FF000000"/>
        <rFont val="WenQuanYi Zen Hei"/>
        <family val="2"/>
      </rPr>
      <t xml:space="preserve">下限：通信系统设备（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</si>
  <si>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分部亏损时按市销率兜底（运营商设备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服务器资产的重置与战略价值）</t>
    </r>
  </si>
  <si>
    <r>
      <rPr>
        <sz val="10"/>
        <color rgb="FF000000"/>
        <rFont val="Arial"/>
        <family val="0"/>
        <charset val="1"/>
      </rPr>
      <t xml:space="preserve">SOTP P/S</t>
    </r>
    <r>
      <rPr>
        <sz val="10"/>
        <color rgb="FF000000"/>
        <rFont val="WenQuanYi Zen Hei"/>
        <family val="2"/>
      </rPr>
      <t xml:space="preserve">下限：光纤及线缆（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</si>
  <si>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SOTP P/S</t>
    </r>
    <r>
      <rPr>
        <sz val="10"/>
        <color rgb="FF000000"/>
        <rFont val="WenQuanYi Zen Hei"/>
        <family val="2"/>
      </rPr>
      <t xml:space="preserve">下限：数据网络产品（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</si>
  <si>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SOTP P/S</t>
    </r>
    <r>
      <rPr>
        <sz val="10"/>
        <color rgb="FF000000"/>
        <rFont val="WenQuanYi Zen Hei"/>
        <family val="2"/>
      </rPr>
      <t xml:space="preserve">下限：其他业务（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</si>
  <si>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少数股东权益估值倍数（</t>
    </r>
    <r>
      <rPr>
        <sz val="10"/>
        <color rgb="FF000000"/>
        <rFont val="Arial"/>
        <family val="0"/>
        <charset val="1"/>
      </rPr>
      <t xml:space="preserve">P/B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</si>
  <si>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相对估值目标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</si>
  <si>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参考光通信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通信设备可比公司</t>
    </r>
    <r>
      <rPr>
        <sz val="9"/>
        <color rgb="FF808080"/>
        <rFont val="Arial"/>
        <family val="0"/>
        <charset val="1"/>
      </rPr>
      <t xml:space="preserve">PE(TTM)</t>
    </r>
    <r>
      <rPr>
        <sz val="9"/>
        <color rgb="FF808080"/>
        <rFont val="WenQuanYi Zen Hei"/>
        <family val="2"/>
      </rPr>
      <t xml:space="preserve">中位数约</t>
    </r>
    <r>
      <rPr>
        <sz val="9"/>
        <color rgb="FF808080"/>
        <rFont val="Arial"/>
        <family val="0"/>
        <charset val="1"/>
      </rPr>
      <t xml:space="preserve">40x</t>
    </r>
    <r>
      <rPr>
        <sz val="9"/>
        <color rgb="FF808080"/>
        <rFont val="WenQuanYi Zen Hei"/>
        <family val="2"/>
      </rPr>
      <t xml:space="preserve">，考虑盈利质量折价</t>
    </r>
  </si>
  <si>
    <t xml:space="preserve">最低现金余额（百万元）</t>
  </si>
  <si>
    <t xml:space="preserve">低于此值以短期借款补足；高于此值优先偿还短期借款</t>
  </si>
  <si>
    <t xml:space="preserve">短期借款下限（百万元）</t>
  </si>
  <si>
    <t xml:space="preserve">维持银行授信与票据业务</t>
  </si>
  <si>
    <t xml:space="preserve">长期借款中一年内到期比例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</si>
  <si>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年末</t>
    </r>
    <r>
      <rPr>
        <sz val="9"/>
        <color rgb="FF808080"/>
        <rFont val="Arial"/>
        <family val="0"/>
        <charset val="1"/>
      </rPr>
      <t xml:space="preserve">4.64/47.04</t>
    </r>
    <r>
      <rPr>
        <sz val="9"/>
        <color rgb="FF808080"/>
        <rFont val="WenQuanYi Zen Hei"/>
        <family val="2"/>
      </rPr>
      <t xml:space="preserve">亿≈</t>
    </r>
    <r>
      <rPr>
        <sz val="9"/>
        <color rgb="FF808080"/>
        <rFont val="Arial"/>
        <family val="0"/>
        <charset val="1"/>
      </rPr>
      <t xml:space="preserve">9.9%</t>
    </r>
  </si>
  <si>
    <t xml:space="preserve">一年内到期的租赁负债（百万元）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</si>
  <si>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年末一年内到期非流动负债</t>
    </r>
    <r>
      <rPr>
        <sz val="9"/>
        <color rgb="FF808080"/>
        <rFont val="Arial"/>
        <family val="0"/>
        <charset val="1"/>
      </rPr>
      <t xml:space="preserve">524.37−</t>
    </r>
    <r>
      <rPr>
        <sz val="9"/>
        <color rgb="FF808080"/>
        <rFont val="WenQuanYi Zen Hei"/>
        <family val="2"/>
      </rPr>
      <t xml:space="preserve">长期借款一年内到期</t>
    </r>
    <r>
      <rPr>
        <sz val="9"/>
        <color rgb="FF808080"/>
        <rFont val="Arial"/>
        <family val="0"/>
        <charset val="1"/>
      </rPr>
      <t xml:space="preserve">464.41</t>
    </r>
  </si>
  <si>
    <r>
      <rPr>
        <sz val="10"/>
        <color rgb="FF000000"/>
        <rFont val="WenQuanYi Zen Hei"/>
        <family val="2"/>
      </rPr>
      <t xml:space="preserve">广发基金分红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上年权益法收益</t>
    </r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</si>
  <si>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年收到</t>
    </r>
    <r>
      <rPr>
        <sz val="9"/>
        <color rgb="FF808080"/>
        <rFont val="Arial"/>
        <family val="0"/>
        <charset val="1"/>
      </rPr>
      <t xml:space="preserve">1.20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/2024</t>
    </r>
    <r>
      <rPr>
        <sz val="9"/>
        <color rgb="FF808080"/>
        <rFont val="WenQuanYi Zen Hei"/>
        <family val="2"/>
      </rPr>
      <t xml:space="preserve">年收益</t>
    </r>
    <r>
      <rPr>
        <sz val="9"/>
        <color rgb="FF808080"/>
        <rFont val="Arial"/>
        <family val="0"/>
        <charset val="1"/>
      </rPr>
      <t xml:space="preserve">2.84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=42%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已收</t>
    </r>
    <r>
      <rPr>
        <sz val="9"/>
        <color rgb="FF808080"/>
        <rFont val="Arial"/>
        <family val="0"/>
        <charset val="1"/>
      </rPr>
      <t xml:space="preserve">1.44</t>
    </r>
    <r>
      <rPr>
        <sz val="9"/>
        <color rgb="FF808080"/>
        <rFont val="WenQuanYi Zen Hei"/>
        <family val="2"/>
      </rPr>
      <t xml:space="preserve">亿</t>
    </r>
  </si>
  <si>
    <t xml:space="preserve">无形资产摊销中内部研发形成部分占比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</si>
  <si>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年非专利技术摊销</t>
    </r>
    <r>
      <rPr>
        <sz val="9"/>
        <color rgb="FF808080"/>
        <rFont val="Arial"/>
        <family val="0"/>
        <charset val="1"/>
      </rPr>
      <t xml:space="preserve">1.87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总摊销</t>
    </r>
    <r>
      <rPr>
        <sz val="9"/>
        <color rgb="FF808080"/>
        <rFont val="Arial"/>
        <family val="0"/>
        <charset val="1"/>
      </rPr>
      <t xml:space="preserve">3.05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=61%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</si>
  <si>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年定增发行价（元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股）</t>
    </r>
  </si>
  <si>
    <r>
      <rPr>
        <sz val="9"/>
        <color rgb="FF808080"/>
        <rFont val="WenQuanYi Zen Hei"/>
        <family val="2"/>
      </rPr>
      <t xml:space="preserve">预案：不低于定价基准日前</t>
    </r>
    <r>
      <rPr>
        <sz val="9"/>
        <color rgb="FF808080"/>
        <rFont val="Arial"/>
        <family val="0"/>
        <charset val="1"/>
      </rPr>
      <t xml:space="preserve">20</t>
    </r>
    <r>
      <rPr>
        <sz val="9"/>
        <color rgb="FF808080"/>
        <rFont val="WenQuanYi Zen Hei"/>
        <family val="2"/>
      </rPr>
      <t xml:space="preserve">日均价</t>
    </r>
    <r>
      <rPr>
        <sz val="9"/>
        <color rgb="FF808080"/>
        <rFont val="Arial"/>
        <family val="0"/>
        <charset val="1"/>
      </rPr>
      <t xml:space="preserve">80%</t>
    </r>
    <r>
      <rPr>
        <sz val="9"/>
        <color rgb="FF808080"/>
        <rFont val="WenQuanYi Zen Hei"/>
        <family val="2"/>
      </rPr>
      <t xml:space="preserve">；假设值</t>
    </r>
  </si>
  <si>
    <t xml:space="preserve">定增发行费用率</t>
  </si>
  <si>
    <r>
      <rPr>
        <sz val="9"/>
        <color rgb="FF808080"/>
        <rFont val="WenQuanYi Zen Hei"/>
        <family val="2"/>
      </rPr>
      <t xml:space="preserve">参考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年定增：费用</t>
    </r>
    <r>
      <rPr>
        <sz val="9"/>
        <color rgb="FF808080"/>
        <rFont val="Arial"/>
        <family val="0"/>
        <charset val="1"/>
      </rPr>
      <t xml:space="preserve">690</t>
    </r>
    <r>
      <rPr>
        <sz val="9"/>
        <color rgb="FF808080"/>
        <rFont val="WenQuanYi Zen Hei"/>
        <family val="2"/>
      </rPr>
      <t xml:space="preserve">万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募资</t>
    </r>
    <r>
      <rPr>
        <sz val="9"/>
        <color rgb="FF808080"/>
        <rFont val="Arial"/>
        <family val="0"/>
        <charset val="1"/>
      </rPr>
      <t xml:space="preserve">11.0</t>
    </r>
    <r>
      <rPr>
        <sz val="9"/>
        <color rgb="FF808080"/>
        <rFont val="WenQuanYi Zen Hei"/>
        <family val="2"/>
      </rPr>
      <t xml:space="preserve">亿≈</t>
    </r>
    <r>
      <rPr>
        <sz val="9"/>
        <color rgb="FF808080"/>
        <rFont val="Arial"/>
        <family val="0"/>
        <charset val="1"/>
      </rPr>
      <t xml:space="preserve">0.6%</t>
    </r>
    <r>
      <rPr>
        <sz val="9"/>
        <color rgb="FF808080"/>
        <rFont val="WenQuanYi Zen Hei"/>
        <family val="2"/>
      </rPr>
      <t xml:space="preserve">；取</t>
    </r>
    <r>
      <rPr>
        <sz val="9"/>
        <color rgb="FF808080"/>
        <rFont val="Arial"/>
        <family val="0"/>
        <charset val="1"/>
      </rPr>
      <t xml:space="preserve">1.1%</t>
    </r>
    <r>
      <rPr>
        <sz val="9"/>
        <color rgb="FF808080"/>
        <rFont val="WenQuanYi Zen Hei"/>
        <family val="2"/>
      </rPr>
      <t xml:space="preserve">保守</t>
    </r>
  </si>
  <si>
    <t xml:space="preserve">项目</t>
  </si>
  <si>
    <t xml:space="preserve">单位</t>
  </si>
  <si>
    <t xml:space="preserve">2021A</t>
  </si>
  <si>
    <t xml:space="preserve">2022A</t>
  </si>
  <si>
    <t xml:space="preserve">2029E</t>
  </si>
  <si>
    <t xml:space="preserve">2030E</t>
  </si>
  <si>
    <r>
      <rPr>
        <b val="true"/>
        <sz val="10"/>
        <color rgb="FFFFFFFF"/>
        <rFont val="WenQuanYi Zen Hei"/>
        <family val="2"/>
      </rPr>
      <t xml:space="preserve">说明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来源</t>
    </r>
  </si>
  <si>
    <t xml:space="preserve">一、分业务驱动</t>
  </si>
  <si>
    <t xml:space="preserve">通信系统设备 收入增速 ▶采用</t>
  </si>
  <si>
    <r>
      <rPr>
        <sz val="9"/>
        <color rgb="FF808080"/>
        <rFont val="Arial"/>
        <family val="0"/>
        <charset val="1"/>
      </rPr>
      <t xml:space="preserve">2026H1 +2.7%</t>
    </r>
    <r>
      <rPr>
        <sz val="9"/>
        <color rgb="FF808080"/>
        <rFont val="WenQuanYi Zen Hei"/>
        <family val="2"/>
      </rPr>
      <t xml:space="preserve">；运营商传统网络投资下行 </t>
    </r>
    <r>
      <rPr>
        <sz val="9"/>
        <color rgb="FF808080"/>
        <rFont val="Arial"/>
        <family val="0"/>
        <charset val="1"/>
      </rPr>
      <t xml:space="preserve">vs </t>
    </r>
    <r>
      <rPr>
        <sz val="9"/>
        <color rgb="FF808080"/>
        <rFont val="WenQuanYi Zen Hei"/>
        <family val="2"/>
      </rPr>
      <t xml:space="preserve">服务器</t>
    </r>
    <r>
      <rPr>
        <sz val="9"/>
        <color rgb="FF808080"/>
        <rFont val="Arial"/>
        <family val="0"/>
        <charset val="1"/>
      </rPr>
      <t xml:space="preserve">/AI</t>
    </r>
    <r>
      <rPr>
        <sz val="9"/>
        <color rgb="FF808080"/>
        <rFont val="WenQuanYi Zen Hei"/>
        <family val="2"/>
      </rPr>
      <t xml:space="preserve">算力、海外增量</t>
    </r>
  </si>
  <si>
    <t xml:space="preserve">    基准</t>
  </si>
  <si>
    <t xml:space="preserve">    乐观</t>
  </si>
  <si>
    <t xml:space="preserve">    悲观</t>
  </si>
  <si>
    <t xml:space="preserve">通信系统设备 毛利率 ▶采用</t>
  </si>
  <si>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仅</t>
    </r>
    <r>
      <rPr>
        <sz val="9"/>
        <color rgb="FF808080"/>
        <rFont val="Arial"/>
        <family val="0"/>
        <charset val="1"/>
      </rPr>
      <t xml:space="preserve">15.0%</t>
    </r>
    <r>
      <rPr>
        <sz val="9"/>
        <color rgb="FF808080"/>
        <rFont val="WenQuanYi Zen Hei"/>
        <family val="2"/>
      </rPr>
      <t xml:space="preserve">（</t>
    </r>
    <r>
      <rPr>
        <sz val="9"/>
        <color rgb="FF808080"/>
        <rFont val="Arial"/>
        <family val="0"/>
        <charset val="1"/>
      </rPr>
      <t xml:space="preserve">2025H1 21.2%</t>
    </r>
    <r>
      <rPr>
        <sz val="9"/>
        <color rgb="FF808080"/>
        <rFont val="WenQuanYi Zen Hei"/>
        <family val="2"/>
      </rPr>
      <t xml:space="preserve">）；</t>
    </r>
    <r>
      <rPr>
        <sz val="9"/>
        <color rgb="FF808080"/>
        <rFont val="Arial"/>
        <family val="0"/>
        <charset val="1"/>
      </rPr>
      <t xml:space="preserve">2024/2025</t>
    </r>
    <r>
      <rPr>
        <sz val="9"/>
        <color rgb="FF808080"/>
        <rFont val="WenQuanYi Zen Hei"/>
        <family val="2"/>
      </rPr>
      <t xml:space="preserve">年下半年较上半年低</t>
    </r>
    <r>
      <rPr>
        <sz val="9"/>
        <color rgb="FF808080"/>
        <rFont val="Arial"/>
        <family val="0"/>
        <charset val="1"/>
      </rPr>
      <t xml:space="preserve">2.9/4.5pp</t>
    </r>
    <r>
      <rPr>
        <sz val="9"/>
        <color rgb="FF808080"/>
        <rFont val="WenQuanYi Zen Hei"/>
        <family val="2"/>
      </rPr>
      <t xml:space="preserve">，基准</t>
    </r>
    <r>
      <rPr>
        <sz val="9"/>
        <color rgb="FF808080"/>
        <rFont val="Arial"/>
        <family val="0"/>
        <charset val="1"/>
      </rPr>
      <t xml:space="preserve">2026E 13.8%</t>
    </r>
    <r>
      <rPr>
        <sz val="9"/>
        <color rgb="FF808080"/>
        <rFont val="WenQuanYi Zen Hei"/>
        <family val="2"/>
      </rPr>
      <t xml:space="preserve">隐含</t>
    </r>
    <r>
      <rPr>
        <sz val="9"/>
        <color rgb="FF808080"/>
        <rFont val="Arial"/>
        <family val="0"/>
        <charset val="1"/>
      </rPr>
      <t xml:space="preserve">H2</t>
    </r>
    <r>
      <rPr>
        <sz val="9"/>
        <color rgb="FF808080"/>
        <rFont val="WenQuanYi Zen Hei"/>
        <family val="2"/>
      </rPr>
      <t xml:space="preserve">约</t>
    </r>
    <r>
      <rPr>
        <sz val="9"/>
        <color rgb="FF808080"/>
        <rFont val="Arial"/>
        <family val="0"/>
        <charset val="1"/>
      </rPr>
      <t xml:space="preserve">12.7%</t>
    </r>
    <r>
      <rPr>
        <sz val="9"/>
        <color rgb="FF808080"/>
        <rFont val="WenQuanYi Zen Hei"/>
        <family val="2"/>
      </rPr>
      <t xml:space="preserve">；母公司（光网络主体）</t>
    </r>
    <r>
      <rPr>
        <sz val="9"/>
        <color rgb="FF808080"/>
        <rFont val="Arial"/>
        <family val="0"/>
        <charset val="1"/>
      </rPr>
      <t xml:space="preserve">H1</t>
    </r>
    <r>
      <rPr>
        <sz val="9"/>
        <color rgb="FF808080"/>
        <rFont val="WenQuanYi Zen Hei"/>
        <family val="2"/>
      </rPr>
      <t xml:space="preserve">主营毛利率</t>
    </r>
    <r>
      <rPr>
        <sz val="9"/>
        <color rgb="FF808080"/>
        <rFont val="Arial"/>
        <family val="0"/>
        <charset val="1"/>
      </rPr>
      <t xml:space="preserve">12.5%</t>
    </r>
  </si>
  <si>
    <t xml:space="preserve">光纤及线缆 销量增速 ▶采用</t>
  </si>
  <si>
    <r>
      <rPr>
        <sz val="9"/>
        <color rgb="FF808080"/>
        <rFont val="Arial"/>
        <family val="0"/>
        <charset val="1"/>
      </rPr>
      <t xml:space="preserve">CRU</t>
    </r>
    <r>
      <rPr>
        <sz val="9"/>
        <color rgb="FF808080"/>
        <rFont val="WenQuanYi Zen Hei"/>
        <family val="2"/>
      </rPr>
      <t xml:space="preserve">：全球光缆需求</t>
    </r>
    <r>
      <rPr>
        <sz val="9"/>
        <color rgb="FF808080"/>
        <rFont val="Arial"/>
        <family val="0"/>
        <charset val="1"/>
      </rPr>
      <t xml:space="preserve">2025–2030 CAGR 6.6%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AI</t>
    </r>
    <r>
      <rPr>
        <sz val="9"/>
        <color rgb="FF808080"/>
        <rFont val="WenQuanYi Zen Hei"/>
        <family val="2"/>
      </rPr>
      <t xml:space="preserve">数据中心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海外拉动；公司未披露产销量</t>
    </r>
  </si>
  <si>
    <t xml:space="preserve">光纤及线缆 均价变动 ▶采用</t>
  </si>
  <si>
    <r>
      <rPr>
        <sz val="9"/>
        <color rgb="FF808080"/>
        <rFont val="Arial"/>
        <family val="0"/>
        <charset val="1"/>
      </rPr>
      <t xml:space="preserve">G.652D</t>
    </r>
    <r>
      <rPr>
        <sz val="9"/>
        <color rgb="FF808080"/>
        <rFont val="WenQuanYi Zen Hei"/>
        <family val="2"/>
      </rPr>
      <t xml:space="preserve">裸纤</t>
    </r>
    <r>
      <rPr>
        <sz val="9"/>
        <color rgb="FF808080"/>
        <rFont val="Arial"/>
        <family val="0"/>
        <charset val="1"/>
      </rPr>
      <t xml:space="preserve">2026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月</t>
    </r>
    <r>
      <rPr>
        <sz val="9"/>
        <color rgb="FF808080"/>
        <rFont val="Arial"/>
        <family val="0"/>
        <charset val="1"/>
      </rPr>
      <t xml:space="preserve">83.4</t>
    </r>
    <r>
      <rPr>
        <sz val="9"/>
        <color rgb="FF808080"/>
        <rFont val="WenQuanYi Zen Hei"/>
        <family val="2"/>
      </rPr>
      <t xml:space="preserve">元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芯公里（同比</t>
    </r>
    <r>
      <rPr>
        <sz val="9"/>
        <color rgb="FF808080"/>
        <rFont val="Arial"/>
        <family val="0"/>
        <charset val="1"/>
      </rPr>
      <t xml:space="preserve">+418%</t>
    </r>
    <r>
      <rPr>
        <sz val="9"/>
        <color rgb="FF808080"/>
        <rFont val="WenQuanYi Zen Hei"/>
        <family val="2"/>
      </rPr>
      <t xml:space="preserve">），</t>
    </r>
    <r>
      <rPr>
        <sz val="9"/>
        <color rgb="FF808080"/>
        <rFont val="Arial"/>
        <family val="0"/>
        <charset val="1"/>
      </rPr>
      <t xml:space="preserve">9</t>
    </r>
    <r>
      <rPr>
        <sz val="9"/>
        <color rgb="FF808080"/>
        <rFont val="WenQuanYi Zen Hei"/>
        <family val="2"/>
      </rPr>
      <t xml:space="preserve">月现货</t>
    </r>
    <r>
      <rPr>
        <sz val="9"/>
        <color rgb="FF808080"/>
        <rFont val="Arial"/>
        <family val="0"/>
        <charset val="1"/>
      </rPr>
      <t xml:space="preserve">105–110</t>
    </r>
    <r>
      <rPr>
        <sz val="9"/>
        <color rgb="FF808080"/>
        <rFont val="WenQuanYi Zen Hei"/>
        <family val="2"/>
      </rPr>
      <t xml:space="preserve">元；中国移动</t>
    </r>
    <r>
      <rPr>
        <sz val="9"/>
        <color rgb="FF808080"/>
        <rFont val="Arial"/>
        <family val="0"/>
        <charset val="1"/>
      </rPr>
      <t xml:space="preserve">2026–27</t>
    </r>
    <r>
      <rPr>
        <sz val="9"/>
        <color rgb="FF808080"/>
        <rFont val="WenQuanYi Zen Hei"/>
        <family val="2"/>
      </rPr>
      <t xml:space="preserve">集采均价</t>
    </r>
    <r>
      <rPr>
        <sz val="9"/>
        <color rgb="FF808080"/>
        <rFont val="Arial"/>
        <family val="0"/>
        <charset val="1"/>
      </rPr>
      <t xml:space="preserve">102.57</t>
    </r>
    <r>
      <rPr>
        <sz val="9"/>
        <color rgb="FF808080"/>
        <rFont val="WenQuanYi Zen Hei"/>
        <family val="2"/>
      </rPr>
      <t xml:space="preserve">元（</t>
    </r>
    <r>
      <rPr>
        <sz val="9"/>
        <color rgb="FF808080"/>
        <rFont val="Arial"/>
        <family val="0"/>
        <charset val="1"/>
      </rPr>
      <t xml:space="preserve">+115%</t>
    </r>
    <r>
      <rPr>
        <sz val="9"/>
        <color rgb="FF808080"/>
        <rFont val="WenQuanYi Zen Hei"/>
        <family val="2"/>
      </rPr>
      <t xml:space="preserve">），烽火份额</t>
    </r>
    <r>
      <rPr>
        <sz val="9"/>
        <color rgb="FF808080"/>
        <rFont val="Arial"/>
        <family val="0"/>
        <charset val="1"/>
      </rPr>
      <t xml:space="preserve">9.42%</t>
    </r>
  </si>
  <si>
    <t xml:space="preserve">光纤及线缆 毛利率 ▶采用</t>
  </si>
  <si>
    <r>
      <rPr>
        <sz val="9"/>
        <color rgb="FF808080"/>
        <rFont val="Arial"/>
        <family val="0"/>
        <charset val="1"/>
      </rPr>
      <t xml:space="preserve">2026H1 42.3%</t>
    </r>
    <r>
      <rPr>
        <sz val="9"/>
        <color rgb="FF808080"/>
        <rFont val="WenQuanYi Zen Hei"/>
        <family val="2"/>
      </rPr>
      <t xml:space="preserve">（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25.2%</t>
    </r>
    <r>
      <rPr>
        <sz val="9"/>
        <color rgb="FF808080"/>
        <rFont val="WenQuanYi Zen Hei"/>
        <family val="2"/>
      </rPr>
      <t xml:space="preserve">，</t>
    </r>
    <r>
      <rPr>
        <sz val="9"/>
        <color rgb="FF808080"/>
        <rFont val="Arial"/>
        <family val="0"/>
        <charset val="1"/>
      </rPr>
      <t xml:space="preserve">2021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17.7%</t>
    </r>
    <r>
      <rPr>
        <sz val="9"/>
        <color rgb="FF808080"/>
        <rFont val="WenQuanYi Zen Hei"/>
        <family val="2"/>
      </rPr>
      <t xml:space="preserve">）</t>
    </r>
  </si>
  <si>
    <t xml:space="preserve">数据网络产品 收入增速 ▶采用</t>
  </si>
  <si>
    <r>
      <rPr>
        <sz val="9"/>
        <color rgb="FF808080"/>
        <rFont val="WenQuanYi Zen Hei"/>
        <family val="2"/>
      </rPr>
      <t xml:space="preserve">收入集中于下半年（</t>
    </r>
    <r>
      <rPr>
        <sz val="9"/>
        <color rgb="FF808080"/>
        <rFont val="Arial"/>
        <family val="0"/>
        <charset val="1"/>
      </rPr>
      <t xml:space="preserve">2025H1</t>
    </r>
    <r>
      <rPr>
        <sz val="9"/>
        <color rgb="FF808080"/>
        <rFont val="WenQuanYi Zen Hei"/>
        <family val="2"/>
      </rPr>
      <t xml:space="preserve">仅占</t>
    </r>
    <r>
      <rPr>
        <sz val="9"/>
        <color rgb="FF808080"/>
        <rFont val="Arial"/>
        <family val="0"/>
        <charset val="1"/>
      </rPr>
      <t xml:space="preserve">15%</t>
    </r>
    <r>
      <rPr>
        <sz val="9"/>
        <color rgb="FF808080"/>
        <rFont val="WenQuanYi Zen Hei"/>
        <family val="2"/>
      </rPr>
      <t xml:space="preserve">）</t>
    </r>
  </si>
  <si>
    <t xml:space="preserve">数据网络产品 毛利率 ▶采用</t>
  </si>
  <si>
    <t xml:space="preserve">其他业务 收入增速 ▶采用</t>
  </si>
  <si>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已达</t>
    </r>
    <r>
      <rPr>
        <sz val="9"/>
        <color rgb="FF808080"/>
        <rFont val="Arial"/>
        <family val="0"/>
        <charset val="1"/>
      </rPr>
      <t xml:space="preserve">2.03</t>
    </r>
    <r>
      <rPr>
        <sz val="9"/>
        <color rgb="FF808080"/>
        <rFont val="WenQuanYi Zen Hei"/>
        <family val="2"/>
      </rPr>
      <t xml:space="preserve">亿（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全年</t>
    </r>
    <r>
      <rPr>
        <sz val="9"/>
        <color rgb="FF808080"/>
        <rFont val="Arial"/>
        <family val="0"/>
        <charset val="1"/>
      </rPr>
      <t xml:space="preserve">1.90</t>
    </r>
    <r>
      <rPr>
        <sz val="9"/>
        <color rgb="FF808080"/>
        <rFont val="WenQuanYi Zen Hei"/>
        <family val="2"/>
      </rPr>
      <t xml:space="preserve">亿），</t>
    </r>
    <r>
      <rPr>
        <sz val="9"/>
        <color rgb="FF808080"/>
        <rFont val="Arial"/>
        <family val="0"/>
        <charset val="1"/>
      </rPr>
      <t xml:space="preserve">2026E</t>
    </r>
    <r>
      <rPr>
        <sz val="9"/>
        <color rgb="FF808080"/>
        <rFont val="WenQuanYi Zen Hei"/>
        <family val="2"/>
      </rPr>
      <t xml:space="preserve">设为</t>
    </r>
    <r>
      <rPr>
        <sz val="9"/>
        <color rgb="FF808080"/>
        <rFont val="Arial"/>
        <family val="0"/>
        <charset val="1"/>
      </rPr>
      <t xml:space="preserve">2.30</t>
    </r>
    <r>
      <rPr>
        <sz val="9"/>
        <color rgb="FF808080"/>
        <rFont val="WenQuanYi Zen Hei"/>
        <family val="2"/>
      </rPr>
      <t xml:space="preserve">亿</t>
    </r>
  </si>
  <si>
    <t xml:space="preserve">其他业务 毛利率 ▶采用</t>
  </si>
  <si>
    <t xml:space="preserve">二、费用与其他损益</t>
  </si>
  <si>
    <r>
      <rPr>
        <b val="true"/>
        <sz val="10"/>
        <color rgb="FF000000"/>
        <rFont val="WenQuanYi Zen Hei"/>
        <family val="2"/>
      </rPr>
      <t xml:space="preserve">税金及附加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</si>
  <si>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t xml:space="preserve">销售费用率 ▶采用</t>
  </si>
  <si>
    <r>
      <rPr>
        <sz val="9"/>
        <color rgb="FF808080"/>
        <rFont val="Arial"/>
        <family val="0"/>
        <charset val="1"/>
      </rPr>
      <t xml:space="preserve">2026H1 8.6%</t>
    </r>
    <r>
      <rPr>
        <sz val="9"/>
        <color rgb="FF808080"/>
        <rFont val="WenQuanYi Zen Hei"/>
        <family val="2"/>
      </rPr>
      <t xml:space="preserve">（上半年季节性偏高）</t>
    </r>
  </si>
  <si>
    <t xml:space="preserve">管理费用率 ▶采用</t>
  </si>
  <si>
    <r>
      <rPr>
        <b val="true"/>
        <sz val="10"/>
        <color rgb="FF000000"/>
        <rFont val="WenQuanYi Zen Hei"/>
        <family val="2"/>
      </rPr>
      <t xml:space="preserve">研发投入总额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</si>
  <si>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12.7%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研发费用−</t>
    </r>
    <r>
      <rPr>
        <sz val="9"/>
        <color rgb="FF808080"/>
        <rFont val="Arial"/>
        <family val="0"/>
        <charset val="1"/>
      </rPr>
      <t xml:space="preserve">11.8%</t>
    </r>
    <r>
      <rPr>
        <sz val="9"/>
        <color rgb="FF808080"/>
        <rFont val="WenQuanYi Zen Hei"/>
        <family val="2"/>
      </rPr>
      <t xml:space="preserve">（“适度收缩研发业务范围”）</t>
    </r>
  </si>
  <si>
    <t xml:space="preserve">研发资本化率 ▶采用</t>
  </si>
  <si>
    <r>
      <rPr>
        <sz val="9"/>
        <color rgb="FF808080"/>
        <rFont val="Arial"/>
        <family val="0"/>
        <charset val="1"/>
      </rPr>
      <t xml:space="preserve">2021–2023</t>
    </r>
    <r>
      <rPr>
        <sz val="9"/>
        <color rgb="FF808080"/>
        <rFont val="WenQuanYi Zen Hei"/>
        <family val="2"/>
      </rPr>
      <t xml:space="preserve">年约</t>
    </r>
    <r>
      <rPr>
        <sz val="9"/>
        <color rgb="FF808080"/>
        <rFont val="Arial"/>
        <family val="0"/>
        <charset val="1"/>
      </rPr>
      <t xml:space="preserve">7%</t>
    </r>
    <r>
      <rPr>
        <sz val="9"/>
        <color rgb="FF808080"/>
        <rFont val="WenQuanYi Zen Hei"/>
        <family val="2"/>
      </rPr>
      <t xml:space="preserve">，</t>
    </r>
    <r>
      <rPr>
        <sz val="9"/>
        <color rgb="FF808080"/>
        <rFont val="Arial"/>
        <family val="0"/>
        <charset val="1"/>
      </rPr>
      <t xml:space="preserve">2024</t>
    </r>
    <r>
      <rPr>
        <sz val="9"/>
        <color rgb="FF808080"/>
        <rFont val="WenQuanYi Zen Hei"/>
        <family val="2"/>
      </rPr>
      <t xml:space="preserve">年跳升至</t>
    </r>
    <r>
      <rPr>
        <sz val="9"/>
        <color rgb="FF808080"/>
        <rFont val="Arial"/>
        <family val="0"/>
        <charset val="1"/>
      </rPr>
      <t xml:space="preserve">19.5%</t>
    </r>
    <r>
      <rPr>
        <sz val="9"/>
        <color rgb="FF808080"/>
        <rFont val="WenQuanYi Zen Hei"/>
        <family val="2"/>
      </rPr>
      <t xml:space="preserve">，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18.6%——</t>
    </r>
    <r>
      <rPr>
        <sz val="9"/>
        <color rgb="FF808080"/>
        <rFont val="WenQuanYi Zen Hei"/>
        <family val="2"/>
      </rPr>
      <t xml:space="preserve">悲观情景假设回归</t>
    </r>
  </si>
  <si>
    <r>
      <rPr>
        <b val="true"/>
        <sz val="10"/>
        <color rgb="FF000000"/>
        <rFont val="WenQuanYi Zen Hei"/>
        <family val="2"/>
      </rPr>
      <t xml:space="preserve">其他收益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</si>
  <si>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sz val="9"/>
        <color rgb="FF808080"/>
        <rFont val="WenQuanYi Zen Hei"/>
        <family val="2"/>
      </rPr>
      <t xml:space="preserve">政府补助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WenQuanYi Zen Hei"/>
        <family val="2"/>
      </rPr>
      <t xml:space="preserve">软件增值税退税；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2.9%</t>
    </r>
    <r>
      <rPr>
        <sz val="9"/>
        <color rgb="FF808080"/>
        <rFont val="WenQuanYi Zen Hei"/>
        <family val="2"/>
      </rPr>
      <t xml:space="preserve">，</t>
    </r>
    <r>
      <rPr>
        <sz val="9"/>
        <color rgb="FF808080"/>
        <rFont val="Arial"/>
        <family val="0"/>
        <charset val="1"/>
      </rPr>
      <t xml:space="preserve">2026H1 1.8%</t>
    </r>
  </si>
  <si>
    <r>
      <rPr>
        <b val="true"/>
        <sz val="10"/>
        <color rgb="FF000000"/>
        <rFont val="WenQuanYi Zen Hei"/>
        <family val="2"/>
      </rPr>
      <t xml:space="preserve">信用减值损失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收入（负数</t>
    </r>
    <r>
      <rPr>
        <b val="true"/>
        <sz val="10"/>
        <color rgb="FF000000"/>
        <rFont val="Arial"/>
        <family val="0"/>
        <charset val="1"/>
      </rPr>
      <t xml:space="preserve">=</t>
    </r>
    <r>
      <rPr>
        <b val="true"/>
        <sz val="10"/>
        <color rgb="FF000000"/>
        <rFont val="WenQuanYi Zen Hei"/>
        <family val="2"/>
      </rPr>
      <t xml:space="preserve">损失） ▶采用</t>
    </r>
  </si>
  <si>
    <r>
      <rPr>
        <b val="true"/>
        <sz val="10"/>
        <color rgb="FF000000"/>
        <rFont val="WenQuanYi Zen Hei"/>
        <family val="2"/>
      </rPr>
      <t xml:space="preserve">资产减值损失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收入（负数</t>
    </r>
    <r>
      <rPr>
        <b val="true"/>
        <sz val="10"/>
        <color rgb="FF000000"/>
        <rFont val="Arial"/>
        <family val="0"/>
        <charset val="1"/>
      </rPr>
      <t xml:space="preserve">=</t>
    </r>
    <r>
      <rPr>
        <b val="true"/>
        <sz val="10"/>
        <color rgb="FF000000"/>
        <rFont val="WenQuanYi Zen Hei"/>
        <family val="2"/>
      </rPr>
      <t xml:space="preserve">损失） ▶采用</t>
    </r>
  </si>
  <si>
    <r>
      <rPr>
        <sz val="9"/>
        <color rgb="FF808080"/>
        <rFont val="Arial"/>
        <family val="0"/>
        <charset val="1"/>
      </rPr>
      <t xml:space="preserve">2023–2025</t>
    </r>
    <r>
      <rPr>
        <sz val="9"/>
        <color rgb="FF808080"/>
        <rFont val="WenQuanYi Zen Hei"/>
        <family val="2"/>
      </rPr>
      <t xml:space="preserve">年四季度减值合计均在</t>
    </r>
    <r>
      <rPr>
        <sz val="9"/>
        <color rgb="FF808080"/>
        <rFont val="Arial"/>
        <family val="0"/>
        <charset val="1"/>
      </rPr>
      <t xml:space="preserve">3.7–4.2</t>
    </r>
    <r>
      <rPr>
        <sz val="9"/>
        <color rgb="FF808080"/>
        <rFont val="WenQuanYi Zen Hei"/>
        <family val="2"/>
      </rPr>
      <t xml:space="preserve">亿元，</t>
    </r>
    <r>
      <rPr>
        <sz val="9"/>
        <color rgb="FF808080"/>
        <rFont val="Arial"/>
        <family val="0"/>
        <charset val="1"/>
      </rPr>
      <t xml:space="preserve">2026E</t>
    </r>
    <r>
      <rPr>
        <sz val="9"/>
        <color rgb="FF808080"/>
        <rFont val="WenQuanYi Zen Hei"/>
        <family val="2"/>
      </rPr>
      <t xml:space="preserve">适度从严</t>
    </r>
  </si>
  <si>
    <t xml:space="preserve">广发基金净利润增速 ▶采用</t>
  </si>
  <si>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广发基金净利</t>
    </r>
    <r>
      <rPr>
        <sz val="9"/>
        <color rgb="FF808080"/>
        <rFont val="Arial"/>
        <family val="0"/>
        <charset val="1"/>
      </rPr>
      <t xml:space="preserve">24.6</t>
    </r>
    <r>
      <rPr>
        <sz val="9"/>
        <color rgb="FF808080"/>
        <rFont val="WenQuanYi Zen Hei"/>
        <family val="2"/>
      </rPr>
      <t xml:space="preserve">亿（同比</t>
    </r>
    <r>
      <rPr>
        <sz val="9"/>
        <color rgb="FF808080"/>
        <rFont val="Arial"/>
        <family val="0"/>
        <charset val="1"/>
      </rPr>
      <t xml:space="preserve">+108%</t>
    </r>
    <r>
      <rPr>
        <sz val="9"/>
        <color rgb="FF808080"/>
        <rFont val="WenQuanYi Zen Hei"/>
        <family val="2"/>
      </rPr>
      <t xml:space="preserve">），基准假设下半年环比略降</t>
    </r>
  </si>
  <si>
    <t xml:space="preserve">其他联营企业投资收益（百万元） ▶采用</t>
  </si>
  <si>
    <t xml:space="preserve">其他投资收益（票据贴现终止确认等，百万元） ▶采用</t>
  </si>
  <si>
    <t xml:space="preserve">营业外收支净额（百万元） ▶采用</t>
  </si>
  <si>
    <t xml:space="preserve">实际所得税率（占利润总额） ▶采用</t>
  </si>
  <si>
    <t xml:space="preserve">权益法投资收益免税，压低整体税率</t>
  </si>
  <si>
    <t xml:space="preserve">少数股东损益（百万元） ▶采用</t>
  </si>
  <si>
    <r>
      <rPr>
        <sz val="9"/>
        <color rgb="FF808080"/>
        <rFont val="WenQuanYi Zen Hei"/>
        <family val="2"/>
      </rPr>
      <t xml:space="preserve">烽火国际（少数股东</t>
    </r>
    <r>
      <rPr>
        <sz val="9"/>
        <color rgb="FF808080"/>
        <rFont val="Arial"/>
        <family val="0"/>
        <charset val="1"/>
      </rPr>
      <t xml:space="preserve">16.65%</t>
    </r>
    <r>
      <rPr>
        <sz val="9"/>
        <color rgb="FF808080"/>
        <rFont val="WenQuanYi Zen Hei"/>
        <family val="2"/>
      </rPr>
      <t xml:space="preserve">）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年亏损</t>
    </r>
    <r>
      <rPr>
        <sz val="9"/>
        <color rgb="FF808080"/>
        <rFont val="Arial"/>
        <family val="0"/>
        <charset val="1"/>
      </rPr>
      <t xml:space="preserve">2.53</t>
    </r>
    <r>
      <rPr>
        <sz val="9"/>
        <color rgb="FF808080"/>
        <rFont val="WenQuanYi Zen Hei"/>
        <family val="2"/>
      </rPr>
      <t xml:space="preserve">亿</t>
    </r>
  </si>
  <si>
    <t xml:space="preserve">三、投资与折旧摊销</t>
  </si>
  <si>
    <t xml:space="preserve">固定资产及在建工程投入（百万元） ▶采用</t>
  </si>
  <si>
    <r>
      <rPr>
        <sz val="9"/>
        <color rgb="FF808080"/>
        <rFont val="WenQuanYi Zen Hei"/>
        <family val="2"/>
      </rPr>
      <t xml:space="preserve">含</t>
    </r>
    <r>
      <rPr>
        <sz val="9"/>
        <color rgb="FF808080"/>
        <rFont val="Arial"/>
        <family val="0"/>
        <charset val="1"/>
      </rPr>
      <t xml:space="preserve">2026</t>
    </r>
    <r>
      <rPr>
        <sz val="9"/>
        <color rgb="FF808080"/>
        <rFont val="WenQuanYi Zen Hei"/>
        <family val="2"/>
      </rPr>
      <t xml:space="preserve">年定增募投：多模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特种光纤</t>
    </r>
    <r>
      <rPr>
        <sz val="9"/>
        <color rgb="FF808080"/>
        <rFont val="Arial"/>
        <family val="0"/>
        <charset val="1"/>
      </rPr>
      <t xml:space="preserve">9.42</t>
    </r>
    <r>
      <rPr>
        <sz val="9"/>
        <color rgb="FF808080"/>
        <rFont val="WenQuanYi Zen Hei"/>
        <family val="2"/>
      </rPr>
      <t xml:space="preserve">亿、超大规格光棒</t>
    </r>
    <r>
      <rPr>
        <sz val="9"/>
        <color rgb="FF808080"/>
        <rFont val="Arial"/>
        <family val="0"/>
        <charset val="1"/>
      </rPr>
      <t xml:space="preserve">5.28</t>
    </r>
    <r>
      <rPr>
        <sz val="9"/>
        <color rgb="FF808080"/>
        <rFont val="WenQuanYi Zen Hei"/>
        <family val="2"/>
      </rPr>
      <t xml:space="preserve">亿、泰国基地</t>
    </r>
    <r>
      <rPr>
        <sz val="9"/>
        <color rgb="FF808080"/>
        <rFont val="Arial"/>
        <family val="0"/>
        <charset val="1"/>
      </rPr>
      <t xml:space="preserve">3.61</t>
    </r>
    <r>
      <rPr>
        <sz val="9"/>
        <color rgb="FF808080"/>
        <rFont val="WenQuanYi Zen Hei"/>
        <family val="2"/>
      </rPr>
      <t xml:space="preserve">亿；收购藤仓烽火</t>
    </r>
    <r>
      <rPr>
        <sz val="9"/>
        <color rgb="FF808080"/>
        <rFont val="Arial"/>
        <family val="0"/>
        <charset val="1"/>
      </rPr>
      <t xml:space="preserve">60%</t>
    </r>
    <r>
      <rPr>
        <sz val="9"/>
        <color rgb="FF808080"/>
        <rFont val="WenQuanYi Zen Hei"/>
        <family val="2"/>
      </rPr>
      <t xml:space="preserve">股权</t>
    </r>
    <r>
      <rPr>
        <sz val="9"/>
        <color rgb="FF808080"/>
        <rFont val="Arial"/>
        <family val="0"/>
        <charset val="1"/>
      </rPr>
      <t xml:space="preserve">5.00</t>
    </r>
    <r>
      <rPr>
        <sz val="9"/>
        <color rgb="FF808080"/>
        <rFont val="WenQuanYi Zen Hei"/>
        <family val="2"/>
      </rPr>
      <t xml:space="preserve">亿未单列（视同对外投资，影响小）</t>
    </r>
  </si>
  <si>
    <t xml:space="preserve">外购无形资产（百万元） ▶采用</t>
  </si>
  <si>
    <r>
      <rPr>
        <b val="true"/>
        <sz val="10"/>
        <color rgb="FF000000"/>
        <rFont val="WenQuanYi Zen Hei"/>
        <family val="2"/>
      </rPr>
      <t xml:space="preserve">在建工程转固比例（期初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本期投入） ▶采用</t>
    </r>
  </si>
  <si>
    <r>
      <rPr>
        <b val="true"/>
        <sz val="10"/>
        <color rgb="FF000000"/>
        <rFont val="WenQuanYi Zen Hei"/>
        <family val="2"/>
      </rPr>
      <t xml:space="preserve">固定资产折旧率（期初原值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半年新增） ▶采用</t>
    </r>
  </si>
  <si>
    <r>
      <rPr>
        <sz val="9"/>
        <color rgb="FF808080"/>
        <rFont val="WenQuanYi Zen Hei"/>
        <family val="2"/>
      </rPr>
      <t xml:space="preserve">年限平均法：房屋</t>
    </r>
    <r>
      <rPr>
        <sz val="9"/>
        <color rgb="FF808080"/>
        <rFont val="Arial"/>
        <family val="0"/>
        <charset val="1"/>
      </rPr>
      <t xml:space="preserve">35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机器</t>
    </r>
    <r>
      <rPr>
        <sz val="9"/>
        <color rgb="FF808080"/>
        <rFont val="Arial"/>
        <family val="0"/>
        <charset val="1"/>
      </rPr>
      <t xml:space="preserve">10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电子</t>
    </r>
    <r>
      <rPr>
        <sz val="9"/>
        <color rgb="FF808080"/>
        <rFont val="Arial"/>
        <family val="0"/>
        <charset val="1"/>
      </rPr>
      <t xml:space="preserve">7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仪器</t>
    </r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WenQuanYi Zen Hei"/>
        <family val="2"/>
      </rPr>
      <t xml:space="preserve">年，残值</t>
    </r>
    <r>
      <rPr>
        <sz val="9"/>
        <color rgb="FF808080"/>
        <rFont val="Arial"/>
        <family val="0"/>
        <charset val="1"/>
      </rPr>
      <t xml:space="preserve">3%</t>
    </r>
  </si>
  <si>
    <t xml:space="preserve">固定资产报废率（占期初原值，已提足折旧） ▶采用</t>
  </si>
  <si>
    <r>
      <rPr>
        <b val="true"/>
        <sz val="10"/>
        <color rgb="FF000000"/>
        <rFont val="WenQuanYi Zen Hei"/>
        <family val="2"/>
      </rPr>
      <t xml:space="preserve">无形资产摊销率（期初原值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半年新增） ▶采用</t>
    </r>
  </si>
  <si>
    <t xml:space="preserve">开发支出转无形资产比例 ▶采用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</si>
  <si>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48.7%</t>
    </r>
    <r>
      <rPr>
        <sz val="9"/>
        <color rgb="FF808080"/>
        <rFont val="WenQuanYi Zen Hei"/>
        <family val="2"/>
      </rPr>
      <t xml:space="preserve">，</t>
    </r>
    <r>
      <rPr>
        <sz val="9"/>
        <color rgb="FF808080"/>
        <rFont val="Arial"/>
        <family val="0"/>
        <charset val="1"/>
      </rPr>
      <t xml:space="preserve">2024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22.1%</t>
    </r>
  </si>
  <si>
    <t xml:space="preserve">使用权资产折旧（百万元） ▶采用</t>
  </si>
  <si>
    <r>
      <rPr>
        <sz val="9"/>
        <color rgb="FF808080"/>
        <rFont val="WenQuanYi Zen Hei"/>
        <family val="2"/>
      </rPr>
      <t xml:space="preserve">假设新增租赁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折旧，租赁负债持平</t>
    </r>
  </si>
  <si>
    <t xml:space="preserve">长期待摊费用摊销（百万元） ▶采用</t>
  </si>
  <si>
    <t xml:space="preserve">四、营运资本</t>
  </si>
  <si>
    <r>
      <rPr>
        <b val="true"/>
        <sz val="10"/>
        <color rgb="FF000000"/>
        <rFont val="WenQuanYi Zen Hei"/>
        <family val="2"/>
      </rPr>
      <t xml:space="preserve">应收账款周转天数（期末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</t>
    </r>
    <r>
      <rPr>
        <b val="true"/>
        <sz val="10"/>
        <color rgb="FF000000"/>
        <rFont val="Arial"/>
        <family val="0"/>
        <charset val="1"/>
      </rPr>
      <t xml:space="preserve">×365</t>
    </r>
    <r>
      <rPr>
        <b val="true"/>
        <sz val="10"/>
        <color rgb="FF000000"/>
        <rFont val="WenQuanYi Zen Hei"/>
        <family val="2"/>
      </rPr>
      <t xml:space="preserve">） ▶采用</t>
    </r>
  </si>
  <si>
    <r>
      <rPr>
        <sz val="9"/>
        <color rgb="FF808080"/>
        <rFont val="Arial"/>
        <family val="0"/>
        <charset val="1"/>
      </rPr>
      <t xml:space="preserve">2021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59</t>
    </r>
    <r>
      <rPr>
        <sz val="9"/>
        <color rgb="FF808080"/>
        <rFont val="WenQuanYi Zen Hei"/>
        <family val="2"/>
      </rPr>
      <t xml:space="preserve">天→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217</t>
    </r>
    <r>
      <rPr>
        <sz val="9"/>
        <color rgb="FF808080"/>
        <rFont val="WenQuanYi Zen Hei"/>
        <family val="2"/>
      </rPr>
      <t xml:space="preserve">天，回款恶化是核心风险</t>
    </r>
  </si>
  <si>
    <r>
      <rPr>
        <b val="true"/>
        <sz val="10"/>
        <color rgb="FF000000"/>
        <rFont val="WenQuanYi Zen Hei"/>
        <family val="2"/>
      </rPr>
      <t xml:space="preserve">应收票据及应收款项融资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</si>
  <si>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b val="true"/>
        <sz val="10"/>
        <color rgb="FF000000"/>
        <rFont val="WenQuanYi Zen Hei"/>
        <family val="2"/>
      </rPr>
      <t xml:space="preserve">预付款项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营业成本 ▶采用</t>
    </r>
  </si>
  <si>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预付</t>
    </r>
    <r>
      <rPr>
        <sz val="9"/>
        <color rgb="FF808080"/>
        <rFont val="Arial"/>
        <family val="0"/>
        <charset val="1"/>
      </rPr>
      <t xml:space="preserve">25.2</t>
    </r>
    <r>
      <rPr>
        <sz val="9"/>
        <color rgb="FF808080"/>
        <rFont val="WenQuanYi Zen Hei"/>
        <family val="2"/>
      </rPr>
      <t xml:space="preserve">亿（锁定原材料货源）</t>
    </r>
  </si>
  <si>
    <r>
      <rPr>
        <b val="true"/>
        <sz val="10"/>
        <color rgb="FF000000"/>
        <rFont val="WenQuanYi Zen Hei"/>
        <family val="2"/>
      </rPr>
      <t xml:space="preserve">存货周转天数（期末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营业成本</t>
    </r>
    <r>
      <rPr>
        <b val="true"/>
        <sz val="10"/>
        <color rgb="FF000000"/>
        <rFont val="Arial"/>
        <family val="0"/>
        <charset val="1"/>
      </rPr>
      <t xml:space="preserve">×365</t>
    </r>
    <r>
      <rPr>
        <b val="true"/>
        <sz val="10"/>
        <color rgb="FF000000"/>
        <rFont val="WenQuanYi Zen Hei"/>
        <family val="2"/>
      </rPr>
      <t xml:space="preserve">） ▶采用</t>
    </r>
  </si>
  <si>
    <r>
      <rPr>
        <b val="true"/>
        <sz val="10"/>
        <color rgb="FF000000"/>
        <rFont val="WenQuanYi Zen Hei"/>
        <family val="2"/>
      </rPr>
      <t xml:space="preserve">其他流动资产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</si>
  <si>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b val="true"/>
        <sz val="10"/>
        <color rgb="FF000000"/>
        <rFont val="WenQuanYi Zen Hei"/>
        <family val="2"/>
      </rPr>
      <t xml:space="preserve">应付票据及应付账款周转天数（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营业成本</t>
    </r>
    <r>
      <rPr>
        <b val="true"/>
        <sz val="10"/>
        <color rgb="FF000000"/>
        <rFont val="Arial"/>
        <family val="0"/>
        <charset val="1"/>
      </rPr>
      <t xml:space="preserve">×365</t>
    </r>
    <r>
      <rPr>
        <b val="true"/>
        <sz val="10"/>
        <color rgb="FF000000"/>
        <rFont val="WenQuanYi Zen Hei"/>
        <family val="2"/>
      </rPr>
      <t xml:space="preserve">） ▶采用</t>
    </r>
  </si>
  <si>
    <t xml:space="preserve">应付票据占应付合计比例 ▶采用</t>
  </si>
  <si>
    <r>
      <rPr>
        <b val="true"/>
        <sz val="10"/>
        <color rgb="FF000000"/>
        <rFont val="WenQuanYi Zen Hei"/>
        <family val="2"/>
      </rPr>
      <t xml:space="preserve">合同负债及预收款项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</si>
  <si>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b val="true"/>
        <sz val="10"/>
        <color rgb="FF000000"/>
        <rFont val="WenQuanYi Zen Hei"/>
        <family val="2"/>
      </rPr>
      <t xml:space="preserve">应付职工薪酬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</si>
  <si>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b val="true"/>
        <sz val="10"/>
        <color rgb="FF000000"/>
        <rFont val="WenQuanYi Zen Hei"/>
        <family val="2"/>
      </rPr>
      <t xml:space="preserve">应交税费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</si>
  <si>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b val="true"/>
        <sz val="10"/>
        <color rgb="FF000000"/>
        <rFont val="WenQuanYi Zen Hei"/>
        <family val="2"/>
      </rPr>
      <t xml:space="preserve">其他应付款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</si>
  <si>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r>
      <rPr>
        <b val="true"/>
        <sz val="10"/>
        <color rgb="FF000000"/>
        <rFont val="WenQuanYi Zen Hei"/>
        <family val="2"/>
      </rPr>
      <t xml:space="preserve">其他流动负债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收入 ▶采用</t>
    </r>
  </si>
  <si>
    <t xml:space="preserve">五、融资与股东回报</t>
  </si>
  <si>
    <t xml:space="preserve">长期借款余额（含一年内到期，百万元） ▶采用</t>
  </si>
  <si>
    <t xml:space="preserve">借款利率（按期初有息借款） ▶采用</t>
  </si>
  <si>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利息支出</t>
    </r>
    <r>
      <rPr>
        <sz val="9"/>
        <color rgb="FF808080"/>
        <rFont val="Arial"/>
        <family val="0"/>
        <charset val="1"/>
      </rPr>
      <t xml:space="preserve">1.50</t>
    </r>
    <r>
      <rPr>
        <sz val="9"/>
        <color rgb="FF808080"/>
        <rFont val="WenQuanYi Zen Hei"/>
        <family val="2"/>
      </rPr>
      <t xml:space="preserve">亿</t>
    </r>
  </si>
  <si>
    <t xml:space="preserve">存款收益率（按期初现金） ▶采用</t>
  </si>
  <si>
    <t xml:space="preserve">汇兑损益及手续费（百万元） ▶采用</t>
  </si>
  <si>
    <r>
      <rPr>
        <sz val="9"/>
        <color rgb="FF808080"/>
        <rFont val="Arial"/>
        <family val="0"/>
        <charset val="1"/>
      </rPr>
      <t xml:space="preserve">2026H1</t>
    </r>
    <r>
      <rPr>
        <sz val="9"/>
        <color rgb="FF808080"/>
        <rFont val="WenQuanYi Zen Hei"/>
        <family val="2"/>
      </rPr>
      <t xml:space="preserve">汇兑损失</t>
    </r>
    <r>
      <rPr>
        <sz val="9"/>
        <color rgb="FF808080"/>
        <rFont val="Arial"/>
        <family val="0"/>
        <charset val="1"/>
      </rPr>
      <t xml:space="preserve">2.09</t>
    </r>
    <r>
      <rPr>
        <sz val="9"/>
        <color rgb="FF808080"/>
        <rFont val="WenQuanYi Zen Hei"/>
        <family val="2"/>
      </rPr>
      <t xml:space="preserve">亿（人民币升值）</t>
    </r>
  </si>
  <si>
    <t xml:space="preserve">现金分红率（当年归母净利润，次年派发） ▶采用</t>
  </si>
  <si>
    <r>
      <rPr>
        <sz val="9"/>
        <color rgb="FF808080"/>
        <rFont val="Arial"/>
        <family val="0"/>
        <charset val="1"/>
      </rPr>
      <t xml:space="preserve">2022–2025</t>
    </r>
    <r>
      <rPr>
        <sz val="9"/>
        <color rgb="FF808080"/>
        <rFont val="WenQuanYi Zen Hei"/>
        <family val="2"/>
      </rPr>
      <t xml:space="preserve">年度均约</t>
    </r>
    <r>
      <rPr>
        <sz val="9"/>
        <color rgb="FF808080"/>
        <rFont val="Arial"/>
        <family val="0"/>
        <charset val="1"/>
      </rPr>
      <t xml:space="preserve">30%</t>
    </r>
  </si>
  <si>
    <t xml:space="preserve">股份回购金额（百万元） ▶采用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</si>
  <si>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年回购</t>
    </r>
    <r>
      <rPr>
        <sz val="9"/>
        <color rgb="FF808080"/>
        <rFont val="Arial"/>
        <family val="0"/>
        <charset val="1"/>
      </rPr>
      <t xml:space="preserve">0.75</t>
    </r>
    <r>
      <rPr>
        <sz val="9"/>
        <color rgb="FF808080"/>
        <rFont val="WenQuanYi Zen Hei"/>
        <family val="2"/>
      </rPr>
      <t xml:space="preserve">亿元并注销</t>
    </r>
  </si>
  <si>
    <t xml:space="preserve">定增募资总额（百万元，按到账年份） ▶采用</t>
  </si>
  <si>
    <r>
      <rPr>
        <sz val="9"/>
        <color rgb="FF808080"/>
        <rFont val="Arial"/>
        <family val="0"/>
        <charset val="1"/>
      </rPr>
      <t xml:space="preserve">2026-07-10</t>
    </r>
    <r>
      <rPr>
        <sz val="9"/>
        <color rgb="FF808080"/>
        <rFont val="WenQuanYi Zen Hei"/>
        <family val="2"/>
      </rPr>
      <t xml:space="preserve">预案：≤</t>
    </r>
    <r>
      <rPr>
        <sz val="9"/>
        <color rgb="FF808080"/>
        <rFont val="Arial"/>
        <family val="0"/>
        <charset val="1"/>
      </rPr>
      <t xml:space="preserve">29.13</t>
    </r>
    <r>
      <rPr>
        <sz val="9"/>
        <color rgb="FF808080"/>
        <rFont val="WenQuanYi Zen Hei"/>
        <family val="2"/>
      </rPr>
      <t xml:space="preserve">亿（多模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特种</t>
    </r>
    <r>
      <rPr>
        <sz val="9"/>
        <color rgb="FF808080"/>
        <rFont val="Arial"/>
        <family val="0"/>
        <charset val="1"/>
      </rPr>
      <t xml:space="preserve">9.42+</t>
    </r>
    <r>
      <rPr>
        <sz val="9"/>
        <color rgb="FF808080"/>
        <rFont val="WenQuanYi Zen Hei"/>
        <family val="2"/>
      </rPr>
      <t xml:space="preserve">光棒</t>
    </r>
    <r>
      <rPr>
        <sz val="9"/>
        <color rgb="FF808080"/>
        <rFont val="Arial"/>
        <family val="0"/>
        <charset val="1"/>
      </rPr>
      <t xml:space="preserve">5.28+</t>
    </r>
    <r>
      <rPr>
        <sz val="9"/>
        <color rgb="FF808080"/>
        <rFont val="WenQuanYi Zen Hei"/>
        <family val="2"/>
      </rPr>
      <t xml:space="preserve">藤仓烽火</t>
    </r>
    <r>
      <rPr>
        <sz val="9"/>
        <color rgb="FF808080"/>
        <rFont val="Arial"/>
        <family val="0"/>
        <charset val="1"/>
      </rPr>
      <t xml:space="preserve">60%</t>
    </r>
    <r>
      <rPr>
        <sz val="9"/>
        <color rgb="FF808080"/>
        <rFont val="WenQuanYi Zen Hei"/>
        <family val="2"/>
      </rPr>
      <t xml:space="preserve">股权</t>
    </r>
    <r>
      <rPr>
        <sz val="9"/>
        <color rgb="FF808080"/>
        <rFont val="Arial"/>
        <family val="0"/>
        <charset val="1"/>
      </rPr>
      <t xml:space="preserve">5.00+</t>
    </r>
    <r>
      <rPr>
        <sz val="9"/>
        <color rgb="FF808080"/>
        <rFont val="WenQuanYi Zen Hei"/>
        <family val="2"/>
      </rPr>
      <t xml:space="preserve">泰国</t>
    </r>
    <r>
      <rPr>
        <sz val="9"/>
        <color rgb="FF808080"/>
        <rFont val="Arial"/>
        <family val="0"/>
        <charset val="1"/>
      </rPr>
      <t xml:space="preserve">3.61+</t>
    </r>
    <r>
      <rPr>
        <sz val="9"/>
        <color rgb="FF808080"/>
        <rFont val="WenQuanYi Zen Hei"/>
        <family val="2"/>
      </rPr>
      <t xml:space="preserve">空芯研发</t>
    </r>
    <r>
      <rPr>
        <sz val="9"/>
        <color rgb="FF808080"/>
        <rFont val="Arial"/>
        <family val="0"/>
        <charset val="1"/>
      </rPr>
      <t xml:space="preserve">2.81+</t>
    </r>
    <r>
      <rPr>
        <sz val="9"/>
        <color rgb="FF808080"/>
        <rFont val="WenQuanYi Zen Hei"/>
        <family val="2"/>
      </rPr>
      <t xml:space="preserve">补流</t>
    </r>
    <r>
      <rPr>
        <sz val="9"/>
        <color rgb="FF808080"/>
        <rFont val="Arial"/>
        <family val="0"/>
        <charset val="1"/>
      </rPr>
      <t xml:space="preserve">3.00</t>
    </r>
    <r>
      <rPr>
        <sz val="9"/>
        <color rgb="FF808080"/>
        <rFont val="WenQuanYi Zen Hei"/>
        <family val="2"/>
      </rPr>
      <t xml:space="preserve">）；悲观情景假设未发行</t>
    </r>
  </si>
  <si>
    <t xml:space="preserve">子公司向少数股东分红（百万元） ▶采用</t>
  </si>
  <si>
    <t xml:space="preserve">分业务收入与毛利拆分（百万元）</t>
  </si>
  <si>
    <r>
      <rPr>
        <i val="true"/>
        <sz val="9"/>
        <color rgb="FF808080"/>
        <rFont val="WenQuanYi Zen Hei"/>
        <family val="2"/>
      </rPr>
      <t xml:space="preserve">历史：年报“主营业务分产品情况”</t>
    </r>
    <r>
      <rPr>
        <i val="true"/>
        <sz val="9"/>
        <color rgb="FF808080"/>
        <rFont val="Arial"/>
        <family val="0"/>
        <charset val="1"/>
      </rPr>
      <t xml:space="preserve">/Wind</t>
    </r>
    <r>
      <rPr>
        <i val="true"/>
        <sz val="9"/>
        <color rgb="FF808080"/>
        <rFont val="WenQuanYi Zen Hei"/>
        <family val="2"/>
      </rPr>
      <t xml:space="preserve">主营构成；预测：收入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上年</t>
    </r>
    <r>
      <rPr>
        <i val="true"/>
        <sz val="9"/>
        <color rgb="FF808080"/>
        <rFont val="Arial"/>
        <family val="0"/>
        <charset val="1"/>
      </rPr>
      <t xml:space="preserve">×(1+</t>
    </r>
    <r>
      <rPr>
        <i val="true"/>
        <sz val="9"/>
        <color rgb="FF808080"/>
        <rFont val="WenQuanYi Zen Hei"/>
        <family val="2"/>
      </rPr>
      <t xml:space="preserve">增速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，光纤及线缆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上年</t>
    </r>
    <r>
      <rPr>
        <i val="true"/>
        <sz val="9"/>
        <color rgb="FF808080"/>
        <rFont val="Arial"/>
        <family val="0"/>
        <charset val="1"/>
      </rPr>
      <t xml:space="preserve">×(1+</t>
    </r>
    <r>
      <rPr>
        <i val="true"/>
        <sz val="9"/>
        <color rgb="FF808080"/>
        <rFont val="WenQuanYi Zen Hei"/>
        <family val="2"/>
      </rPr>
      <t xml:space="preserve">销量</t>
    </r>
    <r>
      <rPr>
        <i val="true"/>
        <sz val="9"/>
        <color rgb="FF808080"/>
        <rFont val="Arial"/>
        <family val="0"/>
        <charset val="1"/>
      </rPr>
      <t xml:space="preserve">)×(1+</t>
    </r>
    <r>
      <rPr>
        <i val="true"/>
        <sz val="9"/>
        <color rgb="FF808080"/>
        <rFont val="WenQuanYi Zen Hei"/>
        <family val="2"/>
      </rPr>
      <t xml:space="preserve">价格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；成本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×(1−</t>
    </r>
    <r>
      <rPr>
        <i val="true"/>
        <sz val="9"/>
        <color rgb="FF808080"/>
        <rFont val="WenQuanYi Zen Hei"/>
        <family val="2"/>
      </rPr>
      <t xml:space="preserve">毛利率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</si>
  <si>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2026H1A</t>
  </si>
  <si>
    <t xml:space="preserve">通信系统设备</t>
  </si>
  <si>
    <t xml:space="preserve">通信系统设备 收入</t>
  </si>
  <si>
    <r>
      <rPr>
        <sz val="9"/>
        <color rgb="FF808080"/>
        <rFont val="WenQuanYi Zen Hei"/>
        <family val="2"/>
      </rPr>
      <t xml:space="preserve">历史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年报分产品收入（</t>
    </r>
    <r>
      <rPr>
        <sz val="9"/>
        <color rgb="FF808080"/>
        <rFont val="Arial"/>
        <family val="0"/>
        <charset val="1"/>
      </rPr>
      <t xml:space="preserve">Wind</t>
    </r>
    <r>
      <rPr>
        <sz val="9"/>
        <color rgb="FF808080"/>
        <rFont val="WenQuanYi Zen Hei"/>
        <family val="2"/>
      </rPr>
      <t xml:space="preserve">主营构成，万元</t>
    </r>
    <r>
      <rPr>
        <sz val="9"/>
        <color rgb="FF808080"/>
        <rFont val="Arial"/>
        <family val="0"/>
        <charset val="1"/>
      </rPr>
      <t xml:space="preserve">÷100</t>
    </r>
    <r>
      <rPr>
        <sz val="9"/>
        <color rgb="FF808080"/>
        <rFont val="WenQuanYi Zen Hei"/>
        <family val="2"/>
      </rPr>
      <t xml:space="preserve">）</t>
    </r>
  </si>
  <si>
    <t xml:space="preserve">  同比</t>
  </si>
  <si>
    <r>
      <rPr>
        <sz val="9"/>
        <color rgb="FF808080"/>
        <rFont val="Arial"/>
        <family val="0"/>
        <charset val="1"/>
      </rPr>
      <t xml:space="preserve">2021A</t>
    </r>
    <r>
      <rPr>
        <sz val="9"/>
        <color rgb="FF808080"/>
        <rFont val="WenQuanYi Zen Hei"/>
        <family val="2"/>
      </rPr>
      <t xml:space="preserve">同比按</t>
    </r>
    <r>
      <rPr>
        <sz val="9"/>
        <color rgb="FF808080"/>
        <rFont val="Arial"/>
        <family val="0"/>
        <charset val="1"/>
      </rPr>
      <t xml:space="preserve">2020A</t>
    </r>
    <r>
      <rPr>
        <sz val="9"/>
        <color rgb="FF808080"/>
        <rFont val="WenQuanYi Zen Hei"/>
        <family val="2"/>
      </rPr>
      <t xml:space="preserve">收入计算；</t>
    </r>
    <r>
      <rPr>
        <sz val="9"/>
        <color rgb="FF808080"/>
        <rFont val="Arial"/>
        <family val="0"/>
        <charset val="1"/>
      </rPr>
      <t xml:space="preserve">2026H1A</t>
    </r>
    <r>
      <rPr>
        <sz val="9"/>
        <color rgb="FF808080"/>
        <rFont val="WenQuanYi Zen Hei"/>
        <family val="2"/>
      </rPr>
      <t xml:space="preserve">为同比</t>
    </r>
  </si>
  <si>
    <t xml:space="preserve">通信系统设备 成本</t>
  </si>
  <si>
    <t xml:space="preserve">通信系统设备 毛利</t>
  </si>
  <si>
    <t xml:space="preserve">通信系统设备 毛利率</t>
  </si>
  <si>
    <t xml:space="preserve">光纤及线缆</t>
  </si>
  <si>
    <t xml:space="preserve">  销量增速</t>
  </si>
  <si>
    <t xml:space="preserve">  均价变动</t>
  </si>
  <si>
    <r>
      <rPr>
        <sz val="10"/>
        <color rgb="FF000000"/>
        <rFont val="WenQuanYi Zen Hei"/>
        <family val="2"/>
      </rPr>
      <t xml:space="preserve">  销量指数（</t>
    </r>
    <r>
      <rPr>
        <sz val="10"/>
        <color rgb="FF000000"/>
        <rFont val="Arial"/>
        <family val="0"/>
        <charset val="1"/>
      </rPr>
      <t xml:space="preserve">2025A=100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</si>
  <si>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  价格指数（</t>
    </r>
    <r>
      <rPr>
        <sz val="10"/>
        <color rgb="FF000000"/>
        <rFont val="Arial"/>
        <family val="0"/>
        <charset val="1"/>
      </rPr>
      <t xml:space="preserve">2025A=100</t>
    </r>
    <r>
      <rPr>
        <sz val="10"/>
        <color rgb="FF000000"/>
        <rFont val="WenQuanYi Zen Hei"/>
        <family val="2"/>
      </rPr>
      <t xml:space="preserve">）</t>
    </r>
  </si>
  <si>
    <t xml:space="preserve">光纤及线缆 收入</t>
  </si>
  <si>
    <t xml:space="preserve">光纤及线缆 成本</t>
  </si>
  <si>
    <t xml:space="preserve">光纤及线缆 毛利</t>
  </si>
  <si>
    <t xml:space="preserve">光纤及线缆 毛利率</t>
  </si>
  <si>
    <t xml:space="preserve">数据网络产品</t>
  </si>
  <si>
    <t xml:space="preserve">数据网络产品 收入</t>
  </si>
  <si>
    <t xml:space="preserve">数据网络产品 成本</t>
  </si>
  <si>
    <t xml:space="preserve">数据网络产品 毛利</t>
  </si>
  <si>
    <t xml:space="preserve">数据网络产品 毛利率</t>
  </si>
  <si>
    <t xml:space="preserve">其他业务</t>
  </si>
  <si>
    <t xml:space="preserve">其他业务 收入</t>
  </si>
  <si>
    <t xml:space="preserve">其他业务 成本</t>
  </si>
  <si>
    <t xml:space="preserve">其他业务 毛利</t>
  </si>
  <si>
    <t xml:space="preserve">其他业务 毛利率</t>
  </si>
  <si>
    <t xml:space="preserve">合计</t>
  </si>
  <si>
    <t xml:space="preserve">营业收入合计</t>
  </si>
  <si>
    <t xml:space="preserve">营业成本合计</t>
  </si>
  <si>
    <t xml:space="preserve">毛利合计</t>
  </si>
  <si>
    <t xml:space="preserve">综合毛利率</t>
  </si>
  <si>
    <t xml:space="preserve">核对：分部合计−报表营业收入</t>
  </si>
  <si>
    <r>
      <rPr>
        <sz val="9"/>
        <color rgb="FF808080"/>
        <rFont val="WenQuanYi Zen Hei"/>
        <family val="2"/>
      </rPr>
      <t xml:space="preserve">应为</t>
    </r>
    <r>
      <rPr>
        <sz val="9"/>
        <color rgb="FF808080"/>
        <rFont val="Arial"/>
        <family val="0"/>
        <charset val="1"/>
      </rPr>
      <t xml:space="preserve">0</t>
    </r>
  </si>
  <si>
    <t xml:space="preserve">收入结构与毛利贡献</t>
  </si>
  <si>
    <t xml:space="preserve">通信系统设备 收入占比</t>
  </si>
  <si>
    <t xml:space="preserve">光纤及线缆 收入占比</t>
  </si>
  <si>
    <t xml:space="preserve">数据网络产品 收入占比</t>
  </si>
  <si>
    <t xml:space="preserve">其他业务 收入占比</t>
  </si>
  <si>
    <t xml:space="preserve">通信系统设备 毛利占比</t>
  </si>
  <si>
    <t xml:space="preserve">光纤及线缆 毛利占比</t>
  </si>
  <si>
    <t xml:space="preserve">数据网络产品 毛利占比</t>
  </si>
  <si>
    <t xml:space="preserve">其他业务 毛利占比</t>
  </si>
  <si>
    <t xml:space="preserve">分地区（历史）</t>
  </si>
  <si>
    <t xml:space="preserve">中国大陆 收入</t>
  </si>
  <si>
    <t xml:space="preserve">中国大陆 成本</t>
  </si>
  <si>
    <t xml:space="preserve">中国大陆 毛利率</t>
  </si>
  <si>
    <t xml:space="preserve">国外 收入</t>
  </si>
  <si>
    <t xml:space="preserve">国外 成本</t>
  </si>
  <si>
    <t xml:space="preserve">国外 毛利率</t>
  </si>
  <si>
    <t xml:space="preserve">海外收入占比</t>
  </si>
  <si>
    <r>
      <rPr>
        <sz val="9"/>
        <color rgb="FF808080"/>
        <rFont val="Arial"/>
        <family val="0"/>
        <charset val="1"/>
      </rPr>
      <t xml:space="preserve">2021–2023</t>
    </r>
    <r>
      <rPr>
        <sz val="9"/>
        <color rgb="FF808080"/>
        <rFont val="WenQuanYi Zen Hei"/>
        <family val="2"/>
      </rPr>
      <t xml:space="preserve">年分地区口径不含其他业务；</t>
    </r>
    <r>
      <rPr>
        <sz val="9"/>
        <color rgb="FF808080"/>
        <rFont val="Arial"/>
        <family val="0"/>
        <charset val="1"/>
      </rPr>
      <t xml:space="preserve">2024</t>
    </r>
    <r>
      <rPr>
        <sz val="9"/>
        <color rgb="FF808080"/>
        <rFont val="WenQuanYi Zen Hei"/>
        <family val="2"/>
      </rPr>
      <t xml:space="preserve">年起含</t>
    </r>
  </si>
  <si>
    <r>
      <rPr>
        <b val="true"/>
        <sz val="10"/>
        <color rgb="FF1F3864"/>
        <rFont val="WenQuanYi Zen Hei"/>
        <family val="2"/>
      </rPr>
      <t xml:space="preserve">半年度对比（</t>
    </r>
    <r>
      <rPr>
        <b val="true"/>
        <sz val="10"/>
        <color rgb="FF1F3864"/>
        <rFont val="Arial"/>
        <family val="0"/>
        <charset val="1"/>
      </rPr>
      <t xml:space="preserve">2025H1 vs 2026H1</t>
    </r>
    <r>
      <rPr>
        <b val="true"/>
        <sz val="10"/>
        <color rgb="FF1F3864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</si>
  <si>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25H1</t>
    </r>
    <r>
      <rPr>
        <b val="true"/>
        <sz val="10"/>
        <color rgb="FF000000"/>
        <rFont val="WenQuanYi Zen Hei"/>
        <family val="2"/>
      </rPr>
      <t xml:space="preserve">收入</t>
    </r>
  </si>
  <si>
    <r>
      <rPr>
        <b val="true"/>
        <sz val="10"/>
        <color rgb="FF000000"/>
        <rFont val="Arial"/>
        <family val="0"/>
        <charset val="1"/>
      </rPr>
      <t xml:space="preserve">26H1</t>
    </r>
    <r>
      <rPr>
        <b val="true"/>
        <sz val="10"/>
        <color rgb="FF000000"/>
        <rFont val="WenQuanYi Zen Hei"/>
        <family val="2"/>
      </rPr>
      <t xml:space="preserve">收入</t>
    </r>
  </si>
  <si>
    <t xml:space="preserve">同比</t>
  </si>
  <si>
    <r>
      <rPr>
        <b val="true"/>
        <sz val="10"/>
        <color rgb="FF000000"/>
        <rFont val="Arial"/>
        <family val="0"/>
        <charset val="1"/>
      </rPr>
      <t xml:space="preserve">25H1</t>
    </r>
    <r>
      <rPr>
        <b val="true"/>
        <sz val="10"/>
        <color rgb="FF000000"/>
        <rFont val="WenQuanYi Zen Hei"/>
        <family val="2"/>
      </rPr>
      <t xml:space="preserve">毛利率</t>
    </r>
  </si>
  <si>
    <r>
      <rPr>
        <b val="true"/>
        <sz val="10"/>
        <color rgb="FF000000"/>
        <rFont val="Arial"/>
        <family val="0"/>
        <charset val="1"/>
      </rPr>
      <t xml:space="preserve">26H1</t>
    </r>
    <r>
      <rPr>
        <b val="true"/>
        <sz val="10"/>
        <color rgb="FF000000"/>
        <rFont val="WenQuanYi Zen Hei"/>
        <family val="2"/>
      </rPr>
      <t xml:space="preserve">毛利率</t>
    </r>
  </si>
  <si>
    <r>
      <rPr>
        <b val="true"/>
        <sz val="10"/>
        <color rgb="FF000000"/>
        <rFont val="WenQuanYi Zen Hei"/>
        <family val="2"/>
      </rPr>
      <t xml:space="preserve">变动</t>
    </r>
    <r>
      <rPr>
        <b val="true"/>
        <sz val="10"/>
        <color rgb="FF000000"/>
        <rFont val="Arial"/>
        <family val="0"/>
        <charset val="1"/>
      </rPr>
      <t xml:space="preserve">pp</t>
    </r>
  </si>
  <si>
    <r>
      <rPr>
        <b val="true"/>
        <sz val="10"/>
        <color rgb="FF000000"/>
        <rFont val="Arial"/>
        <family val="0"/>
        <charset val="1"/>
      </rPr>
      <t xml:space="preserve">26H1</t>
    </r>
    <r>
      <rPr>
        <b val="true"/>
        <sz val="10"/>
        <color rgb="FF000000"/>
        <rFont val="WenQuanYi Zen Hei"/>
        <family val="2"/>
      </rPr>
      <t xml:space="preserve">毛利</t>
    </r>
  </si>
  <si>
    <t xml:space="preserve">国内</t>
  </si>
  <si>
    <t xml:space="preserve">国外</t>
  </si>
  <si>
    <r>
      <rPr>
        <i val="true"/>
        <sz val="9"/>
        <color rgb="FF808080"/>
        <rFont val="WenQuanYi Zen Hei"/>
        <family val="2"/>
      </rPr>
      <t xml:space="preserve">要点：光纤线缆</t>
    </r>
    <r>
      <rPr>
        <i val="true"/>
        <sz val="9"/>
        <color rgb="FF808080"/>
        <rFont val="Arial"/>
        <family val="0"/>
        <charset val="1"/>
      </rPr>
      <t xml:space="preserve">26H1</t>
    </r>
    <r>
      <rPr>
        <i val="true"/>
        <sz val="9"/>
        <color rgb="FF808080"/>
        <rFont val="WenQuanYi Zen Hei"/>
        <family val="2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+48%</t>
    </r>
    <r>
      <rPr>
        <i val="true"/>
        <sz val="9"/>
        <color rgb="FF808080"/>
        <rFont val="WenQuanYi Zen Hei"/>
        <family val="2"/>
      </rPr>
      <t xml:space="preserve">、毛利率</t>
    </r>
    <r>
      <rPr>
        <i val="true"/>
        <sz val="9"/>
        <color rgb="FF808080"/>
        <rFont val="Arial"/>
        <family val="0"/>
        <charset val="1"/>
      </rPr>
      <t xml:space="preserve">+16.8pp</t>
    </r>
    <r>
      <rPr>
        <i val="true"/>
        <sz val="9"/>
        <color rgb="FF808080"/>
        <rFont val="WenQuanYi Zen Hei"/>
        <family val="2"/>
      </rPr>
      <t xml:space="preserve">，贡献毛利增量约</t>
    </r>
    <r>
      <rPr>
        <i val="true"/>
        <sz val="9"/>
        <color rgb="FF808080"/>
        <rFont val="Arial"/>
        <family val="0"/>
        <charset val="1"/>
      </rPr>
      <t xml:space="preserve">7.4</t>
    </r>
    <r>
      <rPr>
        <i val="true"/>
        <sz val="9"/>
        <color rgb="FF808080"/>
        <rFont val="WenQuanYi Zen Hei"/>
        <family val="2"/>
      </rPr>
      <t xml:space="preserve">亿；通信系统设备毛利率−</t>
    </r>
    <r>
      <rPr>
        <i val="true"/>
        <sz val="9"/>
        <color rgb="FF808080"/>
        <rFont val="Arial"/>
        <family val="0"/>
        <charset val="1"/>
      </rPr>
      <t xml:space="preserve">6.3pp</t>
    </r>
    <r>
      <rPr>
        <i val="true"/>
        <sz val="9"/>
        <color rgb="FF808080"/>
        <rFont val="WenQuanYi Zen Hei"/>
        <family val="2"/>
      </rPr>
      <t xml:space="preserve">，毛利减少约</t>
    </r>
    <r>
      <rPr>
        <i val="true"/>
        <sz val="9"/>
        <color rgb="FF808080"/>
        <rFont val="Arial"/>
        <family val="0"/>
        <charset val="1"/>
      </rPr>
      <t xml:space="preserve">5.1</t>
    </r>
    <r>
      <rPr>
        <i val="true"/>
        <sz val="9"/>
        <color rgb="FF808080"/>
        <rFont val="WenQuanYi Zen Hei"/>
        <family val="2"/>
      </rPr>
      <t xml:space="preserve">亿——“光纤涨价”收益被主业毛利率下滑基本抵消。</t>
    </r>
  </si>
  <si>
    <r>
      <rPr>
        <b val="true"/>
        <sz val="10"/>
        <color rgb="FF1F3864"/>
        <rFont val="WenQuanYi Zen Hei"/>
        <family val="2"/>
      </rPr>
      <t xml:space="preserve">成本构成（</t>
    </r>
    <r>
      <rPr>
        <b val="true"/>
        <sz val="10"/>
        <color rgb="FF1F3864"/>
        <rFont val="Arial"/>
        <family val="0"/>
        <charset val="1"/>
      </rPr>
      <t xml:space="preserve">2025A</t>
    </r>
    <r>
      <rPr>
        <b val="true"/>
        <sz val="10"/>
        <color rgb="FF1F3864"/>
        <rFont val="WenQuanYi Zen Hei"/>
        <family val="2"/>
      </rPr>
      <t xml:space="preserve">，百万元）</t>
    </r>
  </si>
  <si>
    <t xml:space="preserve">原材料</t>
  </si>
  <si>
    <t xml:space="preserve">人工</t>
  </si>
  <si>
    <t xml:space="preserve">折旧</t>
  </si>
  <si>
    <t xml:space="preserve">能源</t>
  </si>
  <si>
    <t xml:space="preserve">原材料占比</t>
  </si>
  <si>
    <t xml:space="preserve">折旧占比</t>
  </si>
  <si>
    <r>
      <rPr>
        <i val="true"/>
        <sz val="9"/>
        <color rgb="FF808080"/>
        <rFont val="WenQuanYi Zen Hei"/>
        <family val="2"/>
      </rPr>
      <t xml:space="preserve">来源：</t>
    </r>
    <r>
      <rPr>
        <i val="true"/>
        <sz val="9"/>
        <color rgb="FF808080"/>
        <rFont val="Arial"/>
        <family val="0"/>
        <charset val="1"/>
      </rPr>
      <t xml:space="preserve">2025</t>
    </r>
    <r>
      <rPr>
        <i val="true"/>
        <sz val="9"/>
        <color rgb="FF808080"/>
        <rFont val="WenQuanYi Zen Hei"/>
        <family val="2"/>
      </rPr>
      <t xml:space="preserve">年年报“成本分析表”。通信系统设备</t>
    </r>
    <r>
      <rPr>
        <i val="true"/>
        <sz val="9"/>
        <color rgb="FF808080"/>
        <rFont val="Arial"/>
        <family val="0"/>
        <charset val="1"/>
      </rPr>
      <t xml:space="preserve">98%</t>
    </r>
    <r>
      <rPr>
        <i val="true"/>
        <sz val="9"/>
        <color rgb="FF808080"/>
        <rFont val="WenQuanYi Zen Hei"/>
        <family val="2"/>
      </rPr>
      <t xml:space="preserve">为原材料（外购器件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服务器部件），经营杠杆低、毛利率对价格与结构高度敏感。</t>
    </r>
  </si>
  <si>
    <t xml:space="preserve">费用、其他损益与盈利质量（百万元）</t>
  </si>
  <si>
    <r>
      <rPr>
        <i val="true"/>
        <sz val="9"/>
        <color rgb="FF808080"/>
        <rFont val="WenQuanYi Zen Hei"/>
        <family val="2"/>
      </rPr>
      <t xml:space="preserve">费用以正数列示；减值损失以负数列示；预测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WenQuanYi Zen Hei"/>
        <family val="2"/>
      </rPr>
      <t xml:space="preserve">比率（比率链接“假设”）</t>
    </r>
  </si>
  <si>
    <t xml:space="preserve">期间费用</t>
  </si>
  <si>
    <t xml:space="preserve">税金及附加</t>
  </si>
  <si>
    <t xml:space="preserve">  占收入比</t>
  </si>
  <si>
    <t xml:space="preserve">销售费用</t>
  </si>
  <si>
    <t xml:space="preserve">管理费用</t>
  </si>
  <si>
    <t xml:space="preserve">研发投入与资本化</t>
  </si>
  <si>
    <t xml:space="preserve">研发投入总额</t>
  </si>
  <si>
    <t xml:space="preserve">年报“研发投入情况表”</t>
  </si>
  <si>
    <r>
      <rPr>
        <sz val="10"/>
        <color rgb="FF000000"/>
        <rFont val="WenQuanYi Zen Hei"/>
        <family val="2"/>
      </rPr>
      <t xml:space="preserve">  研发投入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收入</t>
    </r>
  </si>
  <si>
    <t xml:space="preserve">  其中：资本化研发投入（计入开发支出）</t>
  </si>
  <si>
    <t xml:space="preserve">  研发资本化率</t>
  </si>
  <si>
    <r>
      <rPr>
        <sz val="9"/>
        <color rgb="FF808080"/>
        <rFont val="Arial"/>
        <family val="0"/>
        <charset val="1"/>
      </rPr>
      <t xml:space="preserve">2021–2023</t>
    </r>
    <r>
      <rPr>
        <sz val="9"/>
        <color rgb="FF808080"/>
        <rFont val="WenQuanYi Zen Hei"/>
        <family val="2"/>
      </rPr>
      <t xml:space="preserve">年约</t>
    </r>
    <r>
      <rPr>
        <sz val="9"/>
        <color rgb="FF808080"/>
        <rFont val="Arial"/>
        <family val="0"/>
        <charset val="1"/>
      </rPr>
      <t xml:space="preserve">7%</t>
    </r>
    <r>
      <rPr>
        <sz val="9"/>
        <color rgb="FF808080"/>
        <rFont val="WenQuanYi Zen Hei"/>
        <family val="2"/>
      </rPr>
      <t xml:space="preserve">，</t>
    </r>
    <r>
      <rPr>
        <sz val="9"/>
        <color rgb="FF808080"/>
        <rFont val="Arial"/>
        <family val="0"/>
        <charset val="1"/>
      </rPr>
      <t xml:space="preserve">2024</t>
    </r>
    <r>
      <rPr>
        <sz val="9"/>
        <color rgb="FF808080"/>
        <rFont val="WenQuanYi Zen Hei"/>
        <family val="2"/>
      </rPr>
      <t xml:space="preserve">年起升至</t>
    </r>
    <r>
      <rPr>
        <sz val="9"/>
        <color rgb="FF808080"/>
        <rFont val="Arial"/>
        <family val="0"/>
        <charset val="1"/>
      </rPr>
      <t xml:space="preserve">19%</t>
    </r>
    <r>
      <rPr>
        <sz val="9"/>
        <color rgb="FF808080"/>
        <rFont val="WenQuanYi Zen Hei"/>
        <family val="2"/>
      </rPr>
      <t xml:space="preserve">左右</t>
    </r>
  </si>
  <si>
    <t xml:space="preserve">研发费用（费用化部分，计入利润表）</t>
  </si>
  <si>
    <t xml:space="preserve">  核对：投入−资本化−费用化</t>
  </si>
  <si>
    <r>
      <rPr>
        <sz val="9"/>
        <color rgb="FF808080"/>
        <rFont val="WenQuanYi Zen Hei"/>
        <family val="2"/>
      </rPr>
      <t xml:space="preserve">应≈</t>
    </r>
    <r>
      <rPr>
        <sz val="9"/>
        <color rgb="FF808080"/>
        <rFont val="Arial"/>
        <family val="0"/>
        <charset val="1"/>
      </rPr>
      <t xml:space="preserve">0</t>
    </r>
  </si>
  <si>
    <t xml:space="preserve">其他收益与减值</t>
  </si>
  <si>
    <t xml:space="preserve">其他收益（政府补助、增值税退税等）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</si>
  <si>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年：政府补助</t>
    </r>
    <r>
      <rPr>
        <sz val="9"/>
        <color rgb="FF808080"/>
        <rFont val="Arial"/>
        <family val="0"/>
        <charset val="1"/>
      </rPr>
      <t xml:space="preserve">5.71</t>
    </r>
    <r>
      <rPr>
        <sz val="9"/>
        <color rgb="FF808080"/>
        <rFont val="WenQuanYi Zen Hei"/>
        <family val="2"/>
      </rPr>
      <t xml:space="preserve">亿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WenQuanYi Zen Hei"/>
        <family val="2"/>
      </rPr>
      <t xml:space="preserve">税收返还</t>
    </r>
    <r>
      <rPr>
        <sz val="9"/>
        <color rgb="FF808080"/>
        <rFont val="Arial"/>
        <family val="0"/>
        <charset val="1"/>
      </rPr>
      <t xml:space="preserve">1.52</t>
    </r>
    <r>
      <rPr>
        <sz val="9"/>
        <color rgb="FF808080"/>
        <rFont val="WenQuanYi Zen Hei"/>
        <family val="2"/>
      </rPr>
      <t xml:space="preserve">亿</t>
    </r>
  </si>
  <si>
    <t xml:space="preserve">信用减值损失</t>
  </si>
  <si>
    <t xml:space="preserve">资产减值损失</t>
  </si>
  <si>
    <r>
      <rPr>
        <b val="true"/>
        <sz val="11"/>
        <color rgb="FF1F3864"/>
        <rFont val="WenQuanYi Zen Hei"/>
        <family val="2"/>
      </rPr>
      <t xml:space="preserve">投资收益：广发基金（</t>
    </r>
    <r>
      <rPr>
        <b val="true"/>
        <sz val="11"/>
        <color rgb="FF1F3864"/>
        <rFont val="Arial"/>
        <family val="0"/>
        <charset val="1"/>
      </rPr>
      <t xml:space="preserve">14.187%</t>
    </r>
    <r>
      <rPr>
        <b val="true"/>
        <sz val="11"/>
        <color rgb="FF1F3864"/>
        <rFont val="WenQuanYi Zen Hei"/>
        <family val="2"/>
      </rPr>
      <t xml:space="preserve">，权益法）</t>
    </r>
  </si>
  <si>
    <t xml:space="preserve">广发基金净利润</t>
  </si>
  <si>
    <r>
      <rPr>
        <sz val="9"/>
        <color rgb="FF808080"/>
        <rFont val="WenQuanYi Zen Hei"/>
        <family val="2"/>
      </rPr>
      <t xml:space="preserve">烽火通信年报附注“重要联营企业的主要财务信息”；</t>
    </r>
    <r>
      <rPr>
        <sz val="9"/>
        <color rgb="FF808080"/>
        <rFont val="Arial"/>
        <family val="0"/>
        <charset val="1"/>
      </rPr>
      <t xml:space="preserve">2026H1A</t>
    </r>
    <r>
      <rPr>
        <sz val="9"/>
        <color rgb="FF808080"/>
        <rFont val="WenQuanYi Zen Hei"/>
        <family val="2"/>
      </rPr>
      <t xml:space="preserve">为半年数</t>
    </r>
  </si>
  <si>
    <r>
      <rPr>
        <b val="true"/>
        <sz val="10"/>
        <color rgb="FF000000"/>
        <rFont val="WenQuanYi Zen Hei"/>
        <family val="2"/>
      </rPr>
      <t xml:space="preserve">烽火应享权益法收益（</t>
    </r>
    <r>
      <rPr>
        <b val="true"/>
        <sz val="10"/>
        <color rgb="FF000000"/>
        <rFont val="Arial"/>
        <family val="0"/>
        <charset val="1"/>
      </rPr>
      <t xml:space="preserve">=</t>
    </r>
    <r>
      <rPr>
        <b val="true"/>
        <sz val="10"/>
        <color rgb="FF000000"/>
        <rFont val="WenQuanYi Zen Hei"/>
        <family val="2"/>
      </rPr>
      <t xml:space="preserve">净利润</t>
    </r>
    <r>
      <rPr>
        <b val="true"/>
        <sz val="10"/>
        <color rgb="FF000000"/>
        <rFont val="Arial"/>
        <family val="0"/>
        <charset val="1"/>
      </rPr>
      <t xml:space="preserve">×</t>
    </r>
    <r>
      <rPr>
        <b val="true"/>
        <sz val="10"/>
        <color rgb="FF000000"/>
        <rFont val="WenQuanYi Zen Hei"/>
        <family val="2"/>
      </rPr>
      <t xml:space="preserve">持股比例）</t>
    </r>
  </si>
  <si>
    <t xml:space="preserve">收到广发基金现金分红</t>
  </si>
  <si>
    <r>
      <rPr>
        <sz val="9"/>
        <color rgb="FF808080"/>
        <rFont val="Arial"/>
        <family val="0"/>
        <charset val="1"/>
      </rPr>
      <t xml:space="preserve">2026E=2026H1</t>
    </r>
    <r>
      <rPr>
        <sz val="9"/>
        <color rgb="FF808080"/>
        <rFont val="WenQuanYi Zen Hei"/>
        <family val="2"/>
      </rPr>
      <t xml:space="preserve">已收</t>
    </r>
    <r>
      <rPr>
        <sz val="9"/>
        <color rgb="FF808080"/>
        <rFont val="Arial"/>
        <family val="0"/>
        <charset val="1"/>
      </rPr>
      <t xml:space="preserve">1.44</t>
    </r>
    <r>
      <rPr>
        <sz val="9"/>
        <color rgb="FF808080"/>
        <rFont val="WenQuanYi Zen Hei"/>
        <family val="2"/>
      </rPr>
      <t xml:space="preserve">亿</t>
    </r>
  </si>
  <si>
    <t xml:space="preserve">长期股权投资—广发基金账面价值</t>
  </si>
  <si>
    <t xml:space="preserve">投资收益合计及其他损益</t>
  </si>
  <si>
    <t xml:space="preserve">权益法投资收益合计</t>
  </si>
  <si>
    <t xml:space="preserve">  其中：其他联营企业</t>
  </si>
  <si>
    <t xml:space="preserve">其他投资收益（含票据终止确认损失）</t>
  </si>
  <si>
    <t xml:space="preserve">投资收益合计</t>
  </si>
  <si>
    <t xml:space="preserve">公允价值变动收益</t>
  </si>
  <si>
    <t xml:space="preserve">资产处置收益</t>
  </si>
  <si>
    <t xml:space="preserve">营业外收支净额</t>
  </si>
  <si>
    <t xml:space="preserve">实际所得税率</t>
  </si>
  <si>
    <t xml:space="preserve">盈利质量分析</t>
  </si>
  <si>
    <t xml:space="preserve">核心经营利润（营业利润−投资收益−公允价值−处置）</t>
  </si>
  <si>
    <t xml:space="preserve">  核心经营利润率</t>
  </si>
  <si>
    <t xml:space="preserve">广发基金收益占归母净利润比例</t>
  </si>
  <si>
    <t xml:space="preserve">扣除广发基金后的归母净利润</t>
  </si>
  <si>
    <t xml:space="preserve">权益法收益免税，故直接扣减</t>
  </si>
  <si>
    <t xml:space="preserve">内部研发形成无形资产的摊销（估算）</t>
  </si>
  <si>
    <r>
      <rPr>
        <sz val="9"/>
        <color rgb="FF808080"/>
        <rFont val="WenQuanYi Zen Hei"/>
        <family val="2"/>
      </rPr>
      <t xml:space="preserve">公式：无形资产摊销</t>
    </r>
    <r>
      <rPr>
        <sz val="9"/>
        <color rgb="FF808080"/>
        <rFont val="Arial"/>
        <family val="0"/>
        <charset val="1"/>
      </rPr>
      <t xml:space="preserve">×</t>
    </r>
    <r>
      <rPr>
        <sz val="9"/>
        <color rgb="FF808080"/>
        <rFont val="WenQuanYi Zen Hei"/>
        <family val="2"/>
      </rPr>
      <t xml:space="preserve">内部研发占比假设</t>
    </r>
  </si>
  <si>
    <t xml:space="preserve">研发资本化对税前利润的净增厚（资本化−摊销）</t>
  </si>
  <si>
    <t xml:space="preserve">若研发全部费用化的归母净利润（估算）</t>
  </si>
  <si>
    <r>
      <rPr>
        <sz val="10"/>
        <color rgb="FF000000"/>
        <rFont val="WenQuanYi Zen Hei"/>
        <family val="2"/>
      </rPr>
      <t xml:space="preserve">相对</t>
    </r>
    <r>
      <rPr>
        <sz val="10"/>
        <color rgb="FF000000"/>
        <rFont val="Arial"/>
        <family val="0"/>
        <charset val="1"/>
      </rPr>
      <t xml:space="preserve">2021–23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WenQuanYi Zen Hei"/>
        <family val="2"/>
      </rPr>
      <t xml:space="preserve">资本化率的“超额资本化”</t>
    </r>
  </si>
  <si>
    <r>
      <rPr>
        <sz val="9"/>
        <color rgb="FF808080"/>
        <rFont val="Arial"/>
        <family val="0"/>
        <charset val="1"/>
      </rPr>
      <t xml:space="preserve">7%</t>
    </r>
    <r>
      <rPr>
        <sz val="9"/>
        <color rgb="FF808080"/>
        <rFont val="WenQuanYi Zen Hei"/>
        <family val="2"/>
      </rPr>
      <t xml:space="preserve">为</t>
    </r>
    <r>
      <rPr>
        <sz val="9"/>
        <color rgb="FF808080"/>
        <rFont val="Arial"/>
        <family val="0"/>
        <charset val="1"/>
      </rPr>
      <t xml:space="preserve">2021–2023</t>
    </r>
    <r>
      <rPr>
        <sz val="9"/>
        <color rgb="FF808080"/>
        <rFont val="WenQuanYi Zen Hei"/>
        <family val="2"/>
      </rPr>
      <t xml:space="preserve">年平均资本化率（硬编码基准）</t>
    </r>
  </si>
  <si>
    <t xml:space="preserve">投资、固定资产与折旧摊销（百万元）</t>
  </si>
  <si>
    <r>
      <rPr>
        <i val="true"/>
        <sz val="9"/>
        <color rgb="FF808080"/>
        <rFont val="WenQuanYi Zen Hei"/>
        <family val="2"/>
      </rPr>
      <t xml:space="preserve">历史：年报附注固定资产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无形资产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开发支出变动表；预测：在建工程→转固→按原值计提折旧；资本化研发→开发支出→无形资产→摊销</t>
    </r>
  </si>
  <si>
    <t xml:space="preserve">固定资产原值</t>
  </si>
  <si>
    <t xml:space="preserve">期初原值</t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</si>
  <si>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直接购置</t>
    </r>
  </si>
  <si>
    <t xml:space="preserve">预测期假设全部经在建工程转入</t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</si>
  <si>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在建工程转入</t>
    </r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</si>
  <si>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其他（企业合并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汇率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重分类，轧差）</t>
    </r>
  </si>
  <si>
    <r>
      <rPr>
        <sz val="10"/>
        <color rgb="FF000000"/>
        <rFont val="WenQuanYi Zen Hei"/>
        <family val="2"/>
      </rPr>
      <t xml:space="preserve">  − 处置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报废</t>
    </r>
  </si>
  <si>
    <t xml:space="preserve">期末原值</t>
  </si>
  <si>
    <t xml:space="preserve">累计折旧</t>
  </si>
  <si>
    <t xml:space="preserve">期初累计折旧</t>
  </si>
  <si>
    <r>
      <rPr>
        <b val="true"/>
        <sz val="10"/>
        <color rgb="FF000000"/>
        <rFont val="Arial"/>
        <family val="0"/>
        <charset val="1"/>
      </rPr>
      <t xml:space="preserve">  + </t>
    </r>
    <r>
      <rPr>
        <b val="true"/>
        <sz val="10"/>
        <color rgb="FF000000"/>
        <rFont val="WenQuanYi Zen Hei"/>
        <family val="2"/>
      </rPr>
      <t xml:space="preserve">本期计提折旧</t>
    </r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</si>
  <si>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其他（轧差）</t>
    </r>
  </si>
  <si>
    <r>
      <rPr>
        <sz val="10"/>
        <color rgb="FF000000"/>
        <rFont val="WenQuanYi Zen Hei"/>
        <family val="2"/>
      </rPr>
      <t xml:space="preserve">  − 处置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报废转出</t>
    </r>
  </si>
  <si>
    <t xml:space="preserve">预测假设报废资产已提足折旧</t>
  </si>
  <si>
    <t xml:space="preserve">期末累计折旧</t>
  </si>
  <si>
    <t xml:space="preserve">减值准备（历史含尾差）</t>
  </si>
  <si>
    <r>
      <rPr>
        <sz val="9"/>
        <color rgb="FF808080"/>
        <rFont val="WenQuanYi Zen Hei"/>
        <family val="2"/>
      </rPr>
      <t xml:space="preserve">历史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原值−累计折旧−报表净值（附注减值准备</t>
    </r>
    <r>
      <rPr>
        <sz val="9"/>
        <color rgb="FF808080"/>
        <rFont val="Arial"/>
        <family val="0"/>
        <charset val="1"/>
      </rPr>
      <t xml:space="preserve">0.8</t>
    </r>
    <r>
      <rPr>
        <sz val="9"/>
        <color rgb="FF808080"/>
        <rFont val="WenQuanYi Zen Hei"/>
        <family val="2"/>
      </rPr>
      <t xml:space="preserve">亿元级，差额为四舍五入）</t>
    </r>
  </si>
  <si>
    <t xml:space="preserve">固定资产净值</t>
  </si>
  <si>
    <t xml:space="preserve">  核对：净值−资产负债表</t>
  </si>
  <si>
    <r>
      <rPr>
        <sz val="10"/>
        <color rgb="FF000000"/>
        <rFont val="WenQuanYi Zen Hei"/>
        <family val="2"/>
      </rPr>
      <t xml:space="preserve">  折旧率（折旧</t>
    </r>
    <r>
      <rPr>
        <sz val="10"/>
        <color rgb="FF000000"/>
        <rFont val="Arial"/>
        <family val="0"/>
        <charset val="1"/>
      </rPr>
      <t xml:space="preserve">/(</t>
    </r>
    <r>
      <rPr>
        <sz val="10"/>
        <color rgb="FF000000"/>
        <rFont val="WenQuanYi Zen Hei"/>
        <family val="2"/>
      </rPr>
      <t xml:space="preserve">期初原值</t>
    </r>
    <r>
      <rPr>
        <sz val="10"/>
        <color rgb="FF000000"/>
        <rFont val="Arial"/>
        <family val="0"/>
        <charset val="1"/>
      </rPr>
      <t xml:space="preserve">+½</t>
    </r>
    <r>
      <rPr>
        <sz val="10"/>
        <color rgb="FF000000"/>
        <rFont val="WenQuanYi Zen Hei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</si>
  <si>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  报废率（报废原值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期初原值）</t>
    </r>
  </si>
  <si>
    <t xml:space="preserve">  已提折旧比例（成新率反向指标）</t>
  </si>
  <si>
    <t xml:space="preserve">在建工程</t>
  </si>
  <si>
    <t xml:space="preserve">期初余额</t>
  </si>
  <si>
    <r>
      <rPr>
        <b val="true"/>
        <sz val="10"/>
        <color rgb="FF000000"/>
        <rFont val="Arial"/>
        <family val="0"/>
        <charset val="1"/>
      </rPr>
      <t xml:space="preserve">  + </t>
    </r>
    <r>
      <rPr>
        <b val="true"/>
        <sz val="10"/>
        <color rgb="FF000000"/>
        <rFont val="WenQuanYi Zen Hei"/>
        <family val="2"/>
      </rPr>
      <t xml:space="preserve">本期投入</t>
    </r>
  </si>
  <si>
    <t xml:space="preserve">历史为轧差推算</t>
  </si>
  <si>
    <t xml:space="preserve">  − 转入固定资产</t>
  </si>
  <si>
    <t xml:space="preserve">  − 转入无形资产等</t>
  </si>
  <si>
    <t xml:space="preserve">期末余额</t>
  </si>
  <si>
    <t xml:space="preserve">  转固比例</t>
  </si>
  <si>
    <t xml:space="preserve">无形资产</t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</si>
  <si>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外购（土地、软件等）</t>
    </r>
  </si>
  <si>
    <r>
      <rPr>
        <b val="true"/>
        <sz val="10"/>
        <color rgb="FF000000"/>
        <rFont val="Arial"/>
        <family val="0"/>
        <charset val="1"/>
      </rPr>
      <t xml:space="preserve">  + </t>
    </r>
    <r>
      <rPr>
        <b val="true"/>
        <sz val="10"/>
        <color rgb="FF000000"/>
        <rFont val="WenQuanYi Zen Hei"/>
        <family val="2"/>
      </rPr>
      <t xml:space="preserve">开发支出转入（内部研发）</t>
    </r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</si>
  <si>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其他（在建工程转入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重分类，轧差）</t>
    </r>
  </si>
  <si>
    <t xml:space="preserve">  − 处置</t>
  </si>
  <si>
    <t xml:space="preserve">期初累计摊销</t>
  </si>
  <si>
    <r>
      <rPr>
        <b val="true"/>
        <sz val="10"/>
        <color rgb="FF000000"/>
        <rFont val="Arial"/>
        <family val="0"/>
        <charset val="1"/>
      </rPr>
      <t xml:space="preserve">  + </t>
    </r>
    <r>
      <rPr>
        <b val="true"/>
        <sz val="10"/>
        <color rgb="FF000000"/>
        <rFont val="WenQuanYi Zen Hei"/>
        <family val="2"/>
      </rPr>
      <t xml:space="preserve">本期摊销</t>
    </r>
  </si>
  <si>
    <t xml:space="preserve">  − 处置转出</t>
  </si>
  <si>
    <t xml:space="preserve">期末累计摊销</t>
  </si>
  <si>
    <r>
      <rPr>
        <sz val="9"/>
        <color rgb="FF808080"/>
        <rFont val="WenQuanYi Zen Hei"/>
        <family val="2"/>
      </rPr>
      <t xml:space="preserve">附注：软件类减值准备约</t>
    </r>
    <r>
      <rPr>
        <sz val="9"/>
        <color rgb="FF808080"/>
        <rFont val="Arial"/>
        <family val="0"/>
        <charset val="1"/>
      </rPr>
      <t xml:space="preserve">0.06</t>
    </r>
    <r>
      <rPr>
        <sz val="9"/>
        <color rgb="FF808080"/>
        <rFont val="WenQuanYi Zen Hei"/>
        <family val="2"/>
      </rPr>
      <t xml:space="preserve">亿元</t>
    </r>
  </si>
  <si>
    <t xml:space="preserve">无形资产净值</t>
  </si>
  <si>
    <r>
      <rPr>
        <sz val="10"/>
        <color rgb="FF000000"/>
        <rFont val="WenQuanYi Zen Hei"/>
        <family val="2"/>
      </rPr>
      <t xml:space="preserve">  摊销率（摊销</t>
    </r>
    <r>
      <rPr>
        <sz val="10"/>
        <color rgb="FF000000"/>
        <rFont val="Arial"/>
        <family val="0"/>
        <charset val="1"/>
      </rPr>
      <t xml:space="preserve">/(</t>
    </r>
    <r>
      <rPr>
        <sz val="10"/>
        <color rgb="FF000000"/>
        <rFont val="WenQuanYi Zen Hei"/>
        <family val="2"/>
      </rPr>
      <t xml:space="preserve">期初原值</t>
    </r>
    <r>
      <rPr>
        <sz val="10"/>
        <color rgb="FF000000"/>
        <rFont val="Arial"/>
        <family val="0"/>
        <charset val="1"/>
      </rPr>
      <t xml:space="preserve">+½</t>
    </r>
    <r>
      <rPr>
        <sz val="10"/>
        <color rgb="FF000000"/>
        <rFont val="WenQuanYi Zen Hei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）</t>
    </r>
  </si>
  <si>
    <t xml:space="preserve">开发支出（资本化研发）</t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</si>
  <si>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本期资本化研发投入</t>
    </r>
  </si>
  <si>
    <t xml:space="preserve">  − 转入无形资产</t>
  </si>
  <si>
    <r>
      <rPr>
        <sz val="10"/>
        <color rgb="FF000000"/>
        <rFont val="Arial"/>
        <family val="0"/>
        <charset val="1"/>
      </rPr>
      <t xml:space="preserve">  ± </t>
    </r>
    <r>
      <rPr>
        <sz val="10"/>
        <color rgb="FF000000"/>
        <rFont val="WenQuanYi Zen Hei"/>
        <family val="2"/>
      </rPr>
      <t xml:space="preserve">其他（费用化转出等，轧差）</t>
    </r>
  </si>
  <si>
    <t xml:space="preserve">  转无形资产比例</t>
  </si>
  <si>
    <t xml:space="preserve">使用权资产与长期待摊费用</t>
  </si>
  <si>
    <t xml:space="preserve">使用权资产净值</t>
  </si>
  <si>
    <r>
      <rPr>
        <sz val="9"/>
        <color rgb="FF808080"/>
        <rFont val="WenQuanYi Zen Hei"/>
        <family val="2"/>
      </rPr>
      <t xml:space="preserve">假设新增租赁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折旧，余额持平</t>
    </r>
  </si>
  <si>
    <t xml:space="preserve">使用权资产折旧</t>
  </si>
  <si>
    <t xml:space="preserve">长期待摊费用</t>
  </si>
  <si>
    <t xml:space="preserve">长期待摊费用摊销</t>
  </si>
  <si>
    <t xml:space="preserve">折旧摊销合计（现金流量表口径）</t>
  </si>
  <si>
    <t xml:space="preserve">固定资产折旧（含投资性房地产）</t>
  </si>
  <si>
    <t xml:space="preserve">无形资产摊销</t>
  </si>
  <si>
    <t xml:space="preserve">折旧摊销合计</t>
  </si>
  <si>
    <r>
      <rPr>
        <sz val="10"/>
        <color rgb="FF000000"/>
        <rFont val="WenQuanYi Zen Hei"/>
        <family val="2"/>
      </rPr>
      <t xml:space="preserve">  折旧摊销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收入</t>
    </r>
  </si>
  <si>
    <t xml:space="preserve">资本开支合计</t>
  </si>
  <si>
    <t xml:space="preserve">固定资产及在建工程投入</t>
  </si>
  <si>
    <t xml:space="preserve">外购无形资产</t>
  </si>
  <si>
    <t xml:space="preserve">资本化研发支出</t>
  </si>
  <si>
    <t xml:space="preserve">长期待摊费用支出</t>
  </si>
  <si>
    <t xml:space="preserve">资本开支合计（权责口径）</t>
  </si>
  <si>
    <t xml:space="preserve">  报表：购建固定资产、无形资产和其他长期资产支付的现金</t>
  </si>
  <si>
    <t xml:space="preserve">历史现金口径与权责口径差异来自应付工程款等时点差</t>
  </si>
  <si>
    <r>
      <rPr>
        <sz val="10"/>
        <color rgb="FF000000"/>
        <rFont val="WenQuanYi Zen Hei"/>
        <family val="2"/>
      </rPr>
      <t xml:space="preserve">  资本开支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收入</t>
    </r>
  </si>
  <si>
    <r>
      <rPr>
        <sz val="10"/>
        <color rgb="FF000000"/>
        <rFont val="WenQuanYi Zen Hei"/>
        <family val="2"/>
      </rPr>
      <t xml:space="preserve">  资本开支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折旧摊销</t>
    </r>
  </si>
  <si>
    <t xml:space="preserve">营运资本（百万元）</t>
  </si>
  <si>
    <r>
      <rPr>
        <i val="true"/>
        <sz val="9"/>
        <color rgb="FF808080"/>
        <rFont val="WenQuanYi Zen Hei"/>
        <family val="2"/>
      </rPr>
      <t xml:space="preserve">周转天数按期末余额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全年收入（或营业成本）</t>
    </r>
    <r>
      <rPr>
        <i val="true"/>
        <sz val="9"/>
        <color rgb="FF808080"/>
        <rFont val="Arial"/>
        <family val="0"/>
        <charset val="1"/>
      </rPr>
      <t xml:space="preserve">×365</t>
    </r>
    <r>
      <rPr>
        <i val="true"/>
        <sz val="9"/>
        <color rgb="FF808080"/>
        <rFont val="WenQuanYi Zen Hei"/>
        <family val="2"/>
      </rPr>
      <t xml:space="preserve">；预测余额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驱动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WenQuanYi Zen Hei"/>
        <family val="2"/>
      </rPr>
      <t xml:space="preserve">基数</t>
    </r>
  </si>
  <si>
    <t xml:space="preserve">营业成本</t>
  </si>
  <si>
    <t xml:space="preserve">经营性流动资产</t>
  </si>
  <si>
    <t xml:space="preserve">应收票据及应收款项融资</t>
  </si>
  <si>
    <t xml:space="preserve">  占比</t>
  </si>
  <si>
    <t xml:space="preserve">应收账款</t>
  </si>
  <si>
    <r>
      <rPr>
        <sz val="9"/>
        <color rgb="FF808080"/>
        <rFont val="Arial"/>
        <family val="0"/>
        <charset val="1"/>
      </rPr>
      <t xml:space="preserve">2021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42</t>
    </r>
    <r>
      <rPr>
        <sz val="9"/>
        <color rgb="FF808080"/>
        <rFont val="WenQuanYi Zen Hei"/>
        <family val="2"/>
      </rPr>
      <t xml:space="preserve">亿→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148</t>
    </r>
    <r>
      <rPr>
        <sz val="9"/>
        <color rgb="FF808080"/>
        <rFont val="WenQuanYi Zen Hei"/>
        <family val="2"/>
      </rPr>
      <t xml:space="preserve">亿</t>
    </r>
  </si>
  <si>
    <t xml:space="preserve">  周转天数</t>
  </si>
  <si>
    <t xml:space="preserve">预付款项</t>
  </si>
  <si>
    <t xml:space="preserve">其他应收款</t>
  </si>
  <si>
    <t xml:space="preserve">存货</t>
  </si>
  <si>
    <t xml:space="preserve">其他流动资产（含合同资产等，轧差）</t>
  </si>
  <si>
    <t xml:space="preserve">经营性流动资产合计</t>
  </si>
  <si>
    <t xml:space="preserve">经营性流动负债</t>
  </si>
  <si>
    <t xml:space="preserve">应付票据及应付账款</t>
  </si>
  <si>
    <t xml:space="preserve">  其中：应付票据</t>
  </si>
  <si>
    <t xml:space="preserve">  其中：应付账款</t>
  </si>
  <si>
    <t xml:space="preserve">  应付票据占比</t>
  </si>
  <si>
    <t xml:space="preserve">合同负债及预收款项</t>
  </si>
  <si>
    <r>
      <rPr>
        <sz val="9"/>
        <color rgb="FF808080"/>
        <rFont val="Arial"/>
        <family val="0"/>
        <charset val="1"/>
      </rPr>
      <t xml:space="preserve">2021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31.7</t>
    </r>
    <r>
      <rPr>
        <sz val="9"/>
        <color rgb="FF808080"/>
        <rFont val="WenQuanYi Zen Hei"/>
        <family val="2"/>
      </rPr>
      <t xml:space="preserve">亿→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9.8</t>
    </r>
    <r>
      <rPr>
        <sz val="9"/>
        <color rgb="FF808080"/>
        <rFont val="WenQuanYi Zen Hei"/>
        <family val="2"/>
      </rPr>
      <t xml:space="preserve">亿，预收订单显著减少</t>
    </r>
  </si>
  <si>
    <t xml:space="preserve">应付职工薪酬</t>
  </si>
  <si>
    <t xml:space="preserve">应交税费</t>
  </si>
  <si>
    <r>
      <rPr>
        <sz val="10"/>
        <color rgb="FF000000"/>
        <rFont val="WenQuanYi Zen Hei"/>
        <family val="2"/>
      </rPr>
      <t xml:space="preserve">其他应付款（含应付股利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利息）</t>
    </r>
  </si>
  <si>
    <t xml:space="preserve">其他流动负债（轧差）</t>
  </si>
  <si>
    <t xml:space="preserve">交易性金融负债</t>
  </si>
  <si>
    <t xml:space="preserve">经营性流动负债合计</t>
  </si>
  <si>
    <t xml:space="preserve">净营运资本</t>
  </si>
  <si>
    <t xml:space="preserve">净营运资本增加（现金流出为正）</t>
  </si>
  <si>
    <r>
      <rPr>
        <sz val="9"/>
        <color rgb="FF808080"/>
        <rFont val="Arial"/>
        <family val="0"/>
        <charset val="1"/>
      </rPr>
      <t xml:space="preserve">2026H1A</t>
    </r>
    <r>
      <rPr>
        <sz val="9"/>
        <color rgb="FF808080"/>
        <rFont val="WenQuanYi Zen Hei"/>
        <family val="2"/>
      </rPr>
      <t xml:space="preserve">为较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年末变动</t>
    </r>
  </si>
  <si>
    <r>
      <rPr>
        <sz val="10"/>
        <color rgb="FF000000"/>
        <rFont val="WenQuanYi Zen Hei"/>
        <family val="2"/>
      </rPr>
      <t xml:space="preserve">  净营运资本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收入</t>
    </r>
  </si>
  <si>
    <r>
      <rPr>
        <sz val="10"/>
        <color rgb="FF000000"/>
        <rFont val="WenQuanYi Zen Hei"/>
        <family val="2"/>
      </rPr>
      <t xml:space="preserve">  现金转换周期（应收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存货−应付天数）</t>
    </r>
  </si>
  <si>
    <t xml:space="preserve">融资、股本与股东回报（百万元）</t>
  </si>
  <si>
    <t xml:space="preserve">短期借款为平衡项：期末现金低于“最低现金”时增借，高于时偿还（不低于下限）；利息按期初余额计提，避免循环引用</t>
  </si>
  <si>
    <t xml:space="preserve">现金</t>
  </si>
  <si>
    <t xml:space="preserve">现金及现金等价物（现金流量表口径）</t>
  </si>
  <si>
    <t xml:space="preserve">受限货币资金</t>
  </si>
  <si>
    <t xml:space="preserve">主要为保证金质押</t>
  </si>
  <si>
    <t xml:space="preserve">货币资金（资产负债表）</t>
  </si>
  <si>
    <t xml:space="preserve">有息负债</t>
  </si>
  <si>
    <t xml:space="preserve">短期借款—期初</t>
  </si>
  <si>
    <t xml:space="preserve">短期借款—期末（平衡项）</t>
  </si>
  <si>
    <t xml:space="preserve">长期借款合计（含一年内到期）</t>
  </si>
  <si>
    <r>
      <rPr>
        <sz val="9"/>
        <color rgb="FF808080"/>
        <rFont val="Arial"/>
        <family val="0"/>
        <charset val="1"/>
      </rPr>
      <t xml:space="preserve">2024–2025</t>
    </r>
    <r>
      <rPr>
        <sz val="9"/>
        <color rgb="FF808080"/>
        <rFont val="WenQuanYi Zen Hei"/>
        <family val="2"/>
      </rPr>
      <t xml:space="preserve">为附注口径；</t>
    </r>
    <r>
      <rPr>
        <sz val="9"/>
        <color rgb="FF808080"/>
        <rFont val="Arial"/>
        <family val="0"/>
        <charset val="1"/>
      </rPr>
      <t xml:space="preserve">2021–2023</t>
    </r>
    <r>
      <rPr>
        <sz val="9"/>
        <color rgb="FF808080"/>
        <rFont val="WenQuanYi Zen Hei"/>
        <family val="2"/>
      </rPr>
      <t xml:space="preserve">为长期借款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WenQuanYi Zen Hei"/>
        <family val="2"/>
      </rPr>
      <t xml:space="preserve">一年内到期非流动负债（近似）</t>
    </r>
  </si>
  <si>
    <t xml:space="preserve">  长期借款（非流动）</t>
  </si>
  <si>
    <t xml:space="preserve">  一年内到期的非流动负债</t>
  </si>
  <si>
    <r>
      <rPr>
        <sz val="9"/>
        <color rgb="FF808080"/>
        <rFont val="Arial"/>
        <family val="0"/>
        <charset val="1"/>
      </rPr>
      <t xml:space="preserve">2024</t>
    </r>
    <r>
      <rPr>
        <sz val="9"/>
        <color rgb="FF808080"/>
        <rFont val="WenQuanYi Zen Hei"/>
        <family val="2"/>
      </rPr>
      <t xml:space="preserve">年末含烽火转债</t>
    </r>
    <r>
      <rPr>
        <sz val="9"/>
        <color rgb="FF808080"/>
        <rFont val="Arial"/>
        <family val="0"/>
        <charset val="1"/>
      </rPr>
      <t xml:space="preserve">29.6</t>
    </r>
    <r>
      <rPr>
        <sz val="9"/>
        <color rgb="FF808080"/>
        <rFont val="WenQuanYi Zen Hei"/>
        <family val="2"/>
      </rPr>
      <t xml:space="preserve">亿（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12</t>
    </r>
    <r>
      <rPr>
        <sz val="9"/>
        <color rgb="FF808080"/>
        <rFont val="WenQuanYi Zen Hei"/>
        <family val="2"/>
      </rPr>
      <t xml:space="preserve">月到期，大部分转股）</t>
    </r>
  </si>
  <si>
    <t xml:space="preserve">应付债券（烽火转债）</t>
  </si>
  <si>
    <t xml:space="preserve">租赁负债（非流动）</t>
  </si>
  <si>
    <t xml:space="preserve">有息负债合计</t>
  </si>
  <si>
    <t xml:space="preserve">净负债（有息负债−货币资金）</t>
  </si>
  <si>
    <t xml:space="preserve">财务费用</t>
  </si>
  <si>
    <r>
      <rPr>
        <sz val="10"/>
        <color rgb="FF000000"/>
        <rFont val="WenQuanYi Zen Hei"/>
        <family val="2"/>
      </rPr>
      <t xml:space="preserve">计息借款期初余额（短借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长借合计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债券）</t>
    </r>
  </si>
  <si>
    <t xml:space="preserve">利息支出</t>
  </si>
  <si>
    <r>
      <rPr>
        <sz val="9"/>
        <color rgb="FF808080"/>
        <rFont val="Arial"/>
        <family val="0"/>
        <charset val="1"/>
      </rPr>
      <t xml:space="preserve">2024</t>
    </r>
    <r>
      <rPr>
        <sz val="9"/>
        <color rgb="FF808080"/>
        <rFont val="WenQuanYi Zen Hei"/>
        <family val="2"/>
      </rPr>
      <t xml:space="preserve">年含可转债利息调整（实际利率法）</t>
    </r>
  </si>
  <si>
    <t xml:space="preserve">  借款利率</t>
  </si>
  <si>
    <r>
      <rPr>
        <sz val="9"/>
        <color rgb="FF808080"/>
        <rFont val="WenQuanYi Zen Hei"/>
        <family val="2"/>
      </rPr>
      <t xml:space="preserve">历史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利息支出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平均有息负债</t>
    </r>
  </si>
  <si>
    <t xml:space="preserve">利息收入</t>
  </si>
  <si>
    <t xml:space="preserve">  存款收益率</t>
  </si>
  <si>
    <t xml:space="preserve">汇兑损益及手续费等</t>
  </si>
  <si>
    <t xml:space="preserve">财务费用合计</t>
  </si>
  <si>
    <r>
      <rPr>
        <b val="true"/>
        <sz val="11"/>
        <color rgb="FF1F3864"/>
        <rFont val="WenQuanYi Zen Hei"/>
        <family val="2"/>
      </rPr>
      <t xml:space="preserve">股本与股权融资（百万股</t>
    </r>
    <r>
      <rPr>
        <b val="true"/>
        <sz val="11"/>
        <color rgb="FF1F3864"/>
        <rFont val="Arial"/>
        <family val="0"/>
        <charset val="1"/>
      </rPr>
      <t xml:space="preserve">/</t>
    </r>
    <r>
      <rPr>
        <b val="true"/>
        <sz val="11"/>
        <color rgb="FF1F3864"/>
        <rFont val="WenQuanYi Zen Hei"/>
        <family val="2"/>
      </rPr>
      <t xml:space="preserve">百万元）</t>
    </r>
  </si>
  <si>
    <t xml:space="preserve">期初股本（百万股）</t>
  </si>
  <si>
    <t xml:space="preserve">定增募资总额</t>
  </si>
  <si>
    <r>
      <rPr>
        <sz val="9"/>
        <color rgb="FF808080"/>
        <rFont val="Arial"/>
        <family val="0"/>
        <charset val="1"/>
      </rPr>
      <t xml:space="preserve">2025A</t>
    </r>
    <r>
      <rPr>
        <sz val="9"/>
        <color rgb="FF808080"/>
        <rFont val="WenQuanYi Zen Hei"/>
        <family val="2"/>
      </rPr>
      <t xml:space="preserve">：向中国信科定增</t>
    </r>
    <r>
      <rPr>
        <sz val="9"/>
        <color rgb="FF808080"/>
        <rFont val="Arial"/>
        <family val="0"/>
        <charset val="1"/>
      </rPr>
      <t xml:space="preserve">8,654.6</t>
    </r>
    <r>
      <rPr>
        <sz val="9"/>
        <color rgb="FF808080"/>
        <rFont val="WenQuanYi Zen Hei"/>
        <family val="2"/>
      </rPr>
      <t xml:space="preserve">万股</t>
    </r>
    <r>
      <rPr>
        <sz val="9"/>
        <color rgb="FF808080"/>
        <rFont val="Arial"/>
        <family val="0"/>
        <charset val="1"/>
      </rPr>
      <t xml:space="preserve">@12.71</t>
    </r>
    <r>
      <rPr>
        <sz val="9"/>
        <color rgb="FF808080"/>
        <rFont val="WenQuanYi Zen Hei"/>
        <family val="2"/>
      </rPr>
      <t xml:space="preserve">元</t>
    </r>
  </si>
  <si>
    <t xml:space="preserve">定增募资净额</t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</si>
  <si>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新增股份（定增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可转债转股等）</t>
    </r>
  </si>
  <si>
    <r>
      <rPr>
        <sz val="9"/>
        <color rgb="FF808080"/>
        <rFont val="Arial"/>
        <family val="0"/>
        <charset val="1"/>
      </rPr>
      <t xml:space="preserve">2025A</t>
    </r>
    <r>
      <rPr>
        <sz val="9"/>
        <color rgb="FF808080"/>
        <rFont val="WenQuanYi Zen Hei"/>
        <family val="2"/>
      </rPr>
      <t xml:space="preserve">含可转债转股</t>
    </r>
    <r>
      <rPr>
        <sz val="9"/>
        <color rgb="FF808080"/>
        <rFont val="Arial"/>
        <family val="0"/>
        <charset val="1"/>
      </rPr>
      <t xml:space="preserve">9,089</t>
    </r>
    <r>
      <rPr>
        <sz val="9"/>
        <color rgb="FF808080"/>
        <rFont val="WenQuanYi Zen Hei"/>
        <family val="2"/>
      </rPr>
      <t xml:space="preserve">万股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WenQuanYi Zen Hei"/>
        <family val="2"/>
      </rPr>
      <t xml:space="preserve">定增</t>
    </r>
    <r>
      <rPr>
        <sz val="9"/>
        <color rgb="FF808080"/>
        <rFont val="Arial"/>
        <family val="0"/>
        <charset val="1"/>
      </rPr>
      <t xml:space="preserve">8,655</t>
    </r>
    <r>
      <rPr>
        <sz val="9"/>
        <color rgb="FF808080"/>
        <rFont val="WenQuanYi Zen Hei"/>
        <family val="2"/>
      </rPr>
      <t xml:space="preserve">万股</t>
    </r>
  </si>
  <si>
    <t xml:space="preserve">股份回购金额</t>
  </si>
  <si>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年回购</t>
    </r>
    <r>
      <rPr>
        <sz val="9"/>
        <color rgb="FF808080"/>
        <rFont val="Arial"/>
        <family val="0"/>
        <charset val="1"/>
      </rPr>
      <t xml:space="preserve">309.97</t>
    </r>
    <r>
      <rPr>
        <sz val="9"/>
        <color rgb="FF808080"/>
        <rFont val="WenQuanYi Zen Hei"/>
        <family val="2"/>
      </rPr>
      <t xml:space="preserve">万股并注销</t>
    </r>
  </si>
  <si>
    <t xml:space="preserve">  − 回购注销股份</t>
  </si>
  <si>
    <t xml:space="preserve">期末股本（百万股）</t>
  </si>
  <si>
    <t xml:space="preserve">加权平均股本（简化：期初期末平均）</t>
  </si>
  <si>
    <t xml:space="preserve">分红</t>
  </si>
  <si>
    <t xml:space="preserve">归属本年度的现金分红（次年派发）</t>
  </si>
  <si>
    <r>
      <rPr>
        <sz val="9"/>
        <color rgb="FF808080"/>
        <rFont val="WenQuanYi Zen Hei"/>
        <family val="2"/>
      </rPr>
      <t xml:space="preserve">历史为年报利润分配方案；</t>
    </r>
    <r>
      <rPr>
        <sz val="9"/>
        <color rgb="FF808080"/>
        <rFont val="Arial"/>
        <family val="0"/>
        <charset val="1"/>
      </rPr>
      <t xml:space="preserve">2021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每股</t>
    </r>
    <r>
      <rPr>
        <sz val="9"/>
        <color rgb="FF808080"/>
        <rFont val="Arial"/>
        <family val="0"/>
        <charset val="1"/>
      </rPr>
      <t xml:space="preserve">0.08</t>
    </r>
    <r>
      <rPr>
        <sz val="9"/>
        <color rgb="FF808080"/>
        <rFont val="WenQuanYi Zen Hei"/>
        <family val="2"/>
      </rPr>
      <t xml:space="preserve">元</t>
    </r>
    <r>
      <rPr>
        <sz val="9"/>
        <color rgb="FF808080"/>
        <rFont val="Arial"/>
        <family val="0"/>
        <charset val="1"/>
      </rPr>
      <t xml:space="preserve">×</t>
    </r>
    <r>
      <rPr>
        <sz val="9"/>
        <color rgb="FF808080"/>
        <rFont val="WenQuanYi Zen Hei"/>
        <family val="2"/>
      </rPr>
      <t xml:space="preserve">期末股本</t>
    </r>
  </si>
  <si>
    <t xml:space="preserve">  分红率</t>
  </si>
  <si>
    <t xml:space="preserve">  每股股利（元）</t>
  </si>
  <si>
    <t xml:space="preserve">本年支付的现金分红</t>
  </si>
  <si>
    <t xml:space="preserve">少数股东权益</t>
  </si>
  <si>
    <t xml:space="preserve">期初</t>
  </si>
  <si>
    <r>
      <rPr>
        <sz val="10"/>
        <color rgb="FF000000"/>
        <rFont val="Arial"/>
        <family val="0"/>
        <charset val="1"/>
      </rPr>
      <t xml:space="preserve">  + </t>
    </r>
    <r>
      <rPr>
        <sz val="10"/>
        <color rgb="FF000000"/>
        <rFont val="WenQuanYi Zen Hei"/>
        <family val="2"/>
      </rPr>
      <t xml:space="preserve">少数股东损益</t>
    </r>
  </si>
  <si>
    <t xml:space="preserve">  − 向少数股东分红</t>
  </si>
  <si>
    <r>
      <rPr>
        <sz val="10"/>
        <color rgb="FF000000"/>
        <rFont val="Arial"/>
        <family val="0"/>
        <charset val="1"/>
      </rPr>
      <t xml:space="preserve">  ± </t>
    </r>
    <r>
      <rPr>
        <sz val="10"/>
        <color rgb="FF000000"/>
        <rFont val="WenQuanYi Zen Hei"/>
        <family val="2"/>
      </rPr>
      <t xml:space="preserve">其他（增资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其他综合收益等，轧差）</t>
    </r>
  </si>
  <si>
    <t xml:space="preserve">期末</t>
  </si>
  <si>
    <t xml:space="preserve">偿债指标</t>
  </si>
  <si>
    <r>
      <rPr>
        <sz val="10"/>
        <color rgb="FF000000"/>
        <rFont val="WenQuanYi Zen Hei"/>
        <family val="2"/>
      </rPr>
      <t xml:space="preserve">净负债</t>
    </r>
    <r>
      <rPr>
        <sz val="10"/>
        <color rgb="FF000000"/>
        <rFont val="Arial"/>
        <family val="0"/>
        <charset val="1"/>
      </rPr>
      <t xml:space="preserve">/EBITDA</t>
    </r>
  </si>
  <si>
    <r>
      <rPr>
        <sz val="10"/>
        <color rgb="FF000000"/>
        <rFont val="WenQuanYi Zen Hei"/>
        <family val="2"/>
      </rPr>
      <t xml:space="preserve">有息负债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总资产</t>
    </r>
  </si>
  <si>
    <t xml:space="preserve">资产负债率</t>
  </si>
  <si>
    <r>
      <rPr>
        <sz val="10"/>
        <color rgb="FF000000"/>
        <rFont val="WenQuanYi Zen Hei"/>
        <family val="2"/>
      </rPr>
      <t xml:space="preserve">利息保障倍数（</t>
    </r>
    <r>
      <rPr>
        <sz val="10"/>
        <color rgb="FF000000"/>
        <rFont val="Arial"/>
        <family val="0"/>
        <charset val="1"/>
      </rPr>
      <t xml:space="preserve">EBIT/</t>
    </r>
    <r>
      <rPr>
        <sz val="10"/>
        <color rgb="FF000000"/>
        <rFont val="WenQuanYi Zen Hei"/>
        <family val="2"/>
      </rPr>
      <t xml:space="preserve">利息支出）</t>
    </r>
  </si>
  <si>
    <t xml:space="preserve">利润表（百万元）</t>
  </si>
  <si>
    <r>
      <rPr>
        <i val="true"/>
        <sz val="9"/>
        <color rgb="FF808080"/>
        <rFont val="WenQuanYi Zen Hei"/>
        <family val="2"/>
      </rPr>
      <t xml:space="preserve">历史链接“历史报表”；预测由分业务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费用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融资明细驱动。费用以正数列示，减值损失以负数列示</t>
    </r>
  </si>
  <si>
    <t xml:space="preserve">毛利</t>
  </si>
  <si>
    <t xml:space="preserve">研发费用</t>
  </si>
  <si>
    <t xml:space="preserve">  其中：利息费用</t>
  </si>
  <si>
    <t xml:space="preserve">        利息收入</t>
  </si>
  <si>
    <t xml:space="preserve">加：其他收益</t>
  </si>
  <si>
    <t xml:space="preserve">投资收益</t>
  </si>
  <si>
    <t xml:space="preserve">  其中：对联营企业的投资收益</t>
  </si>
  <si>
    <t xml:space="preserve">营业利润</t>
  </si>
  <si>
    <t xml:space="preserve">利润总额</t>
  </si>
  <si>
    <t xml:space="preserve">所得税</t>
  </si>
  <si>
    <t xml:space="preserve">净利润</t>
  </si>
  <si>
    <t xml:space="preserve">少数股东损益</t>
  </si>
  <si>
    <t xml:space="preserve">归属于母公司股东的净利润</t>
  </si>
  <si>
    <t xml:space="preserve">  核对：归母净利润−报表值</t>
  </si>
  <si>
    <t xml:space="preserve">每股指标（元）</t>
  </si>
  <si>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WenQuanYi Zen Hei"/>
        <family val="2"/>
      </rPr>
      <t xml:space="preserve">（按加权平均股本）</t>
    </r>
  </si>
  <si>
    <r>
      <rPr>
        <sz val="9"/>
        <color rgb="FF808080"/>
        <rFont val="WenQuanYi Zen Hei"/>
        <family val="2"/>
      </rPr>
      <t xml:space="preserve">历史报表基本</t>
    </r>
    <r>
      <rPr>
        <sz val="9"/>
        <color rgb="FF808080"/>
        <rFont val="Arial"/>
        <family val="0"/>
        <charset val="1"/>
      </rPr>
      <t xml:space="preserve">EPS</t>
    </r>
    <r>
      <rPr>
        <sz val="9"/>
        <color rgb="FF808080"/>
        <rFont val="WenQuanYi Zen Hei"/>
        <family val="2"/>
      </rPr>
      <t xml:space="preserve">：</t>
    </r>
    <r>
      <rPr>
        <sz val="9"/>
        <color rgb="FF808080"/>
        <rFont val="Arial"/>
        <family val="0"/>
        <charset val="1"/>
      </rPr>
      <t xml:space="preserve">2025A 0.36</t>
    </r>
    <r>
      <rPr>
        <sz val="9"/>
        <color rgb="FF808080"/>
        <rFont val="WenQuanYi Zen Hei"/>
        <family val="2"/>
      </rPr>
      <t xml:space="preserve">元（按加权股本）</t>
    </r>
  </si>
  <si>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WenQuanYi Zen Hei"/>
        <family val="2"/>
      </rPr>
      <t xml:space="preserve">（按期末总股本摊薄）</t>
    </r>
  </si>
  <si>
    <t xml:space="preserve">DPS</t>
  </si>
  <si>
    <t xml:space="preserve">每股净资产</t>
  </si>
  <si>
    <t xml:space="preserve">利润质量与增长</t>
  </si>
  <si>
    <r>
      <rPr>
        <sz val="10"/>
        <color rgb="FF000000"/>
        <rFont val="Arial"/>
        <family val="0"/>
        <charset val="1"/>
      </rPr>
      <t xml:space="preserve">EBIT</t>
    </r>
    <r>
      <rPr>
        <sz val="10"/>
        <color rgb="FF000000"/>
        <rFont val="WenQuanYi Zen Hei"/>
        <family val="2"/>
      </rPr>
      <t xml:space="preserve">（经营口径：营业利润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财务费用−投资收益−公允价值−处置）</t>
    </r>
  </si>
  <si>
    <t xml:space="preserve">EBITDA</t>
  </si>
  <si>
    <t xml:space="preserve">收入增速</t>
  </si>
  <si>
    <t xml:space="preserve">归母净利润增速</t>
  </si>
  <si>
    <r>
      <rPr>
        <sz val="10"/>
        <color rgb="FF000000"/>
        <rFont val="Arial"/>
        <family val="0"/>
        <charset val="1"/>
      </rPr>
      <t xml:space="preserve">EBIT</t>
    </r>
    <r>
      <rPr>
        <sz val="10"/>
        <color rgb="FF000000"/>
        <rFont val="WenQuanYi Zen Hei"/>
        <family val="2"/>
      </rPr>
      <t xml:space="preserve">利润率</t>
    </r>
  </si>
  <si>
    <t xml:space="preserve">归母净利率</t>
  </si>
  <si>
    <t xml:space="preserve">销售费用率</t>
  </si>
  <si>
    <t xml:space="preserve">管理费用率</t>
  </si>
  <si>
    <t xml:space="preserve">研发费用率（费用化）</t>
  </si>
  <si>
    <t xml:space="preserve">财务费用率</t>
  </si>
  <si>
    <r>
      <rPr>
        <sz val="10"/>
        <color rgb="FF000000"/>
        <rFont val="Arial"/>
        <family val="0"/>
        <charset val="1"/>
      </rPr>
      <t xml:space="preserve">ROE</t>
    </r>
    <r>
      <rPr>
        <sz val="10"/>
        <color rgb="FF000000"/>
        <rFont val="WenQuanYi Zen Hei"/>
        <family val="2"/>
      </rPr>
      <t xml:space="preserve">（归母净利润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平均归母权益）</t>
    </r>
  </si>
  <si>
    <r>
      <rPr>
        <sz val="10"/>
        <color rgb="FF000000"/>
        <rFont val="Arial"/>
        <family val="0"/>
        <charset val="1"/>
      </rPr>
      <t xml:space="preserve">ROIC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EBIT×(1−15%)/(</t>
    </r>
    <r>
      <rPr>
        <sz val="10"/>
        <color rgb="FF000000"/>
        <rFont val="WenQuanYi Zen Hei"/>
        <family val="2"/>
      </rPr>
      <t xml:space="preserve">净负债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权益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）</t>
    </r>
  </si>
  <si>
    <t xml:space="preserve">资产负债表（百万元）</t>
  </si>
  <si>
    <r>
      <rPr>
        <i val="true"/>
        <sz val="9"/>
        <color rgb="FF808080"/>
        <rFont val="WenQuanYi Zen Hei"/>
        <family val="2"/>
      </rPr>
      <t xml:space="preserve">历史链接“历史报表”（部分科目合并列示，其他项为轧差）；预测由营运资本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资本开支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融资明细驱动</t>
    </r>
  </si>
  <si>
    <t xml:space="preserve">资产</t>
  </si>
  <si>
    <t xml:space="preserve">货币资金</t>
  </si>
  <si>
    <t xml:space="preserve">其他流动资产（含合同资产等）</t>
  </si>
  <si>
    <t xml:space="preserve">流动资产合计</t>
  </si>
  <si>
    <t xml:space="preserve">长期股权投资</t>
  </si>
  <si>
    <r>
      <rPr>
        <sz val="9"/>
        <color rgb="FF808080"/>
        <rFont val="WenQuanYi Zen Hei"/>
        <family val="2"/>
      </rPr>
      <t xml:space="preserve">其中广发基金</t>
    </r>
    <r>
      <rPr>
        <sz val="9"/>
        <color rgb="FF808080"/>
        <rFont val="Arial"/>
        <family val="0"/>
        <charset val="1"/>
      </rPr>
      <t xml:space="preserve">2025</t>
    </r>
    <r>
      <rPr>
        <sz val="9"/>
        <color rgb="FF808080"/>
        <rFont val="WenQuanYi Zen Hei"/>
        <family val="2"/>
      </rPr>
      <t xml:space="preserve">年末账面</t>
    </r>
    <r>
      <rPr>
        <sz val="9"/>
        <color rgb="FF808080"/>
        <rFont val="Arial"/>
        <family val="0"/>
        <charset val="1"/>
      </rPr>
      <t xml:space="preserve">19.5</t>
    </r>
    <r>
      <rPr>
        <sz val="9"/>
        <color rgb="FF808080"/>
        <rFont val="WenQuanYi Zen Hei"/>
        <family val="2"/>
      </rPr>
      <t xml:space="preserve">亿；预测</t>
    </r>
    <r>
      <rPr>
        <sz val="9"/>
        <color rgb="FF808080"/>
        <rFont val="Arial"/>
        <family val="0"/>
        <charset val="1"/>
      </rPr>
      <t xml:space="preserve">=</t>
    </r>
    <r>
      <rPr>
        <sz val="9"/>
        <color rgb="FF808080"/>
        <rFont val="WenQuanYi Zen Hei"/>
        <family val="2"/>
      </rPr>
      <t xml:space="preserve">上期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WenQuanYi Zen Hei"/>
        <family val="2"/>
      </rPr>
      <t xml:space="preserve">权益法收益−收到分红（其他联营企业分红假设为</t>
    </r>
    <r>
      <rPr>
        <sz val="9"/>
        <color rgb="FF808080"/>
        <rFont val="Arial"/>
        <family val="0"/>
        <charset val="1"/>
      </rPr>
      <t xml:space="preserve">0</t>
    </r>
    <r>
      <rPr>
        <sz val="9"/>
        <color rgb="FF80808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</si>
  <si>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金融资产投资（其他权益工具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其他非流动金融资产等）</t>
    </r>
  </si>
  <si>
    <t xml:space="preserve">投资性房地产</t>
  </si>
  <si>
    <t xml:space="preserve">固定资产</t>
  </si>
  <si>
    <t xml:space="preserve">使用权资产</t>
  </si>
  <si>
    <t xml:space="preserve">开发支出</t>
  </si>
  <si>
    <t xml:space="preserve">商誉</t>
  </si>
  <si>
    <t xml:space="preserve">递延所得税资产</t>
  </si>
  <si>
    <t xml:space="preserve">其他非流动资产（轧差）</t>
  </si>
  <si>
    <t xml:space="preserve">非流动资产合计</t>
  </si>
  <si>
    <t xml:space="preserve">资产总计</t>
  </si>
  <si>
    <t xml:space="preserve">负债</t>
  </si>
  <si>
    <t xml:space="preserve">短期借款</t>
  </si>
  <si>
    <t xml:space="preserve">应付票据</t>
  </si>
  <si>
    <t xml:space="preserve">应付账款</t>
  </si>
  <si>
    <t xml:space="preserve">其他应付款</t>
  </si>
  <si>
    <t xml:space="preserve">一年内到期的非流动负债</t>
  </si>
  <si>
    <t xml:space="preserve">其他流动负债</t>
  </si>
  <si>
    <t xml:space="preserve">流动负债合计</t>
  </si>
  <si>
    <t xml:space="preserve">长期借款</t>
  </si>
  <si>
    <t xml:space="preserve">应付债券</t>
  </si>
  <si>
    <t xml:space="preserve">租赁负债</t>
  </si>
  <si>
    <t xml:space="preserve">递延收益</t>
  </si>
  <si>
    <r>
      <rPr>
        <sz val="10"/>
        <color rgb="FF000000"/>
        <rFont val="WenQuanYi Zen Hei"/>
        <family val="2"/>
      </rPr>
      <t xml:space="preserve">其他非流动负债（预计负债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递延所得税负债等，轧差）</t>
    </r>
  </si>
  <si>
    <t xml:space="preserve">非流动负债合计</t>
  </si>
  <si>
    <t xml:space="preserve">负债合计</t>
  </si>
  <si>
    <t xml:space="preserve">所有者权益</t>
  </si>
  <si>
    <t xml:space="preserve">股本</t>
  </si>
  <si>
    <t xml:space="preserve">其他权益工具（可转债权益成分）</t>
  </si>
  <si>
    <t xml:space="preserve">资本公积</t>
  </si>
  <si>
    <t xml:space="preserve">减：库存股</t>
  </si>
  <si>
    <t xml:space="preserve">预测假设回购股份注销：股本减少计入股本，差额冲减库存股</t>
  </si>
  <si>
    <t xml:space="preserve">其他综合收益及专项储备</t>
  </si>
  <si>
    <t xml:space="preserve">盈余公积</t>
  </si>
  <si>
    <t xml:space="preserve">未分配利润</t>
  </si>
  <si>
    <t xml:space="preserve">归属于母公司股东权益</t>
  </si>
  <si>
    <t xml:space="preserve">所有者权益合计</t>
  </si>
  <si>
    <t xml:space="preserve">负债和所有者权益总计</t>
  </si>
  <si>
    <t xml:space="preserve">核对：资产−负债−权益</t>
  </si>
  <si>
    <t xml:space="preserve">核对：资产总计−报表值（历史）</t>
  </si>
  <si>
    <t xml:space="preserve">核对：归母权益−报表值（历史）</t>
  </si>
  <si>
    <t xml:space="preserve">现金流量表（百万元，间接法）</t>
  </si>
  <si>
    <r>
      <rPr>
        <i val="true"/>
        <sz val="9"/>
        <color rgb="FF808080"/>
        <rFont val="WenQuanYi Zen Hei"/>
        <family val="2"/>
      </rPr>
      <t xml:space="preserve">历史按报表补充资料重分类；预测：净利润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WenQuanYi Zen Hei"/>
        <family val="2"/>
      </rPr>
      <t xml:space="preserve">折旧摊销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WenQuanYi Zen Hei"/>
        <family val="2"/>
      </rPr>
      <t xml:space="preserve">利息−权益法收益−营运资本增加；短期借款为平衡项</t>
    </r>
  </si>
  <si>
    <t xml:space="preserve">经营活动</t>
  </si>
  <si>
    <t xml:space="preserve">加：折旧与摊销</t>
  </si>
  <si>
    <t xml:space="preserve">加：资产及信用减值准备</t>
  </si>
  <si>
    <t xml:space="preserve">预测期营运资本按净额驱动，减值已体现在净额变动中，故不再加回</t>
  </si>
  <si>
    <t xml:space="preserve">加：财务费用（利息）</t>
  </si>
  <si>
    <t xml:space="preserve">减：投资收益（权益法等非现金）</t>
  </si>
  <si>
    <t xml:space="preserve">营运资本变动</t>
  </si>
  <si>
    <t xml:space="preserve">其他（递延税项、处置损益等，轧差）</t>
  </si>
  <si>
    <t xml:space="preserve">经营活动现金流量净额</t>
  </si>
  <si>
    <t xml:space="preserve">投资活动</t>
  </si>
  <si>
    <t xml:space="preserve">购建固定资产、无形资产和其他长期资产</t>
  </si>
  <si>
    <t xml:space="preserve">预测含资本化研发支出</t>
  </si>
  <si>
    <t xml:space="preserve">取得投资收益收到的现金（广发基金分红等）</t>
  </si>
  <si>
    <t xml:space="preserve">其他投资活动（轧差）</t>
  </si>
  <si>
    <t xml:space="preserve">投资活动现金流量净额</t>
  </si>
  <si>
    <t xml:space="preserve">筹资活动</t>
  </si>
  <si>
    <r>
      <rPr>
        <sz val="10"/>
        <color rgb="FF000000"/>
        <rFont val="WenQuanYi Zen Hei"/>
        <family val="2"/>
      </rPr>
      <t xml:space="preserve">长期借款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债券净增加</t>
    </r>
  </si>
  <si>
    <t xml:space="preserve">股权融资（定增净额等）</t>
  </si>
  <si>
    <t xml:space="preserve">分配股利、利润或偿付利息</t>
  </si>
  <si>
    <t xml:space="preserve">股份回购</t>
  </si>
  <si>
    <t xml:space="preserve">租赁付款</t>
  </si>
  <si>
    <t xml:space="preserve">筹资现金流（不含短期借款变动）</t>
  </si>
  <si>
    <r>
      <rPr>
        <sz val="10"/>
        <color rgb="FF000000"/>
        <rFont val="WenQuanYi Zen Hei"/>
        <family val="2"/>
      </rPr>
      <t xml:space="preserve">现金余额（偿还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新增短期借款前）</t>
    </r>
  </si>
  <si>
    <t xml:space="preserve">用于“融资”表短期借款平衡项</t>
  </si>
  <si>
    <t xml:space="preserve">短期借款净增加（平衡项）</t>
  </si>
  <si>
    <t xml:space="preserve">借款净增加（历史：取得借款−偿还债务）</t>
  </si>
  <si>
    <r>
      <rPr>
        <sz val="10"/>
        <color rgb="FF000000"/>
        <rFont val="WenQuanYi Zen Hei"/>
        <family val="2"/>
      </rPr>
      <t xml:space="preserve">其他筹资活动（历史轧差，含租赁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回购）</t>
    </r>
  </si>
  <si>
    <t xml:space="preserve">筹资活动现金流量净额</t>
  </si>
  <si>
    <t xml:space="preserve">现金变动</t>
  </si>
  <si>
    <t xml:space="preserve">汇率变动影响</t>
  </si>
  <si>
    <t xml:space="preserve">现金净增加额</t>
  </si>
  <si>
    <t xml:space="preserve">期初现金</t>
  </si>
  <si>
    <t xml:space="preserve">期末现金</t>
  </si>
  <si>
    <t xml:space="preserve">核对：期末现金−报表值（历史）</t>
  </si>
  <si>
    <t xml:space="preserve">自由现金流</t>
  </si>
  <si>
    <r>
      <rPr>
        <b val="true"/>
        <sz val="10"/>
        <color rgb="FF000000"/>
        <rFont val="Arial"/>
        <family val="0"/>
        <charset val="1"/>
      </rPr>
      <t xml:space="preserve">FCFF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EBIT×(1−t)+</t>
    </r>
    <r>
      <rPr>
        <b val="true"/>
        <sz val="10"/>
        <color rgb="FF000000"/>
        <rFont val="WenQuanYi Zen Hei"/>
        <family val="2"/>
      </rPr>
      <t xml:space="preserve">折旧摊销−资本开支−营运资本增加）</t>
    </r>
  </si>
  <si>
    <r>
      <rPr>
        <sz val="10"/>
        <color rgb="FF000000"/>
        <rFont val="Arial"/>
        <family val="0"/>
        <charset val="1"/>
      </rPr>
      <t xml:space="preserve">FCFE</t>
    </r>
    <r>
      <rPr>
        <sz val="10"/>
        <color rgb="FF000000"/>
        <rFont val="WenQuanYi Zen Hei"/>
        <family val="2"/>
      </rPr>
      <t xml:space="preserve">（经营现金流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投资现金流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有息负债净增加−租赁付款）</t>
    </r>
  </si>
  <si>
    <r>
      <rPr>
        <sz val="10"/>
        <color rgb="FF000000"/>
        <rFont val="WenQuanYi Zen Hei"/>
        <family val="2"/>
      </rPr>
      <t xml:space="preserve">经营现金流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净利润</t>
    </r>
  </si>
  <si>
    <t xml:space="preserve">经营现金流质量：供应链融资列报影响（历史）</t>
  </si>
  <si>
    <t xml:space="preserve">短期借款“非现金变动增加”（供应链融资等）</t>
  </si>
  <si>
    <r>
      <rPr>
        <sz val="9"/>
        <color rgb="FF808080"/>
        <rFont val="WenQuanYi Zen Hei"/>
        <family val="2"/>
      </rPr>
      <t xml:space="preserve">来源：各期“筹资活动产生的各项负债变动情况”；</t>
    </r>
    <r>
      <rPr>
        <sz val="9"/>
        <color rgb="FF808080"/>
        <rFont val="Arial"/>
        <family val="0"/>
        <charset val="1"/>
      </rPr>
      <t xml:space="preserve">2024</t>
    </r>
    <r>
      <rPr>
        <sz val="9"/>
        <color rgb="FF808080"/>
        <rFont val="WenQuanYi Zen Hei"/>
        <family val="2"/>
      </rPr>
      <t xml:space="preserve">年报：经营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筹资现金流变动“主要是供应链融资新准则列示调整所致”</t>
    </r>
  </si>
  <si>
    <t xml:space="preserve">剔除后的经营现金流（经营现金流−上项）</t>
  </si>
  <si>
    <t xml:space="preserve">供应商货款由银行代付、计入短期借款，现金流出由经营活动转至筹资活动；预测期未假设新增此类安排</t>
  </si>
  <si>
    <r>
      <rPr>
        <b val="true"/>
        <sz val="14"/>
        <color rgb="FF1F3864"/>
        <rFont val="Arial"/>
        <family val="0"/>
        <charset val="1"/>
      </rPr>
      <t xml:space="preserve">DCF</t>
    </r>
    <r>
      <rPr>
        <b val="true"/>
        <sz val="14"/>
        <color rgb="FF1F3864"/>
        <rFont val="WenQuanYi Zen Hei"/>
        <family val="2"/>
      </rPr>
      <t xml:space="preserve">估值（</t>
    </r>
    <r>
      <rPr>
        <b val="true"/>
        <sz val="14"/>
        <color rgb="FF1F3864"/>
        <rFont val="Arial"/>
        <family val="0"/>
        <charset val="1"/>
      </rPr>
      <t xml:space="preserve">FCFF</t>
    </r>
    <r>
      <rPr>
        <b val="true"/>
        <sz val="14"/>
        <color rgb="FF1F3864"/>
        <rFont val="WenQuanYi Zen Hei"/>
        <family val="2"/>
      </rPr>
      <t xml:space="preserve">，百万元）</t>
    </r>
  </si>
  <si>
    <r>
      <rPr>
        <i val="true"/>
        <sz val="9"/>
        <color rgb="FF808080"/>
        <rFont val="WenQuanYi Zen Hei"/>
        <family val="2"/>
      </rPr>
      <t xml:space="preserve">以</t>
    </r>
    <r>
      <rPr>
        <i val="true"/>
        <sz val="9"/>
        <color rgb="FF808080"/>
        <rFont val="Arial"/>
        <family val="0"/>
        <charset val="1"/>
      </rPr>
      <t xml:space="preserve">2026</t>
    </r>
    <r>
      <rPr>
        <i val="true"/>
        <sz val="9"/>
        <color rgb="FF808080"/>
        <rFont val="WenQuanYi Zen Hei"/>
        <family val="2"/>
      </rPr>
      <t xml:space="preserve">年末为折现基准：</t>
    </r>
    <r>
      <rPr>
        <i val="true"/>
        <sz val="9"/>
        <color rgb="FF808080"/>
        <rFont val="Arial"/>
        <family val="0"/>
        <charset val="1"/>
      </rPr>
      <t xml:space="preserve">2027E–2030E</t>
    </r>
    <r>
      <rPr>
        <i val="true"/>
        <sz val="9"/>
        <color rgb="FF808080"/>
        <rFont val="WenQuanYi Zen Hei"/>
        <family val="2"/>
      </rPr>
      <t xml:space="preserve">自由现金流按年中折现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WenQuanYi Zen Hei"/>
        <family val="2"/>
      </rPr>
      <t xml:space="preserve">永续价值；加回非经营资产、扣除净负债与少数股东权益后折回估值基准日</t>
    </r>
  </si>
  <si>
    <r>
      <rPr>
        <sz val="10"/>
        <color rgb="FF000000"/>
        <rFont val="Arial"/>
        <family val="0"/>
        <charset val="1"/>
      </rPr>
      <t xml:space="preserve">EBIT</t>
    </r>
    <r>
      <rPr>
        <sz val="10"/>
        <color rgb="FF000000"/>
        <rFont val="WenQuanYi Zen Hei"/>
        <family val="2"/>
      </rPr>
      <t xml:space="preserve">（经营口径，不含投资收益）</t>
    </r>
  </si>
  <si>
    <t xml:space="preserve">经营所得税率</t>
  </si>
  <si>
    <t xml:space="preserve">NOPAT</t>
  </si>
  <si>
    <t xml:space="preserve">加：折旧摊销</t>
  </si>
  <si>
    <t xml:space="preserve">减：资本开支（含资本化研发）</t>
  </si>
  <si>
    <t xml:space="preserve">减：营运资本增加</t>
  </si>
  <si>
    <t xml:space="preserve">FCFF</t>
  </si>
  <si>
    <r>
      <rPr>
        <sz val="10"/>
        <color rgb="FF000000"/>
        <rFont val="WenQuanYi Zen Hei"/>
        <family val="2"/>
      </rPr>
      <t xml:space="preserve">折现期（年，自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年末，年中法）</t>
    </r>
  </si>
  <si>
    <t xml:space="preserve">折现系数</t>
  </si>
  <si>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WenQuanYi Zen Hei"/>
        <family val="2"/>
      </rPr>
      <t xml:space="preserve">现值</t>
    </r>
  </si>
  <si>
    <t xml:space="preserve">WACC</t>
  </si>
  <si>
    <r>
      <rPr>
        <sz val="10"/>
        <color rgb="FF000000"/>
        <rFont val="WenQuanYi Zen Hei"/>
        <family val="2"/>
      </rPr>
      <t xml:space="preserve">股权成本 </t>
    </r>
    <r>
      <rPr>
        <sz val="10"/>
        <color rgb="FF000000"/>
        <rFont val="Arial"/>
        <family val="0"/>
        <charset val="1"/>
      </rPr>
      <t xml:space="preserve">Ke = Rf + β×ERP</t>
    </r>
  </si>
  <si>
    <t xml:space="preserve">税后债务成本</t>
  </si>
  <si>
    <r>
      <rPr>
        <b val="true"/>
        <sz val="10"/>
        <color rgb="FF1F3864"/>
        <rFont val="WenQuanYi Zen Hei"/>
        <family val="2"/>
      </rPr>
      <t xml:space="preserve">企业价值与股权价值（</t>
    </r>
    <r>
      <rPr>
        <b val="true"/>
        <sz val="10"/>
        <color rgb="FF1F3864"/>
        <rFont val="Arial"/>
        <family val="0"/>
        <charset val="1"/>
      </rPr>
      <t xml:space="preserve">2026</t>
    </r>
    <r>
      <rPr>
        <b val="true"/>
        <sz val="10"/>
        <color rgb="FF1F3864"/>
        <rFont val="WenQuanYi Zen Hei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</si>
  <si>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2027E–2030E FCFF</t>
    </r>
    <r>
      <rPr>
        <sz val="10"/>
        <color rgb="FF000000"/>
        <rFont val="WenQuanYi Zen Hei"/>
        <family val="2"/>
      </rPr>
      <t xml:space="preserve">现值合计</t>
    </r>
  </si>
  <si>
    <r>
      <rPr>
        <sz val="10"/>
        <color rgb="FF000000"/>
        <rFont val="WenQuanYi Zen Hei"/>
        <family val="2"/>
      </rPr>
      <t xml:space="preserve">永续价值（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年末）</t>
    </r>
  </si>
  <si>
    <t xml:space="preserve">永续价值现值</t>
  </si>
  <si>
    <r>
      <rPr>
        <b val="true"/>
        <sz val="10"/>
        <color rgb="FF000000"/>
        <rFont val="WenQuanYi Zen Hei"/>
        <family val="2"/>
      </rPr>
      <t xml:space="preserve">经营性企业价值 </t>
    </r>
    <r>
      <rPr>
        <b val="true"/>
        <sz val="10"/>
        <color rgb="FF000000"/>
        <rFont val="Arial"/>
        <family val="0"/>
        <charset val="1"/>
      </rPr>
      <t xml:space="preserve">EV</t>
    </r>
  </si>
  <si>
    <r>
      <rPr>
        <sz val="10"/>
        <color rgb="FF000000"/>
        <rFont val="WenQuanYi Zen Hei"/>
        <family val="2"/>
      </rPr>
      <t xml:space="preserve">  永续价值占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WenQuanYi Zen Hei"/>
        <family val="2"/>
      </rPr>
      <t xml:space="preserve">比例</t>
    </r>
  </si>
  <si>
    <r>
      <rPr>
        <sz val="10"/>
        <color rgb="FF000000"/>
        <rFont val="WenQuanYi Zen Hei"/>
        <family val="2"/>
      </rPr>
      <t xml:space="preserve">加：广发基金</t>
    </r>
    <r>
      <rPr>
        <sz val="10"/>
        <color rgb="FF000000"/>
        <rFont val="Arial"/>
        <family val="0"/>
        <charset val="1"/>
      </rPr>
      <t xml:space="preserve">14.187%</t>
    </r>
    <r>
      <rPr>
        <sz val="10"/>
        <color rgb="FF000000"/>
        <rFont val="WenQuanYi Zen Hei"/>
        <family val="2"/>
      </rPr>
      <t xml:space="preserve">股权（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净利润</t>
    </r>
    <r>
      <rPr>
        <sz val="10"/>
        <color rgb="FF000000"/>
        <rFont val="Arial"/>
        <family val="0"/>
        <charset val="1"/>
      </rPr>
      <t xml:space="preserve">×PE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</si>
  <si>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WenQuanYi Zen Hei"/>
        <family val="2"/>
      </rPr>
      <t xml:space="preserve">非经营资产：权益法投资收益不在</t>
    </r>
    <r>
      <rPr>
        <sz val="9"/>
        <color rgb="FF808080"/>
        <rFont val="Arial"/>
        <family val="0"/>
        <charset val="1"/>
      </rPr>
      <t xml:space="preserve">FCFF</t>
    </r>
    <r>
      <rPr>
        <sz val="9"/>
        <color rgb="FF808080"/>
        <rFont val="WenQuanYi Zen Hei"/>
        <family val="2"/>
      </rPr>
      <t xml:space="preserve">中</t>
    </r>
  </si>
  <si>
    <t xml:space="preserve">加：其他联营企业（账面价值）</t>
  </si>
  <si>
    <t xml:space="preserve">加：金融资产投资（账面价值）</t>
  </si>
  <si>
    <r>
      <rPr>
        <sz val="10"/>
        <color rgb="FF000000"/>
        <rFont val="WenQuanYi Zen Hei"/>
        <family val="2"/>
      </rPr>
      <t xml:space="preserve">减：净负债（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WenQuanYi Zen Hei"/>
        <family val="2"/>
      </rPr>
      <t xml:space="preserve">末，含租赁负债）</t>
    </r>
  </si>
  <si>
    <r>
      <rPr>
        <sz val="10"/>
        <color rgb="FF000000"/>
        <rFont val="WenQuanYi Zen Hei"/>
        <family val="2"/>
      </rPr>
      <t xml:space="preserve">减：少数股东权益（账面</t>
    </r>
    <r>
      <rPr>
        <sz val="10"/>
        <color rgb="FF000000"/>
        <rFont val="Arial"/>
        <family val="0"/>
        <charset val="1"/>
      </rPr>
      <t xml:space="preserve">×P/B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</si>
  <si>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股权价值（</t>
    </r>
    <r>
      <rPr>
        <b val="true"/>
        <sz val="10"/>
        <color rgb="FF000000"/>
        <rFont val="Arial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年末）</t>
    </r>
  </si>
  <si>
    <t xml:space="preserve">折回估值基准日年数</t>
  </si>
  <si>
    <t xml:space="preserve">股权价值（估值基准日）</t>
  </si>
  <si>
    <r>
      <rPr>
        <sz val="10"/>
        <color rgb="FF000000"/>
        <rFont val="WenQuanYi Zen Hei"/>
        <family val="2"/>
      </rPr>
      <t xml:space="preserve">总股本（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WenQuanYi Zen Hei"/>
        <family val="2"/>
      </rPr>
      <t xml:space="preserve">末，百万股）</t>
    </r>
  </si>
  <si>
    <t xml:space="preserve">每股价值（元）</t>
  </si>
  <si>
    <t xml:space="preserve">  其中：经营业务每股价值</t>
  </si>
  <si>
    <t xml:space="preserve">  其中：广发基金股权每股价值</t>
  </si>
  <si>
    <t xml:space="preserve">相对现价空间</t>
  </si>
  <si>
    <r>
      <rPr>
        <sz val="10"/>
        <color rgb="FF000000"/>
        <rFont val="WenQuanYi Zen Hei"/>
        <family val="2"/>
      </rPr>
      <t xml:space="preserve">隐含 </t>
    </r>
    <r>
      <rPr>
        <sz val="10"/>
        <color rgb="FF000000"/>
        <rFont val="Arial"/>
        <family val="0"/>
        <charset val="1"/>
      </rPr>
      <t xml:space="preserve">EV/EBITDA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</si>
  <si>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隐含 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</si>
  <si>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1F3864"/>
        <rFont val="WenQuanYi Zen Hei"/>
        <family val="2"/>
      </rPr>
      <t xml:space="preserve">敏感性：每股价值（元）— </t>
    </r>
    <r>
      <rPr>
        <b val="true"/>
        <sz val="10"/>
        <color rgb="FF1F3864"/>
        <rFont val="Arial"/>
        <family val="0"/>
        <charset val="1"/>
      </rPr>
      <t xml:space="preserve">WACC</t>
    </r>
    <r>
      <rPr>
        <b val="true"/>
        <sz val="10"/>
        <color rgb="FF1F3864"/>
        <rFont val="WenQuanYi Zen Hei"/>
        <family val="2"/>
      </rPr>
      <t xml:space="preserve">（行）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WenQuanYi Zen Hei"/>
        <family val="2"/>
      </rPr>
      <t xml:space="preserve">永续增长率（列）</t>
    </r>
  </si>
  <si>
    <t xml:space="preserve">WACC \ g</t>
  </si>
  <si>
    <r>
      <rPr>
        <i val="true"/>
        <sz val="9"/>
        <color rgb="FF808080"/>
        <rFont val="WenQuanYi Zen Hei"/>
        <family val="2"/>
      </rPr>
      <t xml:space="preserve">注：</t>
    </r>
    <r>
      <rPr>
        <i val="true"/>
        <sz val="9"/>
        <color rgb="FF808080"/>
        <rFont val="Arial"/>
        <family val="0"/>
        <charset val="1"/>
      </rPr>
      <t xml:space="preserve">FCFF</t>
    </r>
    <r>
      <rPr>
        <i val="true"/>
        <sz val="9"/>
        <color rgb="FF808080"/>
        <rFont val="WenQuanYi Zen Hei"/>
        <family val="2"/>
      </rPr>
      <t xml:space="preserve">对营运资本假设高度敏感（应收账款天数每变动</t>
    </r>
    <r>
      <rPr>
        <i val="true"/>
        <sz val="9"/>
        <color rgb="FF808080"/>
        <rFont val="Arial"/>
        <family val="0"/>
        <charset val="1"/>
      </rPr>
      <t xml:space="preserve">10</t>
    </r>
    <r>
      <rPr>
        <i val="true"/>
        <sz val="9"/>
        <color rgb="FF808080"/>
        <rFont val="WenQuanYi Zen Hei"/>
        <family val="2"/>
      </rPr>
      <t xml:space="preserve">天≈影响营运资本约</t>
    </r>
    <r>
      <rPr>
        <i val="true"/>
        <sz val="9"/>
        <color rgb="FF808080"/>
        <rFont val="Arial"/>
        <family val="0"/>
        <charset val="1"/>
      </rPr>
      <t xml:space="preserve">7–8</t>
    </r>
    <r>
      <rPr>
        <i val="true"/>
        <sz val="9"/>
        <color rgb="FF808080"/>
        <rFont val="WenQuanYi Zen Hei"/>
        <family val="2"/>
      </rPr>
      <t xml:space="preserve">亿）；永续价值占比高，</t>
    </r>
    <r>
      <rPr>
        <i val="true"/>
        <sz val="9"/>
        <color rgb="FF808080"/>
        <rFont val="Arial"/>
        <family val="0"/>
        <charset val="1"/>
      </rPr>
      <t xml:space="preserve">DCF</t>
    </r>
    <r>
      <rPr>
        <i val="true"/>
        <sz val="9"/>
        <color rgb="FF808080"/>
        <rFont val="WenQuanYi Zen Hei"/>
        <family val="2"/>
      </rPr>
      <t xml:space="preserve">应与</t>
    </r>
    <r>
      <rPr>
        <i val="true"/>
        <sz val="9"/>
        <color rgb="FF808080"/>
        <rFont val="Arial"/>
        <family val="0"/>
        <charset val="1"/>
      </rPr>
      <t xml:space="preserve">SOTP/PE</t>
    </r>
    <r>
      <rPr>
        <i val="true"/>
        <sz val="9"/>
        <color rgb="FF808080"/>
        <rFont val="WenQuanYi Zen Hei"/>
        <family val="2"/>
      </rPr>
      <t xml:space="preserve">交叉验证。</t>
    </r>
  </si>
  <si>
    <r>
      <rPr>
        <b val="true"/>
        <sz val="14"/>
        <color rgb="FF1F3864"/>
        <rFont val="WenQuanYi Zen Hei"/>
        <family val="2"/>
      </rPr>
      <t xml:space="preserve">分部加总估值 </t>
    </r>
    <r>
      <rPr>
        <b val="true"/>
        <sz val="14"/>
        <color rgb="FF1F3864"/>
        <rFont val="Arial"/>
        <family val="0"/>
        <charset val="1"/>
      </rPr>
      <t xml:space="preserve">SOTP</t>
    </r>
    <r>
      <rPr>
        <b val="true"/>
        <sz val="14"/>
        <color rgb="FF1F3864"/>
        <rFont val="WenQuanYi Zen Hei"/>
        <family val="2"/>
      </rPr>
      <t xml:space="preserve">（百万元）</t>
    </r>
  </si>
  <si>
    <r>
      <rPr>
        <i val="true"/>
        <sz val="9"/>
        <color rgb="FF808080"/>
        <rFont val="WenQuanYi Zen Hei"/>
        <family val="2"/>
      </rPr>
      <t xml:space="preserve">分部税前利润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分部毛利−按“收入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WenQuanYi Zen Hei"/>
        <family val="2"/>
      </rPr>
      <t xml:space="preserve">分摊系数”分摊的费用净额（含研发、财务费用、其他收益、减值）；分部净利润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WenQuanYi Zen Hei"/>
        <family val="2"/>
      </rPr>
      <t xml:space="preserve">目标</t>
    </r>
    <r>
      <rPr>
        <i val="true"/>
        <sz val="9"/>
        <color rgb="FF808080"/>
        <rFont val="Arial"/>
        <family val="0"/>
        <charset val="1"/>
      </rPr>
      <t xml:space="preserve">PE + </t>
    </r>
    <r>
      <rPr>
        <i val="true"/>
        <sz val="9"/>
        <color rgb="FF808080"/>
        <rFont val="WenQuanYi Zen Hei"/>
        <family val="2"/>
      </rPr>
      <t xml:space="preserve">广发基金股权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WenQuanYi Zen Hei"/>
        <family val="2"/>
      </rPr>
      <t xml:space="preserve">其他投资</t>
    </r>
  </si>
  <si>
    <r>
      <rPr>
        <sz val="10"/>
        <color rgb="FF000000"/>
        <rFont val="WenQuanYi Zen Hei"/>
        <family val="2"/>
      </rPr>
      <t xml:space="preserve">待分摊费用净额（毛利−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利润总额−权益法收益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）</t>
    </r>
  </si>
  <si>
    <t xml:space="preserve">加权收入合计</t>
  </si>
  <si>
    <t xml:space="preserve">分摊费用净额</t>
  </si>
  <si>
    <t xml:space="preserve">分部税前利润</t>
  </si>
  <si>
    <r>
      <rPr>
        <b val="true"/>
        <sz val="10"/>
        <color rgb="FF000000"/>
        <rFont val="WenQuanYi Zen Hei"/>
        <family val="2"/>
      </rPr>
      <t xml:space="preserve">分部归母净利润（税率</t>
    </r>
    <r>
      <rPr>
        <b val="true"/>
        <sz val="10"/>
        <color rgb="FF000000"/>
        <rFont val="Arial"/>
        <family val="0"/>
        <charset val="1"/>
      </rPr>
      <t xml:space="preserve">15%</t>
    </r>
    <r>
      <rPr>
        <b val="true"/>
        <sz val="10"/>
        <color rgb="FF000000"/>
        <rFont val="WenQuanYi Zen Hei"/>
        <family val="2"/>
      </rPr>
      <t xml:space="preserve">，少数股东按收入分摊）</t>
    </r>
  </si>
  <si>
    <t xml:space="preserve">  分部净利率</t>
  </si>
  <si>
    <r>
      <rPr>
        <sz val="10"/>
        <color rgb="FF000000"/>
        <rFont val="WenQuanYi Zen Hei"/>
        <family val="2"/>
      </rPr>
      <t xml:space="preserve">核对：分部净利润合计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广发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联营收益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归母净利润（差异来自税率口径）</t>
    </r>
  </si>
  <si>
    <r>
      <rPr>
        <b val="true"/>
        <sz val="10"/>
        <color rgb="FF1F3864"/>
        <rFont val="Arial"/>
        <family val="0"/>
        <charset val="1"/>
      </rPr>
      <t xml:space="preserve">SOTP</t>
    </r>
    <r>
      <rPr>
        <b val="true"/>
        <sz val="10"/>
        <color rgb="FF1F3864"/>
        <rFont val="WenQuanYi Zen Hei"/>
        <family val="2"/>
      </rPr>
      <t xml:space="preserve">（基于</t>
    </r>
    <r>
      <rPr>
        <b val="true"/>
        <sz val="10"/>
        <color rgb="FF1F3864"/>
        <rFont val="Arial"/>
        <family val="0"/>
        <charset val="1"/>
      </rPr>
      <t xml:space="preserve">2027E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</si>
  <si>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组成部分</t>
  </si>
  <si>
    <r>
      <rPr>
        <b val="true"/>
        <sz val="10"/>
        <color rgb="FF000000"/>
        <rFont val="Arial"/>
        <family val="0"/>
        <charset val="1"/>
      </rPr>
      <t xml:space="preserve">2027E</t>
    </r>
    <r>
      <rPr>
        <b val="true"/>
        <sz val="10"/>
        <color rgb="FF000000"/>
        <rFont val="WenQuanYi Zen Hei"/>
        <family val="2"/>
      </rPr>
      <t xml:space="preserve">净利润</t>
    </r>
  </si>
  <si>
    <t xml:space="preserve">PE(x)</t>
  </si>
  <si>
    <t xml:space="preserve">价值</t>
  </si>
  <si>
    <r>
      <rPr>
        <b val="true"/>
        <sz val="10"/>
        <color rgb="FF000000"/>
        <rFont val="WenQuanYi Zen Hei"/>
        <family val="2"/>
      </rPr>
      <t xml:space="preserve">每股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元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</si>
  <si>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占比</t>
  </si>
  <si>
    <r>
      <rPr>
        <b val="true"/>
        <sz val="10"/>
        <color rgb="FF000000"/>
        <rFont val="Arial"/>
        <family val="0"/>
        <charset val="1"/>
      </rPr>
      <t xml:space="preserve">P/S</t>
    </r>
    <r>
      <rPr>
        <b val="true"/>
        <sz val="10"/>
        <color rgb="FF000000"/>
        <rFont val="WenQuanYi Zen Hei"/>
        <family val="2"/>
      </rPr>
      <t xml:space="preserve">下限价值</t>
    </r>
  </si>
  <si>
    <r>
      <rPr>
        <sz val="10"/>
        <color rgb="FF000000"/>
        <rFont val="WenQuanYi Zen Hei"/>
        <family val="2"/>
      </rPr>
      <t xml:space="preserve">广发基金</t>
    </r>
    <r>
      <rPr>
        <sz val="10"/>
        <color rgb="FF000000"/>
        <rFont val="Arial"/>
        <family val="0"/>
        <charset val="1"/>
      </rPr>
      <t xml:space="preserve">14.187%</t>
    </r>
    <r>
      <rPr>
        <sz val="10"/>
        <color rgb="FF000000"/>
        <rFont val="WenQuanYi Zen Hei"/>
        <family val="2"/>
      </rPr>
      <t xml:space="preserve">股权</t>
    </r>
  </si>
  <si>
    <r>
      <rPr>
        <sz val="10"/>
        <color rgb="FF000000"/>
        <rFont val="WenQuanYi Zen Hei"/>
        <family val="2"/>
      </rPr>
      <t xml:space="preserve">其他联营企业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金融资产（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WenQuanYi Zen Hei"/>
        <family val="2"/>
      </rPr>
      <t xml:space="preserve">账面）</t>
    </r>
  </si>
  <si>
    <t xml:space="preserve">股权价值合计</t>
  </si>
  <si>
    <r>
      <rPr>
        <b val="true"/>
        <sz val="10"/>
        <color rgb="FF000000"/>
        <rFont val="Arial"/>
        <family val="0"/>
        <charset val="1"/>
      </rPr>
      <t xml:space="preserve">SOTP</t>
    </r>
    <r>
      <rPr>
        <b val="true"/>
        <sz val="10"/>
        <color rgb="FF000000"/>
        <rFont val="WenQuanYi Zen Hei"/>
        <family val="2"/>
      </rPr>
      <t xml:space="preserve">每股价值（元）</t>
    </r>
  </si>
  <si>
    <r>
      <rPr>
        <i val="true"/>
        <sz val="9"/>
        <color rgb="FF808080"/>
        <rFont val="WenQuanYi Zen Hei"/>
        <family val="2"/>
      </rPr>
      <t xml:space="preserve">注：</t>
    </r>
    <r>
      <rPr>
        <i val="true"/>
        <sz val="9"/>
        <color rgb="FF808080"/>
        <rFont val="Arial"/>
        <family val="0"/>
        <charset val="1"/>
      </rPr>
      <t xml:space="preserve">PE</t>
    </r>
    <r>
      <rPr>
        <i val="true"/>
        <sz val="9"/>
        <color rgb="FF808080"/>
        <rFont val="WenQuanYi Zen Hei"/>
        <family val="2"/>
      </rPr>
      <t xml:space="preserve">法下分部净利润已扣除分摊的财务费用，故不再单独扣减净负债；分部价值</t>
    </r>
    <r>
      <rPr>
        <i val="true"/>
        <sz val="9"/>
        <color rgb="FF808080"/>
        <rFont val="Arial"/>
        <family val="0"/>
        <charset val="1"/>
      </rPr>
      <t xml:space="preserve">=MAX(</t>
    </r>
    <r>
      <rPr>
        <i val="true"/>
        <sz val="9"/>
        <color rgb="FF808080"/>
        <rFont val="WenQuanYi Zen Hei"/>
        <family val="2"/>
      </rPr>
      <t xml:space="preserve">净利润</t>
    </r>
    <r>
      <rPr>
        <i val="true"/>
        <sz val="9"/>
        <color rgb="FF808080"/>
        <rFont val="Arial"/>
        <family val="0"/>
        <charset val="1"/>
      </rPr>
      <t xml:space="preserve">×PE, </t>
    </r>
    <r>
      <rPr>
        <i val="true"/>
        <sz val="9"/>
        <color rgb="FF808080"/>
        <rFont val="WenQuanYi Zen Hei"/>
        <family val="2"/>
      </rPr>
      <t xml:space="preserve">收入</t>
    </r>
    <r>
      <rPr>
        <i val="true"/>
        <sz val="9"/>
        <color rgb="FF808080"/>
        <rFont val="Arial"/>
        <family val="0"/>
        <charset val="1"/>
      </rPr>
      <t xml:space="preserve">×P/S</t>
    </r>
    <r>
      <rPr>
        <i val="true"/>
        <sz val="9"/>
        <color rgb="FF808080"/>
        <rFont val="WenQuanYi Zen Hei"/>
        <family val="2"/>
      </rPr>
      <t xml:space="preserve">下限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。</t>
    </r>
  </si>
  <si>
    <r>
      <rPr>
        <b val="true"/>
        <sz val="10"/>
        <color rgb="FF1F3864"/>
        <rFont val="Arial"/>
        <family val="0"/>
        <charset val="1"/>
      </rPr>
      <t xml:space="preserve">2026H1</t>
    </r>
    <r>
      <rPr>
        <b val="true"/>
        <sz val="10"/>
        <color rgb="FF1F3864"/>
        <rFont val="WenQuanYi Zen Hei"/>
        <family val="2"/>
      </rPr>
      <t xml:space="preserve">归母净利润来源拆解（估算，百万元）</t>
    </r>
  </si>
  <si>
    <r>
      <rPr>
        <sz val="10"/>
        <color rgb="FF000000"/>
        <rFont val="WenQuanYi Zen Hei"/>
        <family val="2"/>
      </rPr>
      <t xml:space="preserve">广发基金权益法收益（</t>
    </r>
    <r>
      <rPr>
        <sz val="10"/>
        <color rgb="FF000000"/>
        <rFont val="Arial"/>
        <family val="0"/>
        <charset val="1"/>
      </rPr>
      <t xml:space="preserve">14.187%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</si>
  <si>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808080"/>
        <rFont val="Arial"/>
        <family val="0"/>
        <charset val="1"/>
      </rPr>
      <t xml:space="preserve">2026</t>
    </r>
    <r>
      <rPr>
        <sz val="9"/>
        <color rgb="FF808080"/>
        <rFont val="WenQuanYi Zen Hei"/>
        <family val="2"/>
      </rPr>
      <t xml:space="preserve">半年报 长期股权投资附注：</t>
    </r>
    <r>
      <rPr>
        <sz val="9"/>
        <color rgb="FF808080"/>
        <rFont val="Arial"/>
        <family val="0"/>
        <charset val="1"/>
      </rPr>
      <t xml:space="preserve">348,797,214.65</t>
    </r>
    <r>
      <rPr>
        <sz val="9"/>
        <color rgb="FF808080"/>
        <rFont val="WenQuanYi Zen Hei"/>
        <family val="2"/>
      </rPr>
      <t xml:space="preserve">元</t>
    </r>
  </si>
  <si>
    <t xml:space="preserve">其他联营企业（藤仓烽火、南京华信藤仓等）</t>
  </si>
  <si>
    <r>
      <rPr>
        <sz val="9"/>
        <color rgb="FF808080"/>
        <rFont val="WenQuanYi Zen Hei"/>
        <family val="2"/>
      </rPr>
      <t xml:space="preserve">权益法合计</t>
    </r>
    <r>
      <rPr>
        <sz val="9"/>
        <color rgb="FF808080"/>
        <rFont val="Arial"/>
        <family val="0"/>
        <charset val="1"/>
      </rPr>
      <t xml:space="preserve">400.09−</t>
    </r>
    <r>
      <rPr>
        <sz val="9"/>
        <color rgb="FF808080"/>
        <rFont val="WenQuanYi Zen Hei"/>
        <family val="2"/>
      </rPr>
      <t xml:space="preserve">广发基金</t>
    </r>
    <r>
      <rPr>
        <sz val="9"/>
        <color rgb="FF808080"/>
        <rFont val="Arial"/>
        <family val="0"/>
        <charset val="1"/>
      </rPr>
      <t xml:space="preserve">348.80</t>
    </r>
  </si>
  <si>
    <t xml:space="preserve">武汉烽火光纤（原烽火藤仓光纤）归母净利润</t>
  </si>
  <si>
    <r>
      <rPr>
        <sz val="9"/>
        <color rgb="FF808080"/>
        <rFont val="WenQuanYi Zen Hei"/>
        <family val="2"/>
      </rPr>
      <t xml:space="preserve">子公司净利</t>
    </r>
    <r>
      <rPr>
        <sz val="9"/>
        <color rgb="FF808080"/>
        <rFont val="Arial"/>
        <family val="0"/>
        <charset val="1"/>
      </rPr>
      <t xml:space="preserve">4.88</t>
    </r>
    <r>
      <rPr>
        <sz val="9"/>
        <color rgb="FF808080"/>
        <rFont val="WenQuanYi Zen Hei"/>
        <family val="2"/>
      </rPr>
      <t xml:space="preserve">亿；</t>
    </r>
    <r>
      <rPr>
        <sz val="9"/>
        <color rgb="FF808080"/>
        <rFont val="Arial"/>
        <family val="0"/>
        <charset val="1"/>
      </rPr>
      <t xml:space="preserve">2026</t>
    </r>
    <r>
      <rPr>
        <sz val="9"/>
        <color rgb="FF808080"/>
        <rFont val="WenQuanYi Zen Hei"/>
        <family val="2"/>
      </rPr>
      <t xml:space="preserve">年</t>
    </r>
    <r>
      <rPr>
        <sz val="9"/>
        <color rgb="FF808080"/>
        <rFont val="Arial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月前持股</t>
    </r>
    <r>
      <rPr>
        <sz val="9"/>
        <color rgb="FF808080"/>
        <rFont val="Arial"/>
        <family val="0"/>
        <charset val="1"/>
      </rPr>
      <t xml:space="preserve">60%</t>
    </r>
    <r>
      <rPr>
        <sz val="9"/>
        <color rgb="FF808080"/>
        <rFont val="WenQuanYi Zen Hei"/>
        <family val="2"/>
      </rPr>
      <t xml:space="preserve">，估算归母约</t>
    </r>
    <r>
      <rPr>
        <sz val="9"/>
        <color rgb="FF808080"/>
        <rFont val="Arial"/>
        <family val="0"/>
        <charset val="1"/>
      </rPr>
      <t xml:space="preserve">4.52</t>
    </r>
    <r>
      <rPr>
        <sz val="9"/>
        <color rgb="FF808080"/>
        <rFont val="WenQuanYi Zen Hei"/>
        <family val="2"/>
      </rPr>
      <t xml:space="preserve">亿（据少数股权收购资本公积倒推）</t>
    </r>
  </si>
  <si>
    <t xml:space="preserve">归母净利润（报表）</t>
  </si>
  <si>
    <r>
      <rPr>
        <b val="true"/>
        <sz val="10"/>
        <color rgb="FF000000"/>
        <rFont val="WenQuanYi Zen Hei"/>
        <family val="2"/>
      </rPr>
      <t xml:space="preserve">其余业务合计（通信系统设备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服务器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烽火星空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烽火国际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总部等，轧差）</t>
    </r>
  </si>
  <si>
    <r>
      <rPr>
        <sz val="9"/>
        <color rgb="FF808080"/>
        <rFont val="WenQuanYi Zen Hei"/>
        <family val="2"/>
      </rPr>
      <t xml:space="preserve">同期子公司：烽火星空净利−</t>
    </r>
    <r>
      <rPr>
        <sz val="9"/>
        <color rgb="FF808080"/>
        <rFont val="Arial"/>
        <family val="0"/>
        <charset val="1"/>
      </rPr>
      <t xml:space="preserve">3.75</t>
    </r>
    <r>
      <rPr>
        <sz val="9"/>
        <color rgb="FF808080"/>
        <rFont val="WenQuanYi Zen Hei"/>
        <family val="2"/>
      </rPr>
      <t xml:space="preserve">亿、烽火国际−</t>
    </r>
    <r>
      <rPr>
        <sz val="9"/>
        <color rgb="FF808080"/>
        <rFont val="Arial"/>
        <family val="0"/>
        <charset val="1"/>
      </rPr>
      <t xml:space="preserve">1.72</t>
    </r>
    <r>
      <rPr>
        <sz val="9"/>
        <color rgb="FF808080"/>
        <rFont val="WenQuanYi Zen Hei"/>
        <family val="2"/>
      </rPr>
      <t xml:space="preserve">亿、烽火超微−</t>
    </r>
    <r>
      <rPr>
        <sz val="9"/>
        <color rgb="FF808080"/>
        <rFont val="Arial"/>
        <family val="0"/>
        <charset val="1"/>
      </rPr>
      <t xml:space="preserve">0.28</t>
    </r>
    <r>
      <rPr>
        <sz val="9"/>
        <color rgb="FF808080"/>
        <rFont val="WenQuanYi Zen Hei"/>
        <family val="2"/>
      </rPr>
      <t xml:space="preserve">亿（</t>
    </r>
    <r>
      <rPr>
        <sz val="9"/>
        <color rgb="FF808080"/>
        <rFont val="Arial"/>
        <family val="0"/>
        <charset val="1"/>
      </rPr>
      <t xml:space="preserve">2026</t>
    </r>
    <r>
      <rPr>
        <sz val="9"/>
        <color rgb="FF808080"/>
        <rFont val="WenQuanYi Zen Hei"/>
        <family val="2"/>
      </rPr>
      <t xml:space="preserve">半年报 主要子公司表）</t>
    </r>
  </si>
  <si>
    <t xml:space="preserve">市场隐含预期（现价反推）</t>
  </si>
  <si>
    <t xml:space="preserve">当前市值</t>
  </si>
  <si>
    <t xml:space="preserve">减：广发基金股权价值</t>
  </si>
  <si>
    <t xml:space="preserve">减：其他联营企业及金融资产</t>
  </si>
  <si>
    <t xml:space="preserve">市场对主业的定价（市值−广发基金−其他投资）</t>
  </si>
  <si>
    <r>
      <rPr>
        <sz val="10"/>
        <color rgb="FF000000"/>
        <rFont val="WenQuanYi Zen Hei"/>
        <family val="2"/>
      </rPr>
      <t xml:space="preserve">主业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归母净利润（扣除权益法收益）</t>
    </r>
  </si>
  <si>
    <r>
      <rPr>
        <b val="true"/>
        <sz val="10"/>
        <color rgb="FF000000"/>
        <rFont val="WenQuanYi Zen Hei"/>
        <family val="2"/>
      </rPr>
      <t xml:space="preserve">隐含主业</t>
    </r>
    <r>
      <rPr>
        <b val="true"/>
        <sz val="10"/>
        <color rgb="FF000000"/>
        <rFont val="Arial"/>
        <family val="0"/>
        <charset val="1"/>
      </rPr>
      <t xml:space="preserve">PE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2027E</t>
    </r>
    <r>
      <rPr>
        <b val="true"/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</si>
  <si>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隐含主业市销率 </t>
    </r>
    <r>
      <rPr>
        <sz val="10"/>
        <color rgb="FF000000"/>
        <rFont val="Arial"/>
        <family val="0"/>
        <charset val="1"/>
      </rPr>
      <t xml:space="preserve">P/S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WenQuanYi Zen Hei"/>
        <family val="2"/>
      </rPr>
      <t xml:space="preserve">）</t>
    </r>
  </si>
  <si>
    <t xml:space="preserve">相对估值与一致预期对比</t>
  </si>
  <si>
    <r>
      <rPr>
        <i val="true"/>
        <sz val="9"/>
        <color rgb="FF808080"/>
        <rFont val="WenQuanYi Zen Hei"/>
        <family val="2"/>
      </rPr>
      <t xml:space="preserve">可比公司</t>
    </r>
    <r>
      <rPr>
        <i val="true"/>
        <sz val="9"/>
        <color rgb="FF808080"/>
        <rFont val="Arial"/>
        <family val="0"/>
        <charset val="1"/>
      </rPr>
      <t xml:space="preserve">PE</t>
    </r>
    <r>
      <rPr>
        <i val="true"/>
        <sz val="9"/>
        <color rgb="FF808080"/>
        <rFont val="WenQuanYi Zen Hei"/>
        <family val="2"/>
      </rPr>
      <t xml:space="preserve">为网络检索所得（</t>
    </r>
    <r>
      <rPr>
        <i val="true"/>
        <sz val="9"/>
        <color rgb="FF808080"/>
        <rFont val="Arial"/>
        <family val="0"/>
        <charset val="1"/>
      </rPr>
      <t xml:space="preserve">PE TTM</t>
    </r>
    <r>
      <rPr>
        <i val="true"/>
        <sz val="9"/>
        <color rgb="FF808080"/>
        <rFont val="WenQuanYi Zen Hei"/>
        <family val="2"/>
      </rPr>
      <t xml:space="preserve">，日期见表）——使用前请以</t>
    </r>
    <r>
      <rPr>
        <i val="true"/>
        <sz val="9"/>
        <color rgb="FF808080"/>
        <rFont val="Arial"/>
        <family val="0"/>
        <charset val="1"/>
      </rPr>
      <t xml:space="preserve">Wind/Choice</t>
    </r>
    <r>
      <rPr>
        <i val="true"/>
        <sz val="9"/>
        <color rgb="FF808080"/>
        <rFont val="WenQuanYi Zen Hei"/>
        <family val="2"/>
      </rPr>
      <t xml:space="preserve">最新数据更新；蓝色为输入</t>
    </r>
  </si>
  <si>
    <r>
      <rPr>
        <b val="true"/>
        <sz val="10"/>
        <color rgb="FF1F3864"/>
        <rFont val="WenQuanYi Zen Hei"/>
        <family val="2"/>
      </rPr>
      <t xml:space="preserve">可比公司（</t>
    </r>
    <r>
      <rPr>
        <b val="true"/>
        <sz val="10"/>
        <color rgb="FF1F3864"/>
        <rFont val="Arial"/>
        <family val="0"/>
        <charset val="1"/>
      </rPr>
      <t xml:space="preserve">PE TTM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</si>
  <si>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公司</t>
  </si>
  <si>
    <t xml:space="preserve">代码</t>
  </si>
  <si>
    <t xml:space="preserve">PE(TTM)</t>
  </si>
  <si>
    <t xml:space="preserve">日期</t>
  </si>
  <si>
    <t xml:space="preserve">来源</t>
  </si>
  <si>
    <t xml:space="preserve">长飞光纤</t>
  </si>
  <si>
    <t xml:space="preserve">601869.SH</t>
  </si>
  <si>
    <t xml:space="preserve">2026-09-18</t>
  </si>
  <si>
    <r>
      <rPr>
        <sz val="9"/>
        <color rgb="FF808080"/>
        <rFont val="WenQuanYi Zen Hei"/>
        <family val="2"/>
      </rPr>
      <t xml:space="preserve">同花顺“昨日估值”：</t>
    </r>
    <r>
      <rPr>
        <sz val="9"/>
        <color rgb="FF808080"/>
        <rFont val="Arial"/>
        <family val="0"/>
        <charset val="1"/>
      </rPr>
      <t xml:space="preserve">PE(TTM)109.42</t>
    </r>
    <r>
      <rPr>
        <sz val="9"/>
        <color rgb="FF808080"/>
        <rFont val="WenQuanYi Zen Hei"/>
        <family val="2"/>
      </rPr>
      <t xml:space="preserve">倍，历史分位</t>
    </r>
    <r>
      <rPr>
        <sz val="9"/>
        <color rgb="FF808080"/>
        <rFont val="Arial"/>
        <family val="0"/>
        <charset val="1"/>
      </rPr>
      <t xml:space="preserve">90.6%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http://stock.10jqka.com.cn/20260921/c680111695.shtml</t>
    </r>
  </si>
  <si>
    <t xml:space="preserve">亨通光电</t>
  </si>
  <si>
    <t xml:space="preserve">600487.SH</t>
  </si>
  <si>
    <t xml:space="preserve">2026-09-22</t>
  </si>
  <si>
    <r>
      <rPr>
        <sz val="9"/>
        <color rgb="FF808080"/>
        <rFont val="Arial"/>
        <family val="0"/>
        <charset val="1"/>
      </rPr>
      <t xml:space="preserve">PE(TTM)43</t>
    </r>
    <r>
      <rPr>
        <sz val="9"/>
        <color rgb="FF808080"/>
        <rFont val="WenQuanYi Zen Hei"/>
        <family val="2"/>
      </rPr>
      <t xml:space="preserve">倍，历史分位</t>
    </r>
    <r>
      <rPr>
        <sz val="9"/>
        <color rgb="FF808080"/>
        <rFont val="Arial"/>
        <family val="0"/>
        <charset val="1"/>
      </rPr>
      <t xml:space="preserve">96.8%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http://stock.10jqka.com.cn/20260923/c680199516.shtml</t>
    </r>
  </si>
  <si>
    <t xml:space="preserve">中天科技</t>
  </si>
  <si>
    <t xml:space="preserve">600522.SH</t>
  </si>
  <si>
    <r>
      <rPr>
        <sz val="9"/>
        <color rgb="FF808080"/>
        <rFont val="Arial"/>
        <family val="0"/>
        <charset val="1"/>
      </rPr>
      <t xml:space="preserve">PE(TTM)33.82</t>
    </r>
    <r>
      <rPr>
        <sz val="9"/>
        <color rgb="FF808080"/>
        <rFont val="WenQuanYi Zen Hei"/>
        <family val="2"/>
      </rPr>
      <t xml:space="preserve">倍，历史分位</t>
    </r>
    <r>
      <rPr>
        <sz val="9"/>
        <color rgb="FF808080"/>
        <rFont val="Arial"/>
        <family val="0"/>
        <charset val="1"/>
      </rPr>
      <t xml:space="preserve">87.1%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http://stock.10jqka.com.cn/20260923/c680199594.shtml</t>
    </r>
  </si>
  <si>
    <t xml:space="preserve">中兴通讯</t>
  </si>
  <si>
    <t xml:space="preserve">000063.SZ</t>
  </si>
  <si>
    <t xml:space="preserve">2026-08-10</t>
  </si>
  <si>
    <r>
      <rPr>
        <sz val="9"/>
        <color rgb="FF808080"/>
        <rFont val="Arial"/>
        <family val="0"/>
        <charset val="1"/>
      </rPr>
      <t xml:space="preserve">PE(TTM)36.66</t>
    </r>
    <r>
      <rPr>
        <sz val="9"/>
        <color rgb="FF808080"/>
        <rFont val="WenQuanYi Zen Hei"/>
        <family val="2"/>
      </rPr>
      <t xml:space="preserve">倍，历史分位</t>
    </r>
    <r>
      <rPr>
        <sz val="9"/>
        <color rgb="FF808080"/>
        <rFont val="Arial"/>
        <family val="0"/>
        <charset val="1"/>
      </rPr>
      <t xml:space="preserve">87.8%</t>
    </r>
    <r>
      <rPr>
        <sz val="9"/>
        <color rgb="FF808080"/>
        <rFont val="WenQuanYi Zen Hei"/>
        <family val="2"/>
      </rPr>
      <t xml:space="preserve">；</t>
    </r>
    <r>
      <rPr>
        <sz val="9"/>
        <color rgb="FF808080"/>
        <rFont val="Arial"/>
        <family val="0"/>
        <charset val="1"/>
      </rPr>
      <t xml:space="preserve">https://stock.10jqka.com.cn/20260811/c678839945.shtml</t>
    </r>
  </si>
  <si>
    <t xml:space="preserve">中位数</t>
  </si>
  <si>
    <t xml:space="preserve">中位数（剔除长飞光纤）</t>
  </si>
  <si>
    <t xml:space="preserve">烽火通信估值指标（现价）</t>
  </si>
  <si>
    <t xml:space="preserve">指标</t>
  </si>
  <si>
    <t xml:space="preserve">归母净利润（模型）</t>
  </si>
  <si>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WenQuanYi Zen Hei"/>
        <family val="2"/>
      </rPr>
      <t xml:space="preserve">（期末股本摊薄，元）</t>
    </r>
  </si>
  <si>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（剔除广发基金股权价值后）</t>
    </r>
  </si>
  <si>
    <r>
      <rPr>
        <sz val="10"/>
        <color rgb="FF000000"/>
        <rFont val="Arial"/>
        <family val="0"/>
        <charset val="1"/>
      </rPr>
      <t xml:space="preserve">PB</t>
    </r>
    <r>
      <rPr>
        <sz val="10"/>
        <color rgb="FF000000"/>
        <rFont val="WenQuanYi Zen Hei"/>
        <family val="2"/>
      </rPr>
      <t xml:space="preserve">（现价）</t>
    </r>
  </si>
  <si>
    <t xml:space="preserve">股息率</t>
  </si>
  <si>
    <r>
      <rPr>
        <sz val="10"/>
        <color rgb="FF000000"/>
        <rFont val="Arial"/>
        <family val="0"/>
        <charset val="1"/>
      </rPr>
      <t xml:space="preserve">PE(TTM)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2025H2+2026H1</t>
    </r>
    <r>
      <rPr>
        <sz val="10"/>
        <color rgb="FF000000"/>
        <rFont val="WenQuanYi Zen Hei"/>
        <family val="2"/>
      </rPr>
      <t xml:space="preserve">归母净利润</t>
    </r>
  </si>
  <si>
    <r>
      <rPr>
        <b val="true"/>
        <sz val="10"/>
        <color rgb="FF1F3864"/>
        <rFont val="WenQuanYi Zen Hei"/>
        <family val="2"/>
      </rPr>
      <t xml:space="preserve">模型 </t>
    </r>
    <r>
      <rPr>
        <b val="true"/>
        <sz val="10"/>
        <color rgb="FF1F3864"/>
        <rFont val="Arial"/>
        <family val="0"/>
        <charset val="1"/>
      </rPr>
      <t xml:space="preserve">vs Wind</t>
    </r>
    <r>
      <rPr>
        <b val="true"/>
        <sz val="10"/>
        <color rgb="FF1F3864"/>
        <rFont val="WenQuanYi Zen Hei"/>
        <family val="2"/>
      </rPr>
      <t xml:space="preserve">一致预期（</t>
    </r>
    <r>
      <rPr>
        <b val="true"/>
        <sz val="10"/>
        <color rgb="FF1F3864"/>
        <rFont val="Arial"/>
        <family val="0"/>
        <charset val="1"/>
      </rPr>
      <t xml:space="preserve">2026-10-06</t>
    </r>
    <r>
      <rPr>
        <b val="true"/>
        <sz val="10"/>
        <color rgb="FF1F3864"/>
        <rFont val="WenQuanYi Zen Hei"/>
        <family val="2"/>
      </rPr>
      <t xml:space="preserve">，</t>
    </r>
    <r>
      <rPr>
        <b val="true"/>
        <sz val="10"/>
        <color rgb="FF1F3864"/>
        <rFont val="Arial"/>
        <family val="0"/>
        <charset val="1"/>
      </rPr>
      <t xml:space="preserve">6</t>
    </r>
    <r>
      <rPr>
        <b val="true"/>
        <sz val="10"/>
        <color rgb="FF1F3864"/>
        <rFont val="WenQuanYi Zen Hei"/>
        <family val="2"/>
      </rPr>
      <t xml:space="preserve">家机构）</t>
    </r>
  </si>
  <si>
    <t xml:space="preserve">一致预期：营业收入</t>
  </si>
  <si>
    <t xml:space="preserve">模型：营业收入</t>
  </si>
  <si>
    <t xml:space="preserve">  差异</t>
  </si>
  <si>
    <t xml:space="preserve">一致预期：归母净利润</t>
  </si>
  <si>
    <t xml:space="preserve">  一致预期最高值</t>
  </si>
  <si>
    <t xml:space="preserve">  一致预期最低值</t>
  </si>
  <si>
    <t xml:space="preserve">模型：归母净利润</t>
  </si>
  <si>
    <t xml:space="preserve">模型：其中广发基金权益法收益</t>
  </si>
  <si>
    <r>
      <rPr>
        <i val="true"/>
        <sz val="9"/>
        <color rgb="FF808080"/>
        <rFont val="WenQuanYi Zen Hei"/>
        <family val="2"/>
      </rPr>
      <t xml:space="preserve">来源：</t>
    </r>
    <r>
      <rPr>
        <i val="true"/>
        <sz val="9"/>
        <color rgb="FF808080"/>
        <rFont val="Arial"/>
        <family val="0"/>
        <charset val="1"/>
      </rPr>
      <t xml:space="preserve">Wind</t>
    </r>
    <r>
      <rPr>
        <i val="true"/>
        <sz val="9"/>
        <color rgb="FF808080"/>
        <rFont val="WenQuanYi Zen Hei"/>
        <family val="2"/>
      </rPr>
      <t xml:space="preserve">盈利预测（</t>
    </r>
    <r>
      <rPr>
        <i val="true"/>
        <sz val="9"/>
        <color rgb="FF808080"/>
        <rFont val="Arial"/>
        <family val="0"/>
        <charset val="1"/>
      </rPr>
      <t xml:space="preserve">2026-10-06</t>
    </r>
    <r>
      <rPr>
        <i val="true"/>
        <sz val="9"/>
        <color rgb="FF808080"/>
        <rFont val="WenQuanYi Zen Hei"/>
        <family val="2"/>
      </rPr>
      <t xml:space="preserve">导出）。</t>
    </r>
    <r>
      <rPr>
        <i val="true"/>
        <sz val="9"/>
        <color rgb="FF808080"/>
        <rFont val="Arial"/>
        <family val="0"/>
        <charset val="1"/>
      </rPr>
      <t xml:space="preserve">6</t>
    </r>
    <r>
      <rPr>
        <i val="true"/>
        <sz val="9"/>
        <color rgb="FF808080"/>
        <rFont val="WenQuanYi Zen Hei"/>
        <family val="2"/>
      </rPr>
      <t xml:space="preserve">家机构中多数为中报前（</t>
    </r>
    <r>
      <rPr>
        <i val="true"/>
        <sz val="9"/>
        <color rgb="FF808080"/>
        <rFont val="Arial"/>
        <family val="0"/>
        <charset val="1"/>
      </rPr>
      <t xml:space="preserve">5–6</t>
    </r>
    <r>
      <rPr>
        <i val="true"/>
        <sz val="9"/>
        <color rgb="FF808080"/>
        <rFont val="WenQuanYi Zen Hei"/>
        <family val="2"/>
      </rPr>
      <t xml:space="preserve">月）预测；中报后唯一更新（</t>
    </r>
    <r>
      <rPr>
        <i val="true"/>
        <sz val="9"/>
        <color rgb="FF808080"/>
        <rFont val="Arial"/>
        <family val="0"/>
        <charset val="1"/>
      </rPr>
      <t xml:space="preserve">2026-09-06</t>
    </r>
    <r>
      <rPr>
        <i val="true"/>
        <sz val="9"/>
        <color rgb="FF808080"/>
        <rFont val="WenQuanYi Zen Hei"/>
        <family val="2"/>
      </rPr>
      <t xml:space="preserve">）为</t>
    </r>
    <r>
      <rPr>
        <i val="true"/>
        <sz val="9"/>
        <color rgb="FF808080"/>
        <rFont val="Arial"/>
        <family val="0"/>
        <charset val="1"/>
      </rPr>
      <t xml:space="preserve">2026E 6.09</t>
    </r>
    <r>
      <rPr>
        <i val="true"/>
        <sz val="9"/>
        <color rgb="FF808080"/>
        <rFont val="WenQuanYi Zen Hei"/>
        <family val="2"/>
      </rPr>
      <t xml:space="preserve">亿、</t>
    </r>
    <r>
      <rPr>
        <i val="true"/>
        <sz val="9"/>
        <color rgb="FF808080"/>
        <rFont val="Arial"/>
        <family val="0"/>
        <charset val="1"/>
      </rPr>
      <t xml:space="preserve">2027E 7.21</t>
    </r>
    <r>
      <rPr>
        <i val="true"/>
        <sz val="9"/>
        <color rgb="FF808080"/>
        <rFont val="WenQuanYi Zen Hei"/>
        <family val="2"/>
      </rPr>
      <t xml:space="preserve">亿。</t>
    </r>
  </si>
  <si>
    <r>
      <rPr>
        <b val="true"/>
        <sz val="10"/>
        <color rgb="FF1F3864"/>
        <rFont val="WenQuanYi Zen Hei"/>
        <family val="2"/>
      </rPr>
      <t xml:space="preserve">目标</t>
    </r>
    <r>
      <rPr>
        <b val="true"/>
        <sz val="10"/>
        <color rgb="FF1F3864"/>
        <rFont val="Arial"/>
        <family val="0"/>
        <charset val="1"/>
      </rPr>
      <t xml:space="preserve">PE</t>
    </r>
    <r>
      <rPr>
        <b val="true"/>
        <sz val="10"/>
        <color rgb="FF1F3864"/>
        <rFont val="WenQuanYi Zen Hei"/>
        <family val="2"/>
      </rPr>
      <t xml:space="preserve">法</t>
    </r>
  </si>
  <si>
    <r>
      <rPr>
        <b val="true"/>
        <sz val="10"/>
        <color rgb="FF000000"/>
        <rFont val="WenQuanYi Zen Hei"/>
        <family val="2"/>
      </rPr>
      <t xml:space="preserve">目标</t>
    </r>
    <r>
      <rPr>
        <b val="true"/>
        <sz val="10"/>
        <color rgb="FF000000"/>
        <rFont val="Arial"/>
        <family val="0"/>
        <charset val="1"/>
      </rPr>
      <t xml:space="preserve">PE</t>
    </r>
    <r>
      <rPr>
        <b val="true"/>
        <sz val="10"/>
        <color rgb="FF000000"/>
        <rFont val="WenQuanYi Zen Hei"/>
        <family val="2"/>
      </rPr>
      <t xml:space="preserve">法每股价值（元）</t>
    </r>
  </si>
  <si>
    <r>
      <rPr>
        <b val="true"/>
        <sz val="10"/>
        <color rgb="FF1F3864"/>
        <rFont val="Arial"/>
        <family val="0"/>
        <charset val="1"/>
      </rPr>
      <t xml:space="preserve">PE × EPS </t>
    </r>
    <r>
      <rPr>
        <b val="true"/>
        <sz val="10"/>
        <color rgb="FF1F3864"/>
        <rFont val="WenQuanYi Zen Hei"/>
        <family val="2"/>
      </rPr>
      <t xml:space="preserve">矩阵（每股价值，元）</t>
    </r>
  </si>
  <si>
    <r>
      <rPr>
        <b val="true"/>
        <sz val="10"/>
        <color rgb="FF000000"/>
        <rFont val="Arial"/>
        <family val="0"/>
        <charset val="1"/>
      </rPr>
      <t xml:space="preserve">PE \ EPS</t>
    </r>
    <r>
      <rPr>
        <b val="true"/>
        <sz val="10"/>
        <color rgb="FF000000"/>
        <rFont val="WenQuanYi Zen Hei"/>
        <family val="2"/>
      </rPr>
      <t xml:space="preserve">年份</t>
    </r>
  </si>
  <si>
    <r>
      <rPr>
        <i val="true"/>
        <sz val="9"/>
        <color rgb="FF808080"/>
        <rFont val="WenQuanYi Zen Hei"/>
        <family val="2"/>
      </rPr>
      <t xml:space="preserve">“当前”列随假设表情景开关实时计算；基准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乐观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悲观三列为模型分别切换情景后重算得到的快照值（蓝色）</t>
    </r>
  </si>
  <si>
    <t xml:space="preserve">基准</t>
  </si>
  <si>
    <t xml:space="preserve">乐观</t>
  </si>
  <si>
    <t xml:space="preserve">悲观</t>
  </si>
  <si>
    <t xml:space="preserve">当前情景名称</t>
  </si>
  <si>
    <r>
      <rPr>
        <sz val="10"/>
        <color rgb="FF000000"/>
        <rFont val="WenQuanYi Zen Hei"/>
        <family val="2"/>
      </rPr>
      <t xml:space="preserve">营业收入 </t>
    </r>
    <r>
      <rPr>
        <sz val="10"/>
        <color rgb="FF000000"/>
        <rFont val="Arial"/>
        <family val="0"/>
        <charset val="1"/>
      </rPr>
      <t xml:space="preserve">2026E</t>
    </r>
  </si>
  <si>
    <r>
      <rPr>
        <sz val="10"/>
        <color rgb="FF000000"/>
        <rFont val="WenQuanYi Zen Hei"/>
        <family val="2"/>
      </rPr>
      <t xml:space="preserve">营业收入 </t>
    </r>
    <r>
      <rPr>
        <sz val="10"/>
        <color rgb="FF000000"/>
        <rFont val="Arial"/>
        <family val="0"/>
        <charset val="1"/>
      </rPr>
      <t xml:space="preserve">2027E</t>
    </r>
  </si>
  <si>
    <r>
      <rPr>
        <sz val="10"/>
        <color rgb="FF000000"/>
        <rFont val="WenQuanYi Zen Hei"/>
        <family val="2"/>
      </rPr>
      <t xml:space="preserve">营业收入 </t>
    </r>
    <r>
      <rPr>
        <sz val="10"/>
        <color rgb="FF000000"/>
        <rFont val="Arial"/>
        <family val="0"/>
        <charset val="1"/>
      </rPr>
      <t xml:space="preserve">2028E</t>
    </r>
  </si>
  <si>
    <r>
      <rPr>
        <sz val="10"/>
        <color rgb="FF000000"/>
        <rFont val="WenQuanYi Zen Hei"/>
        <family val="2"/>
      </rPr>
      <t xml:space="preserve">归母净利润 </t>
    </r>
    <r>
      <rPr>
        <sz val="10"/>
        <color rgb="FF000000"/>
        <rFont val="Arial"/>
        <family val="0"/>
        <charset val="1"/>
      </rPr>
      <t xml:space="preserve">2026E</t>
    </r>
  </si>
  <si>
    <r>
      <rPr>
        <sz val="10"/>
        <color rgb="FF000000"/>
        <rFont val="WenQuanYi Zen Hei"/>
        <family val="2"/>
      </rPr>
      <t xml:space="preserve">归母净利润 </t>
    </r>
    <r>
      <rPr>
        <sz val="10"/>
        <color rgb="FF000000"/>
        <rFont val="Arial"/>
        <family val="0"/>
        <charset val="1"/>
      </rPr>
      <t xml:space="preserve">2027E</t>
    </r>
  </si>
  <si>
    <r>
      <rPr>
        <sz val="10"/>
        <color rgb="FF000000"/>
        <rFont val="WenQuanYi Zen Hei"/>
        <family val="2"/>
      </rPr>
      <t xml:space="preserve">归母净利润 </t>
    </r>
    <r>
      <rPr>
        <sz val="10"/>
        <color rgb="FF000000"/>
        <rFont val="Arial"/>
        <family val="0"/>
        <charset val="1"/>
      </rPr>
      <t xml:space="preserve">2028E</t>
    </r>
  </si>
  <si>
    <r>
      <rPr>
        <sz val="10"/>
        <color rgb="FF000000"/>
        <rFont val="Arial"/>
        <family val="0"/>
        <charset val="1"/>
      </rPr>
      <t xml:space="preserve">EPS 2026E</t>
    </r>
    <r>
      <rPr>
        <sz val="10"/>
        <color rgb="FF000000"/>
        <rFont val="WenQuanYi Zen Hei"/>
        <family val="2"/>
      </rPr>
      <t xml:space="preserve">（元）</t>
    </r>
  </si>
  <si>
    <r>
      <rPr>
        <sz val="10"/>
        <color rgb="FF000000"/>
        <rFont val="Arial"/>
        <family val="0"/>
        <charset val="1"/>
      </rPr>
      <t xml:space="preserve">EPS 2027E</t>
    </r>
    <r>
      <rPr>
        <sz val="10"/>
        <color rgb="FF000000"/>
        <rFont val="WenQuanYi Zen Hei"/>
        <family val="2"/>
      </rPr>
      <t xml:space="preserve">（元）</t>
    </r>
  </si>
  <si>
    <r>
      <rPr>
        <sz val="10"/>
        <color rgb="FF000000"/>
        <rFont val="WenQuanYi Zen Hei"/>
        <family val="2"/>
      </rPr>
      <t xml:space="preserve">扣除广发基金后归母净利润 </t>
    </r>
    <r>
      <rPr>
        <sz val="10"/>
        <color rgb="FF000000"/>
        <rFont val="Arial"/>
        <family val="0"/>
        <charset val="1"/>
      </rPr>
      <t xml:space="preserve">2027E</t>
    </r>
  </si>
  <si>
    <r>
      <rPr>
        <sz val="10"/>
        <color rgb="FF000000"/>
        <rFont val="WenQuanYi Zen Hei"/>
        <family val="2"/>
      </rPr>
      <t xml:space="preserve">光纤及线缆毛利 </t>
    </r>
    <r>
      <rPr>
        <sz val="10"/>
        <color rgb="FF000000"/>
        <rFont val="Arial"/>
        <family val="0"/>
        <charset val="1"/>
      </rPr>
      <t xml:space="preserve">2027E</t>
    </r>
  </si>
  <si>
    <t xml:space="preserve">FCFF 2027E</t>
  </si>
  <si>
    <r>
      <rPr>
        <sz val="10"/>
        <color rgb="FF000000"/>
        <rFont val="WenQuanYi Zen Hei"/>
        <family val="2"/>
      </rPr>
      <t xml:space="preserve">净负债 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WenQuanYi Zen Hei"/>
        <family val="2"/>
      </rPr>
      <t xml:space="preserve">末</t>
    </r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</si>
  <si>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WenQuanYi Zen Hei"/>
        <family val="2"/>
      </rPr>
      <t xml:space="preserve">每股价值（元）</t>
    </r>
  </si>
  <si>
    <r>
      <rPr>
        <sz val="10"/>
        <color rgb="FF000000"/>
        <rFont val="Arial"/>
        <family val="0"/>
        <charset val="1"/>
      </rPr>
      <t xml:space="preserve">SOTP</t>
    </r>
    <r>
      <rPr>
        <sz val="10"/>
        <color rgb="FF000000"/>
        <rFont val="WenQuanYi Zen Hei"/>
        <family val="2"/>
      </rPr>
      <t xml:space="preserve">每股价值（元）</t>
    </r>
  </si>
  <si>
    <r>
      <rPr>
        <sz val="10"/>
        <color rgb="FF000000"/>
        <rFont val="WenQuanYi Zen Hei"/>
        <family val="2"/>
      </rPr>
      <t xml:space="preserve">目标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WenQuanYi Zen Hei"/>
        <family val="2"/>
      </rPr>
      <t xml:space="preserve">法每股价值（元）</t>
    </r>
  </si>
  <si>
    <t xml:space="preserve">n.m.</t>
  </si>
  <si>
    <t xml:space="preserve">情景设定要点</t>
  </si>
  <si>
    <r>
      <rPr>
        <sz val="10"/>
        <color rgb="FF000000"/>
        <rFont val="WenQuanYi Zen Hei"/>
        <family val="2"/>
      </rPr>
      <t xml:space="preserve">基准：通信系统设备收入</t>
    </r>
    <r>
      <rPr>
        <sz val="10"/>
        <color rgb="FF000000"/>
        <rFont val="Arial"/>
        <family val="0"/>
        <charset val="1"/>
      </rPr>
      <t xml:space="preserve">4%–8%</t>
    </r>
    <r>
      <rPr>
        <sz val="10"/>
        <color rgb="FF000000"/>
        <rFont val="WenQuanYi Zen Hei"/>
        <family val="2"/>
      </rPr>
      <t xml:space="preserve">增长、毛利率</t>
    </r>
    <r>
      <rPr>
        <sz val="10"/>
        <color rgb="FF000000"/>
        <rFont val="Arial"/>
        <family val="0"/>
        <charset val="1"/>
      </rPr>
      <t xml:space="preserve">2026E 13.8%</t>
    </r>
    <r>
      <rPr>
        <sz val="10"/>
        <color rgb="FF000000"/>
        <rFont val="WenQuanYi Zen Hei"/>
        <family val="2"/>
      </rPr>
      <t xml:space="preserve">（延续下半年低于上半年的季节性）后逐步修复至</t>
    </r>
    <r>
      <rPr>
        <sz val="10"/>
        <color rgb="FF000000"/>
        <rFont val="Arial"/>
        <family val="0"/>
        <charset val="1"/>
      </rPr>
      <t xml:space="preserve">16.5%</t>
    </r>
    <r>
      <rPr>
        <sz val="10"/>
        <color rgb="FF000000"/>
        <rFont val="WenQuanYi Zen Hei"/>
        <family val="2"/>
      </rPr>
      <t xml:space="preserve">（存储涨价压制缓解、服务器规模效应）；光纤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年量价齐升（价</t>
    </r>
    <r>
      <rPr>
        <sz val="10"/>
        <color rgb="FF000000"/>
        <rFont val="Arial"/>
        <family val="0"/>
        <charset val="1"/>
      </rPr>
      <t xml:space="preserve">+25%</t>
    </r>
    <r>
      <rPr>
        <sz val="10"/>
        <color rgb="FF000000"/>
        <rFont val="WenQuanYi Zen Hei"/>
        <family val="2"/>
      </rPr>
      <t xml:space="preserve">）后</t>
    </r>
    <r>
      <rPr>
        <sz val="10"/>
        <color rgb="FF000000"/>
        <rFont val="Arial"/>
        <family val="0"/>
        <charset val="1"/>
      </rPr>
      <t xml:space="preserve">2027–2028</t>
    </r>
    <r>
      <rPr>
        <sz val="10"/>
        <color rgb="FF000000"/>
        <rFont val="WenQuanYi Zen Hei"/>
        <family val="2"/>
      </rPr>
      <t xml:space="preserve">年价格回落</t>
    </r>
    <r>
      <rPr>
        <sz val="10"/>
        <color rgb="FF000000"/>
        <rFont val="Arial"/>
        <family val="0"/>
        <charset val="1"/>
      </rPr>
      <t xml:space="preserve">5%–8%</t>
    </r>
    <r>
      <rPr>
        <sz val="10"/>
        <color rgb="FF000000"/>
        <rFont val="WenQuanYi Zen Hei"/>
        <family val="2"/>
      </rPr>
      <t xml:space="preserve">、毛利率由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回落至</t>
    </r>
    <r>
      <rPr>
        <sz val="10"/>
        <color rgb="FF000000"/>
        <rFont val="Arial"/>
        <family val="0"/>
        <charset val="1"/>
      </rPr>
      <t xml:space="preserve">28%</t>
    </r>
    <r>
      <rPr>
        <sz val="10"/>
        <color rgb="FF000000"/>
        <rFont val="WenQuanYi Zen Hei"/>
        <family val="2"/>
      </rPr>
      <t xml:space="preserve">；广发基金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年净利润约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亿元、此后</t>
    </r>
    <r>
      <rPr>
        <sz val="10"/>
        <color rgb="FF000000"/>
        <rFont val="Arial"/>
        <family val="0"/>
        <charset val="1"/>
      </rPr>
      <t xml:space="preserve">+5%</t>
    </r>
    <r>
      <rPr>
        <sz val="10"/>
        <color rgb="FF000000"/>
        <rFont val="WenQuanYi Zen Hei"/>
        <family val="2"/>
      </rPr>
      <t xml:space="preserve">；应收账款天数由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WenQuanYi Zen Hei"/>
        <family val="2"/>
      </rPr>
      <t xml:space="preserve">天改善至</t>
    </r>
    <r>
      <rPr>
        <sz val="10"/>
        <color rgb="FF000000"/>
        <rFont val="Arial"/>
        <family val="0"/>
        <charset val="1"/>
      </rPr>
      <t xml:space="preserve">170</t>
    </r>
    <r>
      <rPr>
        <sz val="10"/>
        <color rgb="FF000000"/>
        <rFont val="WenQuanYi Zen Hei"/>
        <family val="2"/>
      </rPr>
      <t xml:space="preserve">天；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年完成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WenQuanYi Zen Hei"/>
        <family val="2"/>
      </rPr>
      <t xml:space="preserve">亿元定增。</t>
    </r>
  </si>
  <si>
    <r>
      <rPr>
        <sz val="10"/>
        <color rgb="FF000000"/>
        <rFont val="WenQuanYi Zen Hei"/>
        <family val="2"/>
      </rPr>
      <t xml:space="preserve">乐观：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WenQuanYi Zen Hei"/>
        <family val="2"/>
      </rPr>
      <t xml:space="preserve">算力（昇腾超节点、数据中心光互联）与海外拉动通信系统设备增长</t>
    </r>
    <r>
      <rPr>
        <sz val="10"/>
        <color rgb="FF000000"/>
        <rFont val="Arial"/>
        <family val="0"/>
        <charset val="1"/>
      </rPr>
      <t xml:space="preserve">8%–12%</t>
    </r>
    <r>
      <rPr>
        <sz val="10"/>
        <color rgb="FF000000"/>
        <rFont val="WenQuanYi Zen Hei"/>
        <family val="2"/>
      </rPr>
      <t xml:space="preserve">、毛利率由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WenQuanYi Zen Hei"/>
        <family val="2"/>
      </rPr>
      <t xml:space="preserve">修复至</t>
    </r>
    <r>
      <rPr>
        <sz val="10"/>
        <color rgb="FF000000"/>
        <rFont val="Arial"/>
        <family val="0"/>
        <charset val="1"/>
      </rPr>
      <t xml:space="preserve">18%</t>
    </r>
    <r>
      <rPr>
        <sz val="10"/>
        <color rgb="FF000000"/>
        <rFont val="WenQuanYi Zen Hei"/>
        <family val="2"/>
      </rPr>
      <t xml:space="preserve">；光纤价格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年再涨</t>
    </r>
    <r>
      <rPr>
        <sz val="10"/>
        <color rgb="FF000000"/>
        <rFont val="Arial"/>
        <family val="0"/>
        <charset val="1"/>
      </rPr>
      <t xml:space="preserve">8%</t>
    </r>
    <r>
      <rPr>
        <sz val="10"/>
        <color rgb="FF000000"/>
        <rFont val="WenQuanYi Zen Hei"/>
        <family val="2"/>
      </rPr>
      <t xml:space="preserve">、毛利率维持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以上；广发基金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年利润</t>
    </r>
    <r>
      <rPr>
        <sz val="10"/>
        <color rgb="FF000000"/>
        <rFont val="Arial"/>
        <family val="0"/>
        <charset val="1"/>
      </rPr>
      <t xml:space="preserve">+80%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年再</t>
    </r>
    <r>
      <rPr>
        <sz val="10"/>
        <color rgb="FF000000"/>
        <rFont val="Arial"/>
        <family val="0"/>
        <charset val="1"/>
      </rPr>
      <t xml:space="preserve">+12%</t>
    </r>
    <r>
      <rPr>
        <sz val="10"/>
        <color rgb="FF000000"/>
        <rFont val="WenQuanYi Zen Hei"/>
        <family val="2"/>
      </rPr>
      <t xml:space="preserve">；研发资本化率维持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；营运资本显著改善。</t>
    </r>
  </si>
  <si>
    <r>
      <rPr>
        <sz val="10"/>
        <color rgb="FF000000"/>
        <rFont val="WenQuanYi Zen Hei"/>
        <family val="2"/>
      </rPr>
      <t xml:space="preserve">悲观：通信系统设备收入停滞、毛利率</t>
    </r>
    <r>
      <rPr>
        <sz val="10"/>
        <color rgb="FF000000"/>
        <rFont val="Arial"/>
        <family val="0"/>
        <charset val="1"/>
      </rPr>
      <t xml:space="preserve">13%–14%</t>
    </r>
    <r>
      <rPr>
        <sz val="10"/>
        <color rgb="FF000000"/>
        <rFont val="WenQuanYi Zen Hei"/>
        <family val="2"/>
      </rPr>
      <t xml:space="preserve">；光纤价格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年回落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、毛利率降至</t>
    </r>
    <r>
      <rPr>
        <sz val="10"/>
        <color rgb="FF000000"/>
        <rFont val="Arial"/>
        <family val="0"/>
        <charset val="1"/>
      </rPr>
      <t xml:space="preserve">28%</t>
    </r>
    <r>
      <rPr>
        <sz val="10"/>
        <color rgb="FF000000"/>
        <rFont val="WenQuanYi Zen Hei"/>
        <family val="2"/>
      </rPr>
      <t xml:space="preserve">后继续下探至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WenQuanYi Zen Hei"/>
        <family val="2"/>
      </rPr>
      <t xml:space="preserve">；广发基金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年利润回落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；研发资本化率回归</t>
    </r>
    <r>
      <rPr>
        <sz val="10"/>
        <color rgb="FF000000"/>
        <rFont val="Arial"/>
        <family val="0"/>
        <charset val="1"/>
      </rPr>
      <t xml:space="preserve">10%–15%</t>
    </r>
    <r>
      <rPr>
        <sz val="10"/>
        <color rgb="FF000000"/>
        <rFont val="WenQuanYi Zen Hei"/>
        <family val="2"/>
      </rPr>
      <t xml:space="preserve">；应收账款天数维持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WenQuanYi Zen Hei"/>
        <family val="2"/>
      </rPr>
      <t xml:space="preserve">天、减值率上升；定增未落地。</t>
    </r>
  </si>
  <si>
    <t xml:space="preserve">季度数据（单季，百万元）</t>
  </si>
  <si>
    <r>
      <rPr>
        <i val="true"/>
        <sz val="9"/>
        <color rgb="FF808080"/>
        <rFont val="WenQuanYi Zen Hei"/>
        <family val="2"/>
      </rPr>
      <t xml:space="preserve">来源：</t>
    </r>
    <r>
      <rPr>
        <i val="true"/>
        <sz val="9"/>
        <color rgb="FF808080"/>
        <rFont val="Arial"/>
        <family val="0"/>
        <charset val="1"/>
      </rPr>
      <t xml:space="preserve">Wind </t>
    </r>
    <r>
      <rPr>
        <i val="true"/>
        <sz val="9"/>
        <color rgb="FF808080"/>
        <rFont val="WenQuanYi Zen Hei"/>
        <family val="2"/>
      </rPr>
      <t xml:space="preserve">单季利润表；用于季节性分析及</t>
    </r>
    <r>
      <rPr>
        <i val="true"/>
        <sz val="9"/>
        <color rgb="FF808080"/>
        <rFont val="Arial"/>
        <family val="0"/>
        <charset val="1"/>
      </rPr>
      <t xml:space="preserve">2026E</t>
    </r>
    <r>
      <rPr>
        <i val="true"/>
        <sz val="9"/>
        <color rgb="FF808080"/>
        <rFont val="WenQuanYi Zen Hei"/>
        <family val="2"/>
      </rPr>
      <t xml:space="preserve">下半年隐含值校验。</t>
    </r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</si>
  <si>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</si>
  <si>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</si>
  <si>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</si>
  <si>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</si>
  <si>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</si>
  <si>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</si>
  <si>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</si>
  <si>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</si>
  <si>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</si>
  <si>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</si>
  <si>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</si>
  <si>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</si>
  <si>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</si>
  <si>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</si>
  <si>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</si>
  <si>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</si>
  <si>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</si>
  <si>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</si>
  <si>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</si>
  <si>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</si>
  <si>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</si>
  <si>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</si>
  <si>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投资净收益</t>
  </si>
  <si>
    <t xml:space="preserve">  其中：权益法投资收益</t>
  </si>
  <si>
    <t xml:space="preserve">归属于母公司所有者的净利润</t>
  </si>
  <si>
    <r>
      <rPr>
        <sz val="10"/>
        <color rgb="FF000000"/>
        <rFont val="WenQuanYi Zen Hei"/>
        <family val="2"/>
      </rPr>
      <t xml:space="preserve">期间费用率（销售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管理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研发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财务）</t>
    </r>
  </si>
  <si>
    <t xml:space="preserve">核心经营利润（营业利润−投资收益）</t>
  </si>
  <si>
    <t xml:space="preserve">收入同比</t>
  </si>
  <si>
    <t xml:space="preserve">归母净利同比</t>
  </si>
  <si>
    <r>
      <rPr>
        <b val="true"/>
        <sz val="10"/>
        <color rgb="FF1F3864"/>
        <rFont val="Arial"/>
        <family val="0"/>
        <charset val="1"/>
      </rPr>
      <t xml:space="preserve">2026E</t>
    </r>
    <r>
      <rPr>
        <b val="true"/>
        <sz val="10"/>
        <color rgb="FF1F3864"/>
        <rFont val="WenQuanYi Zen Hei"/>
        <family val="2"/>
      </rPr>
      <t xml:space="preserve">下半年隐含值校验</t>
    </r>
  </si>
  <si>
    <t xml:space="preserve">2025H1A</t>
  </si>
  <si>
    <t xml:space="preserve">2025H2A</t>
  </si>
  <si>
    <r>
      <rPr>
        <b val="true"/>
        <sz val="10"/>
        <color rgb="FF000000"/>
        <rFont val="Arial"/>
        <family val="0"/>
        <charset val="1"/>
      </rPr>
      <t xml:space="preserve">2026H2E</t>
    </r>
    <r>
      <rPr>
        <b val="true"/>
        <sz val="10"/>
        <color rgb="FF000000"/>
        <rFont val="WenQuanYi Zen Hei"/>
        <family val="2"/>
      </rPr>
      <t xml:space="preserve">隐含</t>
    </r>
  </si>
  <si>
    <r>
      <rPr>
        <b val="true"/>
        <sz val="10"/>
        <color rgb="FF000000"/>
        <rFont val="Arial"/>
        <family val="0"/>
        <charset val="1"/>
      </rPr>
      <t xml:space="preserve">H2</t>
    </r>
    <r>
      <rPr>
        <b val="true"/>
        <sz val="10"/>
        <color rgb="FF000000"/>
        <rFont val="WenQuanYi Zen Hei"/>
        <family val="2"/>
      </rPr>
      <t xml:space="preserve">同比</t>
    </r>
  </si>
  <si>
    <r>
      <rPr>
        <b val="true"/>
        <sz val="10"/>
        <color rgb="FF000000"/>
        <rFont val="Arial"/>
        <family val="0"/>
        <charset val="1"/>
      </rPr>
      <t xml:space="preserve">2026E</t>
    </r>
    <r>
      <rPr>
        <b val="true"/>
        <sz val="10"/>
        <color rgb="FF000000"/>
        <rFont val="WenQuanYi Zen Hei"/>
        <family val="2"/>
      </rPr>
      <t xml:space="preserve">全年</t>
    </r>
  </si>
  <si>
    <r>
      <rPr>
        <i val="true"/>
        <sz val="9"/>
        <color rgb="FF808080"/>
        <rFont val="WenQuanYi Zen Hei"/>
        <family val="2"/>
      </rPr>
      <t xml:space="preserve">注：</t>
    </r>
    <r>
      <rPr>
        <i val="true"/>
        <sz val="9"/>
        <color rgb="FF808080"/>
        <rFont val="Arial"/>
        <family val="0"/>
        <charset val="1"/>
      </rPr>
      <t xml:space="preserve">2024Q4/2025Q4 </t>
    </r>
    <r>
      <rPr>
        <i val="true"/>
        <sz val="9"/>
        <color rgb="FF808080"/>
        <rFont val="WenQuanYi Zen Hei"/>
        <family val="2"/>
      </rPr>
      <t xml:space="preserve">研发费用异常偏低（</t>
    </r>
    <r>
      <rPr>
        <i val="true"/>
        <sz val="9"/>
        <color rgb="FF808080"/>
        <rFont val="Arial"/>
        <family val="0"/>
        <charset val="1"/>
      </rPr>
      <t xml:space="preserve">0.66</t>
    </r>
    <r>
      <rPr>
        <i val="true"/>
        <sz val="9"/>
        <color rgb="FF808080"/>
        <rFont val="WenQuanYi Zen Hei"/>
        <family val="2"/>
      </rPr>
      <t xml:space="preserve">亿</t>
    </r>
    <r>
      <rPr>
        <i val="true"/>
        <sz val="9"/>
        <color rgb="FF808080"/>
        <rFont val="Arial"/>
        <family val="0"/>
        <charset val="1"/>
      </rPr>
      <t xml:space="preserve">/1.96</t>
    </r>
    <r>
      <rPr>
        <i val="true"/>
        <sz val="9"/>
        <color rgb="FF808080"/>
        <rFont val="WenQuanYi Zen Hei"/>
        <family val="2"/>
      </rPr>
      <t xml:space="preserve">亿），与年末研发资本化集中确认有关——见“费用”表研发资本化分析。</t>
    </r>
  </si>
  <si>
    <t xml:space="preserve">历史报表（合并口径，百万元）</t>
  </si>
  <si>
    <r>
      <rPr>
        <i val="true"/>
        <sz val="9"/>
        <color rgb="FF808080"/>
        <rFont val="WenQuanYi Zen Hei"/>
        <family val="2"/>
      </rPr>
      <t xml:space="preserve">来源：</t>
    </r>
    <r>
      <rPr>
        <i val="true"/>
        <sz val="9"/>
        <color rgb="FF808080"/>
        <rFont val="Arial"/>
        <family val="0"/>
        <charset val="1"/>
      </rPr>
      <t xml:space="preserve">Wind </t>
    </r>
    <r>
      <rPr>
        <i val="true"/>
        <sz val="9"/>
        <color rgb="FF808080"/>
        <rFont val="WenQuanYi Zen Hei"/>
        <family val="2"/>
      </rPr>
      <t xml:space="preserve">导出（万元，已</t>
    </r>
    <r>
      <rPr>
        <i val="true"/>
        <sz val="9"/>
        <color rgb="FF808080"/>
        <rFont val="Arial"/>
        <family val="0"/>
        <charset val="1"/>
      </rPr>
      <t xml:space="preserve">÷100</t>
    </r>
    <r>
      <rPr>
        <i val="true"/>
        <sz val="9"/>
        <color rgb="FF808080"/>
        <rFont val="WenQuanYi Zen Hei"/>
        <family val="2"/>
      </rPr>
      <t xml:space="preserve">）；与</t>
    </r>
    <r>
      <rPr>
        <i val="true"/>
        <sz val="9"/>
        <color rgb="FF808080"/>
        <rFont val="Arial"/>
        <family val="0"/>
        <charset val="1"/>
      </rPr>
      <t xml:space="preserve">2021–2026H1</t>
    </r>
    <r>
      <rPr>
        <i val="true"/>
        <sz val="9"/>
        <color rgb="FF808080"/>
        <rFont val="WenQuanYi Zen Hei"/>
        <family val="2"/>
      </rPr>
      <t xml:space="preserve">定期报告核对。蓝色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WenQuanYi Zen Hei"/>
        <family val="2"/>
      </rPr>
      <t xml:space="preserve">原始数据。</t>
    </r>
    <r>
      <rPr>
        <i val="true"/>
        <sz val="9"/>
        <color rgb="FF808080"/>
        <rFont val="Arial"/>
        <family val="0"/>
        <charset val="1"/>
      </rPr>
      <t xml:space="preserve">EPS</t>
    </r>
    <r>
      <rPr>
        <i val="true"/>
        <sz val="9"/>
        <color rgb="FF808080"/>
        <rFont val="WenQuanYi Zen Hei"/>
        <family val="2"/>
      </rPr>
      <t xml:space="preserve">为元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股。</t>
    </r>
  </si>
  <si>
    <t xml:space="preserve">2019A</t>
  </si>
  <si>
    <t xml:space="preserve">2020A</t>
  </si>
  <si>
    <t xml:space="preserve">合并利润表</t>
  </si>
  <si>
    <t xml:space="preserve">营业总收入</t>
  </si>
  <si>
    <t xml:space="preserve">营业总成本</t>
  </si>
  <si>
    <t xml:space="preserve">其中：利息费用</t>
  </si>
  <si>
    <t xml:space="preserve">减：利息收入</t>
  </si>
  <si>
    <t xml:space="preserve">其中：对联营企业和合营企业的投资收益</t>
  </si>
  <si>
    <t xml:space="preserve">以摊余成本计量的金融资产终止确认收益</t>
  </si>
  <si>
    <t xml:space="preserve">公允价值变动净收益</t>
  </si>
  <si>
    <t xml:space="preserve">加：营业外收入</t>
  </si>
  <si>
    <t xml:space="preserve">减：营业外支出</t>
  </si>
  <si>
    <t xml:space="preserve">减：所得税</t>
  </si>
  <si>
    <t xml:space="preserve">持续经营净利润</t>
  </si>
  <si>
    <t xml:space="preserve">减：少数股东损益</t>
  </si>
  <si>
    <t xml:space="preserve">加：其他综合收益</t>
  </si>
  <si>
    <t xml:space="preserve">综合收益总额</t>
  </si>
  <si>
    <t xml:space="preserve">减：归属于少数股东的综合收益总额</t>
  </si>
  <si>
    <t xml:space="preserve">归属于母公司普通股东综合收益总额</t>
  </si>
  <si>
    <t xml:space="preserve">基本每股收益</t>
  </si>
  <si>
    <t xml:space="preserve">稀释每股收益</t>
  </si>
  <si>
    <t xml:space="preserve">合并资产负债表</t>
  </si>
  <si>
    <t xml:space="preserve">应收票据及应收账款</t>
  </si>
  <si>
    <t xml:space="preserve">应收票据</t>
  </si>
  <si>
    <t xml:space="preserve">应收款项融资</t>
  </si>
  <si>
    <r>
      <rPr>
        <sz val="10"/>
        <color rgb="FF000000"/>
        <rFont val="WenQuanYi Zen Hei"/>
        <family val="2"/>
      </rPr>
      <t xml:space="preserve">其他应收款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</si>
  <si>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应收股利</t>
  </si>
  <si>
    <t xml:space="preserve">应收利息</t>
  </si>
  <si>
    <t xml:space="preserve">其他流动资产</t>
  </si>
  <si>
    <t xml:space="preserve">其他权益工具投资</t>
  </si>
  <si>
    <t xml:space="preserve">其他非流动金融资产</t>
  </si>
  <si>
    <r>
      <rPr>
        <sz val="10"/>
        <color rgb="FF000000"/>
        <rFont val="WenQuanYi Zen Hei"/>
        <family val="2"/>
      </rPr>
      <t xml:space="preserve">固定资产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</si>
  <si>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在建工程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</si>
  <si>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其他非流动资产</t>
  </si>
  <si>
    <r>
      <rPr>
        <sz val="10"/>
        <color rgb="FF000000"/>
        <rFont val="WenQuanYi Zen Hei"/>
        <family val="2"/>
      </rPr>
      <t xml:space="preserve">资产差额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合计平衡项目</t>
    </r>
    <r>
      <rPr>
        <sz val="10"/>
        <color rgb="FF000000"/>
        <rFont val="Arial"/>
        <family val="0"/>
        <charset val="1"/>
      </rPr>
      <t xml:space="preserve">)</t>
    </r>
  </si>
  <si>
    <t xml:space="preserve">预收款项</t>
  </si>
  <si>
    <t xml:space="preserve">合同负债</t>
  </si>
  <si>
    <r>
      <rPr>
        <sz val="10"/>
        <color rgb="FF000000"/>
        <rFont val="WenQuanYi Zen Hei"/>
        <family val="2"/>
      </rPr>
      <t xml:space="preserve">其他应付款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</si>
  <si>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应付利息</t>
  </si>
  <si>
    <t xml:space="preserve">应付股利</t>
  </si>
  <si>
    <t xml:space="preserve">预计负债</t>
  </si>
  <si>
    <t xml:space="preserve">递延所得税负债</t>
  </si>
  <si>
    <r>
      <rPr>
        <sz val="10"/>
        <color rgb="FF000000"/>
        <rFont val="WenQuanYi Zen Hei"/>
        <family val="2"/>
      </rPr>
      <t xml:space="preserve">递延收益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非流动负债</t>
    </r>
  </si>
  <si>
    <r>
      <rPr>
        <sz val="10"/>
        <color rgb="FF000000"/>
        <rFont val="WenQuanYi Zen Hei"/>
        <family val="2"/>
      </rPr>
      <t xml:space="preserve">实收资本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或股本</t>
    </r>
    <r>
      <rPr>
        <sz val="10"/>
        <color rgb="FF000000"/>
        <rFont val="Arial"/>
        <family val="0"/>
        <charset val="1"/>
      </rPr>
      <t xml:space="preserve">)</t>
    </r>
  </si>
  <si>
    <t xml:space="preserve">其他权益工具</t>
  </si>
  <si>
    <t xml:space="preserve">其他综合收益</t>
  </si>
  <si>
    <t xml:space="preserve">专项储备</t>
  </si>
  <si>
    <t xml:space="preserve">归属于母公司所有者权益合计</t>
  </si>
  <si>
    <r>
      <rPr>
        <sz val="10"/>
        <color rgb="FF000000"/>
        <rFont val="WenQuanYi Zen Hei"/>
        <family val="2"/>
      </rPr>
      <t xml:space="preserve">负债及股东权益差额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合计平衡项目</t>
    </r>
    <r>
      <rPr>
        <sz val="10"/>
        <color rgb="FF000000"/>
        <rFont val="Arial"/>
        <family val="0"/>
        <charset val="1"/>
      </rPr>
      <t xml:space="preserve">)</t>
    </r>
  </si>
  <si>
    <t xml:space="preserve">合并现金流量表</t>
  </si>
  <si>
    <t xml:space="preserve">销售商品、提供劳务收到的现金</t>
  </si>
  <si>
    <t xml:space="preserve">收到的税费返还</t>
  </si>
  <si>
    <t xml:space="preserve">收到其他与经营活动有关的现金</t>
  </si>
  <si>
    <t xml:space="preserve">经营活动现金流入小计</t>
  </si>
  <si>
    <t xml:space="preserve">购买商品、接受劳务支付的现金</t>
  </si>
  <si>
    <t xml:space="preserve">支付给职工以及为职工支付的现金</t>
  </si>
  <si>
    <t xml:space="preserve">支付的各项税费</t>
  </si>
  <si>
    <t xml:space="preserve">支付其他与经营活动有关的现金</t>
  </si>
  <si>
    <t xml:space="preserve">经营活动现金流出小计</t>
  </si>
  <si>
    <t xml:space="preserve">经营活动产生的现金流量净额</t>
  </si>
  <si>
    <t xml:space="preserve">收回投资收到的现金</t>
  </si>
  <si>
    <t xml:space="preserve">取得投资收益收到的现金</t>
  </si>
  <si>
    <t xml:space="preserve">处置固定资产、无形资产和其他长期资产收回的现金净额</t>
  </si>
  <si>
    <t xml:space="preserve">处置子公司及其他营业单位收到的现金净额</t>
  </si>
  <si>
    <t xml:space="preserve">投资活动现金流入小计</t>
  </si>
  <si>
    <t xml:space="preserve">购建固定资产、无形资产和其他长期资产支付的现金</t>
  </si>
  <si>
    <t xml:space="preserve">投资支付的现金</t>
  </si>
  <si>
    <t xml:space="preserve">取得子公司及其他营业单位支付的现金净额</t>
  </si>
  <si>
    <t xml:space="preserve">支付其他与投资活动有关的现金</t>
  </si>
  <si>
    <t xml:space="preserve">投资活动现金流出小计</t>
  </si>
  <si>
    <t xml:space="preserve">投资活动产生的现金流量净额</t>
  </si>
  <si>
    <t xml:space="preserve">吸收投资收到的现金</t>
  </si>
  <si>
    <t xml:space="preserve">其中：子公司吸收少数股东投资收到的现金</t>
  </si>
  <si>
    <t xml:space="preserve">取得借款收到的现金</t>
  </si>
  <si>
    <t xml:space="preserve">筹资活动现金流入小计</t>
  </si>
  <si>
    <t xml:space="preserve">偿还债务支付的现金</t>
  </si>
  <si>
    <t xml:space="preserve">分配股利、利润或偿付利息支付的现金</t>
  </si>
  <si>
    <t xml:space="preserve">其中：子公司支付给少数股东的股利、利润</t>
  </si>
  <si>
    <t xml:space="preserve">支付其他与筹资活动有关的现金</t>
  </si>
  <si>
    <t xml:space="preserve">筹资活动现金流出小计</t>
  </si>
  <si>
    <t xml:space="preserve">筹资活动产生的现金流量净额</t>
  </si>
  <si>
    <t xml:space="preserve">汇率变动对现金的影响</t>
  </si>
  <si>
    <t xml:space="preserve">现金及现金等价物净增加额</t>
  </si>
  <si>
    <t xml:space="preserve">期初现金及现金等价物余额</t>
  </si>
  <si>
    <t xml:space="preserve">期末现金及现金等价物余额</t>
  </si>
  <si>
    <t xml:space="preserve">加：资产减值准备</t>
  </si>
  <si>
    <t xml:space="preserve">固定资产折旧、油气资产折耗、生产性生物资产折旧</t>
  </si>
  <si>
    <t xml:space="preserve">处置固定资产、无形资产和其他长期资产的损失</t>
  </si>
  <si>
    <t xml:space="preserve">固定资产报废损失</t>
  </si>
  <si>
    <t xml:space="preserve">公允价值变动损失</t>
  </si>
  <si>
    <t xml:space="preserve">投资损失</t>
  </si>
  <si>
    <t xml:space="preserve">递延所得税资产减少</t>
  </si>
  <si>
    <t xml:space="preserve">递延所得税负债增加</t>
  </si>
  <si>
    <t xml:space="preserve">存货的减少</t>
  </si>
  <si>
    <t xml:space="preserve">经营性应收项目的减少</t>
  </si>
  <si>
    <t xml:space="preserve">经营性应付项目的增加</t>
  </si>
  <si>
    <r>
      <rPr>
        <sz val="10"/>
        <color rgb="FF000000"/>
        <rFont val="WenQuanYi Zen Hei"/>
        <family val="2"/>
      </rPr>
      <t xml:space="preserve">间接法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经营活动产生的现金流量净额</t>
    </r>
  </si>
  <si>
    <t xml:space="preserve">现金的期末余额</t>
  </si>
  <si>
    <t xml:space="preserve">减：现金的期初余额</t>
  </si>
  <si>
    <r>
      <rPr>
        <sz val="10"/>
        <color rgb="FF000000"/>
        <rFont val="WenQuanYi Zen Hei"/>
        <family val="2"/>
      </rPr>
      <t xml:space="preserve">间接法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现金及现金等价物净增加额</t>
    </r>
  </si>
  <si>
    <r>
      <rPr>
        <i val="true"/>
        <sz val="9"/>
        <color rgb="FF808080"/>
        <rFont val="WenQuanYi Zen Hei"/>
        <family val="2"/>
      </rPr>
      <t xml:space="preserve">所有核对应为</t>
    </r>
    <r>
      <rPr>
        <i val="true"/>
        <sz val="9"/>
        <color rgb="FF808080"/>
        <rFont val="Arial"/>
        <family val="0"/>
        <charset val="1"/>
      </rPr>
      <t xml:space="preserve">0</t>
    </r>
    <r>
      <rPr>
        <i val="true"/>
        <sz val="9"/>
        <color rgb="FF808080"/>
        <rFont val="WenQuanYi Zen Hei"/>
        <family val="2"/>
      </rPr>
      <t xml:space="preserve">（或“</t>
    </r>
    <r>
      <rPr>
        <i val="true"/>
        <sz val="9"/>
        <color rgb="FF808080"/>
        <rFont val="Arial"/>
        <family val="0"/>
        <charset val="1"/>
      </rPr>
      <t xml:space="preserve">OK”</t>
    </r>
    <r>
      <rPr>
        <i val="true"/>
        <sz val="9"/>
        <color rgb="FF808080"/>
        <rFont val="WenQuanYi Zen Hei"/>
        <family val="2"/>
      </rPr>
      <t xml:space="preserve">）</t>
    </r>
  </si>
  <si>
    <t xml:space="preserve">资产负债表平衡（资产−负债−权益）</t>
  </si>
  <si>
    <r>
      <rPr>
        <sz val="10"/>
        <color rgb="FF000000"/>
        <rFont val="WenQuanYi Zen Hei"/>
        <family val="2"/>
      </rPr>
      <t xml:space="preserve">历史资产总计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报表</t>
    </r>
  </si>
  <si>
    <r>
      <rPr>
        <sz val="10"/>
        <color rgb="FF000000"/>
        <rFont val="WenQuanYi Zen Hei"/>
        <family val="2"/>
      </rPr>
      <t xml:space="preserve">历史归母权益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报表</t>
    </r>
  </si>
  <si>
    <r>
      <rPr>
        <sz val="10"/>
        <color rgb="FF000000"/>
        <rFont val="WenQuanYi Zen Hei"/>
        <family val="2"/>
      </rPr>
      <t xml:space="preserve">历史归母净利润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报表</t>
    </r>
  </si>
  <si>
    <r>
      <rPr>
        <sz val="10"/>
        <color rgb="FF000000"/>
        <rFont val="WenQuanYi Zen Hei"/>
        <family val="2"/>
      </rPr>
      <t xml:space="preserve">历史期末现金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报表</t>
    </r>
  </si>
  <si>
    <r>
      <rPr>
        <sz val="10"/>
        <color rgb="FF000000"/>
        <rFont val="WenQuanYi Zen Hei"/>
        <family val="2"/>
      </rPr>
      <t xml:space="preserve">预测：现金流量表期末现金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受限资金−资产负债表货币资金</t>
    </r>
  </si>
  <si>
    <r>
      <rPr>
        <sz val="10"/>
        <color rgb="FF000000"/>
        <rFont val="WenQuanYi Zen Hei"/>
        <family val="2"/>
      </rPr>
      <t xml:space="preserve">分部收入合计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报表营业收入</t>
    </r>
  </si>
  <si>
    <r>
      <rPr>
        <sz val="10"/>
        <color rgb="FF000000"/>
        <rFont val="WenQuanYi Zen Hei"/>
        <family val="2"/>
      </rPr>
      <t xml:space="preserve">固定资产净值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报表</t>
    </r>
  </si>
  <si>
    <r>
      <rPr>
        <sz val="10"/>
        <color rgb="FF000000"/>
        <rFont val="WenQuanYi Zen Hei"/>
        <family val="2"/>
      </rPr>
      <t xml:space="preserve">无形资产净值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报表</t>
    </r>
  </si>
  <si>
    <r>
      <rPr>
        <sz val="10"/>
        <color rgb="FF000000"/>
        <rFont val="WenQuanYi Zen Hei"/>
        <family val="2"/>
      </rPr>
      <t xml:space="preserve">研发投入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资本化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费用化</t>
    </r>
  </si>
  <si>
    <t xml:space="preserve">短期借款不低于下限</t>
  </si>
  <si>
    <t xml:space="preserve">总体核对结果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</si>
</sst>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;\(0.00\);\-"/>
    <numFmt numFmtId="166" formatCode="#,##0.00;\(#,##0.00\);\-"/>
    <numFmt numFmtId="167" formatCode="#,##0;\(#,##0\);\-"/>
    <numFmt numFmtId="168" formatCode="@"/>
    <numFmt numFmtId="169" formatCode="0.0%;\(0.0%\);\-"/>
    <numFmt numFmtId="170" formatCode="0.0\x;\(0.0&quot;x)&quot;;\-"/>
    <numFmt numFmtId="171" formatCode="0;\(0\);\-"/>
    <numFmt numFmtId="172" formatCode="0"/>
    <numFmt numFmtId="173" formatCode="yyyy\-mm\-dd"/>
    <numFmt numFmtId="174" formatCode="0.00%;\(0.00%\);\-"/>
    <numFmt numFmtId="175" formatCode="#,##0.0;\(#,##0.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10"/>
      <color rgb="FF1F3864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808080"/>
      <name val="WenQuanYi Zen Hei"/>
      <family val="2"/>
    </font>
    <font>
      <sz val="10"/>
      <color rgb="FF0000FF"/>
      <name val="WenQuanYi Zen Hei"/>
      <family val="2"/>
    </font>
    <font>
      <sz val="10"/>
      <color rgb="FF008000"/>
      <name val="WenQuanYi Zen Hei"/>
      <family val="2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O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2"/>
    <col collapsed="false" customWidth="true" hidden="false" outlineLevel="0" max="9" min="9" style="0" width="60"/>
    <col collapsed="false" customWidth="true" hidden="false" outlineLevel="0" max="12" min="10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false" outlineLevel="0" collapsed="false">
      <c r="A6" s="5" t="s">
        <v>3</v>
      </c>
      <c r="C6" s="6" t="n">
        <f aca="false">假设!$C$8</f>
        <v>35.7</v>
      </c>
    </row>
    <row r="7" customFormat="false" ht="15" hidden="false" customHeight="false" outlineLevel="0" collapsed="false">
      <c r="A7" s="5" t="s">
        <v>4</v>
      </c>
      <c r="C7" s="7" t="n">
        <f aca="false">融资!G35</f>
        <v>1358.1675</v>
      </c>
    </row>
    <row r="8" customFormat="false" ht="15" hidden="false" customHeight="false" outlineLevel="0" collapsed="false">
      <c r="A8" s="5" t="s">
        <v>5</v>
      </c>
      <c r="C8" s="8" t="n">
        <f aca="false">C6*C7</f>
        <v>48486.57975</v>
      </c>
    </row>
    <row r="9" customFormat="false" ht="15" hidden="false" customHeight="false" outlineLevel="0" collapsed="false">
      <c r="A9" s="5" t="s">
        <v>6</v>
      </c>
      <c r="C9" s="8" t="n">
        <f aca="false">融资!N19</f>
        <v>7606.4549</v>
      </c>
    </row>
    <row r="10" customFormat="false" ht="15" hidden="false" customHeight="false" outlineLevel="0" collapsed="false">
      <c r="A10" s="5" t="s">
        <v>7</v>
      </c>
      <c r="C10" s="9" t="str">
        <f aca="false">假设!$D$5</f>
        <v>基准</v>
      </c>
    </row>
    <row r="11" customFormat="false" ht="15" hidden="false" customHeight="false" outlineLevel="0" collapsed="false">
      <c r="A11" s="5" t="s">
        <v>8</v>
      </c>
      <c r="C11" s="9" t="str">
        <f aca="false">核对!$C$18</f>
        <v>OK</v>
      </c>
    </row>
    <row r="13" customFormat="false" ht="15" hidden="false" customHeight="false" outlineLevel="0" collapsed="false">
      <c r="A13" s="3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customFormat="false" ht="15" hidden="false" customHeight="false" outlineLevel="0" collapsed="false">
      <c r="A14" s="10" t="s">
        <v>10</v>
      </c>
      <c r="C14" s="11" t="s">
        <v>11</v>
      </c>
      <c r="D14" s="11" t="s">
        <v>12</v>
      </c>
      <c r="E14" s="11" t="s">
        <v>13</v>
      </c>
      <c r="F14" s="11" t="s">
        <v>14</v>
      </c>
      <c r="G14" s="11" t="s">
        <v>15</v>
      </c>
      <c r="H14" s="11" t="s">
        <v>16</v>
      </c>
    </row>
    <row r="15" customFormat="false" ht="15" hidden="false" customHeight="false" outlineLevel="0" collapsed="false">
      <c r="A15" s="12" t="s">
        <v>17</v>
      </c>
      <c r="C15" s="13" t="n">
        <f aca="false">利润表!E6</f>
        <v>31129.5743</v>
      </c>
      <c r="D15" s="13" t="n">
        <f aca="false">利润表!F6</f>
        <v>28548.8309</v>
      </c>
      <c r="E15" s="13" t="n">
        <f aca="false">利润表!G6</f>
        <v>24918.5545</v>
      </c>
      <c r="F15" s="13" t="n">
        <f aca="false">利润表!H6</f>
        <v>27563.516242</v>
      </c>
      <c r="G15" s="13" t="n">
        <f aca="false">利润表!I6</f>
        <v>29404.63196048</v>
      </c>
      <c r="H15" s="13" t="n">
        <f aca="false">利润表!J6</f>
        <v>30868.2690248821</v>
      </c>
    </row>
    <row r="16" customFormat="false" ht="15" hidden="false" customHeight="false" outlineLevel="0" collapsed="false">
      <c r="A16" s="5" t="s">
        <v>18</v>
      </c>
      <c r="C16" s="14" t="n">
        <f aca="false">利润表!E39</f>
        <v>0.00684761480553409</v>
      </c>
      <c r="D16" s="14" t="n">
        <f aca="false">利润表!F39</f>
        <v>-0.0829032669518492</v>
      </c>
      <c r="E16" s="14" t="n">
        <f aca="false">利润表!G39</f>
        <v>-0.127160240831999</v>
      </c>
      <c r="F16" s="14" t="n">
        <f aca="false">利润表!H39</f>
        <v>0.106144268601134</v>
      </c>
      <c r="G16" s="14" t="n">
        <f aca="false">利润表!I39</f>
        <v>0.0667953864200606</v>
      </c>
      <c r="H16" s="14" t="n">
        <f aca="false">利润表!J39</f>
        <v>0.0497757314687435</v>
      </c>
    </row>
    <row r="17" customFormat="false" ht="15" hidden="false" customHeight="false" outlineLevel="0" collapsed="false">
      <c r="A17" s="5" t="s">
        <v>19</v>
      </c>
      <c r="C17" s="14" t="n">
        <f aca="false">利润表!E41</f>
        <v>0.205638822372203</v>
      </c>
      <c r="D17" s="14" t="n">
        <f aca="false">利润表!F41</f>
        <v>0.212483902449399</v>
      </c>
      <c r="E17" s="14" t="n">
        <f aca="false">利润表!G41</f>
        <v>0.210980384114977</v>
      </c>
      <c r="F17" s="14" t="n">
        <f aca="false">利润表!H41</f>
        <v>0.210470249130561</v>
      </c>
      <c r="G17" s="14" t="n">
        <f aca="false">利润表!I41</f>
        <v>0.207619877102824</v>
      </c>
      <c r="H17" s="14" t="n">
        <f aca="false">利润表!J41</f>
        <v>0.202166444327336</v>
      </c>
    </row>
    <row r="18" customFormat="false" ht="15" hidden="false" customHeight="false" outlineLevel="0" collapsed="false">
      <c r="A18" s="5" t="s">
        <v>20</v>
      </c>
      <c r="C18" s="8" t="n">
        <f aca="false">分业务!E20</f>
        <v>1144.0746</v>
      </c>
      <c r="D18" s="8" t="n">
        <f aca="false">分业务!F20</f>
        <v>1191.1576</v>
      </c>
      <c r="E18" s="8" t="n">
        <f aca="false">分业务!G20</f>
        <v>1171.2275</v>
      </c>
      <c r="F18" s="8" t="n">
        <f aca="false">分业务!H20</f>
        <v>2559.75368</v>
      </c>
      <c r="G18" s="8" t="n">
        <f aca="false">分业务!I20</f>
        <v>2363.676548112</v>
      </c>
      <c r="H18" s="8" t="n">
        <f aca="false">分业务!J20</f>
        <v>2003.63608368903</v>
      </c>
    </row>
    <row r="19" customFormat="false" ht="15" hidden="false" customHeight="false" outlineLevel="0" collapsed="false">
      <c r="A19" s="5" t="s">
        <v>21</v>
      </c>
      <c r="C19" s="14" t="n">
        <f aca="false">分业务!E11</f>
        <v>0.192409166359486</v>
      </c>
      <c r="D19" s="14" t="n">
        <f aca="false">分业务!F11</f>
        <v>0.19455531238488</v>
      </c>
      <c r="E19" s="14" t="n">
        <f aca="false">分业务!G11</f>
        <v>0.188135784528731</v>
      </c>
      <c r="F19" s="14" t="n">
        <f aca="false">分业务!H11</f>
        <v>0.138</v>
      </c>
      <c r="G19" s="14" t="n">
        <f aca="false">分业务!I11</f>
        <v>0.148</v>
      </c>
      <c r="H19" s="14" t="n">
        <f aca="false">分业务!J11</f>
        <v>0.158</v>
      </c>
    </row>
    <row r="20" customFormat="false" ht="15" hidden="false" customHeight="false" outlineLevel="0" collapsed="false">
      <c r="A20" s="12" t="s">
        <v>22</v>
      </c>
      <c r="C20" s="13" t="n">
        <f aca="false">利润表!E29</f>
        <v>505.3671</v>
      </c>
      <c r="D20" s="13" t="n">
        <f aca="false">利润表!F29</f>
        <v>702.706200000002</v>
      </c>
      <c r="E20" s="13" t="n">
        <f aca="false">利润表!G29</f>
        <v>435.834299999999</v>
      </c>
      <c r="F20" s="13" t="n">
        <f aca="false">利润表!H29</f>
        <v>751.93617966504</v>
      </c>
      <c r="G20" s="13" t="n">
        <f aca="false">利润表!I29</f>
        <v>1075.85715325451</v>
      </c>
      <c r="H20" s="13" t="n">
        <f aca="false">利润表!J29</f>
        <v>1153.32708883724</v>
      </c>
    </row>
    <row r="21" customFormat="false" ht="15" hidden="false" customHeight="false" outlineLevel="0" collapsed="false">
      <c r="A21" s="5" t="s">
        <v>18</v>
      </c>
      <c r="C21" s="14" t="n">
        <f aca="false">利润表!E40</f>
        <v>0.245380591547466</v>
      </c>
      <c r="D21" s="14" t="n">
        <f aca="false">利润表!F40</f>
        <v>0.390486638326874</v>
      </c>
      <c r="E21" s="14" t="n">
        <f aca="false">利润表!G40</f>
        <v>-0.379777352185026</v>
      </c>
      <c r="F21" s="14" t="n">
        <f aca="false">利润表!H40</f>
        <v>0.725279950809382</v>
      </c>
      <c r="G21" s="14" t="n">
        <f aca="false">利润表!I40</f>
        <v>0.430782534940356</v>
      </c>
      <c r="H21" s="14" t="n">
        <f aca="false">利润表!J40</f>
        <v>0.0720076409292556</v>
      </c>
    </row>
    <row r="22" customFormat="false" ht="15" hidden="false" customHeight="false" outlineLevel="0" collapsed="false">
      <c r="A22" s="5" t="s">
        <v>23</v>
      </c>
      <c r="C22" s="8" t="n">
        <f aca="false">费用!E31</f>
        <v>276.6025203</v>
      </c>
      <c r="D22" s="8" t="n">
        <f aca="false">费用!F31</f>
        <v>283.6931829</v>
      </c>
      <c r="E22" s="8" t="n">
        <f aca="false">费用!G31</f>
        <v>390.6319515</v>
      </c>
      <c r="F22" s="8" t="n">
        <f aca="false">费用!H31</f>
        <v>636.730080945</v>
      </c>
      <c r="G22" s="8" t="n">
        <f aca="false">费用!I31</f>
        <v>668.56658499225</v>
      </c>
      <c r="H22" s="8" t="n">
        <f aca="false">费用!J31</f>
        <v>701.994914241863</v>
      </c>
    </row>
    <row r="23" customFormat="false" ht="15" hidden="false" customHeight="false" outlineLevel="0" collapsed="false">
      <c r="A23" s="5" t="s">
        <v>24</v>
      </c>
      <c r="C23" s="8" t="n">
        <f aca="false">费用!E47</f>
        <v>228.7645797</v>
      </c>
      <c r="D23" s="8" t="n">
        <f aca="false">费用!F47</f>
        <v>419.013017100002</v>
      </c>
      <c r="E23" s="8" t="n">
        <f aca="false">费用!G47</f>
        <v>45.2023484999995</v>
      </c>
      <c r="F23" s="8" t="n">
        <f aca="false">费用!H47</f>
        <v>115.20609872004</v>
      </c>
      <c r="G23" s="8" t="n">
        <f aca="false">费用!I47</f>
        <v>407.290568262263</v>
      </c>
      <c r="H23" s="8" t="n">
        <f aca="false">费用!J47</f>
        <v>451.332174595373</v>
      </c>
    </row>
    <row r="24" customFormat="false" ht="15" hidden="false" customHeight="false" outlineLevel="0" collapsed="false">
      <c r="A24" s="15" t="s">
        <v>25</v>
      </c>
      <c r="C24" s="16" t="n">
        <f aca="false">利润表!E33</f>
        <v>0.426293385704307</v>
      </c>
      <c r="D24" s="16" t="n">
        <f aca="false">利润表!F33</f>
        <v>0.593269110218163</v>
      </c>
      <c r="E24" s="16" t="n">
        <f aca="false">利润表!G33</f>
        <v>0.32089878457554</v>
      </c>
      <c r="F24" s="16" t="n">
        <f aca="false">利润表!H33</f>
        <v>0.553640239267278</v>
      </c>
      <c r="G24" s="16" t="n">
        <f aca="false">利润表!I33</f>
        <v>0.73928836332362</v>
      </c>
      <c r="H24" s="16" t="n">
        <f aca="false">利润表!J33</f>
        <v>0.792522774333005</v>
      </c>
    </row>
    <row r="25" customFormat="false" ht="15" hidden="false" customHeight="false" outlineLevel="0" collapsed="false">
      <c r="A25" s="17" t="s">
        <v>26</v>
      </c>
      <c r="C25" s="18" t="n">
        <f aca="false">假设!$C$8/利润表!E33</f>
        <v>83.7451417197518</v>
      </c>
      <c r="D25" s="18" t="n">
        <f aca="false">假设!$C$8/利润表!F33</f>
        <v>60.1750527460835</v>
      </c>
      <c r="E25" s="18" t="n">
        <f aca="false">假设!$C$8/利润表!G33</f>
        <v>111.250031835494</v>
      </c>
      <c r="F25" s="18" t="n">
        <f aca="false">假设!$C$8/利润表!H33</f>
        <v>64.4823072239974</v>
      </c>
      <c r="G25" s="18" t="n">
        <f aca="false">假设!$C$8/利润表!I33</f>
        <v>48.289682038959</v>
      </c>
      <c r="H25" s="18" t="n">
        <f aca="false">假设!$C$8/利润表!J33</f>
        <v>45.0460241095854</v>
      </c>
    </row>
    <row r="26" customFormat="false" ht="15" hidden="false" customHeight="false" outlineLevel="0" collapsed="false">
      <c r="A26" s="17" t="s">
        <v>27</v>
      </c>
      <c r="C26" s="14" t="n">
        <f aca="false">利润表!E48</f>
        <v>0.0399420096577436</v>
      </c>
      <c r="D26" s="14" t="n">
        <f aca="false">利润表!F48</f>
        <v>0.0518150797983164</v>
      </c>
      <c r="E26" s="14" t="n">
        <f aca="false">利润表!G48</f>
        <v>0.0276819142334688</v>
      </c>
      <c r="F26" s="14" t="n">
        <f aca="false">利润表!H48</f>
        <v>0.0421299140265802</v>
      </c>
      <c r="G26" s="14" t="n">
        <f aca="false">利润表!I48</f>
        <v>0.053729333782105</v>
      </c>
      <c r="H26" s="14" t="n">
        <f aca="false">利润表!J48</f>
        <v>0.0517083997428852</v>
      </c>
    </row>
    <row r="27" customFormat="false" ht="15" hidden="false" customHeight="false" outlineLevel="0" collapsed="false">
      <c r="A27" s="5" t="s">
        <v>28</v>
      </c>
      <c r="C27" s="8" t="n">
        <f aca="false">现金流量表!E14</f>
        <v>59.1655000000001</v>
      </c>
      <c r="D27" s="8" t="n">
        <f aca="false">现金流量表!F14</f>
        <v>4638.1759</v>
      </c>
      <c r="E27" s="8" t="n">
        <f aca="false">现金流量表!G14</f>
        <v>4772.5558</v>
      </c>
      <c r="F27" s="8" t="n">
        <f aca="false">现金流量表!H14</f>
        <v>1854.96489593811</v>
      </c>
      <c r="G27" s="8" t="n">
        <f aca="false">现金流量表!I14</f>
        <v>2483.00439484254</v>
      </c>
      <c r="H27" s="8" t="n">
        <f aca="false">现金流量表!J14</f>
        <v>2948.61330148279</v>
      </c>
    </row>
    <row r="28" customFormat="false" ht="15" hidden="false" customHeight="false" outlineLevel="0" collapsed="false">
      <c r="A28" s="5" t="s">
        <v>29</v>
      </c>
      <c r="C28" s="8" t="n">
        <f aca="false">资本开支折旧!E72</f>
        <v>1202.92144021</v>
      </c>
      <c r="D28" s="8" t="n">
        <f aca="false">资本开支折旧!F72</f>
        <v>1600.92124668</v>
      </c>
      <c r="E28" s="8" t="n">
        <f aca="false">资本开支折旧!G72</f>
        <v>1710.56069724</v>
      </c>
      <c r="F28" s="8" t="n">
        <f aca="false">资本开支折旧!H72</f>
        <v>1964.55162562976</v>
      </c>
      <c r="G28" s="8" t="n">
        <f aca="false">资本开支折旧!I72</f>
        <v>2349.62604531173</v>
      </c>
      <c r="H28" s="8" t="n">
        <f aca="false">资本开支折旧!J72</f>
        <v>2228.99860209415</v>
      </c>
    </row>
    <row r="29" customFormat="false" ht="15" hidden="false" customHeight="false" outlineLevel="0" collapsed="false">
      <c r="A29" s="5" t="s">
        <v>30</v>
      </c>
      <c r="C29" s="19" t="n">
        <f aca="false">营运资本!E12</f>
        <v>145.53058669678</v>
      </c>
      <c r="D29" s="19" t="n">
        <f aca="false">营运资本!F12</f>
        <v>195.111763123022</v>
      </c>
      <c r="E29" s="19" t="n">
        <f aca="false">营运资本!G12</f>
        <v>216.948131321181</v>
      </c>
      <c r="F29" s="19" t="n">
        <f aca="false">营运资本!H12</f>
        <v>200</v>
      </c>
      <c r="G29" s="19" t="n">
        <f aca="false">营运资本!I12</f>
        <v>190</v>
      </c>
      <c r="H29" s="19" t="n">
        <f aca="false">营运资本!J12</f>
        <v>180</v>
      </c>
    </row>
    <row r="30" customFormat="false" ht="15" hidden="false" customHeight="false" outlineLevel="0" collapsed="false">
      <c r="A30" s="5" t="s">
        <v>31</v>
      </c>
      <c r="C30" s="8" t="n">
        <f aca="false">融资!E19</f>
        <v>1791.1842</v>
      </c>
      <c r="D30" s="8" t="n">
        <f aca="false">融资!F19</f>
        <v>5034.7064</v>
      </c>
      <c r="E30" s="8" t="n">
        <f aca="false">融资!G19</f>
        <v>5247.5823</v>
      </c>
      <c r="F30" s="8" t="n">
        <f aca="false">融资!H19</f>
        <v>5739.03102779165</v>
      </c>
      <c r="G30" s="8" t="n">
        <f aca="false">融资!I19</f>
        <v>3052.84329620673</v>
      </c>
      <c r="H30" s="8" t="n">
        <f aca="false">融资!J19</f>
        <v>2676.45910879755</v>
      </c>
    </row>
    <row r="32" customFormat="false" ht="15" hidden="false" customHeight="false" outlineLevel="0" collapsed="false">
      <c r="A32" s="3" t="s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customFormat="false" ht="15" hidden="false" customHeight="false" outlineLevel="0" collapsed="false">
      <c r="A33" s="12" t="s">
        <v>33</v>
      </c>
      <c r="C33" s="20" t="s">
        <v>34</v>
      </c>
      <c r="D33" s="20" t="s">
        <v>35</v>
      </c>
    </row>
    <row r="34" customFormat="false" ht="15" hidden="false" customHeight="false" outlineLevel="0" collapsed="false">
      <c r="A34" s="17" t="s">
        <v>36</v>
      </c>
      <c r="C34" s="16" t="n">
        <f aca="false">估值_DCF!$D$37</f>
        <v>15.647377236834</v>
      </c>
      <c r="D34" s="14" t="n">
        <f aca="false">IF(ISNUMBER(C34),C34/假设!$C$8-1,"n.m.")</f>
        <v>-0.561698116615295</v>
      </c>
      <c r="I34" s="21" t="s">
        <v>37</v>
      </c>
    </row>
    <row r="35" customFormat="false" ht="15" hidden="false" customHeight="false" outlineLevel="0" collapsed="false">
      <c r="A35" s="17" t="s">
        <v>38</v>
      </c>
      <c r="C35" s="16" t="n">
        <f aca="false">估值_SOTP!$E$44</f>
        <v>37.798819643877</v>
      </c>
      <c r="D35" s="14" t="n">
        <f aca="false">IF(ISNUMBER(C35),C35/假设!$C$8-1,"n.m.")</f>
        <v>0.0587904662150407</v>
      </c>
      <c r="I35" s="22" t="s">
        <v>39</v>
      </c>
    </row>
    <row r="36" customFormat="false" ht="15" hidden="false" customHeight="false" outlineLevel="0" collapsed="false">
      <c r="A36" s="5" t="s">
        <v>40</v>
      </c>
      <c r="C36" s="16" t="n">
        <f aca="false">估值_相对!$C$39</f>
        <v>22.1786508997086</v>
      </c>
      <c r="D36" s="14" t="n">
        <f aca="false">IF(ISNUMBER(C36),C36/假设!$C$8-1,"n.m.")</f>
        <v>-0.378749274517966</v>
      </c>
      <c r="I36" s="22" t="s">
        <v>41</v>
      </c>
    </row>
    <row r="37" customFormat="false" ht="15" hidden="false" customHeight="false" outlineLevel="0" collapsed="false">
      <c r="A37" s="12" t="s">
        <v>42</v>
      </c>
      <c r="C37" s="23" t="n">
        <f aca="false">AVERAGE(C34:C36)</f>
        <v>25.2082825934732</v>
      </c>
      <c r="D37" s="24" t="n">
        <f aca="false">C37/假设!$C$8-1</f>
        <v>-0.293885641639407</v>
      </c>
    </row>
    <row r="39" customFormat="false" ht="15" hidden="false" customHeight="false" outlineLevel="0" collapsed="false">
      <c r="A39" s="3" t="s">
        <v>43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customFormat="false" ht="15" hidden="false" customHeight="false" outlineLevel="0" collapsed="false">
      <c r="A40" s="12" t="s">
        <v>44</v>
      </c>
      <c r="C40" s="25" t="s">
        <v>45</v>
      </c>
      <c r="D40" s="25"/>
      <c r="E40" s="25"/>
      <c r="F40" s="25"/>
      <c r="G40" s="25"/>
      <c r="H40" s="25"/>
      <c r="I40" s="25"/>
    </row>
    <row r="41" customFormat="false" ht="15" hidden="false" customHeight="false" outlineLevel="0" collapsed="false">
      <c r="A41" s="12" t="s">
        <v>46</v>
      </c>
      <c r="C41" s="25" t="s">
        <v>47</v>
      </c>
      <c r="D41" s="25"/>
      <c r="E41" s="25"/>
      <c r="F41" s="25"/>
      <c r="G41" s="25"/>
      <c r="H41" s="25"/>
      <c r="I41" s="25"/>
    </row>
    <row r="42" customFormat="false" ht="15" hidden="false" customHeight="false" outlineLevel="0" collapsed="false">
      <c r="A42" s="12" t="s">
        <v>48</v>
      </c>
      <c r="C42" s="25" t="s">
        <v>49</v>
      </c>
      <c r="D42" s="25"/>
      <c r="E42" s="25"/>
      <c r="F42" s="25"/>
      <c r="G42" s="25"/>
      <c r="H42" s="25"/>
      <c r="I42" s="25"/>
    </row>
    <row r="43" customFormat="false" ht="15" hidden="false" customHeight="false" outlineLevel="0" collapsed="false">
      <c r="A43" s="12" t="s">
        <v>50</v>
      </c>
      <c r="C43" s="25" t="s">
        <v>51</v>
      </c>
      <c r="D43" s="25"/>
      <c r="E43" s="25"/>
      <c r="F43" s="25"/>
      <c r="G43" s="25"/>
      <c r="H43" s="25"/>
      <c r="I43" s="25"/>
    </row>
    <row r="44" customFormat="false" ht="15" hidden="false" customHeight="false" outlineLevel="0" collapsed="false">
      <c r="A44" s="12" t="s">
        <v>52</v>
      </c>
      <c r="C44" s="25" t="s">
        <v>53</v>
      </c>
      <c r="D44" s="25"/>
      <c r="E44" s="25"/>
      <c r="F44" s="25"/>
      <c r="G44" s="25"/>
      <c r="H44" s="25"/>
      <c r="I44" s="25"/>
    </row>
    <row r="45" customFormat="false" ht="15" hidden="false" customHeight="false" outlineLevel="0" collapsed="false">
      <c r="A45" s="12" t="s">
        <v>54</v>
      </c>
      <c r="C45" s="25" t="s">
        <v>55</v>
      </c>
      <c r="D45" s="25"/>
      <c r="E45" s="25"/>
      <c r="F45" s="25"/>
      <c r="G45" s="25"/>
      <c r="H45" s="25"/>
      <c r="I45" s="25"/>
    </row>
    <row r="46" customFormat="false" ht="15" hidden="false" customHeight="false" outlineLevel="0" collapsed="false">
      <c r="A46" s="12" t="s">
        <v>56</v>
      </c>
      <c r="C46" s="25" t="s">
        <v>57</v>
      </c>
      <c r="D46" s="25"/>
      <c r="E46" s="25"/>
      <c r="F46" s="25"/>
      <c r="G46" s="25"/>
      <c r="H46" s="25"/>
      <c r="I46" s="25"/>
    </row>
    <row r="47" customFormat="false" ht="15" hidden="false" customHeight="false" outlineLevel="0" collapsed="false">
      <c r="A47" s="12" t="s">
        <v>58</v>
      </c>
      <c r="C47" s="26" t="s">
        <v>59</v>
      </c>
      <c r="D47" s="26"/>
      <c r="E47" s="26"/>
      <c r="F47" s="26"/>
      <c r="G47" s="26"/>
      <c r="H47" s="26"/>
      <c r="I47" s="26"/>
    </row>
    <row r="48" customFormat="false" ht="15" hidden="false" customHeight="false" outlineLevel="0" collapsed="false">
      <c r="A48" s="12" t="s">
        <v>60</v>
      </c>
      <c r="C48" s="25" t="s">
        <v>61</v>
      </c>
      <c r="D48" s="25"/>
      <c r="E48" s="25"/>
      <c r="F48" s="25"/>
      <c r="G48" s="25"/>
      <c r="H48" s="25"/>
      <c r="I48" s="25"/>
    </row>
    <row r="49" customFormat="false" ht="15" hidden="false" customHeight="false" outlineLevel="0" collapsed="false">
      <c r="A49" s="12" t="s">
        <v>62</v>
      </c>
      <c r="C49" s="25" t="s">
        <v>63</v>
      </c>
      <c r="D49" s="25"/>
      <c r="E49" s="25"/>
      <c r="F49" s="25"/>
      <c r="G49" s="25"/>
      <c r="H49" s="25"/>
      <c r="I49" s="25"/>
    </row>
    <row r="51" customFormat="false" ht="15" hidden="false" customHeight="false" outlineLevel="0" collapsed="false">
      <c r="A51" s="3" t="s">
        <v>64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customFormat="false" ht="15" hidden="false" customHeight="false" outlineLevel="0" collapsed="false">
      <c r="A52" s="27" t="s">
        <v>65</v>
      </c>
      <c r="C52" s="5" t="s">
        <v>66</v>
      </c>
    </row>
    <row r="53" customFormat="false" ht="15" hidden="false" customHeight="false" outlineLevel="0" collapsed="false">
      <c r="A53" s="5" t="s">
        <v>67</v>
      </c>
      <c r="C53" s="5" t="s">
        <v>68</v>
      </c>
    </row>
    <row r="54" customFormat="false" ht="15" hidden="false" customHeight="false" outlineLevel="0" collapsed="false">
      <c r="A54" s="28" t="s">
        <v>69</v>
      </c>
      <c r="C54" s="5" t="s">
        <v>70</v>
      </c>
    </row>
    <row r="55" customFormat="false" ht="15" hidden="false" customHeight="false" outlineLevel="0" collapsed="false">
      <c r="A55" s="29" t="s">
        <v>71</v>
      </c>
      <c r="C55" s="5" t="s">
        <v>72</v>
      </c>
    </row>
    <row r="56" customFormat="false" ht="15" hidden="false" customHeight="false" outlineLevel="0" collapsed="false">
      <c r="A56" s="30" t="s">
        <v>73</v>
      </c>
      <c r="C56" s="5" t="s">
        <v>74</v>
      </c>
    </row>
    <row r="57" customFormat="false" ht="15" hidden="false" customHeight="false" outlineLevel="0" collapsed="false">
      <c r="A57" s="31" t="s">
        <v>75</v>
      </c>
      <c r="C57" s="5" t="s">
        <v>76</v>
      </c>
    </row>
    <row r="59" customFormat="false" ht="15" hidden="false" customHeight="false" outlineLevel="0" collapsed="false">
      <c r="A59" s="3" t="s">
        <v>77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customFormat="false" ht="33.75" hidden="false" customHeight="true" outlineLevel="0" collapsed="false">
      <c r="A60" s="32" t="s">
        <v>78</v>
      </c>
      <c r="B60" s="32"/>
      <c r="C60" s="32"/>
      <c r="D60" s="32"/>
      <c r="E60" s="32"/>
      <c r="F60" s="32"/>
      <c r="G60" s="32"/>
      <c r="H60" s="32"/>
      <c r="I60" s="32"/>
    </row>
    <row r="61" customFormat="false" ht="33.75" hidden="false" customHeight="true" outlineLevel="0" collapsed="false">
      <c r="A61" s="32" t="s">
        <v>79</v>
      </c>
      <c r="B61" s="32"/>
      <c r="C61" s="32"/>
      <c r="D61" s="32"/>
      <c r="E61" s="32"/>
      <c r="F61" s="32"/>
      <c r="G61" s="32"/>
      <c r="H61" s="32"/>
      <c r="I61" s="32"/>
    </row>
    <row r="62" customFormat="false" ht="33.75" hidden="false" customHeight="true" outlineLevel="0" collapsed="false">
      <c r="A62" s="32" t="s">
        <v>80</v>
      </c>
      <c r="B62" s="32"/>
      <c r="C62" s="32"/>
      <c r="D62" s="32"/>
      <c r="E62" s="32"/>
      <c r="F62" s="32"/>
      <c r="G62" s="32"/>
      <c r="H62" s="32"/>
      <c r="I62" s="32"/>
    </row>
    <row r="63" customFormat="false" ht="33.75" hidden="false" customHeight="true" outlineLevel="0" collapsed="false">
      <c r="A63" s="32" t="s">
        <v>81</v>
      </c>
      <c r="B63" s="32"/>
      <c r="C63" s="32"/>
      <c r="D63" s="32"/>
      <c r="E63" s="32"/>
      <c r="F63" s="32"/>
      <c r="G63" s="32"/>
      <c r="H63" s="32"/>
      <c r="I63" s="32"/>
    </row>
    <row r="64" customFormat="false" ht="33.75" hidden="false" customHeight="true" outlineLevel="0" collapsed="false">
      <c r="A64" s="32" t="s">
        <v>82</v>
      </c>
      <c r="B64" s="32"/>
      <c r="C64" s="32"/>
      <c r="D64" s="32"/>
      <c r="E64" s="32"/>
      <c r="F64" s="32"/>
      <c r="G64" s="32"/>
      <c r="H64" s="32"/>
      <c r="I64" s="32"/>
    </row>
    <row r="65" customFormat="false" ht="33.75" hidden="false" customHeight="true" outlineLevel="0" collapsed="false">
      <c r="A65" s="32" t="s">
        <v>83</v>
      </c>
      <c r="B65" s="32"/>
      <c r="C65" s="32"/>
      <c r="D65" s="32"/>
      <c r="E65" s="32"/>
      <c r="F65" s="32"/>
      <c r="G65" s="32"/>
      <c r="H65" s="32"/>
      <c r="I65" s="32"/>
    </row>
  </sheetData>
  <mergeCells count="16">
    <mergeCell ref="C40:I40"/>
    <mergeCell ref="C41:I41"/>
    <mergeCell ref="C42:I42"/>
    <mergeCell ref="C43:I43"/>
    <mergeCell ref="C44:I44"/>
    <mergeCell ref="C45:I45"/>
    <mergeCell ref="C46:I46"/>
    <mergeCell ref="C47:I47"/>
    <mergeCell ref="C48:I48"/>
    <mergeCell ref="C49:I49"/>
    <mergeCell ref="A60:I60"/>
    <mergeCell ref="A61:I61"/>
    <mergeCell ref="A62:I62"/>
    <mergeCell ref="A63:I63"/>
    <mergeCell ref="A64:I64"/>
    <mergeCell ref="A65:I6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O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15" hidden="false" customHeight="false" outlineLevel="0" collapsed="false">
      <c r="A5" s="12" t="s">
        <v>86</v>
      </c>
      <c r="C5" s="33" t="n">
        <v>1</v>
      </c>
      <c r="D5" s="15" t="str">
        <f aca="false">CHOOSE($C$5,"基准","乐观","悲观")</f>
        <v>基准</v>
      </c>
      <c r="O5" s="22" t="s">
        <v>87</v>
      </c>
    </row>
    <row r="7" customFormat="false" ht="15" hidden="false" customHeight="false" outlineLevel="0" collapsed="false">
      <c r="A7" s="3" t="s">
        <v>88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15" hidden="false" customHeight="false" outlineLevel="0" collapsed="false">
      <c r="A8" s="5" t="s">
        <v>89</v>
      </c>
      <c r="C8" s="34" t="n">
        <v>35.7</v>
      </c>
      <c r="O8" s="21" t="s">
        <v>90</v>
      </c>
    </row>
    <row r="9" customFormat="false" ht="15" hidden="false" customHeight="false" outlineLevel="0" collapsed="false">
      <c r="A9" s="5" t="s">
        <v>91</v>
      </c>
      <c r="C9" s="35" t="n">
        <v>46301</v>
      </c>
      <c r="O9" s="22" t="s">
        <v>92</v>
      </c>
    </row>
    <row r="10" customFormat="false" ht="15" hidden="false" customHeight="false" outlineLevel="0" collapsed="false">
      <c r="A10" s="17" t="s">
        <v>93</v>
      </c>
      <c r="C10" s="35" t="n">
        <v>46387</v>
      </c>
      <c r="O10" s="22" t="s">
        <v>94</v>
      </c>
    </row>
    <row r="11" customFormat="false" ht="15" hidden="false" customHeight="false" outlineLevel="0" collapsed="false">
      <c r="A11" s="5" t="s">
        <v>95</v>
      </c>
      <c r="C11" s="36" t="n">
        <v>0.019</v>
      </c>
      <c r="O11" s="21" t="s">
        <v>96</v>
      </c>
    </row>
    <row r="12" customFormat="false" ht="15" hidden="false" customHeight="false" outlineLevel="0" collapsed="false">
      <c r="A12" s="5" t="s">
        <v>97</v>
      </c>
      <c r="C12" s="36" t="n">
        <v>0.065</v>
      </c>
      <c r="O12" s="21" t="s">
        <v>98</v>
      </c>
    </row>
    <row r="13" customFormat="false" ht="15" hidden="false" customHeight="false" outlineLevel="0" collapsed="false">
      <c r="A13" s="17" t="s">
        <v>99</v>
      </c>
      <c r="C13" s="37" t="n">
        <v>1.2</v>
      </c>
      <c r="O13" s="22" t="s">
        <v>100</v>
      </c>
    </row>
    <row r="14" customFormat="false" ht="15" hidden="false" customHeight="false" outlineLevel="0" collapsed="false">
      <c r="A14" s="5" t="s">
        <v>101</v>
      </c>
      <c r="C14" s="36" t="n">
        <v>0.03</v>
      </c>
      <c r="O14" s="21" t="s">
        <v>102</v>
      </c>
    </row>
    <row r="15" customFormat="false" ht="15" hidden="false" customHeight="false" outlineLevel="0" collapsed="false">
      <c r="A15" s="5" t="s">
        <v>103</v>
      </c>
      <c r="C15" s="38" t="n">
        <v>0.2</v>
      </c>
      <c r="O15" s="22" t="s">
        <v>104</v>
      </c>
    </row>
    <row r="16" customFormat="false" ht="15" hidden="false" customHeight="false" outlineLevel="0" collapsed="false">
      <c r="A16" s="17" t="s">
        <v>105</v>
      </c>
      <c r="C16" s="38" t="n">
        <v>0.15</v>
      </c>
      <c r="O16" s="22" t="s">
        <v>106</v>
      </c>
    </row>
    <row r="17" customFormat="false" ht="15" hidden="false" customHeight="false" outlineLevel="0" collapsed="false">
      <c r="A17" s="5" t="s">
        <v>107</v>
      </c>
      <c r="C17" s="39" t="n">
        <v>0.02</v>
      </c>
      <c r="O17" s="21"/>
    </row>
    <row r="18" customFormat="false" ht="15" hidden="false" customHeight="false" outlineLevel="0" collapsed="false">
      <c r="A18" s="5" t="s">
        <v>108</v>
      </c>
      <c r="C18" s="36" t="n">
        <v>0.14187</v>
      </c>
      <c r="O18" s="21" t="s">
        <v>109</v>
      </c>
    </row>
    <row r="19" customFormat="false" ht="15" hidden="false" customHeight="false" outlineLevel="0" collapsed="false">
      <c r="A19" s="5" t="s">
        <v>110</v>
      </c>
      <c r="C19" s="40" t="n">
        <v>15</v>
      </c>
      <c r="O19" s="22" t="s">
        <v>111</v>
      </c>
    </row>
    <row r="20" customFormat="false" ht="15" hidden="false" customHeight="false" outlineLevel="0" collapsed="false">
      <c r="A20" s="17" t="s">
        <v>112</v>
      </c>
      <c r="C20" s="41" t="n">
        <v>25</v>
      </c>
      <c r="O20" s="22" t="s">
        <v>113</v>
      </c>
    </row>
    <row r="21" customFormat="false" ht="15" hidden="false" customHeight="false" outlineLevel="0" collapsed="false">
      <c r="A21" s="17" t="s">
        <v>114</v>
      </c>
      <c r="C21" s="41" t="n">
        <v>18</v>
      </c>
      <c r="O21" s="22" t="s">
        <v>115</v>
      </c>
    </row>
    <row r="22" customFormat="false" ht="15" hidden="false" customHeight="false" outlineLevel="0" collapsed="false">
      <c r="A22" s="17" t="s">
        <v>116</v>
      </c>
      <c r="C22" s="41" t="n">
        <v>25</v>
      </c>
      <c r="O22" s="22" t="s">
        <v>117</v>
      </c>
    </row>
    <row r="23" customFormat="false" ht="15" hidden="false" customHeight="false" outlineLevel="0" collapsed="false">
      <c r="A23" s="17" t="s">
        <v>118</v>
      </c>
      <c r="C23" s="41" t="n">
        <v>10</v>
      </c>
      <c r="O23" s="21"/>
    </row>
    <row r="24" customFormat="false" ht="15" hidden="false" customHeight="false" outlineLevel="0" collapsed="false">
      <c r="A24" s="5" t="s">
        <v>119</v>
      </c>
      <c r="C24" s="37" t="n">
        <v>1.15</v>
      </c>
      <c r="O24" s="22" t="s">
        <v>120</v>
      </c>
    </row>
    <row r="25" customFormat="false" ht="15" hidden="false" customHeight="false" outlineLevel="0" collapsed="false">
      <c r="A25" s="5" t="s">
        <v>121</v>
      </c>
      <c r="C25" s="37" t="n">
        <v>0.5</v>
      </c>
      <c r="O25" s="22" t="s">
        <v>122</v>
      </c>
    </row>
    <row r="26" customFormat="false" ht="15" hidden="false" customHeight="false" outlineLevel="0" collapsed="false">
      <c r="A26" s="5" t="s">
        <v>123</v>
      </c>
      <c r="C26" s="37" t="n">
        <v>1.2</v>
      </c>
      <c r="O26" s="21"/>
    </row>
    <row r="27" customFormat="false" ht="15" hidden="false" customHeight="false" outlineLevel="0" collapsed="false">
      <c r="A27" s="5" t="s">
        <v>124</v>
      </c>
      <c r="C27" s="37" t="n">
        <v>0.5</v>
      </c>
      <c r="O27" s="21"/>
    </row>
    <row r="28" customFormat="false" ht="15" hidden="false" customHeight="false" outlineLevel="0" collapsed="false">
      <c r="A28" s="17" t="s">
        <v>125</v>
      </c>
      <c r="C28" s="41" t="n">
        <v>0.4</v>
      </c>
      <c r="O28" s="22" t="s">
        <v>126</v>
      </c>
    </row>
    <row r="29" customFormat="false" ht="15" hidden="false" customHeight="false" outlineLevel="0" collapsed="false">
      <c r="A29" s="17" t="s">
        <v>127</v>
      </c>
      <c r="C29" s="41" t="n">
        <v>1</v>
      </c>
      <c r="O29" s="21"/>
    </row>
    <row r="30" customFormat="false" ht="15" hidden="false" customHeight="false" outlineLevel="0" collapsed="false">
      <c r="A30" s="17" t="s">
        <v>128</v>
      </c>
      <c r="C30" s="41" t="n">
        <v>1</v>
      </c>
      <c r="O30" s="21"/>
    </row>
    <row r="31" customFormat="false" ht="15" hidden="false" customHeight="false" outlineLevel="0" collapsed="false">
      <c r="A31" s="17" t="s">
        <v>129</v>
      </c>
      <c r="C31" s="41" t="n">
        <v>0.2</v>
      </c>
      <c r="O31" s="21"/>
    </row>
    <row r="32" customFormat="false" ht="15" hidden="false" customHeight="false" outlineLevel="0" collapsed="false">
      <c r="A32" s="5" t="s">
        <v>130</v>
      </c>
      <c r="C32" s="41" t="n">
        <v>1</v>
      </c>
      <c r="O32" s="21"/>
    </row>
    <row r="33" customFormat="false" ht="15" hidden="false" customHeight="false" outlineLevel="0" collapsed="false">
      <c r="A33" s="5" t="s">
        <v>131</v>
      </c>
      <c r="C33" s="41" t="n">
        <v>30</v>
      </c>
      <c r="O33" s="22" t="s">
        <v>132</v>
      </c>
    </row>
    <row r="34" customFormat="false" ht="15" hidden="false" customHeight="false" outlineLevel="0" collapsed="false">
      <c r="A34" s="5" t="s">
        <v>133</v>
      </c>
      <c r="C34" s="42" t="n">
        <v>4500</v>
      </c>
      <c r="O34" s="22" t="s">
        <v>134</v>
      </c>
    </row>
    <row r="35" customFormat="false" ht="15" hidden="false" customHeight="false" outlineLevel="0" collapsed="false">
      <c r="A35" s="5" t="s">
        <v>135</v>
      </c>
      <c r="C35" s="42" t="n">
        <v>3000</v>
      </c>
      <c r="O35" s="22" t="s">
        <v>136</v>
      </c>
    </row>
    <row r="36" customFormat="false" ht="15" hidden="false" customHeight="false" outlineLevel="0" collapsed="false">
      <c r="A36" s="5" t="s">
        <v>137</v>
      </c>
      <c r="C36" s="38" t="n">
        <v>0.1</v>
      </c>
      <c r="O36" s="21" t="s">
        <v>138</v>
      </c>
    </row>
    <row r="37" customFormat="false" ht="15" hidden="false" customHeight="false" outlineLevel="0" collapsed="false">
      <c r="A37" s="5" t="s">
        <v>139</v>
      </c>
      <c r="C37" s="43" t="n">
        <v>59.958738</v>
      </c>
      <c r="O37" s="21" t="s">
        <v>140</v>
      </c>
    </row>
    <row r="38" customFormat="false" ht="15" hidden="false" customHeight="false" outlineLevel="0" collapsed="false">
      <c r="A38" s="5" t="s">
        <v>141</v>
      </c>
      <c r="C38" s="38" t="n">
        <v>0.4</v>
      </c>
      <c r="O38" s="21" t="s">
        <v>142</v>
      </c>
    </row>
    <row r="39" customFormat="false" ht="15" hidden="false" customHeight="false" outlineLevel="0" collapsed="false">
      <c r="A39" s="5" t="s">
        <v>143</v>
      </c>
      <c r="C39" s="38" t="n">
        <v>0.6</v>
      </c>
      <c r="O39" s="21" t="s">
        <v>144</v>
      </c>
    </row>
    <row r="40" customFormat="false" ht="15" hidden="false" customHeight="false" outlineLevel="0" collapsed="false">
      <c r="A40" s="17" t="s">
        <v>145</v>
      </c>
      <c r="C40" s="44" t="n">
        <v>30</v>
      </c>
      <c r="O40" s="22" t="s">
        <v>146</v>
      </c>
    </row>
    <row r="41" customFormat="false" ht="15" hidden="false" customHeight="false" outlineLevel="0" collapsed="false">
      <c r="A41" s="5" t="s">
        <v>147</v>
      </c>
      <c r="C41" s="36" t="n">
        <v>0.011</v>
      </c>
      <c r="O41" s="22" t="s">
        <v>148</v>
      </c>
    </row>
    <row r="43" customFormat="false" ht="15" hidden="false" customHeight="false" outlineLevel="0" collapsed="false">
      <c r="A43" s="10" t="s">
        <v>149</v>
      </c>
      <c r="B43" s="10" t="s">
        <v>150</v>
      </c>
      <c r="C43" s="45" t="s">
        <v>151</v>
      </c>
      <c r="D43" s="45" t="s">
        <v>152</v>
      </c>
      <c r="E43" s="45" t="s">
        <v>11</v>
      </c>
      <c r="F43" s="45" t="s">
        <v>12</v>
      </c>
      <c r="G43" s="45" t="s">
        <v>13</v>
      </c>
      <c r="H43" s="45" t="s">
        <v>14</v>
      </c>
      <c r="I43" s="45" t="s">
        <v>15</v>
      </c>
      <c r="J43" s="45" t="s">
        <v>16</v>
      </c>
      <c r="K43" s="45" t="s">
        <v>153</v>
      </c>
      <c r="L43" s="45" t="s">
        <v>154</v>
      </c>
      <c r="M43" s="46"/>
      <c r="N43" s="46"/>
      <c r="O43" s="10" t="s">
        <v>155</v>
      </c>
    </row>
    <row r="44" customFormat="false" ht="15" hidden="false" customHeight="false" outlineLevel="0" collapsed="false">
      <c r="A44" s="47" t="s">
        <v>156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</row>
    <row r="45" customFormat="false" ht="15" hidden="false" customHeight="false" outlineLevel="0" collapsed="false">
      <c r="A45" s="12" t="s">
        <v>157</v>
      </c>
      <c r="C45" s="49" t="n">
        <f aca="false">分业务!C8</f>
        <v>0.316951213705121</v>
      </c>
      <c r="D45" s="49" t="n">
        <f aca="false">分业务!D8</f>
        <v>0.2241311840217</v>
      </c>
      <c r="E45" s="49" t="n">
        <f aca="false">分业务!E8</f>
        <v>0.13718690342622</v>
      </c>
      <c r="F45" s="49" t="n">
        <f aca="false">分业务!F8</f>
        <v>-0.0618770139550354</v>
      </c>
      <c r="G45" s="49" t="n">
        <f aca="false">分业务!G8</f>
        <v>-0.163966041638452</v>
      </c>
      <c r="H45" s="50" t="n">
        <f aca="false">CHOOSE(假设!$C$5,H46,H47,H48)</f>
        <v>0.04</v>
      </c>
      <c r="I45" s="50" t="n">
        <f aca="false">CHOOSE(假设!$C$5,I46,I47,I48)</f>
        <v>0.08</v>
      </c>
      <c r="J45" s="50" t="n">
        <f aca="false">CHOOSE(假设!$C$5,J46,J47,J48)</f>
        <v>0.07</v>
      </c>
      <c r="K45" s="50" t="n">
        <f aca="false">CHOOSE(假设!$C$5,K46,K47,K48)</f>
        <v>0.06</v>
      </c>
      <c r="L45" s="50" t="n">
        <f aca="false">CHOOSE(假设!$C$5,L46,L47,L48)</f>
        <v>0.05</v>
      </c>
      <c r="O45" s="21" t="s">
        <v>158</v>
      </c>
    </row>
    <row r="46" customFormat="false" ht="15" hidden="false" customHeight="false" outlineLevel="0" collapsed="false">
      <c r="A46" s="5" t="s">
        <v>159</v>
      </c>
      <c r="H46" s="51" t="n">
        <v>0.04</v>
      </c>
      <c r="I46" s="51" t="n">
        <v>0.08</v>
      </c>
      <c r="J46" s="51" t="n">
        <v>0.07</v>
      </c>
      <c r="K46" s="51" t="n">
        <v>0.06</v>
      </c>
      <c r="L46" s="51" t="n">
        <v>0.05</v>
      </c>
    </row>
    <row r="47" customFormat="false" ht="15" hidden="false" customHeight="false" outlineLevel="0" collapsed="false">
      <c r="A47" s="5" t="s">
        <v>160</v>
      </c>
      <c r="H47" s="51" t="n">
        <v>0.08</v>
      </c>
      <c r="I47" s="51" t="n">
        <v>0.12</v>
      </c>
      <c r="J47" s="51" t="n">
        <v>0.1</v>
      </c>
      <c r="K47" s="51" t="n">
        <v>0.08</v>
      </c>
      <c r="L47" s="51" t="n">
        <v>0.06</v>
      </c>
    </row>
    <row r="48" customFormat="false" ht="15" hidden="false" customHeight="false" outlineLevel="0" collapsed="false">
      <c r="A48" s="5" t="s">
        <v>161</v>
      </c>
      <c r="H48" s="51" t="n">
        <v>0</v>
      </c>
      <c r="I48" s="51" t="n">
        <v>0</v>
      </c>
      <c r="J48" s="51" t="n">
        <v>0.02</v>
      </c>
      <c r="K48" s="51" t="n">
        <v>0.02</v>
      </c>
      <c r="L48" s="51" t="n">
        <v>0.02</v>
      </c>
    </row>
    <row r="49" customFormat="false" ht="15" hidden="false" customHeight="false" outlineLevel="0" collapsed="false">
      <c r="A49" s="12" t="s">
        <v>162</v>
      </c>
      <c r="C49" s="49" t="n">
        <f aca="false">分业务!C11</f>
        <v>0.192446541157787</v>
      </c>
      <c r="D49" s="49" t="n">
        <f aca="false">分业务!D11</f>
        <v>0.204635578926946</v>
      </c>
      <c r="E49" s="49" t="n">
        <f aca="false">分业务!E11</f>
        <v>0.192409166359486</v>
      </c>
      <c r="F49" s="49" t="n">
        <f aca="false">分业务!F11</f>
        <v>0.19455531238488</v>
      </c>
      <c r="G49" s="49" t="n">
        <f aca="false">分业务!G11</f>
        <v>0.188135784528731</v>
      </c>
      <c r="H49" s="50" t="n">
        <f aca="false">CHOOSE(假设!$C$5,H50,H51,H52)</f>
        <v>0.138</v>
      </c>
      <c r="I49" s="50" t="n">
        <f aca="false">CHOOSE(假设!$C$5,I50,I51,I52)</f>
        <v>0.148</v>
      </c>
      <c r="J49" s="50" t="n">
        <f aca="false">CHOOSE(假设!$C$5,J50,J51,J52)</f>
        <v>0.158</v>
      </c>
      <c r="K49" s="50" t="n">
        <f aca="false">CHOOSE(假设!$C$5,K50,K51,K52)</f>
        <v>0.165</v>
      </c>
      <c r="L49" s="50" t="n">
        <f aca="false">CHOOSE(假设!$C$5,L50,L51,L52)</f>
        <v>0.165</v>
      </c>
      <c r="O49" s="21" t="s">
        <v>163</v>
      </c>
    </row>
    <row r="50" customFormat="false" ht="15" hidden="false" customHeight="false" outlineLevel="0" collapsed="false">
      <c r="A50" s="5" t="s">
        <v>159</v>
      </c>
      <c r="H50" s="51" t="n">
        <v>0.138</v>
      </c>
      <c r="I50" s="51" t="n">
        <v>0.148</v>
      </c>
      <c r="J50" s="51" t="n">
        <v>0.158</v>
      </c>
      <c r="K50" s="51" t="n">
        <v>0.165</v>
      </c>
      <c r="L50" s="51" t="n">
        <v>0.165</v>
      </c>
    </row>
    <row r="51" customFormat="false" ht="15" hidden="false" customHeight="false" outlineLevel="0" collapsed="false">
      <c r="A51" s="5" t="s">
        <v>160</v>
      </c>
      <c r="H51" s="51" t="n">
        <v>0.148</v>
      </c>
      <c r="I51" s="51" t="n">
        <v>0.165</v>
      </c>
      <c r="J51" s="51" t="n">
        <v>0.175</v>
      </c>
      <c r="K51" s="51" t="n">
        <v>0.18</v>
      </c>
      <c r="L51" s="51" t="n">
        <v>0.18</v>
      </c>
    </row>
    <row r="52" customFormat="false" ht="15" hidden="false" customHeight="false" outlineLevel="0" collapsed="false">
      <c r="A52" s="5" t="s">
        <v>161</v>
      </c>
      <c r="H52" s="51" t="n">
        <v>0.13</v>
      </c>
      <c r="I52" s="51" t="n">
        <v>0.135</v>
      </c>
      <c r="J52" s="51" t="n">
        <v>0.14</v>
      </c>
      <c r="K52" s="51" t="n">
        <v>0.14</v>
      </c>
      <c r="L52" s="51" t="n">
        <v>0.14</v>
      </c>
    </row>
    <row r="53" customFormat="false" ht="15" hidden="false" customHeight="false" outlineLevel="0" collapsed="false">
      <c r="A53" s="12" t="s">
        <v>164</v>
      </c>
      <c r="H53" s="50" t="n">
        <f aca="false">CHOOSE(假设!$C$5,H54,H55,H56)</f>
        <v>0.1</v>
      </c>
      <c r="I53" s="50" t="n">
        <f aca="false">CHOOSE(假设!$C$5,I54,I55,I56)</f>
        <v>0.08</v>
      </c>
      <c r="J53" s="50" t="n">
        <f aca="false">CHOOSE(假设!$C$5,J54,J55,J56)</f>
        <v>0.07</v>
      </c>
      <c r="K53" s="50" t="n">
        <f aca="false">CHOOSE(假设!$C$5,K54,K55,K56)</f>
        <v>0.05</v>
      </c>
      <c r="L53" s="50" t="n">
        <f aca="false">CHOOSE(假设!$C$5,L54,L55,L56)</f>
        <v>0.04</v>
      </c>
      <c r="O53" s="21" t="s">
        <v>165</v>
      </c>
    </row>
    <row r="54" customFormat="false" ht="15" hidden="false" customHeight="false" outlineLevel="0" collapsed="false">
      <c r="A54" s="5" t="s">
        <v>159</v>
      </c>
      <c r="H54" s="51" t="n">
        <v>0.1</v>
      </c>
      <c r="I54" s="51" t="n">
        <v>0.08</v>
      </c>
      <c r="J54" s="51" t="n">
        <v>0.07</v>
      </c>
      <c r="K54" s="51" t="n">
        <v>0.05</v>
      </c>
      <c r="L54" s="51" t="n">
        <v>0.04</v>
      </c>
    </row>
    <row r="55" customFormat="false" ht="15" hidden="false" customHeight="false" outlineLevel="0" collapsed="false">
      <c r="A55" s="5" t="s">
        <v>160</v>
      </c>
      <c r="H55" s="51" t="n">
        <v>0.12</v>
      </c>
      <c r="I55" s="51" t="n">
        <v>0.12</v>
      </c>
      <c r="J55" s="51" t="n">
        <v>0.1</v>
      </c>
      <c r="K55" s="51" t="n">
        <v>0.08</v>
      </c>
      <c r="L55" s="51" t="n">
        <v>0.06</v>
      </c>
    </row>
    <row r="56" customFormat="false" ht="15" hidden="false" customHeight="false" outlineLevel="0" collapsed="false">
      <c r="A56" s="5" t="s">
        <v>161</v>
      </c>
      <c r="H56" s="51" t="n">
        <v>0.08</v>
      </c>
      <c r="I56" s="51" t="n">
        <v>0.04</v>
      </c>
      <c r="J56" s="51" t="n">
        <v>0.04</v>
      </c>
      <c r="K56" s="51" t="n">
        <v>0.03</v>
      </c>
      <c r="L56" s="51" t="n">
        <v>0.03</v>
      </c>
    </row>
    <row r="57" customFormat="false" ht="15" hidden="false" customHeight="false" outlineLevel="0" collapsed="false">
      <c r="A57" s="12" t="s">
        <v>166</v>
      </c>
      <c r="H57" s="50" t="n">
        <f aca="false">CHOOSE(假设!$C$5,H58,H59,H60)</f>
        <v>0.25</v>
      </c>
      <c r="I57" s="50" t="n">
        <f aca="false">CHOOSE(假设!$C$5,I58,I59,I60)</f>
        <v>-0.05</v>
      </c>
      <c r="J57" s="50" t="n">
        <f aca="false">CHOOSE(假设!$C$5,J58,J59,J60)</f>
        <v>-0.08</v>
      </c>
      <c r="K57" s="50" t="n">
        <f aca="false">CHOOSE(假设!$C$5,K58,K59,K60)</f>
        <v>-0.03</v>
      </c>
      <c r="L57" s="50" t="n">
        <f aca="false">CHOOSE(假设!$C$5,L58,L59,L60)</f>
        <v>0</v>
      </c>
      <c r="O57" s="21" t="s">
        <v>167</v>
      </c>
    </row>
    <row r="58" customFormat="false" ht="15" hidden="false" customHeight="false" outlineLevel="0" collapsed="false">
      <c r="A58" s="5" t="s">
        <v>159</v>
      </c>
      <c r="H58" s="51" t="n">
        <v>0.25</v>
      </c>
      <c r="I58" s="51" t="n">
        <v>-0.05</v>
      </c>
      <c r="J58" s="51" t="n">
        <v>-0.08</v>
      </c>
      <c r="K58" s="51" t="n">
        <v>-0.03</v>
      </c>
      <c r="L58" s="51" t="n">
        <v>0</v>
      </c>
    </row>
    <row r="59" customFormat="false" ht="15" hidden="false" customHeight="false" outlineLevel="0" collapsed="false">
      <c r="A59" s="5" t="s">
        <v>160</v>
      </c>
      <c r="H59" s="51" t="n">
        <v>0.3</v>
      </c>
      <c r="I59" s="51" t="n">
        <v>0.08</v>
      </c>
      <c r="J59" s="51" t="n">
        <v>-0.03</v>
      </c>
      <c r="K59" s="51" t="n">
        <v>0</v>
      </c>
      <c r="L59" s="51" t="n">
        <v>0</v>
      </c>
    </row>
    <row r="60" customFormat="false" ht="15" hidden="false" customHeight="false" outlineLevel="0" collapsed="false">
      <c r="A60" s="5" t="s">
        <v>161</v>
      </c>
      <c r="H60" s="51" t="n">
        <v>0.2</v>
      </c>
      <c r="I60" s="51" t="n">
        <v>-0.2</v>
      </c>
      <c r="J60" s="51" t="n">
        <v>-0.1</v>
      </c>
      <c r="K60" s="51" t="n">
        <v>-0.03</v>
      </c>
      <c r="L60" s="51" t="n">
        <v>0</v>
      </c>
    </row>
    <row r="61" customFormat="false" ht="15" hidden="false" customHeight="false" outlineLevel="0" collapsed="false">
      <c r="A61" s="12" t="s">
        <v>168</v>
      </c>
      <c r="C61" s="49" t="n">
        <f aca="false">分业务!C21</f>
        <v>0.17697439132534</v>
      </c>
      <c r="D61" s="49" t="n">
        <f aca="false">分业务!D21</f>
        <v>0.174333477609948</v>
      </c>
      <c r="E61" s="49" t="n">
        <f aca="false">分业务!E21</f>
        <v>0.212389028631386</v>
      </c>
      <c r="F61" s="49" t="n">
        <f aca="false">分业务!F21</f>
        <v>0.253511435002841</v>
      </c>
      <c r="G61" s="49" t="n">
        <f aca="false">分业务!G21</f>
        <v>0.251655122144409</v>
      </c>
      <c r="H61" s="50" t="n">
        <f aca="false">CHOOSE(假设!$C$5,H62,H63,H64)</f>
        <v>0.4</v>
      </c>
      <c r="I61" s="50" t="n">
        <f aca="false">CHOOSE(假设!$C$5,I62,I63,I64)</f>
        <v>0.36</v>
      </c>
      <c r="J61" s="50" t="n">
        <f aca="false">CHOOSE(假设!$C$5,J62,J63,J64)</f>
        <v>0.31</v>
      </c>
      <c r="K61" s="50" t="n">
        <f aca="false">CHOOSE(假设!$C$5,K62,K63,K64)</f>
        <v>0.29</v>
      </c>
      <c r="L61" s="50" t="n">
        <f aca="false">CHOOSE(假设!$C$5,L62,L63,L64)</f>
        <v>0.28</v>
      </c>
      <c r="O61" s="21" t="s">
        <v>169</v>
      </c>
    </row>
    <row r="62" customFormat="false" ht="15" hidden="false" customHeight="false" outlineLevel="0" collapsed="false">
      <c r="A62" s="5" t="s">
        <v>159</v>
      </c>
      <c r="H62" s="51" t="n">
        <v>0.4</v>
      </c>
      <c r="I62" s="51" t="n">
        <v>0.36</v>
      </c>
      <c r="J62" s="51" t="n">
        <v>0.31</v>
      </c>
      <c r="K62" s="51" t="n">
        <v>0.29</v>
      </c>
      <c r="L62" s="51" t="n">
        <v>0.28</v>
      </c>
    </row>
    <row r="63" customFormat="false" ht="15" hidden="false" customHeight="false" outlineLevel="0" collapsed="false">
      <c r="A63" s="5" t="s">
        <v>160</v>
      </c>
      <c r="H63" s="51" t="n">
        <v>0.43</v>
      </c>
      <c r="I63" s="51" t="n">
        <v>0.43</v>
      </c>
      <c r="J63" s="51" t="n">
        <v>0.4</v>
      </c>
      <c r="K63" s="51" t="n">
        <v>0.37</v>
      </c>
      <c r="L63" s="51" t="n">
        <v>0.35</v>
      </c>
    </row>
    <row r="64" customFormat="false" ht="15" hidden="false" customHeight="false" outlineLevel="0" collapsed="false">
      <c r="A64" s="5" t="s">
        <v>161</v>
      </c>
      <c r="H64" s="51" t="n">
        <v>0.38</v>
      </c>
      <c r="I64" s="51" t="n">
        <v>0.28</v>
      </c>
      <c r="J64" s="51" t="n">
        <v>0.24</v>
      </c>
      <c r="K64" s="51" t="n">
        <v>0.22</v>
      </c>
      <c r="L64" s="51" t="n">
        <v>0.22</v>
      </c>
    </row>
    <row r="65" customFormat="false" ht="15" hidden="false" customHeight="false" outlineLevel="0" collapsed="false">
      <c r="A65" s="12" t="s">
        <v>170</v>
      </c>
      <c r="C65" s="49" t="n">
        <f aca="false">分业务!C24</f>
        <v>0.204962678303811</v>
      </c>
      <c r="D65" s="49" t="n">
        <f aca="false">分业务!D24</f>
        <v>0.0303264594152826</v>
      </c>
      <c r="E65" s="49" t="n">
        <f aca="false">分业务!E24</f>
        <v>-0.496264510265263</v>
      </c>
      <c r="F65" s="49" t="n">
        <f aca="false">分业务!F24</f>
        <v>-0.274413946961</v>
      </c>
      <c r="G65" s="49" t="n">
        <f aca="false">分业务!G24</f>
        <v>0.240508654170984</v>
      </c>
      <c r="H65" s="50" t="n">
        <f aca="false">CHOOSE(假设!$C$5,H66,H67,H68)</f>
        <v>0.08</v>
      </c>
      <c r="I65" s="50" t="n">
        <f aca="false">CHOOSE(假设!$C$5,I66,I67,I68)</f>
        <v>0.08</v>
      </c>
      <c r="J65" s="50" t="n">
        <f aca="false">CHOOSE(假设!$C$5,J66,J67,J68)</f>
        <v>0.06</v>
      </c>
      <c r="K65" s="50" t="n">
        <f aca="false">CHOOSE(假设!$C$5,K66,K67,K68)</f>
        <v>0.05</v>
      </c>
      <c r="L65" s="50" t="n">
        <f aca="false">CHOOSE(假设!$C$5,L66,L67,L68)</f>
        <v>0.05</v>
      </c>
      <c r="O65" s="22" t="s">
        <v>171</v>
      </c>
    </row>
    <row r="66" customFormat="false" ht="15" hidden="false" customHeight="false" outlineLevel="0" collapsed="false">
      <c r="A66" s="5" t="s">
        <v>159</v>
      </c>
      <c r="H66" s="51" t="n">
        <v>0.08</v>
      </c>
      <c r="I66" s="51" t="n">
        <v>0.08</v>
      </c>
      <c r="J66" s="51" t="n">
        <v>0.06</v>
      </c>
      <c r="K66" s="51" t="n">
        <v>0.05</v>
      </c>
      <c r="L66" s="51" t="n">
        <v>0.05</v>
      </c>
    </row>
    <row r="67" customFormat="false" ht="15" hidden="false" customHeight="false" outlineLevel="0" collapsed="false">
      <c r="A67" s="5" t="s">
        <v>160</v>
      </c>
      <c r="H67" s="51" t="n">
        <v>0.15</v>
      </c>
      <c r="I67" s="51" t="n">
        <v>0.12</v>
      </c>
      <c r="J67" s="51" t="n">
        <v>0.1</v>
      </c>
      <c r="K67" s="51" t="n">
        <v>0.08</v>
      </c>
      <c r="L67" s="51" t="n">
        <v>0.08</v>
      </c>
    </row>
    <row r="68" customFormat="false" ht="15" hidden="false" customHeight="false" outlineLevel="0" collapsed="false">
      <c r="A68" s="5" t="s">
        <v>161</v>
      </c>
      <c r="H68" s="51" t="n">
        <v>0</v>
      </c>
      <c r="I68" s="51" t="n">
        <v>0</v>
      </c>
      <c r="J68" s="51" t="n">
        <v>0</v>
      </c>
      <c r="K68" s="51" t="n">
        <v>0</v>
      </c>
      <c r="L68" s="51" t="n">
        <v>0</v>
      </c>
    </row>
    <row r="69" customFormat="false" ht="15" hidden="false" customHeight="false" outlineLevel="0" collapsed="false">
      <c r="A69" s="12" t="s">
        <v>172</v>
      </c>
      <c r="C69" s="49" t="n">
        <f aca="false">分业务!C27</f>
        <v>0.43249902289533</v>
      </c>
      <c r="D69" s="49" t="n">
        <f aca="false">分业务!D27</f>
        <v>0.416094702821163</v>
      </c>
      <c r="E69" s="49" t="n">
        <f aca="false">分业务!E27</f>
        <v>0.413543774718857</v>
      </c>
      <c r="F69" s="49" t="n">
        <f aca="false">分业务!F27</f>
        <v>0.439172110495021</v>
      </c>
      <c r="G69" s="49" t="n">
        <f aca="false">分业务!G27</f>
        <v>0.392847517538156</v>
      </c>
      <c r="H69" s="50" t="n">
        <f aca="false">CHOOSE(假设!$C$5,H70,H71,H72)</f>
        <v>0.35</v>
      </c>
      <c r="I69" s="50" t="n">
        <f aca="false">CHOOSE(假设!$C$5,I70,I71,I72)</f>
        <v>0.37</v>
      </c>
      <c r="J69" s="50" t="n">
        <f aca="false">CHOOSE(假设!$C$5,J70,J71,J72)</f>
        <v>0.38</v>
      </c>
      <c r="K69" s="50" t="n">
        <f aca="false">CHOOSE(假设!$C$5,K70,K71,K72)</f>
        <v>0.38</v>
      </c>
      <c r="L69" s="50" t="n">
        <f aca="false">CHOOSE(假设!$C$5,L70,L71,L72)</f>
        <v>0.38</v>
      </c>
    </row>
    <row r="70" customFormat="false" ht="15" hidden="false" customHeight="false" outlineLevel="0" collapsed="false">
      <c r="A70" s="5" t="s">
        <v>159</v>
      </c>
      <c r="H70" s="51" t="n">
        <v>0.35</v>
      </c>
      <c r="I70" s="51" t="n">
        <v>0.37</v>
      </c>
      <c r="J70" s="51" t="n">
        <v>0.38</v>
      </c>
      <c r="K70" s="51" t="n">
        <v>0.38</v>
      </c>
      <c r="L70" s="51" t="n">
        <v>0.38</v>
      </c>
    </row>
    <row r="71" customFormat="false" ht="15" hidden="false" customHeight="false" outlineLevel="0" collapsed="false">
      <c r="A71" s="5" t="s">
        <v>160</v>
      </c>
      <c r="H71" s="51" t="n">
        <v>0.39</v>
      </c>
      <c r="I71" s="51" t="n">
        <v>0.39</v>
      </c>
      <c r="J71" s="51" t="n">
        <v>0.39</v>
      </c>
      <c r="K71" s="51" t="n">
        <v>0.39</v>
      </c>
      <c r="L71" s="51" t="n">
        <v>0.39</v>
      </c>
    </row>
    <row r="72" customFormat="false" ht="15" hidden="false" customHeight="false" outlineLevel="0" collapsed="false">
      <c r="A72" s="5" t="s">
        <v>161</v>
      </c>
      <c r="H72" s="51" t="n">
        <v>0.3</v>
      </c>
      <c r="I72" s="51" t="n">
        <v>0.3</v>
      </c>
      <c r="J72" s="51" t="n">
        <v>0.3</v>
      </c>
      <c r="K72" s="51" t="n">
        <v>0.3</v>
      </c>
      <c r="L72" s="51" t="n">
        <v>0.3</v>
      </c>
    </row>
    <row r="73" customFormat="false" ht="15" hidden="false" customHeight="false" outlineLevel="0" collapsed="false">
      <c r="A73" s="12" t="s">
        <v>173</v>
      </c>
      <c r="C73" s="49" t="n">
        <f aca="false">分业务!C30</f>
        <v>0.00550750886814821</v>
      </c>
      <c r="D73" s="49" t="n">
        <f aca="false">分业务!D30</f>
        <v>0.0663069617721388</v>
      </c>
      <c r="E73" s="49" t="n">
        <f aca="false">分业务!E30</f>
        <v>0.049665182265749</v>
      </c>
      <c r="F73" s="49" t="n">
        <f aca="false">分业务!F30</f>
        <v>0.0311996016088065</v>
      </c>
      <c r="G73" s="49" t="n">
        <f aca="false">分业务!G30</f>
        <v>-0.515623865165115</v>
      </c>
      <c r="H73" s="50" t="n">
        <f aca="false">CHOOSE(假设!$C$5,H74,H75,H76)</f>
        <v>0.21</v>
      </c>
      <c r="I73" s="50" t="n">
        <f aca="false">CHOOSE(假设!$C$5,I74,I75,I76)</f>
        <v>0</v>
      </c>
      <c r="J73" s="50" t="n">
        <f aca="false">CHOOSE(假设!$C$5,J74,J75,J76)</f>
        <v>0</v>
      </c>
      <c r="K73" s="50" t="n">
        <f aca="false">CHOOSE(假设!$C$5,K74,K75,K76)</f>
        <v>0</v>
      </c>
      <c r="L73" s="50" t="n">
        <f aca="false">CHOOSE(假设!$C$5,L74,L75,L76)</f>
        <v>0</v>
      </c>
      <c r="O73" s="21" t="s">
        <v>174</v>
      </c>
    </row>
    <row r="74" customFormat="false" ht="15" hidden="false" customHeight="false" outlineLevel="0" collapsed="false">
      <c r="A74" s="5" t="s">
        <v>159</v>
      </c>
      <c r="H74" s="51" t="n">
        <v>0.21</v>
      </c>
      <c r="I74" s="51" t="n">
        <v>0</v>
      </c>
      <c r="J74" s="51" t="n">
        <v>0</v>
      </c>
      <c r="K74" s="51" t="n">
        <v>0</v>
      </c>
      <c r="L74" s="51" t="n">
        <v>0</v>
      </c>
    </row>
    <row r="75" customFormat="false" ht="15" hidden="false" customHeight="false" outlineLevel="0" collapsed="false">
      <c r="A75" s="5" t="s">
        <v>160</v>
      </c>
      <c r="H75" s="51" t="n">
        <v>0.21</v>
      </c>
      <c r="I75" s="51" t="n">
        <v>0</v>
      </c>
      <c r="J75" s="51" t="n">
        <v>0</v>
      </c>
      <c r="K75" s="51" t="n">
        <v>0</v>
      </c>
      <c r="L75" s="51" t="n">
        <v>0</v>
      </c>
    </row>
    <row r="76" customFormat="false" ht="15" hidden="false" customHeight="false" outlineLevel="0" collapsed="false">
      <c r="A76" s="5" t="s">
        <v>161</v>
      </c>
      <c r="H76" s="51" t="n">
        <v>0.21</v>
      </c>
      <c r="I76" s="51" t="n">
        <v>0</v>
      </c>
      <c r="J76" s="51" t="n">
        <v>0</v>
      </c>
      <c r="K76" s="51" t="n">
        <v>0</v>
      </c>
      <c r="L76" s="51" t="n">
        <v>0</v>
      </c>
    </row>
    <row r="77" customFormat="false" ht="15" hidden="false" customHeight="false" outlineLevel="0" collapsed="false">
      <c r="A77" s="12" t="s">
        <v>175</v>
      </c>
      <c r="C77" s="49" t="n">
        <f aca="false">分业务!C33</f>
        <v>0.212275106005487</v>
      </c>
      <c r="D77" s="49" t="n">
        <f aca="false">分业务!D33</f>
        <v>0.20307476216852</v>
      </c>
      <c r="E77" s="49" t="n">
        <f aca="false">分业务!E33</f>
        <v>0.0753027681092581</v>
      </c>
      <c r="F77" s="49" t="n">
        <f aca="false">分业务!F33</f>
        <v>0.0796000743113774</v>
      </c>
      <c r="G77" s="49" t="n">
        <f aca="false">分业务!G33</f>
        <v>0.0987832942075208</v>
      </c>
      <c r="H77" s="50" t="n">
        <f aca="false">CHOOSE(假设!$C$5,H78,H79,H80)</f>
        <v>0.12</v>
      </c>
      <c r="I77" s="50" t="n">
        <f aca="false">CHOOSE(假设!$C$5,I78,I79,I80)</f>
        <v>0.12</v>
      </c>
      <c r="J77" s="50" t="n">
        <f aca="false">CHOOSE(假设!$C$5,J78,J79,J80)</f>
        <v>0.12</v>
      </c>
      <c r="K77" s="50" t="n">
        <f aca="false">CHOOSE(假设!$C$5,K78,K79,K80)</f>
        <v>0.12</v>
      </c>
      <c r="L77" s="50" t="n">
        <f aca="false">CHOOSE(假设!$C$5,L78,L79,L80)</f>
        <v>0.12</v>
      </c>
    </row>
    <row r="78" customFormat="false" ht="15" hidden="false" customHeight="false" outlineLevel="0" collapsed="false">
      <c r="A78" s="5" t="s">
        <v>159</v>
      </c>
      <c r="H78" s="51" t="n">
        <v>0.12</v>
      </c>
      <c r="I78" s="51" t="n">
        <v>0.12</v>
      </c>
      <c r="J78" s="51" t="n">
        <v>0.12</v>
      </c>
      <c r="K78" s="51" t="n">
        <v>0.12</v>
      </c>
      <c r="L78" s="51" t="n">
        <v>0.12</v>
      </c>
    </row>
    <row r="79" customFormat="false" ht="15" hidden="false" customHeight="false" outlineLevel="0" collapsed="false">
      <c r="A79" s="5" t="s">
        <v>160</v>
      </c>
      <c r="H79" s="51" t="n">
        <v>0.12</v>
      </c>
      <c r="I79" s="51" t="n">
        <v>0.12</v>
      </c>
      <c r="J79" s="51" t="n">
        <v>0.12</v>
      </c>
      <c r="K79" s="51" t="n">
        <v>0.12</v>
      </c>
      <c r="L79" s="51" t="n">
        <v>0.12</v>
      </c>
    </row>
    <row r="80" customFormat="false" ht="15" hidden="false" customHeight="false" outlineLevel="0" collapsed="false">
      <c r="A80" s="5" t="s">
        <v>161</v>
      </c>
      <c r="H80" s="51" t="n">
        <v>0.12</v>
      </c>
      <c r="I80" s="51" t="n">
        <v>0.12</v>
      </c>
      <c r="J80" s="51" t="n">
        <v>0.12</v>
      </c>
      <c r="K80" s="51" t="n">
        <v>0.12</v>
      </c>
      <c r="L80" s="51" t="n">
        <v>0.12</v>
      </c>
    </row>
    <row r="81" customFormat="false" ht="15" hidden="false" customHeight="false" outlineLevel="0" collapsed="false">
      <c r="A81" s="47" t="s">
        <v>176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</row>
    <row r="82" customFormat="false" ht="15" hidden="false" customHeight="false" outlineLevel="0" collapsed="false">
      <c r="A82" s="12" t="s">
        <v>177</v>
      </c>
      <c r="C82" s="52" t="n">
        <f aca="false">费用!C9</f>
        <v>0.00335199946929088</v>
      </c>
      <c r="D82" s="52" t="n">
        <f aca="false">费用!D9</f>
        <v>0.00330172262954054</v>
      </c>
      <c r="E82" s="52" t="n">
        <f aca="false">费用!E9</f>
        <v>0.00350969142549437</v>
      </c>
      <c r="F82" s="52" t="n">
        <f aca="false">费用!F9</f>
        <v>0.00407115445137195</v>
      </c>
      <c r="G82" s="52" t="n">
        <f aca="false">费用!G9</f>
        <v>0.00440807672050159</v>
      </c>
      <c r="H82" s="53" t="n">
        <f aca="false">CHOOSE(假设!$C$5,H83,H84,H85)</f>
        <v>0.005</v>
      </c>
      <c r="I82" s="53" t="n">
        <f aca="false">CHOOSE(假设!$C$5,I83,I84,I85)</f>
        <v>0.005</v>
      </c>
      <c r="J82" s="53" t="n">
        <f aca="false">CHOOSE(假设!$C$5,J83,J84,J85)</f>
        <v>0.005</v>
      </c>
      <c r="K82" s="53" t="n">
        <f aca="false">CHOOSE(假设!$C$5,K83,K84,K85)</f>
        <v>0.005</v>
      </c>
      <c r="L82" s="53" t="n">
        <f aca="false">CHOOSE(假设!$C$5,L83,L84,L85)</f>
        <v>0.005</v>
      </c>
    </row>
    <row r="83" customFormat="false" ht="15" hidden="false" customHeight="false" outlineLevel="0" collapsed="false">
      <c r="A83" s="5" t="s">
        <v>159</v>
      </c>
      <c r="H83" s="54" t="n">
        <v>0.005</v>
      </c>
      <c r="I83" s="54" t="n">
        <v>0.005</v>
      </c>
      <c r="J83" s="54" t="n">
        <v>0.005</v>
      </c>
      <c r="K83" s="54" t="n">
        <v>0.005</v>
      </c>
      <c r="L83" s="54" t="n">
        <v>0.005</v>
      </c>
    </row>
    <row r="84" customFormat="false" ht="15" hidden="false" customHeight="false" outlineLevel="0" collapsed="false">
      <c r="A84" s="5" t="s">
        <v>160</v>
      </c>
      <c r="H84" s="54" t="n">
        <v>0.005</v>
      </c>
      <c r="I84" s="54" t="n">
        <v>0.005</v>
      </c>
      <c r="J84" s="54" t="n">
        <v>0.005</v>
      </c>
      <c r="K84" s="54" t="n">
        <v>0.005</v>
      </c>
      <c r="L84" s="54" t="n">
        <v>0.005</v>
      </c>
    </row>
    <row r="85" customFormat="false" ht="15" hidden="false" customHeight="false" outlineLevel="0" collapsed="false">
      <c r="A85" s="5" t="s">
        <v>161</v>
      </c>
      <c r="H85" s="54" t="n">
        <v>0.005</v>
      </c>
      <c r="I85" s="54" t="n">
        <v>0.005</v>
      </c>
      <c r="J85" s="54" t="n">
        <v>0.005</v>
      </c>
      <c r="K85" s="54" t="n">
        <v>0.005</v>
      </c>
      <c r="L85" s="54" t="n">
        <v>0.005</v>
      </c>
    </row>
    <row r="86" customFormat="false" ht="15" hidden="false" customHeight="false" outlineLevel="0" collapsed="false">
      <c r="A86" s="12" t="s">
        <v>178</v>
      </c>
      <c r="C86" s="49" t="n">
        <f aca="false">费用!C11</f>
        <v>0.0538835820447109</v>
      </c>
      <c r="D86" s="49" t="n">
        <f aca="false">费用!D11</f>
        <v>0.0532357371454091</v>
      </c>
      <c r="E86" s="49" t="n">
        <f aca="false">费用!E11</f>
        <v>0.0573947392528269</v>
      </c>
      <c r="F86" s="49" t="n">
        <f aca="false">费用!F11</f>
        <v>0.0658996582588606</v>
      </c>
      <c r="G86" s="49" t="n">
        <f aca="false">费用!G11</f>
        <v>0.0792846430959709</v>
      </c>
      <c r="H86" s="50" t="n">
        <f aca="false">CHOOSE(假设!$C$5,H87,H88,H89)</f>
        <v>0.076</v>
      </c>
      <c r="I86" s="50" t="n">
        <f aca="false">CHOOSE(假设!$C$5,I87,I88,I89)</f>
        <v>0.073</v>
      </c>
      <c r="J86" s="50" t="n">
        <f aca="false">CHOOSE(假设!$C$5,J87,J88,J89)</f>
        <v>0.07</v>
      </c>
      <c r="K86" s="50" t="n">
        <f aca="false">CHOOSE(假设!$C$5,K87,K88,K89)</f>
        <v>0.068</v>
      </c>
      <c r="L86" s="50" t="n">
        <f aca="false">CHOOSE(假设!$C$5,L87,L88,L89)</f>
        <v>0.066</v>
      </c>
      <c r="O86" s="21" t="s">
        <v>179</v>
      </c>
    </row>
    <row r="87" customFormat="false" ht="15" hidden="false" customHeight="false" outlineLevel="0" collapsed="false">
      <c r="A87" s="5" t="s">
        <v>159</v>
      </c>
      <c r="H87" s="51" t="n">
        <v>0.076</v>
      </c>
      <c r="I87" s="51" t="n">
        <v>0.073</v>
      </c>
      <c r="J87" s="51" t="n">
        <v>0.07</v>
      </c>
      <c r="K87" s="51" t="n">
        <v>0.068</v>
      </c>
      <c r="L87" s="51" t="n">
        <v>0.066</v>
      </c>
    </row>
    <row r="88" customFormat="false" ht="15" hidden="false" customHeight="false" outlineLevel="0" collapsed="false">
      <c r="A88" s="5" t="s">
        <v>160</v>
      </c>
      <c r="H88" s="51" t="n">
        <v>0.073</v>
      </c>
      <c r="I88" s="51" t="n">
        <v>0.069</v>
      </c>
      <c r="J88" s="51" t="n">
        <v>0.066</v>
      </c>
      <c r="K88" s="51" t="n">
        <v>0.064</v>
      </c>
      <c r="L88" s="51" t="n">
        <v>0.062</v>
      </c>
    </row>
    <row r="89" customFormat="false" ht="15" hidden="false" customHeight="false" outlineLevel="0" collapsed="false">
      <c r="A89" s="5" t="s">
        <v>161</v>
      </c>
      <c r="H89" s="51" t="n">
        <v>0.078</v>
      </c>
      <c r="I89" s="51" t="n">
        <v>0.078</v>
      </c>
      <c r="J89" s="51" t="n">
        <v>0.078</v>
      </c>
      <c r="K89" s="51" t="n">
        <v>0.078</v>
      </c>
      <c r="L89" s="51" t="n">
        <v>0.078</v>
      </c>
    </row>
    <row r="90" customFormat="false" ht="15" hidden="false" customHeight="false" outlineLevel="0" collapsed="false">
      <c r="A90" s="12" t="s">
        <v>180</v>
      </c>
      <c r="C90" s="49" t="n">
        <f aca="false">费用!C13</f>
        <v>0.0111876428043535</v>
      </c>
      <c r="D90" s="49" t="n">
        <f aca="false">费用!D13</f>
        <v>0.0106292024616994</v>
      </c>
      <c r="E90" s="49" t="n">
        <f aca="false">费用!E13</f>
        <v>0.0109546310114495</v>
      </c>
      <c r="F90" s="49" t="n">
        <f aca="false">费用!F13</f>
        <v>0.0153965604244761</v>
      </c>
      <c r="G90" s="49" t="n">
        <f aca="false">费用!G13</f>
        <v>0.0194389245170702</v>
      </c>
      <c r="H90" s="50" t="n">
        <f aca="false">CHOOSE(假设!$C$5,H91,H92,H93)</f>
        <v>0.019</v>
      </c>
      <c r="I90" s="50" t="n">
        <f aca="false">CHOOSE(假设!$C$5,I91,I92,I93)</f>
        <v>0.0185</v>
      </c>
      <c r="J90" s="50" t="n">
        <f aca="false">CHOOSE(假设!$C$5,J91,J92,J93)</f>
        <v>0.018</v>
      </c>
      <c r="K90" s="50" t="n">
        <f aca="false">CHOOSE(假设!$C$5,K91,K92,K93)</f>
        <v>0.018</v>
      </c>
      <c r="L90" s="50" t="n">
        <f aca="false">CHOOSE(假设!$C$5,L91,L92,L93)</f>
        <v>0.018</v>
      </c>
    </row>
    <row r="91" customFormat="false" ht="15" hidden="false" customHeight="false" outlineLevel="0" collapsed="false">
      <c r="A91" s="5" t="s">
        <v>159</v>
      </c>
      <c r="H91" s="51" t="n">
        <v>0.019</v>
      </c>
      <c r="I91" s="51" t="n">
        <v>0.0185</v>
      </c>
      <c r="J91" s="51" t="n">
        <v>0.018</v>
      </c>
      <c r="K91" s="51" t="n">
        <v>0.018</v>
      </c>
      <c r="L91" s="51" t="n">
        <v>0.018</v>
      </c>
    </row>
    <row r="92" customFormat="false" ht="15" hidden="false" customHeight="false" outlineLevel="0" collapsed="false">
      <c r="A92" s="5" t="s">
        <v>160</v>
      </c>
      <c r="H92" s="51" t="n">
        <v>0.018</v>
      </c>
      <c r="I92" s="51" t="n">
        <v>0.018</v>
      </c>
      <c r="J92" s="51" t="n">
        <v>0.018</v>
      </c>
      <c r="K92" s="51" t="n">
        <v>0.018</v>
      </c>
      <c r="L92" s="51" t="n">
        <v>0.018</v>
      </c>
    </row>
    <row r="93" customFormat="false" ht="15" hidden="false" customHeight="false" outlineLevel="0" collapsed="false">
      <c r="A93" s="5" t="s">
        <v>161</v>
      </c>
      <c r="H93" s="51" t="n">
        <v>0.02</v>
      </c>
      <c r="I93" s="51" t="n">
        <v>0.02</v>
      </c>
      <c r="J93" s="51" t="n">
        <v>0.02</v>
      </c>
      <c r="K93" s="51" t="n">
        <v>0.02</v>
      </c>
      <c r="L93" s="51" t="n">
        <v>0.02</v>
      </c>
    </row>
    <row r="94" customFormat="false" ht="15" hidden="false" customHeight="false" outlineLevel="0" collapsed="false">
      <c r="A94" s="12" t="s">
        <v>181</v>
      </c>
      <c r="C94" s="49" t="n">
        <f aca="false">费用!C16</f>
        <v>0.141582331642483</v>
      </c>
      <c r="D94" s="49" t="n">
        <f aca="false">费用!D16</f>
        <v>0.142108272394501</v>
      </c>
      <c r="E94" s="49" t="n">
        <f aca="false">费用!E16</f>
        <v>0.123885255700397</v>
      </c>
      <c r="F94" s="49" t="n">
        <f aca="false">费用!F16</f>
        <v>0.125332783066784</v>
      </c>
      <c r="G94" s="49" t="n">
        <f aca="false">费用!G16</f>
        <v>0.126729849478227</v>
      </c>
      <c r="H94" s="50" t="n">
        <f aca="false">CHOOSE(假设!$C$5,H95,H96,H97)</f>
        <v>0.112</v>
      </c>
      <c r="I94" s="50" t="n">
        <f aca="false">CHOOSE(假设!$C$5,I95,I96,I97)</f>
        <v>0.108</v>
      </c>
      <c r="J94" s="50" t="n">
        <f aca="false">CHOOSE(假设!$C$5,J95,J96,J97)</f>
        <v>0.105</v>
      </c>
      <c r="K94" s="50" t="n">
        <f aca="false">CHOOSE(假设!$C$5,K95,K96,K97)</f>
        <v>0.103</v>
      </c>
      <c r="L94" s="50" t="n">
        <f aca="false">CHOOSE(假设!$C$5,L95,L96,L97)</f>
        <v>0.102</v>
      </c>
      <c r="O94" s="21" t="s">
        <v>182</v>
      </c>
    </row>
    <row r="95" customFormat="false" ht="15" hidden="false" customHeight="false" outlineLevel="0" collapsed="false">
      <c r="A95" s="5" t="s">
        <v>159</v>
      </c>
      <c r="H95" s="51" t="n">
        <v>0.112</v>
      </c>
      <c r="I95" s="51" t="n">
        <v>0.108</v>
      </c>
      <c r="J95" s="51" t="n">
        <v>0.105</v>
      </c>
      <c r="K95" s="51" t="n">
        <v>0.103</v>
      </c>
      <c r="L95" s="51" t="n">
        <v>0.102</v>
      </c>
    </row>
    <row r="96" customFormat="false" ht="15" hidden="false" customHeight="false" outlineLevel="0" collapsed="false">
      <c r="A96" s="5" t="s">
        <v>160</v>
      </c>
      <c r="H96" s="51" t="n">
        <v>0.11</v>
      </c>
      <c r="I96" s="51" t="n">
        <v>0.105</v>
      </c>
      <c r="J96" s="51" t="n">
        <v>0.1</v>
      </c>
      <c r="K96" s="51" t="n">
        <v>0.098</v>
      </c>
      <c r="L96" s="51" t="n">
        <v>0.098</v>
      </c>
    </row>
    <row r="97" customFormat="false" ht="15" hidden="false" customHeight="false" outlineLevel="0" collapsed="false">
      <c r="A97" s="5" t="s">
        <v>161</v>
      </c>
      <c r="H97" s="51" t="n">
        <v>0.115</v>
      </c>
      <c r="I97" s="51" t="n">
        <v>0.115</v>
      </c>
      <c r="J97" s="51" t="n">
        <v>0.115</v>
      </c>
      <c r="K97" s="51" t="n">
        <v>0.115</v>
      </c>
      <c r="L97" s="51" t="n">
        <v>0.115</v>
      </c>
    </row>
    <row r="98" customFormat="false" ht="15" hidden="false" customHeight="false" outlineLevel="0" collapsed="false">
      <c r="A98" s="12" t="s">
        <v>183</v>
      </c>
      <c r="C98" s="49" t="n">
        <f aca="false">费用!C18</f>
        <v>0.0712088322726122</v>
      </c>
      <c r="D98" s="49" t="n">
        <f aca="false">费用!D18</f>
        <v>0.066436690078429</v>
      </c>
      <c r="E98" s="49" t="n">
        <f aca="false">费用!E18</f>
        <v>0.0721287263126197</v>
      </c>
      <c r="F98" s="49" t="n">
        <f aca="false">费用!F18</f>
        <v>0.194755079856627</v>
      </c>
      <c r="G98" s="49" t="n">
        <f aca="false">费用!G18</f>
        <v>0.186143264992857</v>
      </c>
      <c r="H98" s="50" t="n">
        <f aca="false">CHOOSE(假设!$C$5,H99,H100,H101)</f>
        <v>0.19</v>
      </c>
      <c r="I98" s="50" t="n">
        <f aca="false">CHOOSE(假设!$C$5,I99,I100,I101)</f>
        <v>0.18</v>
      </c>
      <c r="J98" s="50" t="n">
        <f aca="false">CHOOSE(假设!$C$5,J99,J100,J101)</f>
        <v>0.17</v>
      </c>
      <c r="K98" s="50" t="n">
        <f aca="false">CHOOSE(假设!$C$5,K99,K100,K101)</f>
        <v>0.16</v>
      </c>
      <c r="L98" s="50" t="n">
        <f aca="false">CHOOSE(假设!$C$5,L99,L100,L101)</f>
        <v>0.15</v>
      </c>
      <c r="O98" s="21" t="s">
        <v>184</v>
      </c>
    </row>
    <row r="99" customFormat="false" ht="15" hidden="false" customHeight="false" outlineLevel="0" collapsed="false">
      <c r="A99" s="5" t="s">
        <v>159</v>
      </c>
      <c r="H99" s="51" t="n">
        <v>0.19</v>
      </c>
      <c r="I99" s="51" t="n">
        <v>0.18</v>
      </c>
      <c r="J99" s="51" t="n">
        <v>0.17</v>
      </c>
      <c r="K99" s="51" t="n">
        <v>0.16</v>
      </c>
      <c r="L99" s="51" t="n">
        <v>0.15</v>
      </c>
    </row>
    <row r="100" customFormat="false" ht="15" hidden="false" customHeight="false" outlineLevel="0" collapsed="false">
      <c r="A100" s="5" t="s">
        <v>160</v>
      </c>
      <c r="H100" s="51" t="n">
        <v>0.2</v>
      </c>
      <c r="I100" s="51" t="n">
        <v>0.2</v>
      </c>
      <c r="J100" s="51" t="n">
        <v>0.2</v>
      </c>
      <c r="K100" s="51" t="n">
        <v>0.2</v>
      </c>
      <c r="L100" s="51" t="n">
        <v>0.2</v>
      </c>
    </row>
    <row r="101" customFormat="false" ht="15" hidden="false" customHeight="false" outlineLevel="0" collapsed="false">
      <c r="A101" s="5" t="s">
        <v>161</v>
      </c>
      <c r="H101" s="51" t="n">
        <v>0.15</v>
      </c>
      <c r="I101" s="51" t="n">
        <v>0.13</v>
      </c>
      <c r="J101" s="51" t="n">
        <v>0.12</v>
      </c>
      <c r="K101" s="51" t="n">
        <v>0.11</v>
      </c>
      <c r="L101" s="51" t="n">
        <v>0.1</v>
      </c>
    </row>
    <row r="102" customFormat="false" ht="15" hidden="false" customHeight="false" outlineLevel="0" collapsed="false">
      <c r="A102" s="12" t="s">
        <v>185</v>
      </c>
      <c r="C102" s="49" t="n">
        <f aca="false">费用!C23</f>
        <v>0.00988352630459693</v>
      </c>
      <c r="D102" s="49" t="n">
        <f aca="false">费用!D23</f>
        <v>0.00889505271913931</v>
      </c>
      <c r="E102" s="49" t="n">
        <f aca="false">费用!E23</f>
        <v>0.0143910673394592</v>
      </c>
      <c r="F102" s="49" t="n">
        <f aca="false">费用!F23</f>
        <v>0.0270140379023367</v>
      </c>
      <c r="G102" s="49" t="n">
        <f aca="false">费用!G23</f>
        <v>0.0290004984037096</v>
      </c>
      <c r="H102" s="50" t="n">
        <f aca="false">CHOOSE(假设!$C$5,H103,H104,H105)</f>
        <v>0.022</v>
      </c>
      <c r="I102" s="50" t="n">
        <f aca="false">CHOOSE(假设!$C$5,I103,I104,I105)</f>
        <v>0.02</v>
      </c>
      <c r="J102" s="50" t="n">
        <f aca="false">CHOOSE(假设!$C$5,J103,J104,J105)</f>
        <v>0.019</v>
      </c>
      <c r="K102" s="50" t="n">
        <f aca="false">CHOOSE(假设!$C$5,K103,K104,K105)</f>
        <v>0.018</v>
      </c>
      <c r="L102" s="50" t="n">
        <f aca="false">CHOOSE(假设!$C$5,L103,L104,L105)</f>
        <v>0.018</v>
      </c>
      <c r="O102" s="22" t="s">
        <v>186</v>
      </c>
    </row>
    <row r="103" customFormat="false" ht="15" hidden="false" customHeight="false" outlineLevel="0" collapsed="false">
      <c r="A103" s="5" t="s">
        <v>159</v>
      </c>
      <c r="H103" s="51" t="n">
        <v>0.022</v>
      </c>
      <c r="I103" s="51" t="n">
        <v>0.02</v>
      </c>
      <c r="J103" s="51" t="n">
        <v>0.019</v>
      </c>
      <c r="K103" s="51" t="n">
        <v>0.018</v>
      </c>
      <c r="L103" s="51" t="n">
        <v>0.018</v>
      </c>
    </row>
    <row r="104" customFormat="false" ht="15" hidden="false" customHeight="false" outlineLevel="0" collapsed="false">
      <c r="A104" s="5" t="s">
        <v>160</v>
      </c>
      <c r="H104" s="51" t="n">
        <v>0.024</v>
      </c>
      <c r="I104" s="51" t="n">
        <v>0.022</v>
      </c>
      <c r="J104" s="51" t="n">
        <v>0.02</v>
      </c>
      <c r="K104" s="51" t="n">
        <v>0.02</v>
      </c>
      <c r="L104" s="51" t="n">
        <v>0.02</v>
      </c>
    </row>
    <row r="105" customFormat="false" ht="15" hidden="false" customHeight="false" outlineLevel="0" collapsed="false">
      <c r="A105" s="5" t="s">
        <v>161</v>
      </c>
      <c r="H105" s="51" t="n">
        <v>0.02</v>
      </c>
      <c r="I105" s="51" t="n">
        <v>0.018</v>
      </c>
      <c r="J105" s="51" t="n">
        <v>0.016</v>
      </c>
      <c r="K105" s="51" t="n">
        <v>0.016</v>
      </c>
      <c r="L105" s="51" t="n">
        <v>0.016</v>
      </c>
    </row>
    <row r="106" customFormat="false" ht="15" hidden="false" customHeight="false" outlineLevel="0" collapsed="false">
      <c r="A106" s="12" t="s">
        <v>187</v>
      </c>
      <c r="C106" s="52" t="n">
        <f aca="false">费用!C25</f>
        <v>-0.000662307165018094</v>
      </c>
      <c r="D106" s="52" t="n">
        <f aca="false">费用!D25</f>
        <v>-0.00753258134555403</v>
      </c>
      <c r="E106" s="52" t="n">
        <f aca="false">费用!E25</f>
        <v>-0.00936987435771006</v>
      </c>
      <c r="F106" s="52" t="n">
        <f aca="false">费用!F25</f>
        <v>-0.0121001417259437</v>
      </c>
      <c r="G106" s="52" t="n">
        <f aca="false">费用!G25</f>
        <v>-0.00326819519165929</v>
      </c>
      <c r="H106" s="53" t="n">
        <f aca="false">CHOOSE(假设!$C$5,H107,H108,H109)</f>
        <v>-0.007</v>
      </c>
      <c r="I106" s="53" t="n">
        <f aca="false">CHOOSE(假设!$C$5,I107,I108,I109)</f>
        <v>-0.006</v>
      </c>
      <c r="J106" s="53" t="n">
        <f aca="false">CHOOSE(假设!$C$5,J107,J108,J109)</f>
        <v>-0.006</v>
      </c>
      <c r="K106" s="53" t="n">
        <f aca="false">CHOOSE(假设!$C$5,K107,K108,K109)</f>
        <v>-0.006</v>
      </c>
      <c r="L106" s="53" t="n">
        <f aca="false">CHOOSE(假设!$C$5,L107,L108,L109)</f>
        <v>-0.006</v>
      </c>
    </row>
    <row r="107" customFormat="false" ht="15" hidden="false" customHeight="false" outlineLevel="0" collapsed="false">
      <c r="A107" s="5" t="s">
        <v>159</v>
      </c>
      <c r="H107" s="54" t="n">
        <v>-0.007</v>
      </c>
      <c r="I107" s="54" t="n">
        <v>-0.006</v>
      </c>
      <c r="J107" s="54" t="n">
        <v>-0.006</v>
      </c>
      <c r="K107" s="54" t="n">
        <v>-0.006</v>
      </c>
      <c r="L107" s="54" t="n">
        <v>-0.006</v>
      </c>
    </row>
    <row r="108" customFormat="false" ht="15" hidden="false" customHeight="false" outlineLevel="0" collapsed="false">
      <c r="A108" s="5" t="s">
        <v>160</v>
      </c>
      <c r="H108" s="54" t="n">
        <v>-0.004</v>
      </c>
      <c r="I108" s="54" t="n">
        <v>-0.004</v>
      </c>
      <c r="J108" s="54" t="n">
        <v>-0.004</v>
      </c>
      <c r="K108" s="54" t="n">
        <v>-0.004</v>
      </c>
      <c r="L108" s="54" t="n">
        <v>-0.004</v>
      </c>
    </row>
    <row r="109" customFormat="false" ht="15" hidden="false" customHeight="false" outlineLevel="0" collapsed="false">
      <c r="A109" s="5" t="s">
        <v>161</v>
      </c>
      <c r="H109" s="54" t="n">
        <v>-0.008</v>
      </c>
      <c r="I109" s="54" t="n">
        <v>-0.008</v>
      </c>
      <c r="J109" s="54" t="n">
        <v>-0.008</v>
      </c>
      <c r="K109" s="54" t="n">
        <v>-0.008</v>
      </c>
      <c r="L109" s="54" t="n">
        <v>-0.008</v>
      </c>
    </row>
    <row r="110" customFormat="false" ht="15" hidden="false" customHeight="false" outlineLevel="0" collapsed="false">
      <c r="A110" s="12" t="s">
        <v>188</v>
      </c>
      <c r="C110" s="52" t="n">
        <f aca="false">费用!C27</f>
        <v>-0.00911271820332695</v>
      </c>
      <c r="D110" s="52" t="n">
        <f aca="false">费用!D27</f>
        <v>-0.00395721429703322</v>
      </c>
      <c r="E110" s="52" t="n">
        <f aca="false">费用!E27</f>
        <v>-0.00475031873468312</v>
      </c>
      <c r="F110" s="52" t="n">
        <f aca="false">费用!F27</f>
        <v>-0.00375581754557942</v>
      </c>
      <c r="G110" s="52" t="n">
        <f aca="false">费用!G27</f>
        <v>-0.0118049022466371</v>
      </c>
      <c r="H110" s="53" t="n">
        <f aca="false">CHOOSE(假设!$C$5,H111,H112,H113)</f>
        <v>-0.007</v>
      </c>
      <c r="I110" s="53" t="n">
        <f aca="false">CHOOSE(假设!$C$5,I111,I112,I113)</f>
        <v>-0.006</v>
      </c>
      <c r="J110" s="53" t="n">
        <f aca="false">CHOOSE(假设!$C$5,J111,J112,J113)</f>
        <v>-0.006</v>
      </c>
      <c r="K110" s="53" t="n">
        <f aca="false">CHOOSE(假设!$C$5,K111,K112,K113)</f>
        <v>-0.006</v>
      </c>
      <c r="L110" s="53" t="n">
        <f aca="false">CHOOSE(假设!$C$5,L111,L112,L113)</f>
        <v>-0.006</v>
      </c>
      <c r="O110" s="21" t="s">
        <v>189</v>
      </c>
    </row>
    <row r="111" customFormat="false" ht="15" hidden="false" customHeight="false" outlineLevel="0" collapsed="false">
      <c r="A111" s="5" t="s">
        <v>159</v>
      </c>
      <c r="H111" s="54" t="n">
        <v>-0.007</v>
      </c>
      <c r="I111" s="54" t="n">
        <v>-0.006</v>
      </c>
      <c r="J111" s="54" t="n">
        <v>-0.006</v>
      </c>
      <c r="K111" s="54" t="n">
        <v>-0.006</v>
      </c>
      <c r="L111" s="54" t="n">
        <v>-0.006</v>
      </c>
    </row>
    <row r="112" customFormat="false" ht="15" hidden="false" customHeight="false" outlineLevel="0" collapsed="false">
      <c r="A112" s="5" t="s">
        <v>160</v>
      </c>
      <c r="H112" s="54" t="n">
        <v>-0.004</v>
      </c>
      <c r="I112" s="54" t="n">
        <v>-0.004</v>
      </c>
      <c r="J112" s="54" t="n">
        <v>-0.004</v>
      </c>
      <c r="K112" s="54" t="n">
        <v>-0.004</v>
      </c>
      <c r="L112" s="54" t="n">
        <v>-0.004</v>
      </c>
    </row>
    <row r="113" customFormat="false" ht="15" hidden="false" customHeight="false" outlineLevel="0" collapsed="false">
      <c r="A113" s="5" t="s">
        <v>161</v>
      </c>
      <c r="H113" s="54" t="n">
        <v>-0.008</v>
      </c>
      <c r="I113" s="54" t="n">
        <v>-0.008</v>
      </c>
      <c r="J113" s="54" t="n">
        <v>-0.008</v>
      </c>
      <c r="K113" s="54" t="n">
        <v>-0.008</v>
      </c>
      <c r="L113" s="54" t="n">
        <v>-0.008</v>
      </c>
    </row>
    <row r="114" customFormat="false" ht="15" hidden="false" customHeight="false" outlineLevel="0" collapsed="false">
      <c r="A114" s="12" t="s">
        <v>190</v>
      </c>
      <c r="C114" s="49" t="n">
        <f aca="false">费用!C30</f>
        <v>0.418319681568472</v>
      </c>
      <c r="D114" s="49" t="n">
        <f aca="false">费用!D30</f>
        <v>-0.175250200044068</v>
      </c>
      <c r="E114" s="49" t="n">
        <f aca="false">费用!E30</f>
        <v>-0.0861841889415393</v>
      </c>
      <c r="F114" s="49" t="n">
        <f aca="false">费用!F30</f>
        <v>0.0256348445137433</v>
      </c>
      <c r="G114" s="49" t="n">
        <f aca="false">费用!G30</f>
        <v>0.376952197112523</v>
      </c>
      <c r="H114" s="50" t="n">
        <f aca="false">CHOOSE(假设!$C$5,H115,H116,H117)</f>
        <v>0.63</v>
      </c>
      <c r="I114" s="50" t="n">
        <f aca="false">CHOOSE(假设!$C$5,I115,I116,I117)</f>
        <v>0.05</v>
      </c>
      <c r="J114" s="50" t="n">
        <f aca="false">CHOOSE(假设!$C$5,J115,J116,J117)</f>
        <v>0.05</v>
      </c>
      <c r="K114" s="50" t="n">
        <f aca="false">CHOOSE(假设!$C$5,K115,K116,K117)</f>
        <v>0.05</v>
      </c>
      <c r="L114" s="50" t="n">
        <f aca="false">CHOOSE(假设!$C$5,L115,L116,L117)</f>
        <v>0.05</v>
      </c>
      <c r="O114" s="21" t="s">
        <v>191</v>
      </c>
    </row>
    <row r="115" customFormat="false" ht="15" hidden="false" customHeight="false" outlineLevel="0" collapsed="false">
      <c r="A115" s="5" t="s">
        <v>159</v>
      </c>
      <c r="H115" s="51" t="n">
        <v>0.63</v>
      </c>
      <c r="I115" s="51" t="n">
        <v>0.05</v>
      </c>
      <c r="J115" s="51" t="n">
        <v>0.05</v>
      </c>
      <c r="K115" s="51" t="n">
        <v>0.05</v>
      </c>
      <c r="L115" s="51" t="n">
        <v>0.05</v>
      </c>
    </row>
    <row r="116" customFormat="false" ht="15" hidden="false" customHeight="false" outlineLevel="0" collapsed="false">
      <c r="A116" s="5" t="s">
        <v>160</v>
      </c>
      <c r="H116" s="51" t="n">
        <v>0.8</v>
      </c>
      <c r="I116" s="51" t="n">
        <v>0.12</v>
      </c>
      <c r="J116" s="51" t="n">
        <v>0.08</v>
      </c>
      <c r="K116" s="51" t="n">
        <v>0.06</v>
      </c>
      <c r="L116" s="51" t="n">
        <v>0.06</v>
      </c>
    </row>
    <row r="117" customFormat="false" ht="15" hidden="false" customHeight="false" outlineLevel="0" collapsed="false">
      <c r="A117" s="5" t="s">
        <v>161</v>
      </c>
      <c r="H117" s="51" t="n">
        <v>0.45</v>
      </c>
      <c r="I117" s="51" t="n">
        <v>-0.15</v>
      </c>
      <c r="J117" s="51" t="n">
        <v>0.03</v>
      </c>
      <c r="K117" s="51" t="n">
        <v>0.03</v>
      </c>
      <c r="L117" s="51" t="n">
        <v>0.03</v>
      </c>
    </row>
    <row r="118" customFormat="false" ht="15" hidden="false" customHeight="false" outlineLevel="0" collapsed="false">
      <c r="A118" s="12" t="s">
        <v>192</v>
      </c>
      <c r="C118" s="55" t="n">
        <f aca="false">费用!C36</f>
        <v>35.1644409</v>
      </c>
      <c r="D118" s="55" t="n">
        <f aca="false">费用!D36</f>
        <v>76.1916241</v>
      </c>
      <c r="E118" s="55" t="n">
        <f aca="false">费用!E36</f>
        <v>49.3177797</v>
      </c>
      <c r="F118" s="55" t="n">
        <f aca="false">费用!F36</f>
        <v>1.93331710000001</v>
      </c>
      <c r="G118" s="55" t="n">
        <f aca="false">费用!G36</f>
        <v>51.6680485000001</v>
      </c>
      <c r="H118" s="56" t="n">
        <f aca="false">CHOOSE(假设!$C$5,H119,H120,H121)</f>
        <v>50</v>
      </c>
      <c r="I118" s="56" t="n">
        <f aca="false">CHOOSE(假设!$C$5,I119,I120,I121)</f>
        <v>50</v>
      </c>
      <c r="J118" s="56" t="n">
        <f aca="false">CHOOSE(假设!$C$5,J119,J120,J121)</f>
        <v>50</v>
      </c>
      <c r="K118" s="56" t="n">
        <f aca="false">CHOOSE(假设!$C$5,K119,K120,K121)</f>
        <v>50</v>
      </c>
      <c r="L118" s="56" t="n">
        <f aca="false">CHOOSE(假设!$C$5,L119,L120,L121)</f>
        <v>50</v>
      </c>
    </row>
    <row r="119" customFormat="false" ht="15" hidden="false" customHeight="false" outlineLevel="0" collapsed="false">
      <c r="A119" s="5" t="s">
        <v>159</v>
      </c>
      <c r="H119" s="57" t="n">
        <v>50</v>
      </c>
      <c r="I119" s="57" t="n">
        <v>50</v>
      </c>
      <c r="J119" s="57" t="n">
        <v>50</v>
      </c>
      <c r="K119" s="57" t="n">
        <v>50</v>
      </c>
      <c r="L119" s="57" t="n">
        <v>50</v>
      </c>
    </row>
    <row r="120" customFormat="false" ht="15" hidden="false" customHeight="false" outlineLevel="0" collapsed="false">
      <c r="A120" s="5" t="s">
        <v>160</v>
      </c>
      <c r="H120" s="57" t="n">
        <v>60</v>
      </c>
      <c r="I120" s="57" t="n">
        <v>60</v>
      </c>
      <c r="J120" s="57" t="n">
        <v>60</v>
      </c>
      <c r="K120" s="57" t="n">
        <v>60</v>
      </c>
      <c r="L120" s="57" t="n">
        <v>60</v>
      </c>
    </row>
    <row r="121" customFormat="false" ht="15" hidden="false" customHeight="false" outlineLevel="0" collapsed="false">
      <c r="A121" s="5" t="s">
        <v>161</v>
      </c>
      <c r="H121" s="57" t="n">
        <v>40</v>
      </c>
      <c r="I121" s="57" t="n">
        <v>40</v>
      </c>
      <c r="J121" s="57" t="n">
        <v>40</v>
      </c>
      <c r="K121" s="57" t="n">
        <v>40</v>
      </c>
      <c r="L121" s="57" t="n">
        <v>40</v>
      </c>
    </row>
    <row r="122" customFormat="false" ht="15" hidden="false" customHeight="false" outlineLevel="0" collapsed="false">
      <c r="A122" s="12" t="s">
        <v>193</v>
      </c>
      <c r="C122" s="55" t="n">
        <f aca="false">费用!C37</f>
        <v>0.395400000000052</v>
      </c>
      <c r="D122" s="55" t="n">
        <f aca="false">费用!D37</f>
        <v>10.7646</v>
      </c>
      <c r="E122" s="55" t="n">
        <f aca="false">费用!E37</f>
        <v>-24.0725</v>
      </c>
      <c r="F122" s="55" t="n">
        <f aca="false">费用!F37</f>
        <v>2.15879999999999</v>
      </c>
      <c r="G122" s="55" t="n">
        <f aca="false">费用!G37</f>
        <v>2.85249999999996</v>
      </c>
      <c r="H122" s="56" t="n">
        <f aca="false">CHOOSE(假设!$C$5,H123,H124,H125)</f>
        <v>-25</v>
      </c>
      <c r="I122" s="56" t="n">
        <f aca="false">CHOOSE(假设!$C$5,I123,I124,I125)</f>
        <v>-25</v>
      </c>
      <c r="J122" s="56" t="n">
        <f aca="false">CHOOSE(假设!$C$5,J123,J124,J125)</f>
        <v>-25</v>
      </c>
      <c r="K122" s="56" t="n">
        <f aca="false">CHOOSE(假设!$C$5,K123,K124,K125)</f>
        <v>-25</v>
      </c>
      <c r="L122" s="56" t="n">
        <f aca="false">CHOOSE(假设!$C$5,L123,L124,L125)</f>
        <v>-25</v>
      </c>
    </row>
    <row r="123" customFormat="false" ht="15" hidden="false" customHeight="false" outlineLevel="0" collapsed="false">
      <c r="A123" s="5" t="s">
        <v>159</v>
      </c>
      <c r="H123" s="57" t="n">
        <v>-25</v>
      </c>
      <c r="I123" s="57" t="n">
        <v>-25</v>
      </c>
      <c r="J123" s="57" t="n">
        <v>-25</v>
      </c>
      <c r="K123" s="57" t="n">
        <v>-25</v>
      </c>
      <c r="L123" s="57" t="n">
        <v>-25</v>
      </c>
    </row>
    <row r="124" customFormat="false" ht="15" hidden="false" customHeight="false" outlineLevel="0" collapsed="false">
      <c r="A124" s="5" t="s">
        <v>160</v>
      </c>
      <c r="H124" s="57" t="n">
        <v>-25</v>
      </c>
      <c r="I124" s="57" t="n">
        <v>-25</v>
      </c>
      <c r="J124" s="57" t="n">
        <v>-25</v>
      </c>
      <c r="K124" s="57" t="n">
        <v>-25</v>
      </c>
      <c r="L124" s="57" t="n">
        <v>-25</v>
      </c>
    </row>
    <row r="125" customFormat="false" ht="15" hidden="false" customHeight="false" outlineLevel="0" collapsed="false">
      <c r="A125" s="5" t="s">
        <v>161</v>
      </c>
      <c r="H125" s="57" t="n">
        <v>-25</v>
      </c>
      <c r="I125" s="57" t="n">
        <v>-25</v>
      </c>
      <c r="J125" s="57" t="n">
        <v>-25</v>
      </c>
      <c r="K125" s="57" t="n">
        <v>-25</v>
      </c>
      <c r="L125" s="57" t="n">
        <v>-25</v>
      </c>
    </row>
    <row r="126" customFormat="false" ht="15" hidden="false" customHeight="false" outlineLevel="0" collapsed="false">
      <c r="A126" s="12" t="s">
        <v>194</v>
      </c>
      <c r="C126" s="55" t="n">
        <f aca="false">费用!C41</f>
        <v>-2.6277</v>
      </c>
      <c r="D126" s="55" t="n">
        <f aca="false">费用!D41</f>
        <v>-0.953799999999999</v>
      </c>
      <c r="E126" s="55" t="n">
        <f aca="false">费用!E41</f>
        <v>15.0161</v>
      </c>
      <c r="F126" s="55" t="n">
        <f aca="false">费用!F41</f>
        <v>-11.2164</v>
      </c>
      <c r="G126" s="55" t="n">
        <f aca="false">费用!G41</f>
        <v>-11.1238</v>
      </c>
      <c r="H126" s="56" t="n">
        <f aca="false">CHOOSE(假设!$C$5,H127,H128,H129)</f>
        <v>-10</v>
      </c>
      <c r="I126" s="56" t="n">
        <f aca="false">CHOOSE(假设!$C$5,I127,I128,I129)</f>
        <v>-10</v>
      </c>
      <c r="J126" s="56" t="n">
        <f aca="false">CHOOSE(假设!$C$5,J127,J128,J129)</f>
        <v>-10</v>
      </c>
      <c r="K126" s="56" t="n">
        <f aca="false">CHOOSE(假设!$C$5,K127,K128,K129)</f>
        <v>-10</v>
      </c>
      <c r="L126" s="56" t="n">
        <f aca="false">CHOOSE(假设!$C$5,L127,L128,L129)</f>
        <v>-10</v>
      </c>
    </row>
    <row r="127" customFormat="false" ht="15" hidden="false" customHeight="false" outlineLevel="0" collapsed="false">
      <c r="A127" s="5" t="s">
        <v>159</v>
      </c>
      <c r="H127" s="57" t="n">
        <v>-10</v>
      </c>
      <c r="I127" s="57" t="n">
        <v>-10</v>
      </c>
      <c r="J127" s="57" t="n">
        <v>-10</v>
      </c>
      <c r="K127" s="57" t="n">
        <v>-10</v>
      </c>
      <c r="L127" s="57" t="n">
        <v>-10</v>
      </c>
    </row>
    <row r="128" customFormat="false" ht="15" hidden="false" customHeight="false" outlineLevel="0" collapsed="false">
      <c r="A128" s="5" t="s">
        <v>160</v>
      </c>
      <c r="H128" s="57" t="n">
        <v>-10</v>
      </c>
      <c r="I128" s="57" t="n">
        <v>-10</v>
      </c>
      <c r="J128" s="57" t="n">
        <v>-10</v>
      </c>
      <c r="K128" s="57" t="n">
        <v>-10</v>
      </c>
      <c r="L128" s="57" t="n">
        <v>-10</v>
      </c>
    </row>
    <row r="129" customFormat="false" ht="15" hidden="false" customHeight="false" outlineLevel="0" collapsed="false">
      <c r="A129" s="5" t="s">
        <v>161</v>
      </c>
      <c r="H129" s="57" t="n">
        <v>-10</v>
      </c>
      <c r="I129" s="57" t="n">
        <v>-10</v>
      </c>
      <c r="J129" s="57" t="n">
        <v>-10</v>
      </c>
      <c r="K129" s="57" t="n">
        <v>-10</v>
      </c>
      <c r="L129" s="57" t="n">
        <v>-10</v>
      </c>
    </row>
    <row r="130" customFormat="false" ht="15" hidden="false" customHeight="false" outlineLevel="0" collapsed="false">
      <c r="A130" s="12" t="s">
        <v>195</v>
      </c>
      <c r="C130" s="49" t="n">
        <f aca="false">费用!C42</f>
        <v>0.275757990460283</v>
      </c>
      <c r="D130" s="49" t="n">
        <f aca="false">费用!D42</f>
        <v>0.242735533984607</v>
      </c>
      <c r="E130" s="49" t="n">
        <f aca="false">费用!E42</f>
        <v>0.159057574994834</v>
      </c>
      <c r="F130" s="49" t="n">
        <f aca="false">费用!F42</f>
        <v>0.103439173477349</v>
      </c>
      <c r="G130" s="49" t="n">
        <f aca="false">费用!G42</f>
        <v>0.186101526096838</v>
      </c>
      <c r="H130" s="50" t="n">
        <f aca="false">CHOOSE(假设!$C$5,H131,H132,H133)</f>
        <v>0.13</v>
      </c>
      <c r="I130" s="50" t="n">
        <f aca="false">CHOOSE(假设!$C$5,I131,I132,I133)</f>
        <v>0.13</v>
      </c>
      <c r="J130" s="50" t="n">
        <f aca="false">CHOOSE(假设!$C$5,J131,J132,J133)</f>
        <v>0.13</v>
      </c>
      <c r="K130" s="50" t="n">
        <f aca="false">CHOOSE(假设!$C$5,K131,K132,K133)</f>
        <v>0.13</v>
      </c>
      <c r="L130" s="50" t="n">
        <f aca="false">CHOOSE(假设!$C$5,L131,L132,L133)</f>
        <v>0.13</v>
      </c>
      <c r="O130" s="22" t="s">
        <v>196</v>
      </c>
    </row>
    <row r="131" customFormat="false" ht="15" hidden="false" customHeight="false" outlineLevel="0" collapsed="false">
      <c r="A131" s="5" t="s">
        <v>159</v>
      </c>
      <c r="H131" s="51" t="n">
        <v>0.13</v>
      </c>
      <c r="I131" s="51" t="n">
        <v>0.13</v>
      </c>
      <c r="J131" s="51" t="n">
        <v>0.13</v>
      </c>
      <c r="K131" s="51" t="n">
        <v>0.13</v>
      </c>
      <c r="L131" s="51" t="n">
        <v>0.13</v>
      </c>
    </row>
    <row r="132" customFormat="false" ht="15" hidden="false" customHeight="false" outlineLevel="0" collapsed="false">
      <c r="A132" s="5" t="s">
        <v>160</v>
      </c>
      <c r="H132" s="51" t="n">
        <v>0.13</v>
      </c>
      <c r="I132" s="51" t="n">
        <v>0.13</v>
      </c>
      <c r="J132" s="51" t="n">
        <v>0.13</v>
      </c>
      <c r="K132" s="51" t="n">
        <v>0.13</v>
      </c>
      <c r="L132" s="51" t="n">
        <v>0.13</v>
      </c>
    </row>
    <row r="133" customFormat="false" ht="15" hidden="false" customHeight="false" outlineLevel="0" collapsed="false">
      <c r="A133" s="5" t="s">
        <v>161</v>
      </c>
      <c r="H133" s="51" t="n">
        <v>0.15</v>
      </c>
      <c r="I133" s="51" t="n">
        <v>0.15</v>
      </c>
      <c r="J133" s="51" t="n">
        <v>0.15</v>
      </c>
      <c r="K133" s="51" t="n">
        <v>0.15</v>
      </c>
      <c r="L133" s="51" t="n">
        <v>0.15</v>
      </c>
    </row>
    <row r="134" customFormat="false" ht="15" hidden="false" customHeight="false" outlineLevel="0" collapsed="false">
      <c r="A134" s="12" t="s">
        <v>197</v>
      </c>
      <c r="C134" s="55" t="n">
        <f aca="false">利润表!C28</f>
        <v>67.6577</v>
      </c>
      <c r="D134" s="55" t="n">
        <f aca="false">利润表!D28</f>
        <v>3.4306</v>
      </c>
      <c r="E134" s="55" t="n">
        <f aca="false">利润表!E28</f>
        <v>-16.5807</v>
      </c>
      <c r="F134" s="55" t="n">
        <f aca="false">利润表!F28</f>
        <v>7.4939</v>
      </c>
      <c r="G134" s="55" t="n">
        <f aca="false">利润表!G28</f>
        <v>-59.785</v>
      </c>
      <c r="H134" s="56" t="n">
        <f aca="false">CHOOSE(假设!$C$5,H135,H136,H137)</f>
        <v>-15</v>
      </c>
      <c r="I134" s="56" t="n">
        <f aca="false">CHOOSE(假设!$C$5,I135,I136,I137)</f>
        <v>0</v>
      </c>
      <c r="J134" s="56" t="n">
        <f aca="false">CHOOSE(假设!$C$5,J135,J136,J137)</f>
        <v>10</v>
      </c>
      <c r="K134" s="56" t="n">
        <f aca="false">CHOOSE(假设!$C$5,K135,K136,K137)</f>
        <v>15</v>
      </c>
      <c r="L134" s="56" t="n">
        <f aca="false">CHOOSE(假设!$C$5,L135,L136,L137)</f>
        <v>20</v>
      </c>
      <c r="O134" s="22" t="s">
        <v>198</v>
      </c>
    </row>
    <row r="135" customFormat="false" ht="15" hidden="false" customHeight="false" outlineLevel="0" collapsed="false">
      <c r="A135" s="5" t="s">
        <v>159</v>
      </c>
      <c r="H135" s="57" t="n">
        <v>-15</v>
      </c>
      <c r="I135" s="57" t="n">
        <v>0</v>
      </c>
      <c r="J135" s="57" t="n">
        <v>10</v>
      </c>
      <c r="K135" s="57" t="n">
        <v>15</v>
      </c>
      <c r="L135" s="57" t="n">
        <v>20</v>
      </c>
    </row>
    <row r="136" customFormat="false" ht="15" hidden="false" customHeight="false" outlineLevel="0" collapsed="false">
      <c r="A136" s="5" t="s">
        <v>160</v>
      </c>
      <c r="H136" s="57" t="n">
        <v>0</v>
      </c>
      <c r="I136" s="57" t="n">
        <v>15</v>
      </c>
      <c r="J136" s="57" t="n">
        <v>25</v>
      </c>
      <c r="K136" s="57" t="n">
        <v>30</v>
      </c>
      <c r="L136" s="57" t="n">
        <v>35</v>
      </c>
    </row>
    <row r="137" customFormat="false" ht="15" hidden="false" customHeight="false" outlineLevel="0" collapsed="false">
      <c r="A137" s="5" t="s">
        <v>161</v>
      </c>
      <c r="H137" s="57" t="n">
        <v>-40</v>
      </c>
      <c r="I137" s="57" t="n">
        <v>-30</v>
      </c>
      <c r="J137" s="57" t="n">
        <v>-20</v>
      </c>
      <c r="K137" s="57" t="n">
        <v>-10</v>
      </c>
      <c r="L137" s="57" t="n">
        <v>0</v>
      </c>
    </row>
    <row r="138" customFormat="false" ht="15" hidden="false" customHeight="false" outlineLevel="0" collapsed="false">
      <c r="A138" s="47" t="s">
        <v>199</v>
      </c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customFormat="false" ht="15" hidden="false" customHeight="false" outlineLevel="0" collapsed="false">
      <c r="A139" s="12" t="s">
        <v>200</v>
      </c>
      <c r="C139" s="55" t="n">
        <f aca="false">资本开支折旧!C27</f>
        <v>570.47695334</v>
      </c>
      <c r="D139" s="55" t="n">
        <f aca="false">资本开支折旧!D27</f>
        <v>296.40205149</v>
      </c>
      <c r="E139" s="55" t="n">
        <f aca="false">资本开支折旧!E27</f>
        <v>315.10875422</v>
      </c>
      <c r="F139" s="55" t="n">
        <f aca="false">资本开支折旧!F27</f>
        <v>554.45501675</v>
      </c>
      <c r="G139" s="55" t="n">
        <f aca="false">资本开支折旧!G27</f>
        <v>831.63827386</v>
      </c>
      <c r="H139" s="56" t="n">
        <f aca="false">CHOOSE(假设!$C$5,H140,H141,H142)</f>
        <v>1300</v>
      </c>
      <c r="I139" s="56" t="n">
        <f aca="false">CHOOSE(假设!$C$5,I140,I141,I142)</f>
        <v>1700</v>
      </c>
      <c r="J139" s="56" t="n">
        <f aca="false">CHOOSE(假设!$C$5,J140,J141,J142)</f>
        <v>1600</v>
      </c>
      <c r="K139" s="56" t="n">
        <f aca="false">CHOOSE(假设!$C$5,K140,K141,K142)</f>
        <v>1100</v>
      </c>
      <c r="L139" s="56" t="n">
        <f aca="false">CHOOSE(假设!$C$5,L140,L141,L142)</f>
        <v>900</v>
      </c>
      <c r="O139" s="22" t="s">
        <v>201</v>
      </c>
    </row>
    <row r="140" customFormat="false" ht="15" hidden="false" customHeight="false" outlineLevel="0" collapsed="false">
      <c r="A140" s="5" t="s">
        <v>159</v>
      </c>
      <c r="H140" s="57" t="n">
        <v>1300</v>
      </c>
      <c r="I140" s="57" t="n">
        <v>1700</v>
      </c>
      <c r="J140" s="57" t="n">
        <v>1600</v>
      </c>
      <c r="K140" s="57" t="n">
        <v>1100</v>
      </c>
      <c r="L140" s="57" t="n">
        <v>900</v>
      </c>
    </row>
    <row r="141" customFormat="false" ht="15" hidden="false" customHeight="false" outlineLevel="0" collapsed="false">
      <c r="A141" s="5" t="s">
        <v>160</v>
      </c>
      <c r="H141" s="57" t="n">
        <v>1400</v>
      </c>
      <c r="I141" s="57" t="n">
        <v>1900</v>
      </c>
      <c r="J141" s="57" t="n">
        <v>1800</v>
      </c>
      <c r="K141" s="57" t="n">
        <v>1200</v>
      </c>
      <c r="L141" s="57" t="n">
        <v>1000</v>
      </c>
    </row>
    <row r="142" customFormat="false" ht="15" hidden="false" customHeight="false" outlineLevel="0" collapsed="false">
      <c r="A142" s="5" t="s">
        <v>161</v>
      </c>
      <c r="H142" s="57" t="n">
        <v>1200</v>
      </c>
      <c r="I142" s="57" t="n">
        <v>1200</v>
      </c>
      <c r="J142" s="57" t="n">
        <v>1000</v>
      </c>
      <c r="K142" s="57" t="n">
        <v>900</v>
      </c>
      <c r="L142" s="57" t="n">
        <v>900</v>
      </c>
    </row>
    <row r="143" customFormat="false" ht="15" hidden="false" customHeight="false" outlineLevel="0" collapsed="false">
      <c r="A143" s="12" t="s">
        <v>202</v>
      </c>
      <c r="C143" s="55" t="n">
        <f aca="false">资本开支折旧!C34</f>
        <v>61.42092095</v>
      </c>
      <c r="D143" s="55" t="n">
        <f aca="false">资本开支折旧!D34</f>
        <v>115.89485148</v>
      </c>
      <c r="E143" s="55" t="n">
        <f aca="false">资本开支折旧!E34</f>
        <v>217.90332382</v>
      </c>
      <c r="F143" s="55" t="n">
        <f aca="false">资本开支折旧!F34</f>
        <v>101.05920914</v>
      </c>
      <c r="G143" s="55" t="n">
        <f aca="false">资本开支折旧!G34</f>
        <v>66.69917125</v>
      </c>
      <c r="H143" s="56" t="n">
        <f aca="false">CHOOSE(假设!$C$5,H144,H145,H146)</f>
        <v>70</v>
      </c>
      <c r="I143" s="56" t="n">
        <f aca="false">CHOOSE(假设!$C$5,I144,I145,I146)</f>
        <v>70</v>
      </c>
      <c r="J143" s="56" t="n">
        <f aca="false">CHOOSE(假设!$C$5,J144,J145,J146)</f>
        <v>70</v>
      </c>
      <c r="K143" s="56" t="n">
        <f aca="false">CHOOSE(假设!$C$5,K144,K145,K146)</f>
        <v>70</v>
      </c>
      <c r="L143" s="56" t="n">
        <f aca="false">CHOOSE(假设!$C$5,L144,L145,L146)</f>
        <v>70</v>
      </c>
    </row>
    <row r="144" customFormat="false" ht="15" hidden="false" customHeight="false" outlineLevel="0" collapsed="false">
      <c r="A144" s="5" t="s">
        <v>159</v>
      </c>
      <c r="H144" s="57" t="n">
        <v>70</v>
      </c>
      <c r="I144" s="57" t="n">
        <v>70</v>
      </c>
      <c r="J144" s="57" t="n">
        <v>70</v>
      </c>
      <c r="K144" s="57" t="n">
        <v>70</v>
      </c>
      <c r="L144" s="57" t="n">
        <v>70</v>
      </c>
    </row>
    <row r="145" customFormat="false" ht="15" hidden="false" customHeight="false" outlineLevel="0" collapsed="false">
      <c r="A145" s="5" t="s">
        <v>160</v>
      </c>
      <c r="H145" s="57" t="n">
        <v>70</v>
      </c>
      <c r="I145" s="57" t="n">
        <v>70</v>
      </c>
      <c r="J145" s="57" t="n">
        <v>70</v>
      </c>
      <c r="K145" s="57" t="n">
        <v>70</v>
      </c>
      <c r="L145" s="57" t="n">
        <v>70</v>
      </c>
    </row>
    <row r="146" customFormat="false" ht="15" hidden="false" customHeight="false" outlineLevel="0" collapsed="false">
      <c r="A146" s="5" t="s">
        <v>161</v>
      </c>
      <c r="H146" s="57" t="n">
        <v>70</v>
      </c>
      <c r="I146" s="57" t="n">
        <v>70</v>
      </c>
      <c r="J146" s="57" t="n">
        <v>70</v>
      </c>
      <c r="K146" s="57" t="n">
        <v>70</v>
      </c>
      <c r="L146" s="57" t="n">
        <v>70</v>
      </c>
    </row>
    <row r="147" customFormat="false" ht="15" hidden="false" customHeight="false" outlineLevel="0" collapsed="false">
      <c r="A147" s="12" t="s">
        <v>203</v>
      </c>
      <c r="C147" s="49" t="n">
        <f aca="false">资本开支折旧!C31</f>
        <v>0.177322610683279</v>
      </c>
      <c r="D147" s="49" t="n">
        <f aca="false">资本开支折旧!D31</f>
        <v>0.273036701258011</v>
      </c>
      <c r="E147" s="49" t="n">
        <f aca="false">资本开支折旧!E31</f>
        <v>0.651328857660739</v>
      </c>
      <c r="F147" s="49" t="n">
        <f aca="false">资本开支折旧!F31</f>
        <v>0.0953914237555644</v>
      </c>
      <c r="G147" s="49" t="n">
        <f aca="false">资本开支折旧!G31</f>
        <v>0.207213288635455</v>
      </c>
      <c r="H147" s="50" t="n">
        <f aca="false">CHOOSE(假设!$C$5,H148,H149,H150)</f>
        <v>0.45</v>
      </c>
      <c r="I147" s="50" t="n">
        <f aca="false">CHOOSE(假设!$C$5,I148,I149,I150)</f>
        <v>0.45</v>
      </c>
      <c r="J147" s="50" t="n">
        <f aca="false">CHOOSE(假设!$C$5,J148,J149,J150)</f>
        <v>0.45</v>
      </c>
      <c r="K147" s="50" t="n">
        <f aca="false">CHOOSE(假设!$C$5,K148,K149,K150)</f>
        <v>0.45</v>
      </c>
      <c r="L147" s="50" t="n">
        <f aca="false">CHOOSE(假设!$C$5,L148,L149,L150)</f>
        <v>0.45</v>
      </c>
    </row>
    <row r="148" customFormat="false" ht="15" hidden="false" customHeight="false" outlineLevel="0" collapsed="false">
      <c r="A148" s="5" t="s">
        <v>159</v>
      </c>
      <c r="H148" s="51" t="n">
        <v>0.45</v>
      </c>
      <c r="I148" s="51" t="n">
        <v>0.45</v>
      </c>
      <c r="J148" s="51" t="n">
        <v>0.45</v>
      </c>
      <c r="K148" s="51" t="n">
        <v>0.45</v>
      </c>
      <c r="L148" s="51" t="n">
        <v>0.45</v>
      </c>
    </row>
    <row r="149" customFormat="false" ht="15" hidden="false" customHeight="false" outlineLevel="0" collapsed="false">
      <c r="A149" s="5" t="s">
        <v>160</v>
      </c>
      <c r="H149" s="51" t="n">
        <v>0.45</v>
      </c>
      <c r="I149" s="51" t="n">
        <v>0.45</v>
      </c>
      <c r="J149" s="51" t="n">
        <v>0.45</v>
      </c>
      <c r="K149" s="51" t="n">
        <v>0.45</v>
      </c>
      <c r="L149" s="51" t="n">
        <v>0.45</v>
      </c>
    </row>
    <row r="150" customFormat="false" ht="15" hidden="false" customHeight="false" outlineLevel="0" collapsed="false">
      <c r="A150" s="5" t="s">
        <v>161</v>
      </c>
      <c r="H150" s="51" t="n">
        <v>0.45</v>
      </c>
      <c r="I150" s="51" t="n">
        <v>0.45</v>
      </c>
      <c r="J150" s="51" t="n">
        <v>0.45</v>
      </c>
      <c r="K150" s="51" t="n">
        <v>0.45</v>
      </c>
      <c r="L150" s="51" t="n">
        <v>0.45</v>
      </c>
    </row>
    <row r="151" customFormat="false" ht="15" hidden="false" customHeight="false" outlineLevel="0" collapsed="false">
      <c r="A151" s="12" t="s">
        <v>204</v>
      </c>
      <c r="C151" s="52" t="n">
        <f aca="false">资本开支折旧!C22</f>
        <v>0.0818250802194589</v>
      </c>
      <c r="D151" s="52" t="n">
        <f aca="false">资本开支折旧!D22</f>
        <v>0.0674499068077423</v>
      </c>
      <c r="E151" s="52" t="n">
        <f aca="false">资本开支折旧!E22</f>
        <v>0.0826518953793846</v>
      </c>
      <c r="F151" s="52" t="n">
        <f aca="false">资本开支折旧!F22</f>
        <v>0.0823320426128994</v>
      </c>
      <c r="G151" s="52" t="n">
        <f aca="false">资本开支折旧!G22</f>
        <v>0.0838854496049123</v>
      </c>
      <c r="H151" s="53" t="n">
        <f aca="false">CHOOSE(假设!$C$5,H152,H153,H154)</f>
        <v>0.086</v>
      </c>
      <c r="I151" s="53" t="n">
        <f aca="false">CHOOSE(假设!$C$5,I152,I153,I154)</f>
        <v>0.086</v>
      </c>
      <c r="J151" s="53" t="n">
        <f aca="false">CHOOSE(假设!$C$5,J152,J153,J154)</f>
        <v>0.086</v>
      </c>
      <c r="K151" s="53" t="n">
        <f aca="false">CHOOSE(假设!$C$5,K152,K153,K154)</f>
        <v>0.086</v>
      </c>
      <c r="L151" s="53" t="n">
        <f aca="false">CHOOSE(假设!$C$5,L152,L153,L154)</f>
        <v>0.086</v>
      </c>
      <c r="O151" s="22" t="s">
        <v>205</v>
      </c>
    </row>
    <row r="152" customFormat="false" ht="15" hidden="false" customHeight="false" outlineLevel="0" collapsed="false">
      <c r="A152" s="5" t="s">
        <v>159</v>
      </c>
      <c r="H152" s="54" t="n">
        <v>0.086</v>
      </c>
      <c r="I152" s="54" t="n">
        <v>0.086</v>
      </c>
      <c r="J152" s="54" t="n">
        <v>0.086</v>
      </c>
      <c r="K152" s="54" t="n">
        <v>0.086</v>
      </c>
      <c r="L152" s="54" t="n">
        <v>0.086</v>
      </c>
    </row>
    <row r="153" customFormat="false" ht="15" hidden="false" customHeight="false" outlineLevel="0" collapsed="false">
      <c r="A153" s="5" t="s">
        <v>160</v>
      </c>
      <c r="H153" s="54" t="n">
        <v>0.086</v>
      </c>
      <c r="I153" s="54" t="n">
        <v>0.086</v>
      </c>
      <c r="J153" s="54" t="n">
        <v>0.086</v>
      </c>
      <c r="K153" s="54" t="n">
        <v>0.086</v>
      </c>
      <c r="L153" s="54" t="n">
        <v>0.086</v>
      </c>
    </row>
    <row r="154" customFormat="false" ht="15" hidden="false" customHeight="false" outlineLevel="0" collapsed="false">
      <c r="A154" s="5" t="s">
        <v>161</v>
      </c>
      <c r="H154" s="54" t="n">
        <v>0.086</v>
      </c>
      <c r="I154" s="54" t="n">
        <v>0.086</v>
      </c>
      <c r="J154" s="54" t="n">
        <v>0.086</v>
      </c>
      <c r="K154" s="54" t="n">
        <v>0.086</v>
      </c>
      <c r="L154" s="54" t="n">
        <v>0.086</v>
      </c>
    </row>
    <row r="155" customFormat="false" ht="15" hidden="false" customHeight="false" outlineLevel="0" collapsed="false">
      <c r="A155" s="12" t="s">
        <v>206</v>
      </c>
      <c r="C155" s="52" t="n">
        <f aca="false">资本开支折旧!C23</f>
        <v>0.0245242362722216</v>
      </c>
      <c r="D155" s="52" t="n">
        <f aca="false">资本开支折旧!D23</f>
        <v>0.0305953365119414</v>
      </c>
      <c r="E155" s="52" t="n">
        <f aca="false">资本开支折旧!E23</f>
        <v>0.0478589125640796</v>
      </c>
      <c r="F155" s="52" t="n">
        <f aca="false">资本开支折旧!F23</f>
        <v>0.0645065598737355</v>
      </c>
      <c r="G155" s="52" t="n">
        <f aca="false">资本开支折旧!G23</f>
        <v>0.018657304960255</v>
      </c>
      <c r="H155" s="53" t="n">
        <f aca="false">CHOOSE(假设!$C$5,H156,H157,H158)</f>
        <v>0.018</v>
      </c>
      <c r="I155" s="53" t="n">
        <f aca="false">CHOOSE(假设!$C$5,I156,I157,I158)</f>
        <v>0.018</v>
      </c>
      <c r="J155" s="53" t="n">
        <f aca="false">CHOOSE(假设!$C$5,J156,J157,J158)</f>
        <v>0.018</v>
      </c>
      <c r="K155" s="53" t="n">
        <f aca="false">CHOOSE(假设!$C$5,K156,K157,K158)</f>
        <v>0.018</v>
      </c>
      <c r="L155" s="53" t="n">
        <f aca="false">CHOOSE(假设!$C$5,L156,L157,L158)</f>
        <v>0.018</v>
      </c>
    </row>
    <row r="156" customFormat="false" ht="15" hidden="false" customHeight="false" outlineLevel="0" collapsed="false">
      <c r="A156" s="5" t="s">
        <v>159</v>
      </c>
      <c r="H156" s="54" t="n">
        <v>0.018</v>
      </c>
      <c r="I156" s="54" t="n">
        <v>0.018</v>
      </c>
      <c r="J156" s="54" t="n">
        <v>0.018</v>
      </c>
      <c r="K156" s="54" t="n">
        <v>0.018</v>
      </c>
      <c r="L156" s="54" t="n">
        <v>0.018</v>
      </c>
    </row>
    <row r="157" customFormat="false" ht="15" hidden="false" customHeight="false" outlineLevel="0" collapsed="false">
      <c r="A157" s="5" t="s">
        <v>160</v>
      </c>
      <c r="H157" s="54" t="n">
        <v>0.018</v>
      </c>
      <c r="I157" s="54" t="n">
        <v>0.018</v>
      </c>
      <c r="J157" s="54" t="n">
        <v>0.018</v>
      </c>
      <c r="K157" s="54" t="n">
        <v>0.018</v>
      </c>
      <c r="L157" s="54" t="n">
        <v>0.018</v>
      </c>
    </row>
    <row r="158" customFormat="false" ht="15" hidden="false" customHeight="false" outlineLevel="0" collapsed="false">
      <c r="A158" s="5" t="s">
        <v>161</v>
      </c>
      <c r="H158" s="54" t="n">
        <v>0.018</v>
      </c>
      <c r="I158" s="54" t="n">
        <v>0.018</v>
      </c>
      <c r="J158" s="54" t="n">
        <v>0.018</v>
      </c>
      <c r="K158" s="54" t="n">
        <v>0.018</v>
      </c>
      <c r="L158" s="54" t="n">
        <v>0.018</v>
      </c>
    </row>
    <row r="159" customFormat="false" ht="15" hidden="false" customHeight="false" outlineLevel="0" collapsed="false">
      <c r="A159" s="12" t="s">
        <v>207</v>
      </c>
      <c r="C159" s="52" t="n">
        <f aca="false">资本开支折旧!C47</f>
        <v>0.0724625432399346</v>
      </c>
      <c r="D159" s="52" t="n">
        <f aca="false">资本开支折旧!D47</f>
        <v>0.0905568000214419</v>
      </c>
      <c r="E159" s="52" t="n">
        <f aca="false">资本开支折旧!E47</f>
        <v>0.0970225631963828</v>
      </c>
      <c r="F159" s="52" t="n">
        <f aca="false">资本开支折旧!F47</f>
        <v>0.0975623919408396</v>
      </c>
      <c r="G159" s="52" t="n">
        <f aca="false">资本开支折旧!G47</f>
        <v>0.0925483064410169</v>
      </c>
      <c r="H159" s="53" t="n">
        <f aca="false">CHOOSE(假设!$C$5,H160,H161,H162)</f>
        <v>0.1</v>
      </c>
      <c r="I159" s="53" t="n">
        <f aca="false">CHOOSE(假设!$C$5,I160,I161,I162)</f>
        <v>0.1</v>
      </c>
      <c r="J159" s="53" t="n">
        <f aca="false">CHOOSE(假设!$C$5,J160,J161,J162)</f>
        <v>0.1</v>
      </c>
      <c r="K159" s="53" t="n">
        <f aca="false">CHOOSE(假设!$C$5,K160,K161,K162)</f>
        <v>0.1</v>
      </c>
      <c r="L159" s="53" t="n">
        <f aca="false">CHOOSE(假设!$C$5,L160,L161,L162)</f>
        <v>0.1</v>
      </c>
    </row>
    <row r="160" customFormat="false" ht="15" hidden="false" customHeight="false" outlineLevel="0" collapsed="false">
      <c r="A160" s="5" t="s">
        <v>159</v>
      </c>
      <c r="H160" s="54" t="n">
        <v>0.1</v>
      </c>
      <c r="I160" s="54" t="n">
        <v>0.1</v>
      </c>
      <c r="J160" s="54" t="n">
        <v>0.1</v>
      </c>
      <c r="K160" s="54" t="n">
        <v>0.1</v>
      </c>
      <c r="L160" s="54" t="n">
        <v>0.1</v>
      </c>
    </row>
    <row r="161" customFormat="false" ht="15" hidden="false" customHeight="false" outlineLevel="0" collapsed="false">
      <c r="A161" s="5" t="s">
        <v>160</v>
      </c>
      <c r="H161" s="54" t="n">
        <v>0.1</v>
      </c>
      <c r="I161" s="54" t="n">
        <v>0.1</v>
      </c>
      <c r="J161" s="54" t="n">
        <v>0.1</v>
      </c>
      <c r="K161" s="54" t="n">
        <v>0.1</v>
      </c>
      <c r="L161" s="54" t="n">
        <v>0.1</v>
      </c>
    </row>
    <row r="162" customFormat="false" ht="15" hidden="false" customHeight="false" outlineLevel="0" collapsed="false">
      <c r="A162" s="5" t="s">
        <v>161</v>
      </c>
      <c r="H162" s="54" t="n">
        <v>0.1</v>
      </c>
      <c r="I162" s="54" t="n">
        <v>0.1</v>
      </c>
      <c r="J162" s="54" t="n">
        <v>0.1</v>
      </c>
      <c r="K162" s="54" t="n">
        <v>0.1</v>
      </c>
      <c r="L162" s="54" t="n">
        <v>0.1</v>
      </c>
    </row>
    <row r="163" customFormat="false" ht="15" hidden="false" customHeight="false" outlineLevel="0" collapsed="false">
      <c r="A163" s="12" t="s">
        <v>208</v>
      </c>
      <c r="C163" s="49" t="n">
        <f aca="false">资本开支折旧!C54</f>
        <v>0.00127163927388143</v>
      </c>
      <c r="D163" s="49" t="n">
        <f aca="false">资本开支折旧!D54</f>
        <v>0.087749091486405</v>
      </c>
      <c r="E163" s="49" t="n">
        <f aca="false">资本开支折旧!E54</f>
        <v>0.270657261848943</v>
      </c>
      <c r="F163" s="49" t="n">
        <f aca="false">资本开支折旧!F54</f>
        <v>0.220996799143855</v>
      </c>
      <c r="G163" s="49" t="n">
        <f aca="false">资本开支折旧!G54</f>
        <v>0.48714852183227</v>
      </c>
      <c r="H163" s="50" t="n">
        <f aca="false">CHOOSE(假设!$C$5,H164,H165,H166)</f>
        <v>0.4</v>
      </c>
      <c r="I163" s="50" t="n">
        <f aca="false">CHOOSE(假设!$C$5,I164,I165,I166)</f>
        <v>0.4</v>
      </c>
      <c r="J163" s="50" t="n">
        <f aca="false">CHOOSE(假设!$C$5,J164,J165,J166)</f>
        <v>0.4</v>
      </c>
      <c r="K163" s="50" t="n">
        <f aca="false">CHOOSE(假设!$C$5,K164,K165,K166)</f>
        <v>0.4</v>
      </c>
      <c r="L163" s="50" t="n">
        <f aca="false">CHOOSE(假设!$C$5,L164,L165,L166)</f>
        <v>0.4</v>
      </c>
      <c r="O163" s="21" t="s">
        <v>209</v>
      </c>
    </row>
    <row r="164" customFormat="false" ht="15" hidden="false" customHeight="false" outlineLevel="0" collapsed="false">
      <c r="A164" s="5" t="s">
        <v>159</v>
      </c>
      <c r="H164" s="51" t="n">
        <v>0.4</v>
      </c>
      <c r="I164" s="51" t="n">
        <v>0.4</v>
      </c>
      <c r="J164" s="51" t="n">
        <v>0.4</v>
      </c>
      <c r="K164" s="51" t="n">
        <v>0.4</v>
      </c>
      <c r="L164" s="51" t="n">
        <v>0.4</v>
      </c>
    </row>
    <row r="165" customFormat="false" ht="15" hidden="false" customHeight="false" outlineLevel="0" collapsed="false">
      <c r="A165" s="5" t="s">
        <v>160</v>
      </c>
      <c r="H165" s="51" t="n">
        <v>0.4</v>
      </c>
      <c r="I165" s="51" t="n">
        <v>0.4</v>
      </c>
      <c r="J165" s="51" t="n">
        <v>0.4</v>
      </c>
      <c r="K165" s="51" t="n">
        <v>0.4</v>
      </c>
      <c r="L165" s="51" t="n">
        <v>0.4</v>
      </c>
    </row>
    <row r="166" customFormat="false" ht="15" hidden="false" customHeight="false" outlineLevel="0" collapsed="false">
      <c r="A166" s="5" t="s">
        <v>161</v>
      </c>
      <c r="H166" s="51" t="n">
        <v>0.4</v>
      </c>
      <c r="I166" s="51" t="n">
        <v>0.4</v>
      </c>
      <c r="J166" s="51" t="n">
        <v>0.4</v>
      </c>
      <c r="K166" s="51" t="n">
        <v>0.4</v>
      </c>
      <c r="L166" s="51" t="n">
        <v>0.4</v>
      </c>
    </row>
    <row r="167" customFormat="false" ht="15" hidden="false" customHeight="false" outlineLevel="0" collapsed="false">
      <c r="A167" s="12" t="s">
        <v>210</v>
      </c>
      <c r="C167" s="55" t="n">
        <f aca="false">资本开支折旧!C57</f>
        <v>29.1999</v>
      </c>
      <c r="D167" s="55" t="n">
        <f aca="false">资本开支折旧!D57</f>
        <v>83.9439</v>
      </c>
      <c r="E167" s="55" t="n">
        <f aca="false">资本开支折旧!E57</f>
        <v>88.8283</v>
      </c>
      <c r="F167" s="55" t="n">
        <f aca="false">资本开支折旧!F57</f>
        <v>69.341</v>
      </c>
      <c r="G167" s="55" t="n">
        <f aca="false">资本开支折旧!G57</f>
        <v>69.2566</v>
      </c>
      <c r="H167" s="56" t="n">
        <f aca="false">CHOOSE(假设!$C$5,H168,H169,H170)</f>
        <v>60</v>
      </c>
      <c r="I167" s="56" t="n">
        <f aca="false">CHOOSE(假设!$C$5,I168,I169,I170)</f>
        <v>60</v>
      </c>
      <c r="J167" s="56" t="n">
        <f aca="false">CHOOSE(假设!$C$5,J168,J169,J170)</f>
        <v>60</v>
      </c>
      <c r="K167" s="56" t="n">
        <f aca="false">CHOOSE(假设!$C$5,K168,K169,K170)</f>
        <v>60</v>
      </c>
      <c r="L167" s="56" t="n">
        <f aca="false">CHOOSE(假设!$C$5,L168,L169,L170)</f>
        <v>60</v>
      </c>
      <c r="O167" s="22" t="s">
        <v>211</v>
      </c>
    </row>
    <row r="168" customFormat="false" ht="15" hidden="false" customHeight="false" outlineLevel="0" collapsed="false">
      <c r="A168" s="5" t="s">
        <v>159</v>
      </c>
      <c r="H168" s="57" t="n">
        <v>60</v>
      </c>
      <c r="I168" s="57" t="n">
        <v>60</v>
      </c>
      <c r="J168" s="57" t="n">
        <v>60</v>
      </c>
      <c r="K168" s="57" t="n">
        <v>60</v>
      </c>
      <c r="L168" s="57" t="n">
        <v>60</v>
      </c>
    </row>
    <row r="169" customFormat="false" ht="15" hidden="false" customHeight="false" outlineLevel="0" collapsed="false">
      <c r="A169" s="5" t="s">
        <v>160</v>
      </c>
      <c r="H169" s="57" t="n">
        <v>60</v>
      </c>
      <c r="I169" s="57" t="n">
        <v>60</v>
      </c>
      <c r="J169" s="57" t="n">
        <v>60</v>
      </c>
      <c r="K169" s="57" t="n">
        <v>60</v>
      </c>
      <c r="L169" s="57" t="n">
        <v>60</v>
      </c>
    </row>
    <row r="170" customFormat="false" ht="15" hidden="false" customHeight="false" outlineLevel="0" collapsed="false">
      <c r="A170" s="5" t="s">
        <v>161</v>
      </c>
      <c r="H170" s="57" t="n">
        <v>60</v>
      </c>
      <c r="I170" s="57" t="n">
        <v>60</v>
      </c>
      <c r="J170" s="57" t="n">
        <v>60</v>
      </c>
      <c r="K170" s="57" t="n">
        <v>60</v>
      </c>
      <c r="L170" s="57" t="n">
        <v>60</v>
      </c>
    </row>
    <row r="171" customFormat="false" ht="15" hidden="false" customHeight="false" outlineLevel="0" collapsed="false">
      <c r="A171" s="12" t="s">
        <v>212</v>
      </c>
      <c r="C171" s="55" t="n">
        <f aca="false">资本开支折旧!C59</f>
        <v>12.7651</v>
      </c>
      <c r="D171" s="55" t="n">
        <f aca="false">资本开支折旧!D59</f>
        <v>10.2963</v>
      </c>
      <c r="E171" s="55" t="n">
        <f aca="false">资本开支折旧!E59</f>
        <v>7.4813</v>
      </c>
      <c r="F171" s="55" t="n">
        <f aca="false">资本开支折旧!F59</f>
        <v>9.405</v>
      </c>
      <c r="G171" s="55" t="n">
        <f aca="false">资本开支折旧!G59</f>
        <v>7.4958</v>
      </c>
      <c r="H171" s="56" t="n">
        <f aca="false">CHOOSE(假设!$C$5,H172,H173,H174)</f>
        <v>8</v>
      </c>
      <c r="I171" s="56" t="n">
        <f aca="false">CHOOSE(假设!$C$5,I172,I173,I174)</f>
        <v>8</v>
      </c>
      <c r="J171" s="56" t="n">
        <f aca="false">CHOOSE(假设!$C$5,J172,J173,J174)</f>
        <v>8</v>
      </c>
      <c r="K171" s="56" t="n">
        <f aca="false">CHOOSE(假设!$C$5,K172,K173,K174)</f>
        <v>8</v>
      </c>
      <c r="L171" s="56" t="n">
        <f aca="false">CHOOSE(假设!$C$5,L172,L173,L174)</f>
        <v>8</v>
      </c>
    </row>
    <row r="172" customFormat="false" ht="15" hidden="false" customHeight="false" outlineLevel="0" collapsed="false">
      <c r="A172" s="5" t="s">
        <v>159</v>
      </c>
      <c r="H172" s="57" t="n">
        <v>8</v>
      </c>
      <c r="I172" s="57" t="n">
        <v>8</v>
      </c>
      <c r="J172" s="57" t="n">
        <v>8</v>
      </c>
      <c r="K172" s="57" t="n">
        <v>8</v>
      </c>
      <c r="L172" s="57" t="n">
        <v>8</v>
      </c>
    </row>
    <row r="173" customFormat="false" ht="15" hidden="false" customHeight="false" outlineLevel="0" collapsed="false">
      <c r="A173" s="5" t="s">
        <v>160</v>
      </c>
      <c r="H173" s="57" t="n">
        <v>8</v>
      </c>
      <c r="I173" s="57" t="n">
        <v>8</v>
      </c>
      <c r="J173" s="57" t="n">
        <v>8</v>
      </c>
      <c r="K173" s="57" t="n">
        <v>8</v>
      </c>
      <c r="L173" s="57" t="n">
        <v>8</v>
      </c>
    </row>
    <row r="174" customFormat="false" ht="15" hidden="false" customHeight="false" outlineLevel="0" collapsed="false">
      <c r="A174" s="5" t="s">
        <v>161</v>
      </c>
      <c r="H174" s="57" t="n">
        <v>8</v>
      </c>
      <c r="I174" s="57" t="n">
        <v>8</v>
      </c>
      <c r="J174" s="57" t="n">
        <v>8</v>
      </c>
      <c r="K174" s="57" t="n">
        <v>8</v>
      </c>
      <c r="L174" s="57" t="n">
        <v>8</v>
      </c>
    </row>
    <row r="175" customFormat="false" ht="15" hidden="false" customHeight="false" outlineLevel="0" collapsed="false">
      <c r="A175" s="47" t="s">
        <v>213</v>
      </c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customFormat="false" ht="15" hidden="false" customHeight="false" outlineLevel="0" collapsed="false">
      <c r="A176" s="12" t="s">
        <v>214</v>
      </c>
      <c r="C176" s="58" t="n">
        <f aca="false">营运资本!C12</f>
        <v>58.5241313291046</v>
      </c>
      <c r="D176" s="58" t="n">
        <f aca="false">营运资本!D12</f>
        <v>80.6354332776829</v>
      </c>
      <c r="E176" s="58" t="n">
        <f aca="false">营运资本!E12</f>
        <v>145.53058669678</v>
      </c>
      <c r="F176" s="58" t="n">
        <f aca="false">营运资本!F12</f>
        <v>195.111763123022</v>
      </c>
      <c r="G176" s="58" t="n">
        <f aca="false">营运资本!G12</f>
        <v>216.948131321181</v>
      </c>
      <c r="H176" s="59" t="n">
        <f aca="false">CHOOSE(假设!$C$5,H177,H178,H179)</f>
        <v>200</v>
      </c>
      <c r="I176" s="59" t="n">
        <f aca="false">CHOOSE(假设!$C$5,I177,I178,I179)</f>
        <v>190</v>
      </c>
      <c r="J176" s="59" t="n">
        <f aca="false">CHOOSE(假设!$C$5,J177,J178,J179)</f>
        <v>180</v>
      </c>
      <c r="K176" s="59" t="n">
        <f aca="false">CHOOSE(假设!$C$5,K177,K178,K179)</f>
        <v>175</v>
      </c>
      <c r="L176" s="59" t="n">
        <f aca="false">CHOOSE(假设!$C$5,L177,L178,L179)</f>
        <v>170</v>
      </c>
      <c r="O176" s="21" t="s">
        <v>215</v>
      </c>
    </row>
    <row r="177" customFormat="false" ht="15" hidden="false" customHeight="false" outlineLevel="0" collapsed="false">
      <c r="A177" s="5" t="s">
        <v>159</v>
      </c>
      <c r="H177" s="60" t="n">
        <v>200</v>
      </c>
      <c r="I177" s="60" t="n">
        <v>190</v>
      </c>
      <c r="J177" s="60" t="n">
        <v>180</v>
      </c>
      <c r="K177" s="60" t="n">
        <v>175</v>
      </c>
      <c r="L177" s="60" t="n">
        <v>170</v>
      </c>
    </row>
    <row r="178" customFormat="false" ht="15" hidden="false" customHeight="false" outlineLevel="0" collapsed="false">
      <c r="A178" s="5" t="s">
        <v>160</v>
      </c>
      <c r="H178" s="60" t="n">
        <v>190</v>
      </c>
      <c r="I178" s="60" t="n">
        <v>175</v>
      </c>
      <c r="J178" s="60" t="n">
        <v>160</v>
      </c>
      <c r="K178" s="60" t="n">
        <v>155</v>
      </c>
      <c r="L178" s="60" t="n">
        <v>150</v>
      </c>
    </row>
    <row r="179" customFormat="false" ht="15" hidden="false" customHeight="false" outlineLevel="0" collapsed="false">
      <c r="A179" s="5" t="s">
        <v>161</v>
      </c>
      <c r="H179" s="60" t="n">
        <v>215</v>
      </c>
      <c r="I179" s="60" t="n">
        <v>215</v>
      </c>
      <c r="J179" s="60" t="n">
        <v>215</v>
      </c>
      <c r="K179" s="60" t="n">
        <v>215</v>
      </c>
      <c r="L179" s="60" t="n">
        <v>215</v>
      </c>
    </row>
    <row r="180" customFormat="false" ht="15" hidden="false" customHeight="false" outlineLevel="0" collapsed="false">
      <c r="A180" s="12" t="s">
        <v>216</v>
      </c>
      <c r="C180" s="49" t="n">
        <f aca="false">营运资本!C10</f>
        <v>0.0300729505011258</v>
      </c>
      <c r="D180" s="49" t="n">
        <f aca="false">营运资本!D10</f>
        <v>0.0233587378293568</v>
      </c>
      <c r="E180" s="49" t="n">
        <f aca="false">营运资本!E10</f>
        <v>0.0445877346931789</v>
      </c>
      <c r="F180" s="49" t="n">
        <f aca="false">营运资本!F10</f>
        <v>0.0596942167603788</v>
      </c>
      <c r="G180" s="49" t="n">
        <f aca="false">营运资本!G10</f>
        <v>0.0388158309905175</v>
      </c>
      <c r="H180" s="50" t="n">
        <f aca="false">CHOOSE(假设!$C$5,H181,H182,H183)</f>
        <v>0.04</v>
      </c>
      <c r="I180" s="50" t="n">
        <f aca="false">CHOOSE(假设!$C$5,I181,I182,I183)</f>
        <v>0.04</v>
      </c>
      <c r="J180" s="50" t="n">
        <f aca="false">CHOOSE(假设!$C$5,J181,J182,J183)</f>
        <v>0.04</v>
      </c>
      <c r="K180" s="50" t="n">
        <f aca="false">CHOOSE(假设!$C$5,K181,K182,K183)</f>
        <v>0.04</v>
      </c>
      <c r="L180" s="50" t="n">
        <f aca="false">CHOOSE(假设!$C$5,L181,L182,L183)</f>
        <v>0.04</v>
      </c>
    </row>
    <row r="181" customFormat="false" ht="15" hidden="false" customHeight="false" outlineLevel="0" collapsed="false">
      <c r="A181" s="5" t="s">
        <v>159</v>
      </c>
      <c r="H181" s="51" t="n">
        <v>0.04</v>
      </c>
      <c r="I181" s="51" t="n">
        <v>0.04</v>
      </c>
      <c r="J181" s="51" t="n">
        <v>0.04</v>
      </c>
      <c r="K181" s="51" t="n">
        <v>0.04</v>
      </c>
      <c r="L181" s="51" t="n">
        <v>0.04</v>
      </c>
    </row>
    <row r="182" customFormat="false" ht="15" hidden="false" customHeight="false" outlineLevel="0" collapsed="false">
      <c r="A182" s="5" t="s">
        <v>160</v>
      </c>
      <c r="H182" s="51" t="n">
        <v>0.04</v>
      </c>
      <c r="I182" s="51" t="n">
        <v>0.04</v>
      </c>
      <c r="J182" s="51" t="n">
        <v>0.04</v>
      </c>
      <c r="K182" s="51" t="n">
        <v>0.04</v>
      </c>
      <c r="L182" s="51" t="n">
        <v>0.04</v>
      </c>
    </row>
    <row r="183" customFormat="false" ht="15" hidden="false" customHeight="false" outlineLevel="0" collapsed="false">
      <c r="A183" s="5" t="s">
        <v>161</v>
      </c>
      <c r="H183" s="51" t="n">
        <v>0.04</v>
      </c>
      <c r="I183" s="51" t="n">
        <v>0.04</v>
      </c>
      <c r="J183" s="51" t="n">
        <v>0.04</v>
      </c>
      <c r="K183" s="51" t="n">
        <v>0.04</v>
      </c>
      <c r="L183" s="51" t="n">
        <v>0.04</v>
      </c>
    </row>
    <row r="184" customFormat="false" ht="15" hidden="false" customHeight="false" outlineLevel="0" collapsed="false">
      <c r="A184" s="12" t="s">
        <v>217</v>
      </c>
      <c r="C184" s="49" t="n">
        <f aca="false">营运资本!C14</f>
        <v>0.0167478106272563</v>
      </c>
      <c r="D184" s="49" t="n">
        <f aca="false">营运资本!D14</f>
        <v>0.0308609549498531</v>
      </c>
      <c r="E184" s="49" t="n">
        <f aca="false">营运资本!E14</f>
        <v>0.0486897929136585</v>
      </c>
      <c r="F184" s="49" t="n">
        <f aca="false">营运资本!F14</f>
        <v>0.029320898223275</v>
      </c>
      <c r="G184" s="49" t="n">
        <f aca="false">营运资本!G14</f>
        <v>0.074328596245434</v>
      </c>
      <c r="H184" s="50" t="n">
        <f aca="false">CHOOSE(假设!$C$5,H185,H186,H187)</f>
        <v>0.075</v>
      </c>
      <c r="I184" s="50" t="n">
        <f aca="false">CHOOSE(假设!$C$5,I185,I186,I187)</f>
        <v>0.07</v>
      </c>
      <c r="J184" s="50" t="n">
        <f aca="false">CHOOSE(假设!$C$5,J185,J186,J187)</f>
        <v>0.065</v>
      </c>
      <c r="K184" s="50" t="n">
        <f aca="false">CHOOSE(假设!$C$5,K185,K186,K187)</f>
        <v>0.065</v>
      </c>
      <c r="L184" s="50" t="n">
        <f aca="false">CHOOSE(假设!$C$5,L185,L186,L187)</f>
        <v>0.065</v>
      </c>
      <c r="O184" s="21" t="s">
        <v>218</v>
      </c>
    </row>
    <row r="185" customFormat="false" ht="15" hidden="false" customHeight="false" outlineLevel="0" collapsed="false">
      <c r="A185" s="5" t="s">
        <v>159</v>
      </c>
      <c r="H185" s="51" t="n">
        <v>0.075</v>
      </c>
      <c r="I185" s="51" t="n">
        <v>0.07</v>
      </c>
      <c r="J185" s="51" t="n">
        <v>0.065</v>
      </c>
      <c r="K185" s="51" t="n">
        <v>0.065</v>
      </c>
      <c r="L185" s="51" t="n">
        <v>0.065</v>
      </c>
    </row>
    <row r="186" customFormat="false" ht="15" hidden="false" customHeight="false" outlineLevel="0" collapsed="false">
      <c r="A186" s="5" t="s">
        <v>160</v>
      </c>
      <c r="H186" s="51" t="n">
        <v>0.07</v>
      </c>
      <c r="I186" s="51" t="n">
        <v>0.065</v>
      </c>
      <c r="J186" s="51" t="n">
        <v>0.06</v>
      </c>
      <c r="K186" s="51" t="n">
        <v>0.06</v>
      </c>
      <c r="L186" s="51" t="n">
        <v>0.06</v>
      </c>
    </row>
    <row r="187" customFormat="false" ht="15" hidden="false" customHeight="false" outlineLevel="0" collapsed="false">
      <c r="A187" s="5" t="s">
        <v>161</v>
      </c>
      <c r="H187" s="51" t="n">
        <v>0.085</v>
      </c>
      <c r="I187" s="51" t="n">
        <v>0.085</v>
      </c>
      <c r="J187" s="51" t="n">
        <v>0.085</v>
      </c>
      <c r="K187" s="51" t="n">
        <v>0.085</v>
      </c>
      <c r="L187" s="51" t="n">
        <v>0.085</v>
      </c>
    </row>
    <row r="188" customFormat="false" ht="15" hidden="false" customHeight="false" outlineLevel="0" collapsed="false">
      <c r="A188" s="12" t="s">
        <v>219</v>
      </c>
      <c r="C188" s="58" t="n">
        <f aca="false">营运资本!C17</f>
        <v>258.716810258924</v>
      </c>
      <c r="D188" s="58" t="n">
        <f aca="false">营运资本!D17</f>
        <v>217.701271440968</v>
      </c>
      <c r="E188" s="58" t="n">
        <f aca="false">营运资本!E17</f>
        <v>143.456493384074</v>
      </c>
      <c r="F188" s="58" t="n">
        <f aca="false">营运资本!F17</f>
        <v>151.457469437152</v>
      </c>
      <c r="G188" s="58" t="n">
        <f aca="false">营运资本!G17</f>
        <v>196.319842082298</v>
      </c>
      <c r="H188" s="59" t="n">
        <f aca="false">CHOOSE(假设!$C$5,H189,H190,H191)</f>
        <v>185</v>
      </c>
      <c r="I188" s="59" t="n">
        <f aca="false">CHOOSE(假设!$C$5,I189,I190,I191)</f>
        <v>180</v>
      </c>
      <c r="J188" s="59" t="n">
        <f aca="false">CHOOSE(假设!$C$5,J189,J190,J191)</f>
        <v>175</v>
      </c>
      <c r="K188" s="59" t="n">
        <f aca="false">CHOOSE(假设!$C$5,K189,K190,K191)</f>
        <v>170</v>
      </c>
      <c r="L188" s="59" t="n">
        <f aca="false">CHOOSE(假设!$C$5,L189,L190,L191)</f>
        <v>170</v>
      </c>
    </row>
    <row r="189" customFormat="false" ht="15" hidden="false" customHeight="false" outlineLevel="0" collapsed="false">
      <c r="A189" s="5" t="s">
        <v>159</v>
      </c>
      <c r="H189" s="60" t="n">
        <v>185</v>
      </c>
      <c r="I189" s="60" t="n">
        <v>180</v>
      </c>
      <c r="J189" s="60" t="n">
        <v>175</v>
      </c>
      <c r="K189" s="60" t="n">
        <v>170</v>
      </c>
      <c r="L189" s="60" t="n">
        <v>170</v>
      </c>
    </row>
    <row r="190" customFormat="false" ht="15" hidden="false" customHeight="false" outlineLevel="0" collapsed="false">
      <c r="A190" s="5" t="s">
        <v>160</v>
      </c>
      <c r="H190" s="60" t="n">
        <v>175</v>
      </c>
      <c r="I190" s="60" t="n">
        <v>165</v>
      </c>
      <c r="J190" s="60" t="n">
        <v>160</v>
      </c>
      <c r="K190" s="60" t="n">
        <v>155</v>
      </c>
      <c r="L190" s="60" t="n">
        <v>150</v>
      </c>
    </row>
    <row r="191" customFormat="false" ht="15" hidden="false" customHeight="false" outlineLevel="0" collapsed="false">
      <c r="A191" s="5" t="s">
        <v>161</v>
      </c>
      <c r="H191" s="60" t="n">
        <v>195</v>
      </c>
      <c r="I191" s="60" t="n">
        <v>195</v>
      </c>
      <c r="J191" s="60" t="n">
        <v>195</v>
      </c>
      <c r="K191" s="60" t="n">
        <v>195</v>
      </c>
      <c r="L191" s="60" t="n">
        <v>195</v>
      </c>
    </row>
    <row r="192" customFormat="false" ht="15" hidden="false" customHeight="false" outlineLevel="0" collapsed="false">
      <c r="A192" s="12" t="s">
        <v>220</v>
      </c>
      <c r="C192" s="49" t="n">
        <f aca="false">营运资本!C19</f>
        <v>0.0206466580558299</v>
      </c>
      <c r="D192" s="49" t="n">
        <f aca="false">营运资本!D19</f>
        <v>0.0204908324090186</v>
      </c>
      <c r="E192" s="49" t="n">
        <f aca="false">营运资本!E19</f>
        <v>0.0232941765605834</v>
      </c>
      <c r="F192" s="49" t="n">
        <f aca="false">营运资本!F19</f>
        <v>0.0321453548558445</v>
      </c>
      <c r="G192" s="49" t="n">
        <f aca="false">营运资本!G19</f>
        <v>0.0216494299458659</v>
      </c>
      <c r="H192" s="50" t="n">
        <f aca="false">CHOOSE(假设!$C$5,H193,H194,H195)</f>
        <v>0.022</v>
      </c>
      <c r="I192" s="50" t="n">
        <f aca="false">CHOOSE(假设!$C$5,I193,I194,I195)</f>
        <v>0.022</v>
      </c>
      <c r="J192" s="50" t="n">
        <f aca="false">CHOOSE(假设!$C$5,J193,J194,J195)</f>
        <v>0.022</v>
      </c>
      <c r="K192" s="50" t="n">
        <f aca="false">CHOOSE(假设!$C$5,K193,K194,K195)</f>
        <v>0.022</v>
      </c>
      <c r="L192" s="50" t="n">
        <f aca="false">CHOOSE(假设!$C$5,L193,L194,L195)</f>
        <v>0.022</v>
      </c>
    </row>
    <row r="193" customFormat="false" ht="15" hidden="false" customHeight="false" outlineLevel="0" collapsed="false">
      <c r="A193" s="5" t="s">
        <v>159</v>
      </c>
      <c r="H193" s="51" t="n">
        <v>0.022</v>
      </c>
      <c r="I193" s="51" t="n">
        <v>0.022</v>
      </c>
      <c r="J193" s="51" t="n">
        <v>0.022</v>
      </c>
      <c r="K193" s="51" t="n">
        <v>0.022</v>
      </c>
      <c r="L193" s="51" t="n">
        <v>0.022</v>
      </c>
    </row>
    <row r="194" customFormat="false" ht="15" hidden="false" customHeight="false" outlineLevel="0" collapsed="false">
      <c r="A194" s="5" t="s">
        <v>160</v>
      </c>
      <c r="H194" s="51" t="n">
        <v>0.022</v>
      </c>
      <c r="I194" s="51" t="n">
        <v>0.022</v>
      </c>
      <c r="J194" s="51" t="n">
        <v>0.022</v>
      </c>
      <c r="K194" s="51" t="n">
        <v>0.022</v>
      </c>
      <c r="L194" s="51" t="n">
        <v>0.022</v>
      </c>
    </row>
    <row r="195" customFormat="false" ht="15" hidden="false" customHeight="false" outlineLevel="0" collapsed="false">
      <c r="A195" s="5" t="s">
        <v>161</v>
      </c>
      <c r="H195" s="51" t="n">
        <v>0.022</v>
      </c>
      <c r="I195" s="51" t="n">
        <v>0.022</v>
      </c>
      <c r="J195" s="51" t="n">
        <v>0.022</v>
      </c>
      <c r="K195" s="51" t="n">
        <v>0.022</v>
      </c>
      <c r="L195" s="51" t="n">
        <v>0.022</v>
      </c>
    </row>
    <row r="196" customFormat="false" ht="15" hidden="false" customHeight="false" outlineLevel="0" collapsed="false">
      <c r="A196" s="12" t="s">
        <v>221</v>
      </c>
      <c r="C196" s="58" t="n">
        <f aca="false">营运资本!C23</f>
        <v>205.508894653982</v>
      </c>
      <c r="D196" s="58" t="n">
        <f aca="false">营运资本!D23</f>
        <v>212.089432941262</v>
      </c>
      <c r="E196" s="58" t="n">
        <f aca="false">营运资本!E23</f>
        <v>215.008945967287</v>
      </c>
      <c r="F196" s="58" t="n">
        <f aca="false">营运资本!F23</f>
        <v>235.501527023228</v>
      </c>
      <c r="G196" s="58" t="n">
        <f aca="false">营运资本!G23</f>
        <v>234.422581523048</v>
      </c>
      <c r="H196" s="59" t="n">
        <f aca="false">CHOOSE(假设!$C$5,H197,H198,H199)</f>
        <v>230</v>
      </c>
      <c r="I196" s="59" t="n">
        <f aca="false">CHOOSE(假设!$C$5,I197,I198,I199)</f>
        <v>230</v>
      </c>
      <c r="J196" s="59" t="n">
        <f aca="false">CHOOSE(假设!$C$5,J197,J198,J199)</f>
        <v>230</v>
      </c>
      <c r="K196" s="59" t="n">
        <f aca="false">CHOOSE(假设!$C$5,K197,K198,K199)</f>
        <v>230</v>
      </c>
      <c r="L196" s="59" t="n">
        <f aca="false">CHOOSE(假设!$C$5,L197,L198,L199)</f>
        <v>230</v>
      </c>
    </row>
    <row r="197" customFormat="false" ht="15" hidden="false" customHeight="false" outlineLevel="0" collapsed="false">
      <c r="A197" s="5" t="s">
        <v>159</v>
      </c>
      <c r="H197" s="60" t="n">
        <v>230</v>
      </c>
      <c r="I197" s="60" t="n">
        <v>230</v>
      </c>
      <c r="J197" s="60" t="n">
        <v>230</v>
      </c>
      <c r="K197" s="60" t="n">
        <v>230</v>
      </c>
      <c r="L197" s="60" t="n">
        <v>230</v>
      </c>
    </row>
    <row r="198" customFormat="false" ht="15" hidden="false" customHeight="false" outlineLevel="0" collapsed="false">
      <c r="A198" s="5" t="s">
        <v>160</v>
      </c>
      <c r="H198" s="60" t="n">
        <v>235</v>
      </c>
      <c r="I198" s="60" t="n">
        <v>235</v>
      </c>
      <c r="J198" s="60" t="n">
        <v>235</v>
      </c>
      <c r="K198" s="60" t="n">
        <v>235</v>
      </c>
      <c r="L198" s="60" t="n">
        <v>235</v>
      </c>
    </row>
    <row r="199" customFormat="false" ht="15" hidden="false" customHeight="false" outlineLevel="0" collapsed="false">
      <c r="A199" s="5" t="s">
        <v>161</v>
      </c>
      <c r="H199" s="60" t="n">
        <v>220</v>
      </c>
      <c r="I199" s="60" t="n">
        <v>220</v>
      </c>
      <c r="J199" s="60" t="n">
        <v>220</v>
      </c>
      <c r="K199" s="60" t="n">
        <v>220</v>
      </c>
      <c r="L199" s="60" t="n">
        <v>220</v>
      </c>
    </row>
    <row r="200" customFormat="false" ht="15" hidden="false" customHeight="false" outlineLevel="0" collapsed="false">
      <c r="A200" s="12" t="s">
        <v>222</v>
      </c>
      <c r="C200" s="49" t="n">
        <f aca="false">营运资本!C26</f>
        <v>0.512507954841754</v>
      </c>
      <c r="D200" s="49" t="n">
        <f aca="false">营运资本!D26</f>
        <v>0.53690174865979</v>
      </c>
      <c r="E200" s="49" t="n">
        <f aca="false">营运资本!E26</f>
        <v>0.532196453035238</v>
      </c>
      <c r="F200" s="49" t="n">
        <f aca="false">营运资本!F26</f>
        <v>0.586844169377263</v>
      </c>
      <c r="G200" s="49" t="n">
        <f aca="false">营运资本!G26</f>
        <v>0.480804459753682</v>
      </c>
      <c r="H200" s="50" t="n">
        <f aca="false">CHOOSE(假设!$C$5,H201,H202,H203)</f>
        <v>0.48</v>
      </c>
      <c r="I200" s="50" t="n">
        <f aca="false">CHOOSE(假设!$C$5,I201,I202,I203)</f>
        <v>0.48</v>
      </c>
      <c r="J200" s="50" t="n">
        <f aca="false">CHOOSE(假设!$C$5,J201,J202,J203)</f>
        <v>0.48</v>
      </c>
      <c r="K200" s="50" t="n">
        <f aca="false">CHOOSE(假设!$C$5,K201,K202,K203)</f>
        <v>0.48</v>
      </c>
      <c r="L200" s="50" t="n">
        <f aca="false">CHOOSE(假设!$C$5,L201,L202,L203)</f>
        <v>0.48</v>
      </c>
    </row>
    <row r="201" customFormat="false" ht="15" hidden="false" customHeight="false" outlineLevel="0" collapsed="false">
      <c r="A201" s="5" t="s">
        <v>159</v>
      </c>
      <c r="H201" s="51" t="n">
        <v>0.48</v>
      </c>
      <c r="I201" s="51" t="n">
        <v>0.48</v>
      </c>
      <c r="J201" s="51" t="n">
        <v>0.48</v>
      </c>
      <c r="K201" s="51" t="n">
        <v>0.48</v>
      </c>
      <c r="L201" s="51" t="n">
        <v>0.48</v>
      </c>
    </row>
    <row r="202" customFormat="false" ht="15" hidden="false" customHeight="false" outlineLevel="0" collapsed="false">
      <c r="A202" s="5" t="s">
        <v>160</v>
      </c>
      <c r="H202" s="51" t="n">
        <v>0.48</v>
      </c>
      <c r="I202" s="51" t="n">
        <v>0.48</v>
      </c>
      <c r="J202" s="51" t="n">
        <v>0.48</v>
      </c>
      <c r="K202" s="51" t="n">
        <v>0.48</v>
      </c>
      <c r="L202" s="51" t="n">
        <v>0.48</v>
      </c>
    </row>
    <row r="203" customFormat="false" ht="15" hidden="false" customHeight="false" outlineLevel="0" collapsed="false">
      <c r="A203" s="5" t="s">
        <v>161</v>
      </c>
      <c r="H203" s="51" t="n">
        <v>0.48</v>
      </c>
      <c r="I203" s="51" t="n">
        <v>0.48</v>
      </c>
      <c r="J203" s="51" t="n">
        <v>0.48</v>
      </c>
      <c r="K203" s="51" t="n">
        <v>0.48</v>
      </c>
      <c r="L203" s="51" t="n">
        <v>0.48</v>
      </c>
    </row>
    <row r="204" customFormat="false" ht="15" hidden="false" customHeight="false" outlineLevel="0" collapsed="false">
      <c r="A204" s="12" t="s">
        <v>223</v>
      </c>
      <c r="C204" s="49" t="n">
        <f aca="false">营运资本!C28</f>
        <v>0.120413344941778</v>
      </c>
      <c r="D204" s="49" t="n">
        <f aca="false">营运资本!D28</f>
        <v>0.0427177713583455</v>
      </c>
      <c r="E204" s="49" t="n">
        <f aca="false">营运资本!E28</f>
        <v>0.042959855059759</v>
      </c>
      <c r="F204" s="49" t="n">
        <f aca="false">营运资本!F28</f>
        <v>0.0271863812118485</v>
      </c>
      <c r="G204" s="49" t="n">
        <f aca="false">营运资本!G28</f>
        <v>0.0392345470922079</v>
      </c>
      <c r="H204" s="50" t="n">
        <f aca="false">CHOOSE(假设!$C$5,H205,H206,H207)</f>
        <v>0.039</v>
      </c>
      <c r="I204" s="50" t="n">
        <f aca="false">CHOOSE(假设!$C$5,I205,I206,I207)</f>
        <v>0.039</v>
      </c>
      <c r="J204" s="50" t="n">
        <f aca="false">CHOOSE(假设!$C$5,J205,J206,J207)</f>
        <v>0.039</v>
      </c>
      <c r="K204" s="50" t="n">
        <f aca="false">CHOOSE(假设!$C$5,K205,K206,K207)</f>
        <v>0.039</v>
      </c>
      <c r="L204" s="50" t="n">
        <f aca="false">CHOOSE(假设!$C$5,L205,L206,L207)</f>
        <v>0.039</v>
      </c>
    </row>
    <row r="205" customFormat="false" ht="15" hidden="false" customHeight="false" outlineLevel="0" collapsed="false">
      <c r="A205" s="5" t="s">
        <v>159</v>
      </c>
      <c r="H205" s="51" t="n">
        <v>0.039</v>
      </c>
      <c r="I205" s="51" t="n">
        <v>0.039</v>
      </c>
      <c r="J205" s="51" t="n">
        <v>0.039</v>
      </c>
      <c r="K205" s="51" t="n">
        <v>0.039</v>
      </c>
      <c r="L205" s="51" t="n">
        <v>0.039</v>
      </c>
    </row>
    <row r="206" customFormat="false" ht="15" hidden="false" customHeight="false" outlineLevel="0" collapsed="false">
      <c r="A206" s="5" t="s">
        <v>160</v>
      </c>
      <c r="H206" s="51" t="n">
        <v>0.039</v>
      </c>
      <c r="I206" s="51" t="n">
        <v>0.039</v>
      </c>
      <c r="J206" s="51" t="n">
        <v>0.039</v>
      </c>
      <c r="K206" s="51" t="n">
        <v>0.039</v>
      </c>
      <c r="L206" s="51" t="n">
        <v>0.039</v>
      </c>
    </row>
    <row r="207" customFormat="false" ht="15" hidden="false" customHeight="false" outlineLevel="0" collapsed="false">
      <c r="A207" s="5" t="s">
        <v>161</v>
      </c>
      <c r="H207" s="51" t="n">
        <v>0.039</v>
      </c>
      <c r="I207" s="51" t="n">
        <v>0.039</v>
      </c>
      <c r="J207" s="51" t="n">
        <v>0.039</v>
      </c>
      <c r="K207" s="51" t="n">
        <v>0.039</v>
      </c>
      <c r="L207" s="51" t="n">
        <v>0.039</v>
      </c>
    </row>
    <row r="208" customFormat="false" ht="15" hidden="false" customHeight="false" outlineLevel="0" collapsed="false">
      <c r="A208" s="12" t="s">
        <v>224</v>
      </c>
      <c r="C208" s="52" t="n">
        <f aca="false">营运资本!C30</f>
        <v>0.00894882296377778</v>
      </c>
      <c r="D208" s="52" t="n">
        <f aca="false">营运资本!D30</f>
        <v>0.00748204421362842</v>
      </c>
      <c r="E208" s="52" t="n">
        <f aca="false">营运资本!E30</f>
        <v>0.00911305427006755</v>
      </c>
      <c r="F208" s="52" t="n">
        <f aca="false">营运资本!F30</f>
        <v>0.00897751298110074</v>
      </c>
      <c r="G208" s="52" t="n">
        <f aca="false">营运资本!G30</f>
        <v>0.010842571145128</v>
      </c>
      <c r="H208" s="53" t="n">
        <f aca="false">CHOOSE(假设!$C$5,H209,H210,H211)</f>
        <v>0.011</v>
      </c>
      <c r="I208" s="53" t="n">
        <f aca="false">CHOOSE(假设!$C$5,I209,I210,I211)</f>
        <v>0.011</v>
      </c>
      <c r="J208" s="53" t="n">
        <f aca="false">CHOOSE(假设!$C$5,J209,J210,J211)</f>
        <v>0.011</v>
      </c>
      <c r="K208" s="53" t="n">
        <f aca="false">CHOOSE(假设!$C$5,K209,K210,K211)</f>
        <v>0.011</v>
      </c>
      <c r="L208" s="53" t="n">
        <f aca="false">CHOOSE(假设!$C$5,L209,L210,L211)</f>
        <v>0.011</v>
      </c>
    </row>
    <row r="209" customFormat="false" ht="15" hidden="false" customHeight="false" outlineLevel="0" collapsed="false">
      <c r="A209" s="5" t="s">
        <v>159</v>
      </c>
      <c r="H209" s="54" t="n">
        <v>0.011</v>
      </c>
      <c r="I209" s="54" t="n">
        <v>0.011</v>
      </c>
      <c r="J209" s="54" t="n">
        <v>0.011</v>
      </c>
      <c r="K209" s="54" t="n">
        <v>0.011</v>
      </c>
      <c r="L209" s="54" t="n">
        <v>0.011</v>
      </c>
    </row>
    <row r="210" customFormat="false" ht="15" hidden="false" customHeight="false" outlineLevel="0" collapsed="false">
      <c r="A210" s="5" t="s">
        <v>160</v>
      </c>
      <c r="H210" s="54" t="n">
        <v>0.011</v>
      </c>
      <c r="I210" s="54" t="n">
        <v>0.011</v>
      </c>
      <c r="J210" s="54" t="n">
        <v>0.011</v>
      </c>
      <c r="K210" s="54" t="n">
        <v>0.011</v>
      </c>
      <c r="L210" s="54" t="n">
        <v>0.011</v>
      </c>
    </row>
    <row r="211" customFormat="false" ht="15" hidden="false" customHeight="false" outlineLevel="0" collapsed="false">
      <c r="A211" s="5" t="s">
        <v>161</v>
      </c>
      <c r="H211" s="54" t="n">
        <v>0.011</v>
      </c>
      <c r="I211" s="54" t="n">
        <v>0.011</v>
      </c>
      <c r="J211" s="54" t="n">
        <v>0.011</v>
      </c>
      <c r="K211" s="54" t="n">
        <v>0.011</v>
      </c>
      <c r="L211" s="54" t="n">
        <v>0.011</v>
      </c>
    </row>
    <row r="212" customFormat="false" ht="15" hidden="false" customHeight="false" outlineLevel="0" collapsed="false">
      <c r="A212" s="12" t="s">
        <v>225</v>
      </c>
      <c r="C212" s="52" t="n">
        <f aca="false">营运资本!C32</f>
        <v>0.00929923553847388</v>
      </c>
      <c r="D212" s="52" t="n">
        <f aca="false">营运资本!D32</f>
        <v>0.0169644111792134</v>
      </c>
      <c r="E212" s="52" t="n">
        <f aca="false">营运资本!E32</f>
        <v>0.0291015768885731</v>
      </c>
      <c r="F212" s="52" t="n">
        <f aca="false">营运资本!F32</f>
        <v>0.0264152533125271</v>
      </c>
      <c r="G212" s="52" t="n">
        <f aca="false">营运资本!G32</f>
        <v>0.0161379344857263</v>
      </c>
      <c r="H212" s="53" t="n">
        <f aca="false">CHOOSE(假设!$C$5,H213,H214,H215)</f>
        <v>0.016</v>
      </c>
      <c r="I212" s="53" t="n">
        <f aca="false">CHOOSE(假设!$C$5,I213,I214,I215)</f>
        <v>0.016</v>
      </c>
      <c r="J212" s="53" t="n">
        <f aca="false">CHOOSE(假设!$C$5,J213,J214,J215)</f>
        <v>0.016</v>
      </c>
      <c r="K212" s="53" t="n">
        <f aca="false">CHOOSE(假设!$C$5,K213,K214,K215)</f>
        <v>0.016</v>
      </c>
      <c r="L212" s="53" t="n">
        <f aca="false">CHOOSE(假设!$C$5,L213,L214,L215)</f>
        <v>0.016</v>
      </c>
    </row>
    <row r="213" customFormat="false" ht="15" hidden="false" customHeight="false" outlineLevel="0" collapsed="false">
      <c r="A213" s="5" t="s">
        <v>159</v>
      </c>
      <c r="H213" s="54" t="n">
        <v>0.016</v>
      </c>
      <c r="I213" s="54" t="n">
        <v>0.016</v>
      </c>
      <c r="J213" s="54" t="n">
        <v>0.016</v>
      </c>
      <c r="K213" s="54" t="n">
        <v>0.016</v>
      </c>
      <c r="L213" s="54" t="n">
        <v>0.016</v>
      </c>
    </row>
    <row r="214" customFormat="false" ht="15" hidden="false" customHeight="false" outlineLevel="0" collapsed="false">
      <c r="A214" s="5" t="s">
        <v>160</v>
      </c>
      <c r="H214" s="54" t="n">
        <v>0.016</v>
      </c>
      <c r="I214" s="54" t="n">
        <v>0.016</v>
      </c>
      <c r="J214" s="54" t="n">
        <v>0.016</v>
      </c>
      <c r="K214" s="54" t="n">
        <v>0.016</v>
      </c>
      <c r="L214" s="54" t="n">
        <v>0.016</v>
      </c>
    </row>
    <row r="215" customFormat="false" ht="15" hidden="false" customHeight="false" outlineLevel="0" collapsed="false">
      <c r="A215" s="5" t="s">
        <v>161</v>
      </c>
      <c r="H215" s="54" t="n">
        <v>0.016</v>
      </c>
      <c r="I215" s="54" t="n">
        <v>0.016</v>
      </c>
      <c r="J215" s="54" t="n">
        <v>0.016</v>
      </c>
      <c r="K215" s="54" t="n">
        <v>0.016</v>
      </c>
      <c r="L215" s="54" t="n">
        <v>0.016</v>
      </c>
    </row>
    <row r="216" customFormat="false" ht="15" hidden="false" customHeight="false" outlineLevel="0" collapsed="false">
      <c r="A216" s="12" t="s">
        <v>226</v>
      </c>
      <c r="C216" s="52" t="n">
        <f aca="false">营运资本!C34</f>
        <v>0.0646369436955269</v>
      </c>
      <c r="D216" s="52" t="n">
        <f aca="false">营运资本!D34</f>
        <v>0.0689494828759271</v>
      </c>
      <c r="E216" s="52" t="n">
        <f aca="false">营运资本!E34</f>
        <v>0.0654147621928772</v>
      </c>
      <c r="F216" s="52" t="n">
        <f aca="false">营运资本!F34</f>
        <v>0.0618321677053333</v>
      </c>
      <c r="G216" s="52" t="n">
        <f aca="false">营运资本!G34</f>
        <v>0.0523616408006331</v>
      </c>
      <c r="H216" s="53" t="n">
        <f aca="false">CHOOSE(假设!$C$5,H217,H218,H219)</f>
        <v>0.05</v>
      </c>
      <c r="I216" s="53" t="n">
        <f aca="false">CHOOSE(假设!$C$5,I217,I218,I219)</f>
        <v>0.05</v>
      </c>
      <c r="J216" s="53" t="n">
        <f aca="false">CHOOSE(假设!$C$5,J217,J218,J219)</f>
        <v>0.05</v>
      </c>
      <c r="K216" s="53" t="n">
        <f aca="false">CHOOSE(假设!$C$5,K217,K218,K219)</f>
        <v>0.05</v>
      </c>
      <c r="L216" s="53" t="n">
        <f aca="false">CHOOSE(假设!$C$5,L217,L218,L219)</f>
        <v>0.05</v>
      </c>
    </row>
    <row r="217" customFormat="false" ht="15" hidden="false" customHeight="false" outlineLevel="0" collapsed="false">
      <c r="A217" s="5" t="s">
        <v>159</v>
      </c>
      <c r="H217" s="54" t="n">
        <v>0.05</v>
      </c>
      <c r="I217" s="54" t="n">
        <v>0.05</v>
      </c>
      <c r="J217" s="54" t="n">
        <v>0.05</v>
      </c>
      <c r="K217" s="54" t="n">
        <v>0.05</v>
      </c>
      <c r="L217" s="54" t="n">
        <v>0.05</v>
      </c>
    </row>
    <row r="218" customFormat="false" ht="15" hidden="false" customHeight="false" outlineLevel="0" collapsed="false">
      <c r="A218" s="5" t="s">
        <v>160</v>
      </c>
      <c r="H218" s="54" t="n">
        <v>0.05</v>
      </c>
      <c r="I218" s="54" t="n">
        <v>0.05</v>
      </c>
      <c r="J218" s="54" t="n">
        <v>0.05</v>
      </c>
      <c r="K218" s="54" t="n">
        <v>0.05</v>
      </c>
      <c r="L218" s="54" t="n">
        <v>0.05</v>
      </c>
    </row>
    <row r="219" customFormat="false" ht="15" hidden="false" customHeight="false" outlineLevel="0" collapsed="false">
      <c r="A219" s="5" t="s">
        <v>161</v>
      </c>
      <c r="H219" s="54" t="n">
        <v>0.05</v>
      </c>
      <c r="I219" s="54" t="n">
        <v>0.05</v>
      </c>
      <c r="J219" s="54" t="n">
        <v>0.05</v>
      </c>
      <c r="K219" s="54" t="n">
        <v>0.05</v>
      </c>
      <c r="L219" s="54" t="n">
        <v>0.05</v>
      </c>
    </row>
    <row r="220" customFormat="false" ht="15" hidden="false" customHeight="false" outlineLevel="0" collapsed="false">
      <c r="A220" s="12" t="s">
        <v>227</v>
      </c>
      <c r="C220" s="52" t="n">
        <f aca="false">营运资本!C36</f>
        <v>0.0174322418170307</v>
      </c>
      <c r="D220" s="52" t="n">
        <f aca="false">营运资本!D36</f>
        <v>0.00871254979395311</v>
      </c>
      <c r="E220" s="52" t="n">
        <f aca="false">营运资本!E36</f>
        <v>0.00791774078323972</v>
      </c>
      <c r="F220" s="52" t="n">
        <f aca="false">营运资本!F36</f>
        <v>0.00653353899686315</v>
      </c>
      <c r="G220" s="52" t="n">
        <f aca="false">营运资本!G36</f>
        <v>0.00640891107869037</v>
      </c>
      <c r="H220" s="53" t="n">
        <f aca="false">CHOOSE(假设!$C$5,H221,H222,H223)</f>
        <v>0.0065</v>
      </c>
      <c r="I220" s="53" t="n">
        <f aca="false">CHOOSE(假设!$C$5,I221,I222,I223)</f>
        <v>0.0065</v>
      </c>
      <c r="J220" s="53" t="n">
        <f aca="false">CHOOSE(假设!$C$5,J221,J222,J223)</f>
        <v>0.0065</v>
      </c>
      <c r="K220" s="53" t="n">
        <f aca="false">CHOOSE(假设!$C$5,K221,K222,K223)</f>
        <v>0.0065</v>
      </c>
      <c r="L220" s="53" t="n">
        <f aca="false">CHOOSE(假设!$C$5,L221,L222,L223)</f>
        <v>0.0065</v>
      </c>
    </row>
    <row r="221" customFormat="false" ht="15" hidden="false" customHeight="false" outlineLevel="0" collapsed="false">
      <c r="A221" s="5" t="s">
        <v>159</v>
      </c>
      <c r="H221" s="54" t="n">
        <v>0.0065</v>
      </c>
      <c r="I221" s="54" t="n">
        <v>0.0065</v>
      </c>
      <c r="J221" s="54" t="n">
        <v>0.0065</v>
      </c>
      <c r="K221" s="54" t="n">
        <v>0.0065</v>
      </c>
      <c r="L221" s="54" t="n">
        <v>0.0065</v>
      </c>
    </row>
    <row r="222" customFormat="false" ht="15" hidden="false" customHeight="false" outlineLevel="0" collapsed="false">
      <c r="A222" s="5" t="s">
        <v>160</v>
      </c>
      <c r="H222" s="54" t="n">
        <v>0.0065</v>
      </c>
      <c r="I222" s="54" t="n">
        <v>0.0065</v>
      </c>
      <c r="J222" s="54" t="n">
        <v>0.0065</v>
      </c>
      <c r="K222" s="54" t="n">
        <v>0.0065</v>
      </c>
      <c r="L222" s="54" t="n">
        <v>0.0065</v>
      </c>
    </row>
    <row r="223" customFormat="false" ht="15" hidden="false" customHeight="false" outlineLevel="0" collapsed="false">
      <c r="A223" s="5" t="s">
        <v>161</v>
      </c>
      <c r="H223" s="54" t="n">
        <v>0.0065</v>
      </c>
      <c r="I223" s="54" t="n">
        <v>0.0065</v>
      </c>
      <c r="J223" s="54" t="n">
        <v>0.0065</v>
      </c>
      <c r="K223" s="54" t="n">
        <v>0.0065</v>
      </c>
      <c r="L223" s="54" t="n">
        <v>0.0065</v>
      </c>
    </row>
    <row r="224" customFormat="false" ht="15" hidden="false" customHeight="false" outlineLevel="0" collapsed="false">
      <c r="A224" s="47" t="s">
        <v>228</v>
      </c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</row>
    <row r="225" customFormat="false" ht="15" hidden="false" customHeight="false" outlineLevel="0" collapsed="false">
      <c r="A225" s="12" t="s">
        <v>229</v>
      </c>
      <c r="C225" s="55" t="n">
        <f aca="false">融资!C13</f>
        <v>2471.9005</v>
      </c>
      <c r="D225" s="55" t="n">
        <f aca="false">融资!D13</f>
        <v>2569.3013</v>
      </c>
      <c r="E225" s="55" t="n">
        <f aca="false">融资!E13</f>
        <v>2079.0444</v>
      </c>
      <c r="F225" s="55" t="n">
        <f aca="false">融资!F13</f>
        <v>2075.71</v>
      </c>
      <c r="G225" s="55" t="n">
        <f aca="false">融资!G13</f>
        <v>4703.75</v>
      </c>
      <c r="H225" s="56" t="n">
        <f aca="false">CHOOSE(假设!$C$5,H226,H227,H228)</f>
        <v>4700</v>
      </c>
      <c r="I225" s="56" t="n">
        <f aca="false">CHOOSE(假设!$C$5,I226,I227,I228)</f>
        <v>4700</v>
      </c>
      <c r="J225" s="56" t="n">
        <f aca="false">CHOOSE(假设!$C$5,J226,J227,J228)</f>
        <v>4700</v>
      </c>
      <c r="K225" s="56" t="n">
        <f aca="false">CHOOSE(假设!$C$5,K226,K227,K228)</f>
        <v>4700</v>
      </c>
      <c r="L225" s="56" t="n">
        <f aca="false">CHOOSE(假设!$C$5,L226,L227,L228)</f>
        <v>4700</v>
      </c>
    </row>
    <row r="226" customFormat="false" ht="15" hidden="false" customHeight="false" outlineLevel="0" collapsed="false">
      <c r="A226" s="5" t="s">
        <v>159</v>
      </c>
      <c r="H226" s="57" t="n">
        <v>4700</v>
      </c>
      <c r="I226" s="57" t="n">
        <v>4700</v>
      </c>
      <c r="J226" s="57" t="n">
        <v>4700</v>
      </c>
      <c r="K226" s="57" t="n">
        <v>4700</v>
      </c>
      <c r="L226" s="57" t="n">
        <v>4700</v>
      </c>
    </row>
    <row r="227" customFormat="false" ht="15" hidden="false" customHeight="false" outlineLevel="0" collapsed="false">
      <c r="A227" s="5" t="s">
        <v>160</v>
      </c>
      <c r="H227" s="57" t="n">
        <v>4700</v>
      </c>
      <c r="I227" s="57" t="n">
        <v>4700</v>
      </c>
      <c r="J227" s="57" t="n">
        <v>4700</v>
      </c>
      <c r="K227" s="57" t="n">
        <v>4700</v>
      </c>
      <c r="L227" s="57" t="n">
        <v>4700</v>
      </c>
    </row>
    <row r="228" customFormat="false" ht="15" hidden="false" customHeight="false" outlineLevel="0" collapsed="false">
      <c r="A228" s="5" t="s">
        <v>161</v>
      </c>
      <c r="H228" s="57" t="n">
        <v>4700</v>
      </c>
      <c r="I228" s="57" t="n">
        <v>4700</v>
      </c>
      <c r="J228" s="57" t="n">
        <v>4700</v>
      </c>
      <c r="K228" s="57" t="n">
        <v>4700</v>
      </c>
      <c r="L228" s="57" t="n">
        <v>4700</v>
      </c>
    </row>
    <row r="229" customFormat="false" ht="15" hidden="false" customHeight="false" outlineLevel="0" collapsed="false">
      <c r="A229" s="12" t="s">
        <v>230</v>
      </c>
      <c r="C229" s="52" t="n">
        <f aca="false">融资!C23</f>
        <v>0</v>
      </c>
      <c r="D229" s="52" t="n">
        <f aca="false">融资!D23</f>
        <v>0.054798337764271</v>
      </c>
      <c r="E229" s="52" t="n">
        <f aca="false">融资!E23</f>
        <v>0.0519974928324654</v>
      </c>
      <c r="F229" s="52" t="n">
        <f aca="false">融资!F23</f>
        <v>0.0533200753017116</v>
      </c>
      <c r="G229" s="52" t="n">
        <f aca="false">融资!G23</f>
        <v>0.0297790720602682</v>
      </c>
      <c r="H229" s="53" t="n">
        <f aca="false">CHOOSE(假设!$C$5,H230,H231,H232)</f>
        <v>0.027</v>
      </c>
      <c r="I229" s="53" t="n">
        <f aca="false">CHOOSE(假设!$C$5,I230,I231,I232)</f>
        <v>0.027</v>
      </c>
      <c r="J229" s="53" t="n">
        <f aca="false">CHOOSE(假设!$C$5,J230,J231,J232)</f>
        <v>0.027</v>
      </c>
      <c r="K229" s="53" t="n">
        <f aca="false">CHOOSE(假设!$C$5,K230,K231,K232)</f>
        <v>0.027</v>
      </c>
      <c r="L229" s="53" t="n">
        <f aca="false">CHOOSE(假设!$C$5,L230,L231,L232)</f>
        <v>0.027</v>
      </c>
      <c r="O229" s="21" t="s">
        <v>231</v>
      </c>
    </row>
    <row r="230" customFormat="false" ht="15" hidden="false" customHeight="false" outlineLevel="0" collapsed="false">
      <c r="A230" s="5" t="s">
        <v>159</v>
      </c>
      <c r="H230" s="54" t="n">
        <v>0.027</v>
      </c>
      <c r="I230" s="54" t="n">
        <v>0.027</v>
      </c>
      <c r="J230" s="54" t="n">
        <v>0.027</v>
      </c>
      <c r="K230" s="54" t="n">
        <v>0.027</v>
      </c>
      <c r="L230" s="54" t="n">
        <v>0.027</v>
      </c>
    </row>
    <row r="231" customFormat="false" ht="15" hidden="false" customHeight="false" outlineLevel="0" collapsed="false">
      <c r="A231" s="5" t="s">
        <v>160</v>
      </c>
      <c r="H231" s="54" t="n">
        <v>0.027</v>
      </c>
      <c r="I231" s="54" t="n">
        <v>0.027</v>
      </c>
      <c r="J231" s="54" t="n">
        <v>0.027</v>
      </c>
      <c r="K231" s="54" t="n">
        <v>0.027</v>
      </c>
      <c r="L231" s="54" t="n">
        <v>0.027</v>
      </c>
    </row>
    <row r="232" customFormat="false" ht="15" hidden="false" customHeight="false" outlineLevel="0" collapsed="false">
      <c r="A232" s="5" t="s">
        <v>161</v>
      </c>
      <c r="H232" s="54" t="n">
        <v>0.029</v>
      </c>
      <c r="I232" s="54" t="n">
        <v>0.029</v>
      </c>
      <c r="J232" s="54" t="n">
        <v>0.029</v>
      </c>
      <c r="K232" s="54" t="n">
        <v>0.029</v>
      </c>
      <c r="L232" s="54" t="n">
        <v>0.029</v>
      </c>
    </row>
    <row r="233" customFormat="false" ht="15" hidden="false" customHeight="false" outlineLevel="0" collapsed="false">
      <c r="A233" s="12" t="s">
        <v>232</v>
      </c>
      <c r="C233" s="52" t="n">
        <f aca="false">融资!C25</f>
        <v>0</v>
      </c>
      <c r="D233" s="52" t="n">
        <f aca="false">融资!D25</f>
        <v>0.0099831614627288</v>
      </c>
      <c r="E233" s="52" t="n">
        <f aca="false">融资!E25</f>
        <v>0.00894000885866841</v>
      </c>
      <c r="F233" s="52" t="n">
        <f aca="false">融资!F25</f>
        <v>0.00888698540617039</v>
      </c>
      <c r="G233" s="52" t="n">
        <f aca="false">融资!G25</f>
        <v>0.00714745161288452</v>
      </c>
      <c r="H233" s="53" t="n">
        <f aca="false">CHOOSE(假设!$C$5,H234,H235,H236)</f>
        <v>0.007</v>
      </c>
      <c r="I233" s="53" t="n">
        <f aca="false">CHOOSE(假设!$C$5,I234,I235,I236)</f>
        <v>0.007</v>
      </c>
      <c r="J233" s="53" t="n">
        <f aca="false">CHOOSE(假设!$C$5,J234,J235,J236)</f>
        <v>0.007</v>
      </c>
      <c r="K233" s="53" t="n">
        <f aca="false">CHOOSE(假设!$C$5,K234,K235,K236)</f>
        <v>0.007</v>
      </c>
      <c r="L233" s="53" t="n">
        <f aca="false">CHOOSE(假设!$C$5,L234,L235,L236)</f>
        <v>0.007</v>
      </c>
    </row>
    <row r="234" customFormat="false" ht="15" hidden="false" customHeight="false" outlineLevel="0" collapsed="false">
      <c r="A234" s="5" t="s">
        <v>159</v>
      </c>
      <c r="H234" s="54" t="n">
        <v>0.007</v>
      </c>
      <c r="I234" s="54" t="n">
        <v>0.007</v>
      </c>
      <c r="J234" s="54" t="n">
        <v>0.007</v>
      </c>
      <c r="K234" s="54" t="n">
        <v>0.007</v>
      </c>
      <c r="L234" s="54" t="n">
        <v>0.007</v>
      </c>
    </row>
    <row r="235" customFormat="false" ht="15" hidden="false" customHeight="false" outlineLevel="0" collapsed="false">
      <c r="A235" s="5" t="s">
        <v>160</v>
      </c>
      <c r="H235" s="54" t="n">
        <v>0.007</v>
      </c>
      <c r="I235" s="54" t="n">
        <v>0.007</v>
      </c>
      <c r="J235" s="54" t="n">
        <v>0.007</v>
      </c>
      <c r="K235" s="54" t="n">
        <v>0.007</v>
      </c>
      <c r="L235" s="54" t="n">
        <v>0.007</v>
      </c>
    </row>
    <row r="236" customFormat="false" ht="15" hidden="false" customHeight="false" outlineLevel="0" collapsed="false">
      <c r="A236" s="5" t="s">
        <v>161</v>
      </c>
      <c r="H236" s="54" t="n">
        <v>0.007</v>
      </c>
      <c r="I236" s="54" t="n">
        <v>0.007</v>
      </c>
      <c r="J236" s="54" t="n">
        <v>0.007</v>
      </c>
      <c r="K236" s="54" t="n">
        <v>0.007</v>
      </c>
      <c r="L236" s="54" t="n">
        <v>0.007</v>
      </c>
    </row>
    <row r="237" customFormat="false" ht="15" hidden="false" customHeight="false" outlineLevel="0" collapsed="false">
      <c r="A237" s="12" t="s">
        <v>233</v>
      </c>
      <c r="C237" s="55" t="n">
        <f aca="false">融资!C26</f>
        <v>181.4787</v>
      </c>
      <c r="D237" s="55" t="n">
        <f aca="false">融资!D26</f>
        <v>114.4138</v>
      </c>
      <c r="E237" s="55" t="n">
        <f aca="false">融资!E26</f>
        <v>20.1453</v>
      </c>
      <c r="F237" s="55" t="n">
        <f aca="false">融资!F26</f>
        <v>143.4701</v>
      </c>
      <c r="G237" s="55" t="n">
        <f aca="false">融资!G26</f>
        <v>138.3653</v>
      </c>
      <c r="H237" s="56" t="n">
        <f aca="false">CHOOSE(假设!$C$5,H238,H239,H240)</f>
        <v>300</v>
      </c>
      <c r="I237" s="56" t="n">
        <f aca="false">CHOOSE(假设!$C$5,I238,I239,I240)</f>
        <v>100</v>
      </c>
      <c r="J237" s="56" t="n">
        <f aca="false">CHOOSE(假设!$C$5,J238,J239,J240)</f>
        <v>100</v>
      </c>
      <c r="K237" s="56" t="n">
        <f aca="false">CHOOSE(假设!$C$5,K238,K239,K240)</f>
        <v>100</v>
      </c>
      <c r="L237" s="56" t="n">
        <f aca="false">CHOOSE(假设!$C$5,L238,L239,L240)</f>
        <v>100</v>
      </c>
      <c r="O237" s="21" t="s">
        <v>234</v>
      </c>
    </row>
    <row r="238" customFormat="false" ht="15" hidden="false" customHeight="false" outlineLevel="0" collapsed="false">
      <c r="A238" s="5" t="s">
        <v>159</v>
      </c>
      <c r="H238" s="57" t="n">
        <v>300</v>
      </c>
      <c r="I238" s="57" t="n">
        <v>100</v>
      </c>
      <c r="J238" s="57" t="n">
        <v>100</v>
      </c>
      <c r="K238" s="57" t="n">
        <v>100</v>
      </c>
      <c r="L238" s="57" t="n">
        <v>100</v>
      </c>
    </row>
    <row r="239" customFormat="false" ht="15" hidden="false" customHeight="false" outlineLevel="0" collapsed="false">
      <c r="A239" s="5" t="s">
        <v>160</v>
      </c>
      <c r="H239" s="57" t="n">
        <v>250</v>
      </c>
      <c r="I239" s="57" t="n">
        <v>80</v>
      </c>
      <c r="J239" s="57" t="n">
        <v>80</v>
      </c>
      <c r="K239" s="57" t="n">
        <v>80</v>
      </c>
      <c r="L239" s="57" t="n">
        <v>80</v>
      </c>
    </row>
    <row r="240" customFormat="false" ht="15" hidden="false" customHeight="false" outlineLevel="0" collapsed="false">
      <c r="A240" s="5" t="s">
        <v>161</v>
      </c>
      <c r="H240" s="57" t="n">
        <v>350</v>
      </c>
      <c r="I240" s="57" t="n">
        <v>150</v>
      </c>
      <c r="J240" s="57" t="n">
        <v>150</v>
      </c>
      <c r="K240" s="57" t="n">
        <v>150</v>
      </c>
      <c r="L240" s="57" t="n">
        <v>150</v>
      </c>
    </row>
    <row r="241" customFormat="false" ht="15" hidden="false" customHeight="false" outlineLevel="0" collapsed="false">
      <c r="A241" s="12" t="s">
        <v>235</v>
      </c>
      <c r="C241" s="49" t="n">
        <f aca="false">融资!C39</f>
        <v>0.329993350128745</v>
      </c>
      <c r="D241" s="49" t="n">
        <f aca="false">融资!D39</f>
        <v>0.321641584520985</v>
      </c>
      <c r="E241" s="49" t="n">
        <f aca="false">融资!E39</f>
        <v>0.300256981509085</v>
      </c>
      <c r="F241" s="49" t="n">
        <f aca="false">融资!F39</f>
        <v>0.301719267597183</v>
      </c>
      <c r="G241" s="49" t="n">
        <f aca="false">融资!G39</f>
        <v>0.302270840087621</v>
      </c>
      <c r="H241" s="50" t="n">
        <f aca="false">CHOOSE(假设!$C$5,H242,H243,H244)</f>
        <v>0.3</v>
      </c>
      <c r="I241" s="50" t="n">
        <f aca="false">CHOOSE(假设!$C$5,I242,I243,I244)</f>
        <v>0.3</v>
      </c>
      <c r="J241" s="50" t="n">
        <f aca="false">CHOOSE(假设!$C$5,J242,J243,J244)</f>
        <v>0.3</v>
      </c>
      <c r="K241" s="50" t="n">
        <f aca="false">CHOOSE(假设!$C$5,K242,K243,K244)</f>
        <v>0.3</v>
      </c>
      <c r="L241" s="50" t="n">
        <f aca="false">CHOOSE(假设!$C$5,L242,L243,L244)</f>
        <v>0.3</v>
      </c>
      <c r="O241" s="21" t="s">
        <v>236</v>
      </c>
    </row>
    <row r="242" customFormat="false" ht="15" hidden="false" customHeight="false" outlineLevel="0" collapsed="false">
      <c r="A242" s="5" t="s">
        <v>159</v>
      </c>
      <c r="H242" s="51" t="n">
        <v>0.3</v>
      </c>
      <c r="I242" s="51" t="n">
        <v>0.3</v>
      </c>
      <c r="J242" s="51" t="n">
        <v>0.3</v>
      </c>
      <c r="K242" s="51" t="n">
        <v>0.3</v>
      </c>
      <c r="L242" s="51" t="n">
        <v>0.3</v>
      </c>
    </row>
    <row r="243" customFormat="false" ht="15" hidden="false" customHeight="false" outlineLevel="0" collapsed="false">
      <c r="A243" s="5" t="s">
        <v>160</v>
      </c>
      <c r="H243" s="51" t="n">
        <v>0.3</v>
      </c>
      <c r="I243" s="51" t="n">
        <v>0.3</v>
      </c>
      <c r="J243" s="51" t="n">
        <v>0.3</v>
      </c>
      <c r="K243" s="51" t="n">
        <v>0.3</v>
      </c>
      <c r="L243" s="51" t="n">
        <v>0.3</v>
      </c>
    </row>
    <row r="244" customFormat="false" ht="15" hidden="false" customHeight="false" outlineLevel="0" collapsed="false">
      <c r="A244" s="5" t="s">
        <v>161</v>
      </c>
      <c r="H244" s="51" t="n">
        <v>0.3</v>
      </c>
      <c r="I244" s="51" t="n">
        <v>0.3</v>
      </c>
      <c r="J244" s="51" t="n">
        <v>0.3</v>
      </c>
      <c r="K244" s="51" t="n">
        <v>0.3</v>
      </c>
      <c r="L244" s="51" t="n">
        <v>0.3</v>
      </c>
    </row>
    <row r="245" customFormat="false" ht="15" hidden="false" customHeight="false" outlineLevel="0" collapsed="false">
      <c r="A245" s="12" t="s">
        <v>237</v>
      </c>
      <c r="C245" s="55" t="n">
        <f aca="false">融资!C33</f>
        <v>0</v>
      </c>
      <c r="D245" s="55" t="n">
        <f aca="false">融资!D33</f>
        <v>0</v>
      </c>
      <c r="E245" s="55" t="n">
        <f aca="false">融资!E33</f>
        <v>0</v>
      </c>
      <c r="F245" s="55" t="n">
        <f aca="false">融资!F33</f>
        <v>0</v>
      </c>
      <c r="G245" s="55" t="n">
        <f aca="false">融资!G33</f>
        <v>75</v>
      </c>
      <c r="H245" s="56" t="n">
        <f aca="false">CHOOSE(假设!$C$5,H246,H247,H248)</f>
        <v>0</v>
      </c>
      <c r="I245" s="56" t="n">
        <f aca="false">CHOOSE(假设!$C$5,I246,I247,I248)</f>
        <v>0</v>
      </c>
      <c r="J245" s="56" t="n">
        <f aca="false">CHOOSE(假设!$C$5,J246,J247,J248)</f>
        <v>0</v>
      </c>
      <c r="K245" s="56" t="n">
        <f aca="false">CHOOSE(假设!$C$5,K246,K247,K248)</f>
        <v>0</v>
      </c>
      <c r="L245" s="56" t="n">
        <f aca="false">CHOOSE(假设!$C$5,L246,L247,L248)</f>
        <v>0</v>
      </c>
      <c r="O245" s="21" t="s">
        <v>238</v>
      </c>
    </row>
    <row r="246" customFormat="false" ht="15" hidden="false" customHeight="false" outlineLevel="0" collapsed="false">
      <c r="A246" s="5" t="s">
        <v>159</v>
      </c>
      <c r="H246" s="57" t="n">
        <v>0</v>
      </c>
      <c r="I246" s="57" t="n">
        <v>0</v>
      </c>
      <c r="J246" s="57" t="n">
        <v>0</v>
      </c>
      <c r="K246" s="57" t="n">
        <v>0</v>
      </c>
      <c r="L246" s="57" t="n">
        <v>0</v>
      </c>
    </row>
    <row r="247" customFormat="false" ht="15" hidden="false" customHeight="false" outlineLevel="0" collapsed="false">
      <c r="A247" s="5" t="s">
        <v>160</v>
      </c>
      <c r="H247" s="57" t="n">
        <v>0</v>
      </c>
      <c r="I247" s="57" t="n">
        <v>0</v>
      </c>
      <c r="J247" s="57" t="n">
        <v>0</v>
      </c>
      <c r="K247" s="57" t="n">
        <v>0</v>
      </c>
      <c r="L247" s="57" t="n">
        <v>0</v>
      </c>
    </row>
    <row r="248" customFormat="false" ht="15" hidden="false" customHeight="false" outlineLevel="0" collapsed="false">
      <c r="A248" s="5" t="s">
        <v>161</v>
      </c>
      <c r="H248" s="57" t="n">
        <v>0</v>
      </c>
      <c r="I248" s="57" t="n">
        <v>0</v>
      </c>
      <c r="J248" s="57" t="n">
        <v>0</v>
      </c>
      <c r="K248" s="57" t="n">
        <v>0</v>
      </c>
      <c r="L248" s="57" t="n">
        <v>0</v>
      </c>
    </row>
    <row r="249" customFormat="false" ht="15" hidden="false" customHeight="false" outlineLevel="0" collapsed="false">
      <c r="A249" s="12" t="s">
        <v>239</v>
      </c>
      <c r="H249" s="56" t="n">
        <f aca="false">CHOOSE(假设!$C$5,H250,H251,H252)</f>
        <v>0</v>
      </c>
      <c r="I249" s="56" t="n">
        <f aca="false">CHOOSE(假设!$C$5,I250,I251,I252)</f>
        <v>2912.79</v>
      </c>
      <c r="J249" s="56" t="n">
        <f aca="false">CHOOSE(假设!$C$5,J250,J251,J252)</f>
        <v>0</v>
      </c>
      <c r="K249" s="56" t="n">
        <f aca="false">CHOOSE(假设!$C$5,K250,K251,K252)</f>
        <v>0</v>
      </c>
      <c r="L249" s="56" t="n">
        <f aca="false">CHOOSE(假设!$C$5,L250,L251,L252)</f>
        <v>0</v>
      </c>
      <c r="O249" s="21" t="s">
        <v>240</v>
      </c>
    </row>
    <row r="250" customFormat="false" ht="15" hidden="false" customHeight="false" outlineLevel="0" collapsed="false">
      <c r="A250" s="5" t="s">
        <v>159</v>
      </c>
      <c r="H250" s="57" t="n">
        <v>0</v>
      </c>
      <c r="I250" s="57" t="n">
        <v>2912.79</v>
      </c>
      <c r="J250" s="57" t="n">
        <v>0</v>
      </c>
      <c r="K250" s="57" t="n">
        <v>0</v>
      </c>
      <c r="L250" s="57" t="n">
        <v>0</v>
      </c>
    </row>
    <row r="251" customFormat="false" ht="15" hidden="false" customHeight="false" outlineLevel="0" collapsed="false">
      <c r="A251" s="5" t="s">
        <v>160</v>
      </c>
      <c r="H251" s="57" t="n">
        <v>0</v>
      </c>
      <c r="I251" s="57" t="n">
        <v>2912.79</v>
      </c>
      <c r="J251" s="57" t="n">
        <v>0</v>
      </c>
      <c r="K251" s="57" t="n">
        <v>0</v>
      </c>
      <c r="L251" s="57" t="n">
        <v>0</v>
      </c>
    </row>
    <row r="252" customFormat="false" ht="15" hidden="false" customHeight="false" outlineLevel="0" collapsed="false">
      <c r="A252" s="5" t="s">
        <v>161</v>
      </c>
      <c r="H252" s="57" t="n">
        <v>0</v>
      </c>
      <c r="I252" s="57" t="n">
        <v>0</v>
      </c>
      <c r="J252" s="57" t="n">
        <v>0</v>
      </c>
      <c r="K252" s="57" t="n">
        <v>0</v>
      </c>
      <c r="L252" s="57" t="n">
        <v>0</v>
      </c>
    </row>
    <row r="253" customFormat="false" ht="15" hidden="false" customHeight="false" outlineLevel="0" collapsed="false">
      <c r="A253" s="12" t="s">
        <v>241</v>
      </c>
      <c r="C253" s="55" t="n">
        <f aca="false">融资!C45</f>
        <v>12.6649</v>
      </c>
      <c r="D253" s="55" t="n">
        <f aca="false">融资!D45</f>
        <v>0</v>
      </c>
      <c r="E253" s="55" t="n">
        <f aca="false">融资!E45</f>
        <v>0.2215</v>
      </c>
      <c r="F253" s="55" t="n">
        <f aca="false">融资!F45</f>
        <v>2.9198</v>
      </c>
      <c r="G253" s="55" t="n">
        <f aca="false">融资!G45</f>
        <v>21.775</v>
      </c>
      <c r="H253" s="56" t="n">
        <f aca="false">CHOOSE(假设!$C$5,H254,H255,H256)</f>
        <v>20</v>
      </c>
      <c r="I253" s="56" t="n">
        <f aca="false">CHOOSE(假设!$C$5,I254,I255,I256)</f>
        <v>20</v>
      </c>
      <c r="J253" s="56" t="n">
        <f aca="false">CHOOSE(假设!$C$5,J254,J255,J256)</f>
        <v>20</v>
      </c>
      <c r="K253" s="56" t="n">
        <f aca="false">CHOOSE(假设!$C$5,K254,K255,K256)</f>
        <v>20</v>
      </c>
      <c r="L253" s="56" t="n">
        <f aca="false">CHOOSE(假设!$C$5,L254,L255,L256)</f>
        <v>20</v>
      </c>
    </row>
    <row r="254" customFormat="false" ht="15" hidden="false" customHeight="false" outlineLevel="0" collapsed="false">
      <c r="A254" s="5" t="s">
        <v>159</v>
      </c>
      <c r="H254" s="57" t="n">
        <v>20</v>
      </c>
      <c r="I254" s="57" t="n">
        <v>20</v>
      </c>
      <c r="J254" s="57" t="n">
        <v>20</v>
      </c>
      <c r="K254" s="57" t="n">
        <v>20</v>
      </c>
      <c r="L254" s="57" t="n">
        <v>20</v>
      </c>
    </row>
    <row r="255" customFormat="false" ht="15" hidden="false" customHeight="false" outlineLevel="0" collapsed="false">
      <c r="A255" s="5" t="s">
        <v>160</v>
      </c>
      <c r="H255" s="57" t="n">
        <v>20</v>
      </c>
      <c r="I255" s="57" t="n">
        <v>20</v>
      </c>
      <c r="J255" s="57" t="n">
        <v>20</v>
      </c>
      <c r="K255" s="57" t="n">
        <v>20</v>
      </c>
      <c r="L255" s="57" t="n">
        <v>20</v>
      </c>
    </row>
    <row r="256" customFormat="false" ht="15" hidden="false" customHeight="false" outlineLevel="0" collapsed="false">
      <c r="A256" s="5" t="s">
        <v>161</v>
      </c>
      <c r="H256" s="57" t="n">
        <v>20</v>
      </c>
      <c r="I256" s="57" t="n">
        <v>20</v>
      </c>
      <c r="J256" s="57" t="n">
        <v>20</v>
      </c>
      <c r="K256" s="57" t="n">
        <v>20</v>
      </c>
      <c r="L256" s="57" t="n">
        <v>20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47" t="s">
        <v>245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customFormat="false" ht="15" hidden="false" customHeight="false" outlineLevel="0" collapsed="false">
      <c r="A7" s="12" t="s">
        <v>246</v>
      </c>
      <c r="C7" s="61" t="n">
        <v>17086.2333</v>
      </c>
      <c r="D7" s="61" t="n">
        <v>20915.791</v>
      </c>
      <c r="E7" s="61" t="n">
        <v>23785.1636</v>
      </c>
      <c r="F7" s="61" t="n">
        <v>22313.4087</v>
      </c>
      <c r="G7" s="61" t="n">
        <v>18654.7674</v>
      </c>
      <c r="H7" s="62" t="n">
        <f aca="false">G7*(1+假设!H45)</f>
        <v>19400.958096</v>
      </c>
      <c r="I7" s="62" t="n">
        <f aca="false">H7*(1+假设!I45)</f>
        <v>20953.03474368</v>
      </c>
      <c r="J7" s="62" t="n">
        <f aca="false">I7*(1+假设!J45)</f>
        <v>22419.7471757376</v>
      </c>
      <c r="K7" s="62" t="n">
        <f aca="false">J7*(1+假设!K45)</f>
        <v>23764.9320062819</v>
      </c>
      <c r="L7" s="62" t="n">
        <f aca="false">K7*(1+假设!L45)</f>
        <v>24953.178606596</v>
      </c>
      <c r="N7" s="61" t="n">
        <v>8959.4508</v>
      </c>
      <c r="O7" s="22" t="s">
        <v>247</v>
      </c>
    </row>
    <row r="8" customFormat="false" ht="15" hidden="false" customHeight="false" outlineLevel="0" collapsed="false">
      <c r="A8" s="5" t="s">
        <v>248</v>
      </c>
      <c r="C8" s="38" t="n">
        <v>0.316951213705121</v>
      </c>
      <c r="D8" s="14" t="n">
        <f aca="false">D7/C7-1</f>
        <v>0.2241311840217</v>
      </c>
      <c r="E8" s="14" t="n">
        <f aca="false">E7/D7-1</f>
        <v>0.13718690342622</v>
      </c>
      <c r="F8" s="14" t="n">
        <f aca="false">F7/E7-1</f>
        <v>-0.0618770139550354</v>
      </c>
      <c r="G8" s="14" t="n">
        <f aca="false">G7/F7-1</f>
        <v>-0.163966041638452</v>
      </c>
      <c r="H8" s="63" t="n">
        <f aca="false">H7/G7-1</f>
        <v>0.04</v>
      </c>
      <c r="I8" s="63" t="n">
        <f aca="false">I7/H7-1</f>
        <v>0.0800000000000001</v>
      </c>
      <c r="J8" s="63" t="n">
        <f aca="false">J7/I7-1</f>
        <v>0.0700000000000001</v>
      </c>
      <c r="K8" s="63" t="n">
        <f aca="false">K7/J7-1</f>
        <v>0.0600000000000001</v>
      </c>
      <c r="L8" s="63" t="n">
        <f aca="false">L7/K7-1</f>
        <v>0.05</v>
      </c>
      <c r="N8" s="38" t="n">
        <v>0.0265593954807786</v>
      </c>
      <c r="O8" s="21" t="s">
        <v>249</v>
      </c>
    </row>
    <row r="9" customFormat="false" ht="15" hidden="false" customHeight="false" outlineLevel="0" collapsed="false">
      <c r="A9" s="5" t="s">
        <v>250</v>
      </c>
      <c r="C9" s="42" t="n">
        <v>13798.0468</v>
      </c>
      <c r="D9" s="42" t="n">
        <v>16635.676</v>
      </c>
      <c r="E9" s="42" t="n">
        <v>19208.6801</v>
      </c>
      <c r="F9" s="42" t="n">
        <v>17972.2165</v>
      </c>
      <c r="G9" s="42" t="n">
        <v>15145.1381</v>
      </c>
      <c r="H9" s="64" t="n">
        <f aca="false">H7*(1-H11)</f>
        <v>16723.625878752</v>
      </c>
      <c r="I9" s="64" t="n">
        <f aca="false">I7*(1-I11)</f>
        <v>17851.9856016154</v>
      </c>
      <c r="J9" s="64" t="n">
        <f aca="false">J7*(1-J11)</f>
        <v>18877.4271219711</v>
      </c>
      <c r="K9" s="64" t="n">
        <f aca="false">K7*(1-K11)</f>
        <v>19843.7182252454</v>
      </c>
      <c r="L9" s="64" t="n">
        <f aca="false">L7*(1-L11)</f>
        <v>20835.9041365076</v>
      </c>
      <c r="N9" s="42" t="n">
        <v>7617.8717</v>
      </c>
    </row>
    <row r="10" customFormat="false" ht="15" hidden="false" customHeight="false" outlineLevel="0" collapsed="false">
      <c r="A10" s="5" t="s">
        <v>251</v>
      </c>
      <c r="C10" s="8" t="n">
        <f aca="false">C7-C9</f>
        <v>3288.1865</v>
      </c>
      <c r="D10" s="8" t="n">
        <f aca="false">D7-D9</f>
        <v>4280.115</v>
      </c>
      <c r="E10" s="8" t="n">
        <f aca="false">E7-E9</f>
        <v>4576.4835</v>
      </c>
      <c r="F10" s="8" t="n">
        <f aca="false">F7-F9</f>
        <v>4341.1922</v>
      </c>
      <c r="G10" s="8" t="n">
        <f aca="false">G7-G9</f>
        <v>3509.6293</v>
      </c>
      <c r="H10" s="64" t="n">
        <f aca="false">H7-H9</f>
        <v>2677.332217248</v>
      </c>
      <c r="I10" s="64" t="n">
        <f aca="false">I7-I9</f>
        <v>3101.04914206464</v>
      </c>
      <c r="J10" s="64" t="n">
        <f aca="false">J7-J9</f>
        <v>3542.32005376654</v>
      </c>
      <c r="K10" s="64" t="n">
        <f aca="false">K7-K9</f>
        <v>3921.21378103651</v>
      </c>
      <c r="L10" s="64" t="n">
        <f aca="false">L7-L9</f>
        <v>4117.27447008833</v>
      </c>
      <c r="N10" s="8" t="n">
        <f aca="false">N7-N9</f>
        <v>1341.5791</v>
      </c>
    </row>
    <row r="11" customFormat="false" ht="15" hidden="false" customHeight="false" outlineLevel="0" collapsed="false">
      <c r="A11" s="12" t="s">
        <v>252</v>
      </c>
      <c r="C11" s="24" t="n">
        <f aca="false">IF(C7=0,0,C10/C7)</f>
        <v>0.192446541157787</v>
      </c>
      <c r="D11" s="24" t="n">
        <f aca="false">IF(D7=0,0,D10/D7)</f>
        <v>0.204635578926946</v>
      </c>
      <c r="E11" s="24" t="n">
        <f aca="false">IF(E7=0,0,E10/E7)</f>
        <v>0.192409166359486</v>
      </c>
      <c r="F11" s="24" t="n">
        <f aca="false">IF(F7=0,0,F10/F7)</f>
        <v>0.19455531238488</v>
      </c>
      <c r="G11" s="24" t="n">
        <f aca="false">IF(G7=0,0,G10/G7)</f>
        <v>0.188135784528731</v>
      </c>
      <c r="H11" s="65" t="n">
        <f aca="false">假设!H49</f>
        <v>0.138</v>
      </c>
      <c r="I11" s="65" t="n">
        <f aca="false">假设!I49</f>
        <v>0.148</v>
      </c>
      <c r="J11" s="65" t="n">
        <f aca="false">假设!J49</f>
        <v>0.158</v>
      </c>
      <c r="K11" s="65" t="n">
        <f aca="false">假设!K49</f>
        <v>0.165</v>
      </c>
      <c r="L11" s="65" t="n">
        <f aca="false">假设!L49</f>
        <v>0.165</v>
      </c>
      <c r="N11" s="24" t="n">
        <f aca="false">IF(N7=0,0,N10/N7)</f>
        <v>0.149738988465677</v>
      </c>
    </row>
    <row r="12" customFormat="false" ht="15" hidden="false" customHeight="false" outlineLevel="0" collapsed="false">
      <c r="A12" s="47" t="s">
        <v>253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customFormat="false" ht="15" hidden="false" customHeight="false" outlineLevel="0" collapsed="false">
      <c r="A13" s="5" t="s">
        <v>254</v>
      </c>
      <c r="H13" s="66" t="n">
        <f aca="false">假设!H53</f>
        <v>0.1</v>
      </c>
      <c r="I13" s="66" t="n">
        <f aca="false">假设!I53</f>
        <v>0.08</v>
      </c>
      <c r="J13" s="66" t="n">
        <f aca="false">假设!J53</f>
        <v>0.07</v>
      </c>
      <c r="K13" s="66" t="n">
        <f aca="false">假设!K53</f>
        <v>0.05</v>
      </c>
      <c r="L13" s="66" t="n">
        <f aca="false">假设!L53</f>
        <v>0.04</v>
      </c>
    </row>
    <row r="14" customFormat="false" ht="15" hidden="false" customHeight="false" outlineLevel="0" collapsed="false">
      <c r="A14" s="5" t="s">
        <v>255</v>
      </c>
      <c r="H14" s="66" t="n">
        <f aca="false">假设!H57</f>
        <v>0.25</v>
      </c>
      <c r="I14" s="66" t="n">
        <f aca="false">假设!I57</f>
        <v>-0.05</v>
      </c>
      <c r="J14" s="66" t="n">
        <f aca="false">假设!J57</f>
        <v>-0.08</v>
      </c>
      <c r="K14" s="66" t="n">
        <f aca="false">假设!K57</f>
        <v>-0.03</v>
      </c>
      <c r="L14" s="66" t="n">
        <f aca="false">假设!L57</f>
        <v>0</v>
      </c>
    </row>
    <row r="15" customFormat="false" ht="15" hidden="false" customHeight="false" outlineLevel="0" collapsed="false">
      <c r="A15" s="5" t="s">
        <v>256</v>
      </c>
      <c r="G15" s="43" t="n">
        <v>100</v>
      </c>
      <c r="H15" s="67" t="n">
        <f aca="false">G15*(1+H13)</f>
        <v>110</v>
      </c>
      <c r="I15" s="67" t="n">
        <f aca="false">H15*(1+I13)</f>
        <v>118.8</v>
      </c>
      <c r="J15" s="67" t="n">
        <f aca="false">I15*(1+J13)</f>
        <v>127.116</v>
      </c>
      <c r="K15" s="67" t="n">
        <f aca="false">J15*(1+K13)</f>
        <v>133.4718</v>
      </c>
      <c r="L15" s="67" t="n">
        <f aca="false">K15*(1+L13)</f>
        <v>138.810672</v>
      </c>
    </row>
    <row r="16" customFormat="false" ht="15" hidden="false" customHeight="false" outlineLevel="0" collapsed="false">
      <c r="A16" s="5" t="s">
        <v>257</v>
      </c>
      <c r="G16" s="43" t="n">
        <v>100</v>
      </c>
      <c r="H16" s="67" t="n">
        <f aca="false">G16*(1+H14)</f>
        <v>125</v>
      </c>
      <c r="I16" s="67" t="n">
        <f aca="false">H16*(1+I14)</f>
        <v>118.75</v>
      </c>
      <c r="J16" s="67" t="n">
        <f aca="false">I16*(1+J14)</f>
        <v>109.25</v>
      </c>
      <c r="K16" s="67" t="n">
        <f aca="false">J16*(1+K14)</f>
        <v>105.9725</v>
      </c>
      <c r="L16" s="67" t="n">
        <f aca="false">K16*(1+L14)</f>
        <v>105.9725</v>
      </c>
    </row>
    <row r="17" customFormat="false" ht="15" hidden="false" customHeight="false" outlineLevel="0" collapsed="false">
      <c r="A17" s="12" t="s">
        <v>258</v>
      </c>
      <c r="C17" s="61" t="n">
        <v>5849.9396</v>
      </c>
      <c r="D17" s="61" t="n">
        <v>6508.5623</v>
      </c>
      <c r="E17" s="61" t="n">
        <v>5386.6935</v>
      </c>
      <c r="F17" s="61" t="n">
        <v>4698.6346</v>
      </c>
      <c r="G17" s="61" t="n">
        <v>4654.0976</v>
      </c>
      <c r="H17" s="62" t="n">
        <f aca="false">G17*(1+H13)*(1+H14)</f>
        <v>6399.3842</v>
      </c>
      <c r="I17" s="62" t="n">
        <f aca="false">H17*(1+I13)*(1+I14)</f>
        <v>6565.7681892</v>
      </c>
      <c r="J17" s="62" t="n">
        <f aca="false">I17*(1+J13)*(1+J14)</f>
        <v>6463.34220544848</v>
      </c>
      <c r="K17" s="62" t="n">
        <f aca="false">J17*(1+K13)*(1+K14)</f>
        <v>6582.91403624928</v>
      </c>
      <c r="L17" s="62" t="n">
        <f aca="false">K17*(1+L13)*(1+L14)</f>
        <v>6846.23059769925</v>
      </c>
      <c r="N17" s="61" t="n">
        <v>2964.6573</v>
      </c>
      <c r="O17" s="22" t="s">
        <v>247</v>
      </c>
    </row>
    <row r="18" customFormat="false" ht="15" hidden="false" customHeight="false" outlineLevel="0" collapsed="false">
      <c r="A18" s="5" t="s">
        <v>248</v>
      </c>
      <c r="C18" s="38" t="n">
        <v>0.11633455911314</v>
      </c>
      <c r="D18" s="14" t="n">
        <f aca="false">D17/C17-1</f>
        <v>0.112586239351941</v>
      </c>
      <c r="E18" s="14" t="n">
        <f aca="false">E17/D17-1</f>
        <v>-0.172368143422396</v>
      </c>
      <c r="F18" s="14" t="n">
        <f aca="false">F17/E17-1</f>
        <v>-0.127733070389098</v>
      </c>
      <c r="G18" s="14" t="n">
        <f aca="false">G17/F17-1</f>
        <v>-0.00947871111322429</v>
      </c>
      <c r="H18" s="63" t="n">
        <f aca="false">H17/G17-1</f>
        <v>0.375</v>
      </c>
      <c r="I18" s="63" t="n">
        <f aca="false">I17/H17-1</f>
        <v>0.026</v>
      </c>
      <c r="J18" s="63" t="n">
        <f aca="false">J17/I17-1</f>
        <v>-0.0155999999999998</v>
      </c>
      <c r="K18" s="63" t="n">
        <f aca="false">K17/J17-1</f>
        <v>0.0185</v>
      </c>
      <c r="L18" s="63" t="n">
        <f aca="false">L17/K17-1</f>
        <v>0.04</v>
      </c>
      <c r="N18" s="38" t="n">
        <v>0.479533219934256</v>
      </c>
      <c r="O18" s="21" t="s">
        <v>249</v>
      </c>
    </row>
    <row r="19" customFormat="false" ht="15" hidden="false" customHeight="false" outlineLevel="0" collapsed="false">
      <c r="A19" s="5" t="s">
        <v>259</v>
      </c>
      <c r="C19" s="42" t="n">
        <v>4814.6501</v>
      </c>
      <c r="D19" s="42" t="n">
        <v>5373.902</v>
      </c>
      <c r="E19" s="42" t="n">
        <v>4242.6189</v>
      </c>
      <c r="F19" s="42" t="n">
        <v>3507.477</v>
      </c>
      <c r="G19" s="42" t="n">
        <v>3482.8701</v>
      </c>
      <c r="H19" s="64" t="n">
        <f aca="false">H17*(1-H21)</f>
        <v>3839.63052</v>
      </c>
      <c r="I19" s="64" t="n">
        <f aca="false">I17*(1-I21)</f>
        <v>4202.091641088</v>
      </c>
      <c r="J19" s="64" t="n">
        <f aca="false">J17*(1-J21)</f>
        <v>4459.70612175945</v>
      </c>
      <c r="K19" s="64" t="n">
        <f aca="false">K17*(1-K21)</f>
        <v>4673.86896573699</v>
      </c>
      <c r="L19" s="64" t="n">
        <f aca="false">L17*(1-L21)</f>
        <v>4929.28603034346</v>
      </c>
      <c r="N19" s="42" t="n">
        <v>1711.9269</v>
      </c>
    </row>
    <row r="20" customFormat="false" ht="15" hidden="false" customHeight="false" outlineLevel="0" collapsed="false">
      <c r="A20" s="5" t="s">
        <v>260</v>
      </c>
      <c r="C20" s="8" t="n">
        <f aca="false">C17-C19</f>
        <v>1035.2895</v>
      </c>
      <c r="D20" s="8" t="n">
        <f aca="false">D17-D19</f>
        <v>1134.6603</v>
      </c>
      <c r="E20" s="8" t="n">
        <f aca="false">E17-E19</f>
        <v>1144.0746</v>
      </c>
      <c r="F20" s="8" t="n">
        <f aca="false">F17-F19</f>
        <v>1191.1576</v>
      </c>
      <c r="G20" s="8" t="n">
        <f aca="false">G17-G19</f>
        <v>1171.2275</v>
      </c>
      <c r="H20" s="64" t="n">
        <f aca="false">H17-H19</f>
        <v>2559.75368</v>
      </c>
      <c r="I20" s="64" t="n">
        <f aca="false">I17-I19</f>
        <v>2363.676548112</v>
      </c>
      <c r="J20" s="64" t="n">
        <f aca="false">J17-J19</f>
        <v>2003.63608368903</v>
      </c>
      <c r="K20" s="64" t="n">
        <f aca="false">K17-K19</f>
        <v>1909.04507051229</v>
      </c>
      <c r="L20" s="64" t="n">
        <f aca="false">L17-L19</f>
        <v>1916.94456735579</v>
      </c>
      <c r="N20" s="8" t="n">
        <f aca="false">N17-N19</f>
        <v>1252.7304</v>
      </c>
    </row>
    <row r="21" customFormat="false" ht="15" hidden="false" customHeight="false" outlineLevel="0" collapsed="false">
      <c r="A21" s="12" t="s">
        <v>261</v>
      </c>
      <c r="C21" s="24" t="n">
        <f aca="false">IF(C17=0,0,C20/C17)</f>
        <v>0.17697439132534</v>
      </c>
      <c r="D21" s="24" t="n">
        <f aca="false">IF(D17=0,0,D20/D17)</f>
        <v>0.174333477609948</v>
      </c>
      <c r="E21" s="24" t="n">
        <f aca="false">IF(E17=0,0,E20/E17)</f>
        <v>0.212389028631386</v>
      </c>
      <c r="F21" s="24" t="n">
        <f aca="false">IF(F17=0,0,F20/F17)</f>
        <v>0.253511435002841</v>
      </c>
      <c r="G21" s="24" t="n">
        <f aca="false">IF(G17=0,0,G20/G17)</f>
        <v>0.251655122144409</v>
      </c>
      <c r="H21" s="65" t="n">
        <f aca="false">假设!H61</f>
        <v>0.4</v>
      </c>
      <c r="I21" s="65" t="n">
        <f aca="false">假设!I61</f>
        <v>0.36</v>
      </c>
      <c r="J21" s="65" t="n">
        <f aca="false">假设!J61</f>
        <v>0.31</v>
      </c>
      <c r="K21" s="65" t="n">
        <f aca="false">假设!K61</f>
        <v>0.29</v>
      </c>
      <c r="L21" s="65" t="n">
        <f aca="false">假设!L61</f>
        <v>0.28</v>
      </c>
      <c r="N21" s="24" t="n">
        <f aca="false">IF(N17=0,0,N20/N17)</f>
        <v>0.422554876747474</v>
      </c>
    </row>
    <row r="22" customFormat="false" ht="15" hidden="false" customHeight="false" outlineLevel="0" collapsed="false">
      <c r="A22" s="47" t="s">
        <v>262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</row>
    <row r="23" customFormat="false" ht="15" hidden="false" customHeight="false" outlineLevel="0" collapsed="false">
      <c r="A23" s="12" t="s">
        <v>263</v>
      </c>
      <c r="C23" s="61" t="n">
        <v>3038.8249</v>
      </c>
      <c r="D23" s="61" t="n">
        <v>3130.9817</v>
      </c>
      <c r="E23" s="61" t="n">
        <v>1577.1866</v>
      </c>
      <c r="F23" s="61" t="n">
        <v>1144.3846</v>
      </c>
      <c r="G23" s="61" t="n">
        <v>1419.619</v>
      </c>
      <c r="H23" s="62" t="n">
        <f aca="false">G23*(1+假设!H65)</f>
        <v>1533.18852</v>
      </c>
      <c r="I23" s="62" t="n">
        <f aca="false">H23*(1+假设!I65)</f>
        <v>1655.8436016</v>
      </c>
      <c r="J23" s="62" t="n">
        <f aca="false">I23*(1+假设!J65)</f>
        <v>1755.194217696</v>
      </c>
      <c r="K23" s="62" t="n">
        <f aca="false">J23*(1+假设!K65)</f>
        <v>1842.9539285808</v>
      </c>
      <c r="L23" s="62" t="n">
        <f aca="false">K23*(1+假设!L65)</f>
        <v>1935.10162500984</v>
      </c>
      <c r="N23" s="61" t="n">
        <v>248.8312</v>
      </c>
      <c r="O23" s="22" t="s">
        <v>247</v>
      </c>
    </row>
    <row r="24" customFormat="false" ht="15" hidden="false" customHeight="false" outlineLevel="0" collapsed="false">
      <c r="A24" s="5" t="s">
        <v>248</v>
      </c>
      <c r="C24" s="38" t="n">
        <v>0.204962678303811</v>
      </c>
      <c r="D24" s="14" t="n">
        <f aca="false">D23/C23-1</f>
        <v>0.0303264594152826</v>
      </c>
      <c r="E24" s="14" t="n">
        <f aca="false">E23/D23-1</f>
        <v>-0.496264510265263</v>
      </c>
      <c r="F24" s="14" t="n">
        <f aca="false">F23/E23-1</f>
        <v>-0.274413946961</v>
      </c>
      <c r="G24" s="14" t="n">
        <f aca="false">G23/F23-1</f>
        <v>0.240508654170984</v>
      </c>
      <c r="H24" s="63" t="n">
        <f aca="false">H23/G23-1</f>
        <v>0.0800000000000001</v>
      </c>
      <c r="I24" s="63" t="n">
        <f aca="false">I23/H23-1</f>
        <v>0.0800000000000001</v>
      </c>
      <c r="J24" s="63" t="n">
        <f aca="false">J23/I23-1</f>
        <v>0.0600000000000001</v>
      </c>
      <c r="K24" s="63" t="n">
        <f aca="false">K23/J23-1</f>
        <v>0.05</v>
      </c>
      <c r="L24" s="63" t="n">
        <f aca="false">L23/K23-1</f>
        <v>0.05</v>
      </c>
      <c r="N24" s="38" t="n">
        <v>0.129953313531356</v>
      </c>
      <c r="O24" s="21" t="s">
        <v>249</v>
      </c>
    </row>
    <row r="25" customFormat="false" ht="15" hidden="false" customHeight="false" outlineLevel="0" collapsed="false">
      <c r="A25" s="5" t="s">
        <v>264</v>
      </c>
      <c r="C25" s="42" t="n">
        <v>1724.5361</v>
      </c>
      <c r="D25" s="42" t="n">
        <v>1828.1968</v>
      </c>
      <c r="E25" s="42" t="n">
        <v>924.9509</v>
      </c>
      <c r="F25" s="42" t="n">
        <v>641.8028</v>
      </c>
      <c r="G25" s="42" t="n">
        <v>861.9252</v>
      </c>
      <c r="H25" s="64" t="n">
        <f aca="false">H23*(1-H27)</f>
        <v>996.572538</v>
      </c>
      <c r="I25" s="64" t="n">
        <f aca="false">I23*(1-I27)</f>
        <v>1043.181469008</v>
      </c>
      <c r="J25" s="64" t="n">
        <f aca="false">J23*(1-J27)</f>
        <v>1088.22041497152</v>
      </c>
      <c r="K25" s="64" t="n">
        <f aca="false">K23*(1-K27)</f>
        <v>1142.6314357201</v>
      </c>
      <c r="L25" s="64" t="n">
        <f aca="false">L23*(1-L27)</f>
        <v>1199.7630075061</v>
      </c>
      <c r="N25" s="42" t="n">
        <v>233.8039</v>
      </c>
    </row>
    <row r="26" customFormat="false" ht="15" hidden="false" customHeight="false" outlineLevel="0" collapsed="false">
      <c r="A26" s="5" t="s">
        <v>265</v>
      </c>
      <c r="C26" s="8" t="n">
        <f aca="false">C23-C25</f>
        <v>1314.2888</v>
      </c>
      <c r="D26" s="8" t="n">
        <f aca="false">D23-D25</f>
        <v>1302.7849</v>
      </c>
      <c r="E26" s="8" t="n">
        <f aca="false">E23-E25</f>
        <v>652.2357</v>
      </c>
      <c r="F26" s="8" t="n">
        <f aca="false">F23-F25</f>
        <v>502.5818</v>
      </c>
      <c r="G26" s="8" t="n">
        <f aca="false">G23-G25</f>
        <v>557.6938</v>
      </c>
      <c r="H26" s="64" t="n">
        <f aca="false">H23-H25</f>
        <v>536.615982</v>
      </c>
      <c r="I26" s="64" t="n">
        <f aca="false">I23-I25</f>
        <v>612.662132592</v>
      </c>
      <c r="J26" s="64" t="n">
        <f aca="false">J23-J25</f>
        <v>666.97380272448</v>
      </c>
      <c r="K26" s="64" t="n">
        <f aca="false">K23-K25</f>
        <v>700.322492860704</v>
      </c>
      <c r="L26" s="64" t="n">
        <f aca="false">L23-L25</f>
        <v>735.338617503739</v>
      </c>
      <c r="N26" s="8" t="n">
        <f aca="false">N23-N25</f>
        <v>15.0273</v>
      </c>
    </row>
    <row r="27" customFormat="false" ht="15" hidden="false" customHeight="false" outlineLevel="0" collapsed="false">
      <c r="A27" s="12" t="s">
        <v>266</v>
      </c>
      <c r="C27" s="24" t="n">
        <f aca="false">IF(C23=0,0,C26/C23)</f>
        <v>0.43249902289533</v>
      </c>
      <c r="D27" s="24" t="n">
        <f aca="false">IF(D23=0,0,D26/D23)</f>
        <v>0.416094702821163</v>
      </c>
      <c r="E27" s="24" t="n">
        <f aca="false">IF(E23=0,0,E26/E23)</f>
        <v>0.413543774718857</v>
      </c>
      <c r="F27" s="24" t="n">
        <f aca="false">IF(F23=0,0,F26/F23)</f>
        <v>0.439172110495021</v>
      </c>
      <c r="G27" s="24" t="n">
        <f aca="false">IF(G23=0,0,G26/G23)</f>
        <v>0.392847517538156</v>
      </c>
      <c r="H27" s="65" t="n">
        <f aca="false">假设!H69</f>
        <v>0.35</v>
      </c>
      <c r="I27" s="65" t="n">
        <f aca="false">假设!I69</f>
        <v>0.37</v>
      </c>
      <c r="J27" s="65" t="n">
        <f aca="false">假设!J69</f>
        <v>0.38</v>
      </c>
      <c r="K27" s="65" t="n">
        <f aca="false">假设!K69</f>
        <v>0.38</v>
      </c>
      <c r="L27" s="65" t="n">
        <f aca="false">假设!L69</f>
        <v>0.38</v>
      </c>
      <c r="N27" s="24" t="n">
        <f aca="false">IF(N23=0,0,N26/N23)</f>
        <v>0.0603915425396815</v>
      </c>
    </row>
    <row r="28" customFormat="false" ht="15" hidden="false" customHeight="false" outlineLevel="0" collapsed="false">
      <c r="A28" s="47" t="s">
        <v>267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</row>
    <row r="29" customFormat="false" ht="15" hidden="false" customHeight="false" outlineLevel="0" collapsed="false">
      <c r="A29" s="12" t="s">
        <v>268</v>
      </c>
      <c r="C29" s="61" t="n">
        <v>339.9824</v>
      </c>
      <c r="D29" s="61" t="n">
        <v>362.5256</v>
      </c>
      <c r="E29" s="61" t="n">
        <v>380.5305</v>
      </c>
      <c r="F29" s="61" t="n">
        <v>392.4029</v>
      </c>
      <c r="G29" s="61" t="n">
        <v>190.0706</v>
      </c>
      <c r="H29" s="62" t="n">
        <f aca="false">G29*(1+假设!H73)</f>
        <v>229.985426</v>
      </c>
      <c r="I29" s="62" t="n">
        <f aca="false">H29*(1+假设!I73)</f>
        <v>229.985426</v>
      </c>
      <c r="J29" s="62" t="n">
        <f aca="false">I29*(1+假设!J73)</f>
        <v>229.985426</v>
      </c>
      <c r="K29" s="62" t="n">
        <f aca="false">J29*(1+假设!K73)</f>
        <v>229.985426</v>
      </c>
      <c r="L29" s="62" t="n">
        <f aca="false">K29*(1+假设!L73)</f>
        <v>229.985426</v>
      </c>
      <c r="N29" s="61" t="n">
        <v>203.4191</v>
      </c>
      <c r="O29" s="22" t="s">
        <v>247</v>
      </c>
    </row>
    <row r="30" customFormat="false" ht="15" hidden="false" customHeight="false" outlineLevel="0" collapsed="false">
      <c r="A30" s="5" t="s">
        <v>248</v>
      </c>
      <c r="C30" s="38" t="n">
        <v>0.00550750886814821</v>
      </c>
      <c r="D30" s="14" t="n">
        <f aca="false">D29/C29-1</f>
        <v>0.0663069617721388</v>
      </c>
      <c r="E30" s="14" t="n">
        <f aca="false">E29/D29-1</f>
        <v>0.049665182265749</v>
      </c>
      <c r="F30" s="14" t="n">
        <f aca="false">F29/E29-1</f>
        <v>0.0311996016088065</v>
      </c>
      <c r="G30" s="14" t="n">
        <f aca="false">G29/F29-1</f>
        <v>-0.515623865165115</v>
      </c>
      <c r="H30" s="63" t="n">
        <f aca="false">H29/G29-1</f>
        <v>0.21</v>
      </c>
      <c r="I30" s="63" t="n">
        <f aca="false">I29/H29-1</f>
        <v>0</v>
      </c>
      <c r="J30" s="63" t="n">
        <f aca="false">J29/I29-1</f>
        <v>0</v>
      </c>
      <c r="K30" s="63" t="n">
        <f aca="false">K29/J29-1</f>
        <v>0</v>
      </c>
      <c r="L30" s="63" t="n">
        <f aca="false">L29/K29-1</f>
        <v>0</v>
      </c>
      <c r="N30" s="38" t="n">
        <v>0.231508522885503</v>
      </c>
      <c r="O30" s="21" t="s">
        <v>249</v>
      </c>
    </row>
    <row r="31" customFormat="false" ht="15" hidden="false" customHeight="false" outlineLevel="0" collapsed="false">
      <c r="A31" s="5" t="s">
        <v>269</v>
      </c>
      <c r="C31" s="42" t="n">
        <v>267.8126</v>
      </c>
      <c r="D31" s="42" t="n">
        <v>288.9058</v>
      </c>
      <c r="E31" s="42" t="n">
        <v>351.8755</v>
      </c>
      <c r="F31" s="42" t="n">
        <v>361.1676</v>
      </c>
      <c r="G31" s="42" t="n">
        <v>171.2948</v>
      </c>
      <c r="H31" s="64" t="n">
        <f aca="false">H29*(1-H33)</f>
        <v>202.38717488</v>
      </c>
      <c r="I31" s="64" t="n">
        <f aca="false">I29*(1-I33)</f>
        <v>202.38717488</v>
      </c>
      <c r="J31" s="64" t="n">
        <f aca="false">J29*(1-J33)</f>
        <v>202.38717488</v>
      </c>
      <c r="K31" s="64" t="n">
        <f aca="false">K29*(1-K33)</f>
        <v>202.38717488</v>
      </c>
      <c r="L31" s="64" t="n">
        <f aca="false">L29*(1-L33)</f>
        <v>202.38717488</v>
      </c>
      <c r="N31" s="42" t="n">
        <v>164.2589</v>
      </c>
    </row>
    <row r="32" customFormat="false" ht="15" hidden="false" customHeight="false" outlineLevel="0" collapsed="false">
      <c r="A32" s="5" t="s">
        <v>270</v>
      </c>
      <c r="C32" s="8" t="n">
        <f aca="false">C29-C31</f>
        <v>72.1698</v>
      </c>
      <c r="D32" s="8" t="n">
        <f aca="false">D29-D31</f>
        <v>73.6198</v>
      </c>
      <c r="E32" s="8" t="n">
        <f aca="false">E29-E31</f>
        <v>28.655</v>
      </c>
      <c r="F32" s="8" t="n">
        <f aca="false">F29-F31</f>
        <v>31.2353</v>
      </c>
      <c r="G32" s="8" t="n">
        <f aca="false">G29-G31</f>
        <v>18.7758</v>
      </c>
      <c r="H32" s="64" t="n">
        <f aca="false">H29-H31</f>
        <v>27.59825112</v>
      </c>
      <c r="I32" s="64" t="n">
        <f aca="false">I29-I31</f>
        <v>27.59825112</v>
      </c>
      <c r="J32" s="64" t="n">
        <f aca="false">J29-J31</f>
        <v>27.59825112</v>
      </c>
      <c r="K32" s="64" t="n">
        <f aca="false">K29-K31</f>
        <v>27.59825112</v>
      </c>
      <c r="L32" s="64" t="n">
        <f aca="false">L29-L31</f>
        <v>27.59825112</v>
      </c>
      <c r="N32" s="8" t="n">
        <f aca="false">N29-N31</f>
        <v>39.1602</v>
      </c>
    </row>
    <row r="33" customFormat="false" ht="15" hidden="false" customHeight="false" outlineLevel="0" collapsed="false">
      <c r="A33" s="12" t="s">
        <v>271</v>
      </c>
      <c r="C33" s="24" t="n">
        <f aca="false">IF(C29=0,0,C32/C29)</f>
        <v>0.212275106005487</v>
      </c>
      <c r="D33" s="24" t="n">
        <f aca="false">IF(D29=0,0,D32/D29)</f>
        <v>0.20307476216852</v>
      </c>
      <c r="E33" s="24" t="n">
        <f aca="false">IF(E29=0,0,E32/E29)</f>
        <v>0.0753027681092581</v>
      </c>
      <c r="F33" s="24" t="n">
        <f aca="false">IF(F29=0,0,F32/F29)</f>
        <v>0.0796000743113774</v>
      </c>
      <c r="G33" s="24" t="n">
        <f aca="false">IF(G29=0,0,G32/G29)</f>
        <v>0.0987832942075208</v>
      </c>
      <c r="H33" s="65" t="n">
        <f aca="false">假设!H77</f>
        <v>0.12</v>
      </c>
      <c r="I33" s="65" t="n">
        <f aca="false">假设!I77</f>
        <v>0.12</v>
      </c>
      <c r="J33" s="65" t="n">
        <f aca="false">假设!J77</f>
        <v>0.12</v>
      </c>
      <c r="K33" s="65" t="n">
        <f aca="false">假设!K77</f>
        <v>0.12</v>
      </c>
      <c r="L33" s="65" t="n">
        <f aca="false">假设!L77</f>
        <v>0.12</v>
      </c>
      <c r="N33" s="24" t="n">
        <f aca="false">IF(N29=0,0,N32/N29)</f>
        <v>0.19250994621449</v>
      </c>
    </row>
    <row r="34" customFormat="false" ht="15" hidden="false" customHeight="false" outlineLevel="0" collapsed="false">
      <c r="A34" s="47" t="s">
        <v>272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customFormat="false" ht="15" hidden="false" customHeight="false" outlineLevel="0" collapsed="false">
      <c r="A35" s="12" t="s">
        <v>273</v>
      </c>
      <c r="C35" s="68" t="n">
        <f aca="false">C7+C17+C23+C29</f>
        <v>26314.9802</v>
      </c>
      <c r="D35" s="68" t="n">
        <f aca="false">D7+D17+D23+D29</f>
        <v>30917.8606</v>
      </c>
      <c r="E35" s="68" t="n">
        <f aca="false">E7+E17+E23+E29</f>
        <v>31129.5742</v>
      </c>
      <c r="F35" s="68" t="n">
        <f aca="false">F7+F17+F23+F29</f>
        <v>28548.8308</v>
      </c>
      <c r="G35" s="68" t="n">
        <f aca="false">G7+G17+G23+G29</f>
        <v>24918.5546</v>
      </c>
      <c r="H35" s="69" t="n">
        <f aca="false">H7+H17+H23+H29</f>
        <v>27563.516242</v>
      </c>
      <c r="I35" s="69" t="n">
        <f aca="false">I7+I17+I23+I29</f>
        <v>29404.63196048</v>
      </c>
      <c r="J35" s="69" t="n">
        <f aca="false">J7+J17+J23+J29</f>
        <v>30868.2690248821</v>
      </c>
      <c r="K35" s="69" t="n">
        <f aca="false">K7+K17+K23+K29</f>
        <v>32420.7853971119</v>
      </c>
      <c r="L35" s="69" t="n">
        <f aca="false">L7+L17+L23+L29</f>
        <v>33964.4962553051</v>
      </c>
      <c r="N35" s="68" t="n">
        <f aca="false">N7+N17+N23+N29</f>
        <v>12376.3584</v>
      </c>
    </row>
    <row r="36" customFormat="false" ht="15" hidden="false" customHeight="false" outlineLevel="0" collapsed="false">
      <c r="A36" s="5" t="s">
        <v>248</v>
      </c>
      <c r="C36" s="38" t="n">
        <v>0.248668228973307</v>
      </c>
      <c r="D36" s="14" t="n">
        <f aca="false">D35/C35-1</f>
        <v>0.174914834250949</v>
      </c>
      <c r="E36" s="14" t="n">
        <f aca="false">E35/D35-1</f>
        <v>0.00684761480553409</v>
      </c>
      <c r="F36" s="14" t="n">
        <f aca="false">F35/E35-1</f>
        <v>-0.0829032669518492</v>
      </c>
      <c r="G36" s="14" t="n">
        <f aca="false">G35/F35-1</f>
        <v>-0.127160240831999</v>
      </c>
      <c r="H36" s="63" t="n">
        <f aca="false">H35/G35-1</f>
        <v>0.106144264162096</v>
      </c>
      <c r="I36" s="63" t="n">
        <f aca="false">I35/H35-1</f>
        <v>0.0667953864200606</v>
      </c>
      <c r="J36" s="63" t="n">
        <f aca="false">J35/I35-1</f>
        <v>0.0497757314687435</v>
      </c>
      <c r="K36" s="63" t="n">
        <f aca="false">K35/J35-1</f>
        <v>0.0502948957383522</v>
      </c>
      <c r="L36" s="63" t="n">
        <f aca="false">L35/K35-1</f>
        <v>0.0476148507596186</v>
      </c>
      <c r="N36" s="38" t="n">
        <v>0.11330014218993</v>
      </c>
    </row>
    <row r="37" customFormat="false" ht="15" hidden="false" customHeight="false" outlineLevel="0" collapsed="false">
      <c r="A37" s="5" t="s">
        <v>274</v>
      </c>
      <c r="C37" s="8" t="n">
        <f aca="false">C9+C19+C25+C31</f>
        <v>20605.0456</v>
      </c>
      <c r="D37" s="8" t="n">
        <f aca="false">D9+D19+D25+D31</f>
        <v>24126.6806</v>
      </c>
      <c r="E37" s="8" t="n">
        <f aca="false">E9+E19+E25+E31</f>
        <v>24728.1254</v>
      </c>
      <c r="F37" s="8" t="n">
        <f aca="false">F9+F19+F25+F31</f>
        <v>22482.6639</v>
      </c>
      <c r="G37" s="8" t="n">
        <f aca="false">G9+G19+G25+G31</f>
        <v>19661.2282</v>
      </c>
      <c r="H37" s="64" t="n">
        <f aca="false">H9+H19+H25+H31</f>
        <v>21762.216111632</v>
      </c>
      <c r="I37" s="64" t="n">
        <f aca="false">I9+I19+I25+I31</f>
        <v>23299.6458865914</v>
      </c>
      <c r="J37" s="64" t="n">
        <f aca="false">J9+J19+J25+J31</f>
        <v>24627.740833582</v>
      </c>
      <c r="K37" s="64" t="n">
        <f aca="false">K9+K19+K25+K31</f>
        <v>25862.6058015824</v>
      </c>
      <c r="L37" s="64" t="n">
        <f aca="false">L9+L19+L25+L31</f>
        <v>27167.3403492372</v>
      </c>
      <c r="N37" s="8" t="n">
        <f aca="false">N9+N19+N25+N31</f>
        <v>9727.8614</v>
      </c>
    </row>
    <row r="38" customFormat="false" ht="15" hidden="false" customHeight="false" outlineLevel="0" collapsed="false">
      <c r="A38" s="12" t="s">
        <v>275</v>
      </c>
      <c r="C38" s="13" t="n">
        <f aca="false">C35-C37</f>
        <v>5709.9346</v>
      </c>
      <c r="D38" s="13" t="n">
        <f aca="false">D35-D37</f>
        <v>6791.18</v>
      </c>
      <c r="E38" s="13" t="n">
        <f aca="false">E35-E37</f>
        <v>6401.4488</v>
      </c>
      <c r="F38" s="13" t="n">
        <f aca="false">F35-F37</f>
        <v>6066.1669</v>
      </c>
      <c r="G38" s="13" t="n">
        <f aca="false">G35-G37</f>
        <v>5257.3264</v>
      </c>
      <c r="H38" s="62" t="n">
        <f aca="false">H35-H37</f>
        <v>5801.300130368</v>
      </c>
      <c r="I38" s="62" t="n">
        <f aca="false">I35-I37</f>
        <v>6104.98607388864</v>
      </c>
      <c r="J38" s="62" t="n">
        <f aca="false">J35-J37</f>
        <v>6240.52819130005</v>
      </c>
      <c r="K38" s="62" t="n">
        <f aca="false">K35-K37</f>
        <v>6558.1795955295</v>
      </c>
      <c r="L38" s="62" t="n">
        <f aca="false">L35-L37</f>
        <v>6797.15590606786</v>
      </c>
      <c r="N38" s="13" t="n">
        <f aca="false">N35-N37</f>
        <v>2648.497</v>
      </c>
    </row>
    <row r="39" customFormat="false" ht="15" hidden="false" customHeight="false" outlineLevel="0" collapsed="false">
      <c r="A39" s="12" t="s">
        <v>276</v>
      </c>
      <c r="C39" s="24" t="n">
        <f aca="false">C38/C35</f>
        <v>0.21698418758453</v>
      </c>
      <c r="D39" s="24" t="n">
        <f aca="false">D38/D35</f>
        <v>0.219652326137987</v>
      </c>
      <c r="E39" s="24" t="n">
        <f aca="false">E38/E35</f>
        <v>0.205638816608034</v>
      </c>
      <c r="F39" s="24" t="n">
        <f aca="false">F38/F35</f>
        <v>0.212483899690911</v>
      </c>
      <c r="G39" s="24" t="n">
        <f aca="false">G38/G35</f>
        <v>0.210980391294445</v>
      </c>
      <c r="H39" s="70" t="n">
        <f aca="false">H38/H35</f>
        <v>0.210470249130561</v>
      </c>
      <c r="I39" s="70" t="n">
        <f aca="false">I38/I35</f>
        <v>0.207619877102824</v>
      </c>
      <c r="J39" s="70" t="n">
        <f aca="false">J38/J35</f>
        <v>0.202166444327336</v>
      </c>
      <c r="K39" s="70" t="n">
        <f aca="false">K38/K35</f>
        <v>0.20228318084218</v>
      </c>
      <c r="L39" s="70" t="n">
        <f aca="false">L38/L35</f>
        <v>0.200125326605019</v>
      </c>
      <c r="N39" s="24" t="n">
        <f aca="false">N38/N35</f>
        <v>0.213996469268375</v>
      </c>
    </row>
    <row r="40" customFormat="false" ht="15" hidden="false" customHeight="false" outlineLevel="0" collapsed="false">
      <c r="A40" s="5" t="s">
        <v>277</v>
      </c>
      <c r="C40" s="7" t="n">
        <f aca="false">C35-历史报表!E8</f>
        <v>-0.000100000001111766</v>
      </c>
      <c r="D40" s="7" t="n">
        <f aca="false">D35-历史报表!F8</f>
        <v>0</v>
      </c>
      <c r="E40" s="7" t="n">
        <f aca="false">E35-历史报表!G8</f>
        <v>-9.99999974737875E-005</v>
      </c>
      <c r="F40" s="7" t="n">
        <f aca="false">F35-历史报表!H8</f>
        <v>-9.99999974737875E-005</v>
      </c>
      <c r="G40" s="7" t="n">
        <f aca="false">G35-历史报表!I8</f>
        <v>0.000100000001111766</v>
      </c>
      <c r="N40" s="7" t="n">
        <f aca="false">N35-历史报表!K8</f>
        <v>0</v>
      </c>
      <c r="O40" s="22" t="s">
        <v>278</v>
      </c>
    </row>
    <row r="41" customFormat="false" ht="15" hidden="false" customHeight="false" outlineLevel="0" collapsed="false">
      <c r="A41" s="47" t="s">
        <v>279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</row>
    <row r="42" customFormat="false" ht="15" hidden="false" customHeight="false" outlineLevel="0" collapsed="false">
      <c r="A42" s="5" t="s">
        <v>280</v>
      </c>
      <c r="C42" s="14" t="n">
        <f aca="false">C7/C35</f>
        <v>0.649296832835922</v>
      </c>
      <c r="D42" s="14" t="n">
        <f aca="false">D7/D35</f>
        <v>0.676495417021189</v>
      </c>
      <c r="E42" s="14" t="n">
        <f aca="false">E7/E35</f>
        <v>0.764069673654579</v>
      </c>
      <c r="F42" s="14" t="n">
        <f aca="false">F7/F35</f>
        <v>0.781587479232249</v>
      </c>
      <c r="G42" s="14" t="n">
        <f aca="false">G7/G35</f>
        <v>0.748629593467673</v>
      </c>
      <c r="H42" s="63" t="n">
        <f aca="false">H7/H35</f>
        <v>0.703863684359607</v>
      </c>
      <c r="I42" s="63" t="n">
        <f aca="false">I7/I35</f>
        <v>0.712575990471195</v>
      </c>
      <c r="J42" s="63" t="n">
        <f aca="false">J7/J35</f>
        <v>0.72630399708081</v>
      </c>
      <c r="K42" s="63" t="n">
        <f aca="false">K7/K35</f>
        <v>0.733015308395301</v>
      </c>
      <c r="L42" s="63" t="n">
        <f aca="false">L7/L35</f>
        <v>0.734684195491297</v>
      </c>
      <c r="N42" s="14" t="n">
        <f aca="false">N7/N35</f>
        <v>0.723916560140986</v>
      </c>
    </row>
    <row r="43" customFormat="false" ht="15" hidden="false" customHeight="false" outlineLevel="0" collapsed="false">
      <c r="A43" s="5" t="s">
        <v>281</v>
      </c>
      <c r="C43" s="14" t="n">
        <f aca="false">C17/C35</f>
        <v>0.222304541198173</v>
      </c>
      <c r="D43" s="14" t="n">
        <f aca="false">D17/D35</f>
        <v>0.210511405824761</v>
      </c>
      <c r="E43" s="14" t="n">
        <f aca="false">E17/E35</f>
        <v>0.17304102733278</v>
      </c>
      <c r="F43" s="14" t="n">
        <f aca="false">F17/F35</f>
        <v>0.164582382827391</v>
      </c>
      <c r="G43" s="14" t="n">
        <f aca="false">G17/G35</f>
        <v>0.186772374028468</v>
      </c>
      <c r="H43" s="63" t="n">
        <f aca="false">H17/H35</f>
        <v>0.232168644370885</v>
      </c>
      <c r="I43" s="63" t="n">
        <f aca="false">I17/I35</f>
        <v>0.22329026930262</v>
      </c>
      <c r="J43" s="63" t="n">
        <f aca="false">J17/J35</f>
        <v>0.209384666183859</v>
      </c>
      <c r="K43" s="63" t="n">
        <f aca="false">K17/K35</f>
        <v>0.203046100074913</v>
      </c>
      <c r="L43" s="63" t="n">
        <f aca="false">L17/L35</f>
        <v>0.201570208674298</v>
      </c>
      <c r="N43" s="14" t="n">
        <f aca="false">N17/N35</f>
        <v>0.239541972216965</v>
      </c>
    </row>
    <row r="44" customFormat="false" ht="15" hidden="false" customHeight="false" outlineLevel="0" collapsed="false">
      <c r="A44" s="5" t="s">
        <v>282</v>
      </c>
      <c r="C44" s="14" t="n">
        <f aca="false">C23/C35</f>
        <v>0.115478897453246</v>
      </c>
      <c r="D44" s="14" t="n">
        <f aca="false">D23/D35</f>
        <v>0.101267734546937</v>
      </c>
      <c r="E44" s="14" t="n">
        <f aca="false">E23/E35</f>
        <v>0.0506652159733043</v>
      </c>
      <c r="F44" s="14" t="n">
        <f aca="false">F23/F35</f>
        <v>0.0400851652390612</v>
      </c>
      <c r="G44" s="14" t="n">
        <f aca="false">G23/G35</f>
        <v>0.056970358946903</v>
      </c>
      <c r="H44" s="63" t="n">
        <f aca="false">H23/H35</f>
        <v>0.0556238364706096</v>
      </c>
      <c r="I44" s="63" t="n">
        <f aca="false">I23/I35</f>
        <v>0.0563123389480087</v>
      </c>
      <c r="J44" s="63" t="n">
        <f aca="false">J23/J35</f>
        <v>0.056860791782046</v>
      </c>
      <c r="K44" s="63" t="n">
        <f aca="false">K23/K35</f>
        <v>0.0568448267371392</v>
      </c>
      <c r="L44" s="63" t="n">
        <f aca="false">L23/L35</f>
        <v>0.0569742477693185</v>
      </c>
      <c r="N44" s="14" t="n">
        <f aca="false">N23/N35</f>
        <v>0.0201053647573748</v>
      </c>
    </row>
    <row r="45" customFormat="false" ht="15" hidden="false" customHeight="false" outlineLevel="0" collapsed="false">
      <c r="A45" s="5" t="s">
        <v>283</v>
      </c>
      <c r="C45" s="14" t="n">
        <f aca="false">C29/C35</f>
        <v>0.0129197285126591</v>
      </c>
      <c r="D45" s="14" t="n">
        <f aca="false">D29/D35</f>
        <v>0.0117254426071123</v>
      </c>
      <c r="E45" s="14" t="n">
        <f aca="false">E29/E35</f>
        <v>0.0122240830393369</v>
      </c>
      <c r="F45" s="14" t="n">
        <f aca="false">F29/F35</f>
        <v>0.0137449727012989</v>
      </c>
      <c r="G45" s="14" t="n">
        <f aca="false">G29/G35</f>
        <v>0.00762767355695663</v>
      </c>
      <c r="H45" s="63" t="n">
        <f aca="false">H29/H35</f>
        <v>0.00834383479889837</v>
      </c>
      <c r="I45" s="63" t="n">
        <f aca="false">I29/I35</f>
        <v>0.00782140127817623</v>
      </c>
      <c r="J45" s="63" t="n">
        <f aca="false">J29/J35</f>
        <v>0.00745054495328568</v>
      </c>
      <c r="K45" s="63" t="n">
        <f aca="false">K29/K35</f>
        <v>0.0070937647926471</v>
      </c>
      <c r="L45" s="63" t="n">
        <f aca="false">L29/L35</f>
        <v>0.00677134806508657</v>
      </c>
      <c r="N45" s="14" t="n">
        <f aca="false">N29/N35</f>
        <v>0.0164361028846741</v>
      </c>
    </row>
    <row r="46" customFormat="false" ht="15" hidden="false" customHeight="false" outlineLevel="0" collapsed="false">
      <c r="A46" s="5" t="s">
        <v>284</v>
      </c>
      <c r="C46" s="14" t="n">
        <f aca="false">C10/C38</f>
        <v>0.575871131693873</v>
      </c>
      <c r="D46" s="14" t="n">
        <f aca="false">D10/D38</f>
        <v>0.630246142791091</v>
      </c>
      <c r="E46" s="14" t="n">
        <f aca="false">E10/E38</f>
        <v>0.714913708284287</v>
      </c>
      <c r="F46" s="14" t="n">
        <f aca="false">F10/F38</f>
        <v>0.715640085669255</v>
      </c>
      <c r="G46" s="14" t="n">
        <f aca="false">G10/G38</f>
        <v>0.667569223017997</v>
      </c>
      <c r="H46" s="63" t="n">
        <f aca="false">H10/H38</f>
        <v>0.461505551700902</v>
      </c>
      <c r="I46" s="63" t="n">
        <f aca="false">I10/I38</f>
        <v>0.507953516114967</v>
      </c>
      <c r="J46" s="63" t="n">
        <f aca="false">J10/J38</f>
        <v>0.567631448040714</v>
      </c>
      <c r="K46" s="63" t="n">
        <f aca="false">K10/K38</f>
        <v>0.597911924173207</v>
      </c>
      <c r="L46" s="63" t="n">
        <f aca="false">L10/L38</f>
        <v>0.605734887795176</v>
      </c>
      <c r="N46" s="14" t="n">
        <f aca="false">N10/N38</f>
        <v>0.506543560366502</v>
      </c>
    </row>
    <row r="47" customFormat="false" ht="15" hidden="false" customHeight="false" outlineLevel="0" collapsed="false">
      <c r="A47" s="5" t="s">
        <v>285</v>
      </c>
      <c r="C47" s="14" t="n">
        <f aca="false">C20/C38</f>
        <v>0.181313722927755</v>
      </c>
      <c r="D47" s="14" t="n">
        <f aca="false">D20/D38</f>
        <v>0.167078519491458</v>
      </c>
      <c r="E47" s="14" t="n">
        <f aca="false">E20/E38</f>
        <v>0.178721198238749</v>
      </c>
      <c r="F47" s="14" t="n">
        <f aca="false">F20/F38</f>
        <v>0.196360835373652</v>
      </c>
      <c r="G47" s="14" t="n">
        <f aca="false">G20/G38</f>
        <v>0.222780061743931</v>
      </c>
      <c r="H47" s="63" t="n">
        <f aca="false">H20/H38</f>
        <v>0.441237933304034</v>
      </c>
      <c r="I47" s="63" t="n">
        <f aca="false">I20/I38</f>
        <v>0.387171488927972</v>
      </c>
      <c r="J47" s="63" t="n">
        <f aca="false">J20/J38</f>
        <v>0.321068349067361</v>
      </c>
      <c r="K47" s="63" t="n">
        <f aca="false">K20/K38</f>
        <v>0.291093746779003</v>
      </c>
      <c r="L47" s="63" t="n">
        <f aca="false">L20/L38</f>
        <v>0.282021568115647</v>
      </c>
      <c r="N47" s="14" t="n">
        <f aca="false">N20/N38</f>
        <v>0.472996722291927</v>
      </c>
    </row>
    <row r="48" customFormat="false" ht="15" hidden="false" customHeight="false" outlineLevel="0" collapsed="false">
      <c r="A48" s="5" t="s">
        <v>286</v>
      </c>
      <c r="C48" s="14" t="n">
        <f aca="false">C26/C38</f>
        <v>0.230175806216765</v>
      </c>
      <c r="D48" s="14" t="n">
        <f aca="false">D26/D38</f>
        <v>0.191834835772281</v>
      </c>
      <c r="E48" s="14" t="n">
        <f aca="false">E26/E38</f>
        <v>0.101888763056263</v>
      </c>
      <c r="F48" s="14" t="n">
        <f aca="false">F26/F38</f>
        <v>0.082849978954585</v>
      </c>
      <c r="G48" s="14" t="n">
        <f aca="false">G26/G38</f>
        <v>0.106079356229433</v>
      </c>
      <c r="H48" s="63" t="n">
        <f aca="false">H26/H38</f>
        <v>0.0924992622241663</v>
      </c>
      <c r="I48" s="63" t="n">
        <f aca="false">I26/I38</f>
        <v>0.100354386591051</v>
      </c>
      <c r="J48" s="63" t="n">
        <f aca="false">J26/J38</f>
        <v>0.106877780578623</v>
      </c>
      <c r="K48" s="63" t="n">
        <f aca="false">K26/K38</f>
        <v>0.106786110788746</v>
      </c>
      <c r="L48" s="63" t="n">
        <f aca="false">L26/L38</f>
        <v>0.108183279545979</v>
      </c>
      <c r="N48" s="14" t="n">
        <f aca="false">N26/N38</f>
        <v>0.00567389730854897</v>
      </c>
    </row>
    <row r="49" customFormat="false" ht="15" hidden="false" customHeight="false" outlineLevel="0" collapsed="false">
      <c r="A49" s="5" t="s">
        <v>287</v>
      </c>
      <c r="C49" s="14" t="n">
        <f aca="false">C32/C38</f>
        <v>0.0126393391616079</v>
      </c>
      <c r="D49" s="14" t="n">
        <f aca="false">D32/D38</f>
        <v>0.0108405019451701</v>
      </c>
      <c r="E49" s="14" t="n">
        <f aca="false">E32/E38</f>
        <v>0.00447633042070102</v>
      </c>
      <c r="F49" s="14" t="n">
        <f aca="false">F32/F38</f>
        <v>0.00514910000250735</v>
      </c>
      <c r="G49" s="14" t="n">
        <f aca="false">G32/G38</f>
        <v>0.00357135900863983</v>
      </c>
      <c r="H49" s="63" t="n">
        <f aca="false">H32/H38</f>
        <v>0.0047572527708973</v>
      </c>
      <c r="I49" s="63" t="n">
        <f aca="false">I32/I38</f>
        <v>0.00452060836601074</v>
      </c>
      <c r="J49" s="63" t="n">
        <f aca="false">J32/J38</f>
        <v>0.00442242231330272</v>
      </c>
      <c r="K49" s="63" t="n">
        <f aca="false">K32/K38</f>
        <v>0.00420821825904445</v>
      </c>
      <c r="L49" s="63" t="n">
        <f aca="false">L32/L38</f>
        <v>0.00406026454319856</v>
      </c>
      <c r="N49" s="14" t="n">
        <f aca="false">N32/N38</f>
        <v>0.0147858200330225</v>
      </c>
    </row>
    <row r="50" customFormat="false" ht="15" hidden="false" customHeight="false" outlineLevel="0" collapsed="false">
      <c r="A50" s="47" t="s">
        <v>288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</row>
    <row r="51" customFormat="false" ht="15" hidden="false" customHeight="false" outlineLevel="0" collapsed="false">
      <c r="A51" s="5" t="s">
        <v>289</v>
      </c>
      <c r="C51" s="42" t="n">
        <v>16763.0836</v>
      </c>
      <c r="D51" s="42" t="n">
        <v>19139.1567</v>
      </c>
      <c r="E51" s="42" t="n">
        <v>21310.9106</v>
      </c>
      <c r="F51" s="42" t="n">
        <v>20548.2007</v>
      </c>
      <c r="G51" s="42" t="n">
        <v>16925.2787</v>
      </c>
      <c r="N51" s="42" t="n">
        <v>8035.1331</v>
      </c>
    </row>
    <row r="52" customFormat="false" ht="15" hidden="false" customHeight="false" outlineLevel="0" collapsed="false">
      <c r="A52" s="5" t="s">
        <v>290</v>
      </c>
      <c r="C52" s="42" t="n">
        <v>13594.5275</v>
      </c>
      <c r="D52" s="42" t="n">
        <v>15364.8389</v>
      </c>
      <c r="E52" s="42" t="n">
        <v>17676.9634</v>
      </c>
      <c r="F52" s="42" t="n">
        <v>16659.4588</v>
      </c>
      <c r="G52" s="42" t="n">
        <v>13677.0938</v>
      </c>
      <c r="N52" s="42" t="n">
        <v>6880.51</v>
      </c>
    </row>
    <row r="53" customFormat="false" ht="15" hidden="false" customHeight="false" outlineLevel="0" collapsed="false">
      <c r="A53" s="5" t="s">
        <v>291</v>
      </c>
      <c r="C53" s="14" t="n">
        <f aca="false">C51/C51-C52/C51</f>
        <v>0.1890198829528</v>
      </c>
      <c r="D53" s="14" t="n">
        <f aca="false">D51/D51-D52/D51</f>
        <v>0.197203976076961</v>
      </c>
      <c r="E53" s="14" t="n">
        <f aca="false">E51/E51-E52/E51</f>
        <v>0.170520503239312</v>
      </c>
      <c r="F53" s="14" t="n">
        <f aca="false">F51/F51-F52/F51</f>
        <v>0.189249752655959</v>
      </c>
      <c r="G53" s="14" t="n">
        <f aca="false">G51/G51-G52/G51</f>
        <v>0.191913229765605</v>
      </c>
      <c r="N53" s="14" t="n">
        <f aca="false">1-N52/N51</f>
        <v>0.143696823142855</v>
      </c>
    </row>
    <row r="54" customFormat="false" ht="15" hidden="false" customHeight="false" outlineLevel="0" collapsed="false">
      <c r="A54" s="5" t="s">
        <v>292</v>
      </c>
      <c r="C54" s="42" t="n">
        <v>9211.9143</v>
      </c>
      <c r="D54" s="42" t="n">
        <v>11416.1782</v>
      </c>
      <c r="E54" s="42" t="n">
        <v>9818.6637</v>
      </c>
      <c r="F54" s="42" t="n">
        <v>8000.6302</v>
      </c>
      <c r="G54" s="42" t="n">
        <v>7993.2759</v>
      </c>
      <c r="N54" s="42" t="n">
        <v>4341.2253</v>
      </c>
    </row>
    <row r="55" customFormat="false" ht="15" hidden="false" customHeight="false" outlineLevel="0" collapsed="false">
      <c r="A55" s="5" t="s">
        <v>293</v>
      </c>
      <c r="C55" s="42" t="n">
        <v>6742.7055</v>
      </c>
      <c r="D55" s="42" t="n">
        <v>8472.9358</v>
      </c>
      <c r="E55" s="42" t="n">
        <v>7051.162</v>
      </c>
      <c r="F55" s="42" t="n">
        <v>5823.2051</v>
      </c>
      <c r="G55" s="42" t="n">
        <v>5984.1345</v>
      </c>
      <c r="N55" s="42" t="n">
        <v>2847.3514</v>
      </c>
    </row>
    <row r="56" customFormat="false" ht="15" hidden="false" customHeight="false" outlineLevel="0" collapsed="false">
      <c r="A56" s="5" t="s">
        <v>294</v>
      </c>
      <c r="C56" s="14" t="n">
        <f aca="false">C54/C54-C55/C54</f>
        <v>0.268045133680846</v>
      </c>
      <c r="D56" s="14" t="n">
        <f aca="false">D54/D54-D55/D54</f>
        <v>0.257813284659485</v>
      </c>
      <c r="E56" s="14" t="n">
        <f aca="false">E54/E54-E55/E54</f>
        <v>0.281861339237029</v>
      </c>
      <c r="F56" s="14" t="n">
        <f aca="false">F54/F54-F55/F54</f>
        <v>0.272156698356087</v>
      </c>
      <c r="G56" s="14" t="n">
        <f aca="false">G54/G54-G55/G54</f>
        <v>0.251353941129444</v>
      </c>
      <c r="N56" s="14" t="n">
        <f aca="false">1-N55/N54</f>
        <v>0.344113423461344</v>
      </c>
    </row>
    <row r="57" customFormat="false" ht="15" hidden="false" customHeight="false" outlineLevel="0" collapsed="false">
      <c r="A57" s="5" t="s">
        <v>295</v>
      </c>
      <c r="C57" s="14" t="n">
        <f aca="false">C54/(C51+C54)</f>
        <v>0.354645430019457</v>
      </c>
      <c r="D57" s="14" t="n">
        <f aca="false">D54/(D51+D54)</f>
        <v>0.373623075556603</v>
      </c>
      <c r="E57" s="14" t="n">
        <f aca="false">E54/(E51+E54)</f>
        <v>0.315412719922739</v>
      </c>
      <c r="F57" s="14" t="n">
        <f aca="false">F54/(F51+F54)</f>
        <v>0.280243706932321</v>
      </c>
      <c r="G57" s="14" t="n">
        <f aca="false">G54/(G51+G54)</f>
        <v>0.320776065398272</v>
      </c>
      <c r="N57" s="14" t="n">
        <f aca="false">N54/(N51+N54)</f>
        <v>0.35076758119739</v>
      </c>
      <c r="O57" s="21" t="s">
        <v>296</v>
      </c>
    </row>
    <row r="59" customFormat="false" ht="15" hidden="false" customHeight="false" outlineLevel="0" collapsed="false">
      <c r="A59" s="3" t="s">
        <v>297</v>
      </c>
      <c r="C59" s="71" t="s">
        <v>298</v>
      </c>
      <c r="D59" s="71" t="s">
        <v>299</v>
      </c>
      <c r="E59" s="72" t="s">
        <v>300</v>
      </c>
      <c r="F59" s="71" t="s">
        <v>301</v>
      </c>
      <c r="G59" s="71" t="s">
        <v>302</v>
      </c>
      <c r="H59" s="72" t="s">
        <v>303</v>
      </c>
      <c r="I59" s="71" t="s">
        <v>304</v>
      </c>
    </row>
    <row r="60" customFormat="false" ht="15" hidden="false" customHeight="false" outlineLevel="0" collapsed="false">
      <c r="A60" s="5" t="s">
        <v>245</v>
      </c>
      <c r="C60" s="42" t="n">
        <v>8727.6497</v>
      </c>
      <c r="D60" s="42" t="n">
        <v>8959.4508</v>
      </c>
      <c r="E60" s="14" t="n">
        <f aca="false">D60/C60-1</f>
        <v>0.0265593954807786</v>
      </c>
      <c r="F60" s="38" t="n">
        <v>0.212371848517247</v>
      </c>
      <c r="G60" s="38" t="n">
        <v>0.149738988465677</v>
      </c>
      <c r="H60" s="73" t="n">
        <f aca="false">(G60-F60)*100</f>
        <v>-6.26328600515706</v>
      </c>
      <c r="I60" s="8" t="n">
        <f aca="false">D60*G60</f>
        <v>1341.5791</v>
      </c>
    </row>
    <row r="61" customFormat="false" ht="15" hidden="false" customHeight="false" outlineLevel="0" collapsed="false">
      <c r="A61" s="5" t="s">
        <v>253</v>
      </c>
      <c r="C61" s="42" t="n">
        <v>2003.7788</v>
      </c>
      <c r="D61" s="42" t="n">
        <v>2964.6573</v>
      </c>
      <c r="E61" s="14" t="n">
        <f aca="false">D61/C61-1</f>
        <v>0.479533219934256</v>
      </c>
      <c r="F61" s="38" t="n">
        <v>0.254818196499534</v>
      </c>
      <c r="G61" s="38" t="n">
        <v>0.422554876747474</v>
      </c>
      <c r="H61" s="73" t="n">
        <f aca="false">(G61-F61)*100</f>
        <v>16.7736680247941</v>
      </c>
      <c r="I61" s="8" t="n">
        <f aca="false">D61*G61</f>
        <v>1252.7304</v>
      </c>
    </row>
    <row r="62" customFormat="false" ht="15" hidden="false" customHeight="false" outlineLevel="0" collapsed="false">
      <c r="A62" s="5" t="s">
        <v>262</v>
      </c>
      <c r="C62" s="42" t="n">
        <v>220.2137</v>
      </c>
      <c r="D62" s="42" t="n">
        <v>248.8312</v>
      </c>
      <c r="E62" s="14" t="n">
        <f aca="false">D62/C62-1</f>
        <v>0.129953313531356</v>
      </c>
      <c r="F62" s="38" t="n">
        <v>0.303190945885746</v>
      </c>
      <c r="G62" s="38" t="n">
        <v>0.0603915425396815</v>
      </c>
      <c r="H62" s="73" t="n">
        <f aca="false">(G62-F62)*100</f>
        <v>-24.2799403346065</v>
      </c>
      <c r="I62" s="8" t="n">
        <f aca="false">D62*G62</f>
        <v>15.0273</v>
      </c>
    </row>
    <row r="63" customFormat="false" ht="15" hidden="false" customHeight="false" outlineLevel="0" collapsed="false">
      <c r="A63" s="5" t="s">
        <v>267</v>
      </c>
      <c r="C63" s="42" t="n">
        <v>165.1788</v>
      </c>
      <c r="D63" s="42" t="n">
        <v>203.4191</v>
      </c>
      <c r="E63" s="14" t="n">
        <f aca="false">D63/C63-1</f>
        <v>0.231508522885503</v>
      </c>
      <c r="F63" s="38" t="n">
        <v>0.238224881159084</v>
      </c>
      <c r="G63" s="38" t="n">
        <v>0.19250994621449</v>
      </c>
      <c r="H63" s="73" t="n">
        <f aca="false">(G63-F63)*100</f>
        <v>-4.57149349445933</v>
      </c>
      <c r="I63" s="8" t="n">
        <f aca="false">D63*G63</f>
        <v>39.1602</v>
      </c>
    </row>
    <row r="64" customFormat="false" ht="15" hidden="false" customHeight="false" outlineLevel="0" collapsed="false">
      <c r="A64" s="5" t="s">
        <v>305</v>
      </c>
      <c r="C64" s="42" t="n">
        <v>7334.2763</v>
      </c>
      <c r="D64" s="42" t="n">
        <v>8035.1331</v>
      </c>
      <c r="E64" s="14" t="n">
        <f aca="false">D64/C64-1</f>
        <v>0.0955590942217435</v>
      </c>
      <c r="F64" s="38" t="n">
        <v>0.197259216972778</v>
      </c>
      <c r="G64" s="38" t="n">
        <v>0.143696823142855</v>
      </c>
      <c r="H64" s="73" t="n">
        <f aca="false">(G64-F64)*100</f>
        <v>-5.35623938299225</v>
      </c>
      <c r="I64" s="8" t="n">
        <f aca="false">D64*G64</f>
        <v>1154.6231</v>
      </c>
    </row>
    <row r="65" customFormat="false" ht="15" hidden="false" customHeight="false" outlineLevel="0" collapsed="false">
      <c r="A65" s="5" t="s">
        <v>306</v>
      </c>
      <c r="C65" s="42" t="n">
        <v>3782.5447</v>
      </c>
      <c r="D65" s="42" t="n">
        <v>4341.2253</v>
      </c>
      <c r="E65" s="14" t="n">
        <f aca="false">D65/C65-1</f>
        <v>0.147699668955664</v>
      </c>
      <c r="F65" s="38" t="n">
        <v>0.270576894967031</v>
      </c>
      <c r="G65" s="38" t="n">
        <v>0.344113423461344</v>
      </c>
      <c r="H65" s="73" t="n">
        <f aca="false">(G65-F65)*100</f>
        <v>7.35365284943129</v>
      </c>
      <c r="I65" s="8" t="n">
        <f aca="false">D65*G65</f>
        <v>1493.8739</v>
      </c>
    </row>
    <row r="66" customFormat="false" ht="15" hidden="false" customHeight="false" outlineLevel="0" collapsed="false">
      <c r="A66" s="2" t="s">
        <v>307</v>
      </c>
    </row>
    <row r="68" customFormat="false" ht="15" hidden="false" customHeight="false" outlineLevel="0" collapsed="false">
      <c r="A68" s="3" t="s">
        <v>308</v>
      </c>
      <c r="C68" s="72" t="s">
        <v>309</v>
      </c>
      <c r="D68" s="72" t="s">
        <v>310</v>
      </c>
      <c r="E68" s="72" t="s">
        <v>311</v>
      </c>
      <c r="F68" s="72" t="s">
        <v>312</v>
      </c>
      <c r="G68" s="72" t="s">
        <v>272</v>
      </c>
      <c r="H68" s="72" t="s">
        <v>313</v>
      </c>
      <c r="I68" s="72" t="s">
        <v>314</v>
      </c>
    </row>
    <row r="69" customFormat="false" ht="15" hidden="false" customHeight="false" outlineLevel="0" collapsed="false">
      <c r="A69" s="5" t="s">
        <v>245</v>
      </c>
      <c r="C69" s="42" t="n">
        <v>14906.07</v>
      </c>
      <c r="D69" s="42" t="n">
        <v>165.48</v>
      </c>
      <c r="E69" s="42" t="n">
        <v>49.68</v>
      </c>
      <c r="F69" s="42" t="n">
        <v>23.91</v>
      </c>
      <c r="G69" s="8" t="n">
        <f aca="false">SUM(C69:F69)</f>
        <v>15145.14</v>
      </c>
      <c r="H69" s="14" t="n">
        <f aca="false">C69/G69</f>
        <v>0.984214738193242</v>
      </c>
      <c r="I69" s="14" t="n">
        <f aca="false">E69/G69</f>
        <v>0.00328026020228271</v>
      </c>
    </row>
    <row r="70" customFormat="false" ht="15" hidden="false" customHeight="false" outlineLevel="0" collapsed="false">
      <c r="A70" s="5" t="s">
        <v>253</v>
      </c>
      <c r="C70" s="42" t="n">
        <v>3255.64</v>
      </c>
      <c r="D70" s="42" t="n">
        <v>82.84</v>
      </c>
      <c r="E70" s="42" t="n">
        <v>80.73</v>
      </c>
      <c r="F70" s="42" t="n">
        <v>63.66</v>
      </c>
      <c r="G70" s="8" t="n">
        <f aca="false">SUM(C70:F70)</f>
        <v>3482.87</v>
      </c>
      <c r="H70" s="14" t="n">
        <f aca="false">C70/G70</f>
        <v>0.934757829031804</v>
      </c>
      <c r="I70" s="14" t="n">
        <f aca="false">E70/G70</f>
        <v>0.0231791597159814</v>
      </c>
    </row>
    <row r="71" customFormat="false" ht="15" hidden="false" customHeight="false" outlineLevel="0" collapsed="false">
      <c r="A71" s="5" t="s">
        <v>262</v>
      </c>
      <c r="C71" s="42" t="n">
        <v>850.9</v>
      </c>
      <c r="D71" s="42" t="n">
        <v>7.74</v>
      </c>
      <c r="E71" s="42" t="n">
        <v>2.26</v>
      </c>
      <c r="F71" s="42" t="n">
        <v>1.02</v>
      </c>
      <c r="G71" s="8" t="n">
        <f aca="false">SUM(C71:F71)</f>
        <v>861.92</v>
      </c>
      <c r="H71" s="14" t="n">
        <f aca="false">C71/G71</f>
        <v>0.98721459068127</v>
      </c>
      <c r="I71" s="14" t="n">
        <f aca="false">E71/G71</f>
        <v>0.00262205309077409</v>
      </c>
    </row>
    <row r="72" customFormat="false" ht="15" hidden="false" customHeight="false" outlineLevel="0" collapsed="false">
      <c r="A72" s="2" t="s">
        <v>315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5" t="s">
        <v>17</v>
      </c>
      <c r="C6" s="74" t="n">
        <f aca="false">利润表!C6</f>
        <v>26314.9803</v>
      </c>
      <c r="D6" s="74" t="n">
        <f aca="false">利润表!D6</f>
        <v>30917.8606</v>
      </c>
      <c r="E6" s="74" t="n">
        <f aca="false">利润表!E6</f>
        <v>31129.5743</v>
      </c>
      <c r="F6" s="74" t="n">
        <f aca="false">利润表!F6</f>
        <v>28548.8309</v>
      </c>
      <c r="G6" s="74" t="n">
        <f aca="false">利润表!G6</f>
        <v>24918.5545</v>
      </c>
      <c r="H6" s="75" t="n">
        <f aca="false">利润表!H6</f>
        <v>27563.516242</v>
      </c>
      <c r="I6" s="75" t="n">
        <f aca="false">利润表!I6</f>
        <v>29404.63196048</v>
      </c>
      <c r="J6" s="75" t="n">
        <f aca="false">利润表!J6</f>
        <v>30868.2690248821</v>
      </c>
      <c r="K6" s="75" t="n">
        <f aca="false">利润表!K6</f>
        <v>32420.7853971119</v>
      </c>
      <c r="L6" s="75" t="n">
        <f aca="false">利润表!L6</f>
        <v>33964.4962553051</v>
      </c>
      <c r="N6" s="74" t="n">
        <f aca="false">利润表!N6</f>
        <v>12376.3584</v>
      </c>
    </row>
    <row r="7" customFormat="false" ht="15" hidden="false" customHeight="false" outlineLevel="0" collapsed="false">
      <c r="A7" s="47" t="s">
        <v>318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customFormat="false" ht="15" hidden="false" customHeight="false" outlineLevel="0" collapsed="false">
      <c r="A8" s="5" t="s">
        <v>319</v>
      </c>
      <c r="C8" s="74" t="n">
        <f aca="false">历史报表!E11</f>
        <v>88.2078</v>
      </c>
      <c r="D8" s="74" t="n">
        <f aca="false">历史报表!F11</f>
        <v>102.0822</v>
      </c>
      <c r="E8" s="74" t="n">
        <f aca="false">历史报表!G11</f>
        <v>109.2552</v>
      </c>
      <c r="F8" s="74" t="n">
        <f aca="false">历史报表!H11</f>
        <v>116.2267</v>
      </c>
      <c r="G8" s="74" t="n">
        <f aca="false">历史报表!I11</f>
        <v>109.8429</v>
      </c>
      <c r="H8" s="64" t="n">
        <f aca="false">H6*H9</f>
        <v>137.81758121</v>
      </c>
      <c r="I8" s="64" t="n">
        <f aca="false">I6*I9</f>
        <v>147.0231598024</v>
      </c>
      <c r="J8" s="64" t="n">
        <f aca="false">J6*J9</f>
        <v>154.34134512441</v>
      </c>
      <c r="K8" s="64" t="n">
        <f aca="false">K6*K9</f>
        <v>162.10392698556</v>
      </c>
      <c r="L8" s="64" t="n">
        <f aca="false">L6*L9</f>
        <v>169.822481276525</v>
      </c>
      <c r="N8" s="74" t="n">
        <f aca="false">历史报表!K11</f>
        <v>79.0084</v>
      </c>
    </row>
    <row r="9" customFormat="false" ht="15" hidden="false" customHeight="false" outlineLevel="0" collapsed="false">
      <c r="A9" s="5" t="s">
        <v>320</v>
      </c>
      <c r="C9" s="76" t="n">
        <f aca="false">C8/C6</f>
        <v>0.00335199946929088</v>
      </c>
      <c r="D9" s="76" t="n">
        <f aca="false">D8/D6</f>
        <v>0.00330172262954054</v>
      </c>
      <c r="E9" s="76" t="n">
        <f aca="false">E8/E6</f>
        <v>0.00350969142549437</v>
      </c>
      <c r="F9" s="76" t="n">
        <f aca="false">F8/F6</f>
        <v>0.00407115445137195</v>
      </c>
      <c r="G9" s="76" t="n">
        <f aca="false">G8/G6</f>
        <v>0.00440807672050159</v>
      </c>
      <c r="H9" s="77" t="n">
        <f aca="false">假设!H82</f>
        <v>0.005</v>
      </c>
      <c r="I9" s="77" t="n">
        <f aca="false">假设!I82</f>
        <v>0.005</v>
      </c>
      <c r="J9" s="77" t="n">
        <f aca="false">假设!J82</f>
        <v>0.005</v>
      </c>
      <c r="K9" s="77" t="n">
        <f aca="false">假设!K82</f>
        <v>0.005</v>
      </c>
      <c r="L9" s="77" t="n">
        <f aca="false">假设!L82</f>
        <v>0.005</v>
      </c>
      <c r="N9" s="76" t="n">
        <f aca="false">N8/N6</f>
        <v>0.00638381642212301</v>
      </c>
    </row>
    <row r="10" customFormat="false" ht="15" hidden="false" customHeight="false" outlineLevel="0" collapsed="false">
      <c r="A10" s="5" t="s">
        <v>321</v>
      </c>
      <c r="C10" s="74" t="n">
        <f aca="false">历史报表!E12</f>
        <v>1417.9454</v>
      </c>
      <c r="D10" s="74" t="n">
        <f aca="false">历史报表!F12</f>
        <v>1645.9351</v>
      </c>
      <c r="E10" s="74" t="n">
        <f aca="false">历史报表!G12</f>
        <v>1786.6738</v>
      </c>
      <c r="F10" s="74" t="n">
        <f aca="false">历史报表!H12</f>
        <v>1881.3582</v>
      </c>
      <c r="G10" s="74" t="n">
        <f aca="false">历史报表!I12</f>
        <v>1975.6587</v>
      </c>
      <c r="H10" s="64" t="n">
        <f aca="false">H6*H11</f>
        <v>2094.827234392</v>
      </c>
      <c r="I10" s="64" t="n">
        <f aca="false">I6*I11</f>
        <v>2146.53813311504</v>
      </c>
      <c r="J10" s="64" t="n">
        <f aca="false">J6*J11</f>
        <v>2160.77883174175</v>
      </c>
      <c r="K10" s="64" t="n">
        <f aca="false">K6*K11</f>
        <v>2204.61340700361</v>
      </c>
      <c r="L10" s="64" t="n">
        <f aca="false">L6*L11</f>
        <v>2241.65675285013</v>
      </c>
      <c r="N10" s="74" t="n">
        <f aca="false">历史报表!K12</f>
        <v>1061.5176</v>
      </c>
    </row>
    <row r="11" customFormat="false" ht="15" hidden="false" customHeight="false" outlineLevel="0" collapsed="false">
      <c r="A11" s="5" t="s">
        <v>320</v>
      </c>
      <c r="C11" s="14" t="n">
        <f aca="false">C10/C6</f>
        <v>0.0538835820447109</v>
      </c>
      <c r="D11" s="14" t="n">
        <f aca="false">D10/D6</f>
        <v>0.0532357371454091</v>
      </c>
      <c r="E11" s="14" t="n">
        <f aca="false">E10/E6</f>
        <v>0.0573947392528269</v>
      </c>
      <c r="F11" s="14" t="n">
        <f aca="false">F10/F6</f>
        <v>0.0658996582588606</v>
      </c>
      <c r="G11" s="14" t="n">
        <f aca="false">G10/G6</f>
        <v>0.0792846430959709</v>
      </c>
      <c r="H11" s="66" t="n">
        <f aca="false">假设!H86</f>
        <v>0.076</v>
      </c>
      <c r="I11" s="66" t="n">
        <f aca="false">假设!I86</f>
        <v>0.073</v>
      </c>
      <c r="J11" s="66" t="n">
        <f aca="false">假设!J86</f>
        <v>0.07</v>
      </c>
      <c r="K11" s="66" t="n">
        <f aca="false">假设!K86</f>
        <v>0.068</v>
      </c>
      <c r="L11" s="66" t="n">
        <f aca="false">假设!L86</f>
        <v>0.066</v>
      </c>
      <c r="N11" s="14" t="n">
        <f aca="false">N10/N6</f>
        <v>0.085769785076683</v>
      </c>
    </row>
    <row r="12" customFormat="false" ht="15" hidden="false" customHeight="false" outlineLevel="0" collapsed="false">
      <c r="A12" s="5" t="s">
        <v>322</v>
      </c>
      <c r="C12" s="74" t="n">
        <f aca="false">历史报表!E13</f>
        <v>294.4026</v>
      </c>
      <c r="D12" s="74" t="n">
        <f aca="false">历史报表!F13</f>
        <v>328.6322</v>
      </c>
      <c r="E12" s="74" t="n">
        <f aca="false">历史报表!G13</f>
        <v>341.013</v>
      </c>
      <c r="F12" s="74" t="n">
        <f aca="false">历史报表!H13</f>
        <v>439.5538</v>
      </c>
      <c r="G12" s="74" t="n">
        <f aca="false">历史报表!I13</f>
        <v>484.3899</v>
      </c>
      <c r="H12" s="64" t="n">
        <f aca="false">H6*H13</f>
        <v>523.706808598</v>
      </c>
      <c r="I12" s="64" t="n">
        <f aca="false">I6*I13</f>
        <v>543.98569126888</v>
      </c>
      <c r="J12" s="64" t="n">
        <f aca="false">J6*J13</f>
        <v>555.628842447878</v>
      </c>
      <c r="K12" s="64" t="n">
        <f aca="false">K6*K13</f>
        <v>583.574137148015</v>
      </c>
      <c r="L12" s="64" t="n">
        <f aca="false">L6*L13</f>
        <v>611.360932595491</v>
      </c>
      <c r="N12" s="74" t="n">
        <f aca="false">历史报表!K13</f>
        <v>190.1205</v>
      </c>
    </row>
    <row r="13" customFormat="false" ht="15" hidden="false" customHeight="false" outlineLevel="0" collapsed="false">
      <c r="A13" s="5" t="s">
        <v>320</v>
      </c>
      <c r="C13" s="14" t="n">
        <f aca="false">C12/C6</f>
        <v>0.0111876428043535</v>
      </c>
      <c r="D13" s="14" t="n">
        <f aca="false">D12/D6</f>
        <v>0.0106292024616994</v>
      </c>
      <c r="E13" s="14" t="n">
        <f aca="false">E12/E6</f>
        <v>0.0109546310114495</v>
      </c>
      <c r="F13" s="14" t="n">
        <f aca="false">F12/F6</f>
        <v>0.0153965604244761</v>
      </c>
      <c r="G13" s="14" t="n">
        <f aca="false">G12/G6</f>
        <v>0.0194389245170702</v>
      </c>
      <c r="H13" s="66" t="n">
        <f aca="false">假设!H90</f>
        <v>0.019</v>
      </c>
      <c r="I13" s="66" t="n">
        <f aca="false">假设!I90</f>
        <v>0.0185</v>
      </c>
      <c r="J13" s="66" t="n">
        <f aca="false">假设!J90</f>
        <v>0.018</v>
      </c>
      <c r="K13" s="66" t="n">
        <f aca="false">假设!K90</f>
        <v>0.018</v>
      </c>
      <c r="L13" s="66" t="n">
        <f aca="false">假设!L90</f>
        <v>0.018</v>
      </c>
      <c r="N13" s="14" t="n">
        <f aca="false">N12/N6</f>
        <v>0.0153615864905787</v>
      </c>
    </row>
    <row r="14" customFormat="false" ht="15" hidden="false" customHeight="false" outlineLevel="0" collapsed="false">
      <c r="A14" s="47" t="s">
        <v>323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</row>
    <row r="15" customFormat="false" ht="15" hidden="false" customHeight="false" outlineLevel="0" collapsed="false">
      <c r="A15" s="12" t="s">
        <v>324</v>
      </c>
      <c r="C15" s="61" t="n">
        <v>3725.736268</v>
      </c>
      <c r="D15" s="61" t="n">
        <v>4393.683756</v>
      </c>
      <c r="E15" s="61" t="n">
        <v>3856.495272</v>
      </c>
      <c r="F15" s="61" t="n">
        <v>3578.10443</v>
      </c>
      <c r="G15" s="61" t="n">
        <v>3157.924661</v>
      </c>
      <c r="H15" s="62" t="n">
        <f aca="false">H6*H16</f>
        <v>3087.113819104</v>
      </c>
      <c r="I15" s="62" t="n">
        <f aca="false">I6*I16</f>
        <v>3175.70025173184</v>
      </c>
      <c r="J15" s="62" t="n">
        <f aca="false">J6*J16</f>
        <v>3241.16824761262</v>
      </c>
      <c r="K15" s="62" t="n">
        <f aca="false">K6*K16</f>
        <v>3339.34089590253</v>
      </c>
      <c r="L15" s="62" t="n">
        <f aca="false">L6*L16</f>
        <v>3464.37861804112</v>
      </c>
      <c r="O15" s="22" t="s">
        <v>325</v>
      </c>
    </row>
    <row r="16" customFormat="false" ht="15" hidden="false" customHeight="false" outlineLevel="0" collapsed="false">
      <c r="A16" s="5" t="s">
        <v>326</v>
      </c>
      <c r="C16" s="14" t="n">
        <f aca="false">C15/C6</f>
        <v>0.141582331642483</v>
      </c>
      <c r="D16" s="14" t="n">
        <f aca="false">D15/D6</f>
        <v>0.142108272394501</v>
      </c>
      <c r="E16" s="14" t="n">
        <f aca="false">E15/E6</f>
        <v>0.123885255700397</v>
      </c>
      <c r="F16" s="14" t="n">
        <f aca="false">F15/F6</f>
        <v>0.125332783066784</v>
      </c>
      <c r="G16" s="14" t="n">
        <f aca="false">G15/G6</f>
        <v>0.126729849478227</v>
      </c>
      <c r="H16" s="66" t="n">
        <f aca="false">假设!H94</f>
        <v>0.112</v>
      </c>
      <c r="I16" s="66" t="n">
        <f aca="false">假设!I94</f>
        <v>0.108</v>
      </c>
      <c r="J16" s="66" t="n">
        <f aca="false">假设!J94</f>
        <v>0.105</v>
      </c>
      <c r="K16" s="66" t="n">
        <f aca="false">假设!K94</f>
        <v>0.103</v>
      </c>
      <c r="L16" s="66" t="n">
        <f aca="false">假设!L94</f>
        <v>0.102</v>
      </c>
    </row>
    <row r="17" customFormat="false" ht="15" hidden="false" customHeight="false" outlineLevel="0" collapsed="false">
      <c r="A17" s="5" t="s">
        <v>327</v>
      </c>
      <c r="C17" s="42" t="n">
        <v>265.305329</v>
      </c>
      <c r="D17" s="42" t="n">
        <v>291.901806</v>
      </c>
      <c r="E17" s="42" t="n">
        <v>278.164092</v>
      </c>
      <c r="F17" s="42" t="n">
        <v>696.854014</v>
      </c>
      <c r="G17" s="42" t="n">
        <v>587.826407</v>
      </c>
      <c r="H17" s="64" t="n">
        <f aca="false">H15*H18</f>
        <v>586.55162562976</v>
      </c>
      <c r="I17" s="64" t="n">
        <f aca="false">I15*I18</f>
        <v>571.626045311731</v>
      </c>
      <c r="J17" s="64" t="n">
        <f aca="false">J15*J18</f>
        <v>550.998602094145</v>
      </c>
      <c r="K17" s="64" t="n">
        <f aca="false">K15*K18</f>
        <v>534.294543344405</v>
      </c>
      <c r="L17" s="64" t="n">
        <f aca="false">L15*L18</f>
        <v>519.656792706167</v>
      </c>
    </row>
    <row r="18" customFormat="false" ht="15" hidden="false" customHeight="false" outlineLevel="0" collapsed="false">
      <c r="A18" s="5" t="s">
        <v>328</v>
      </c>
      <c r="C18" s="14" t="n">
        <f aca="false">C17/C15</f>
        <v>0.0712088322726122</v>
      </c>
      <c r="D18" s="14" t="n">
        <f aca="false">D17/D15</f>
        <v>0.066436690078429</v>
      </c>
      <c r="E18" s="14" t="n">
        <f aca="false">E17/E15</f>
        <v>0.0721287263126197</v>
      </c>
      <c r="F18" s="14" t="n">
        <f aca="false">F17/F15</f>
        <v>0.194755079856627</v>
      </c>
      <c r="G18" s="14" t="n">
        <f aca="false">G17/G15</f>
        <v>0.186143264992857</v>
      </c>
      <c r="H18" s="66" t="n">
        <f aca="false">假设!H98</f>
        <v>0.19</v>
      </c>
      <c r="I18" s="66" t="n">
        <f aca="false">假设!I98</f>
        <v>0.18</v>
      </c>
      <c r="J18" s="66" t="n">
        <f aca="false">假设!J98</f>
        <v>0.17</v>
      </c>
      <c r="K18" s="66" t="n">
        <f aca="false">假设!K98</f>
        <v>0.16</v>
      </c>
      <c r="L18" s="66" t="n">
        <f aca="false">假设!L98</f>
        <v>0.15</v>
      </c>
      <c r="O18" s="21" t="s">
        <v>329</v>
      </c>
    </row>
    <row r="19" customFormat="false" ht="15" hidden="false" customHeight="false" outlineLevel="0" collapsed="false">
      <c r="A19" s="12" t="s">
        <v>330</v>
      </c>
      <c r="C19" s="78" t="n">
        <f aca="false">历史报表!E14</f>
        <v>3460.4309</v>
      </c>
      <c r="D19" s="78" t="n">
        <f aca="false">历史报表!F14</f>
        <v>4101.782</v>
      </c>
      <c r="E19" s="78" t="n">
        <f aca="false">历史报表!G14</f>
        <v>3578.3312</v>
      </c>
      <c r="F19" s="78" t="n">
        <f aca="false">历史报表!H14</f>
        <v>2881.2504</v>
      </c>
      <c r="G19" s="78" t="n">
        <f aca="false">历史报表!I14</f>
        <v>2570.0983</v>
      </c>
      <c r="H19" s="62" t="n">
        <f aca="false">H15-H17</f>
        <v>2500.56219347424</v>
      </c>
      <c r="I19" s="62" t="n">
        <f aca="false">I15-I17</f>
        <v>2604.07420642011</v>
      </c>
      <c r="J19" s="62" t="n">
        <f aca="false">J15-J17</f>
        <v>2690.16964551847</v>
      </c>
      <c r="K19" s="62" t="n">
        <f aca="false">K15-K17</f>
        <v>2805.04635255813</v>
      </c>
      <c r="L19" s="62" t="n">
        <f aca="false">L15-L17</f>
        <v>2944.72182533495</v>
      </c>
      <c r="N19" s="78" t="n">
        <f aca="false">历史报表!K14</f>
        <v>1269.9684</v>
      </c>
    </row>
    <row r="20" customFormat="false" ht="15" hidden="false" customHeight="false" outlineLevel="0" collapsed="false">
      <c r="A20" s="5" t="s">
        <v>331</v>
      </c>
      <c r="C20" s="7" t="n">
        <f aca="false">C15-C17-C19</f>
        <v>3.90000004699687E-005</v>
      </c>
      <c r="D20" s="7" t="n">
        <f aca="false">D15-D17-D19</f>
        <v>-4.99999996463885E-005</v>
      </c>
      <c r="E20" s="7" t="n">
        <f aca="false">E15-E17-E19</f>
        <v>-1.99999999495049E-005</v>
      </c>
      <c r="F20" s="7" t="n">
        <f aca="false">F15-F17-F19</f>
        <v>1.59999999596039E-005</v>
      </c>
      <c r="G20" s="7" t="n">
        <f aca="false">G15-G17-G19</f>
        <v>-4.60000001112348E-005</v>
      </c>
      <c r="O20" s="22" t="s">
        <v>332</v>
      </c>
    </row>
    <row r="21" customFormat="false" ht="15" hidden="false" customHeight="false" outlineLevel="0" collapsed="false">
      <c r="A21" s="47" t="s">
        <v>333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</row>
    <row r="22" customFormat="false" ht="15" hidden="false" customHeight="false" outlineLevel="0" collapsed="false">
      <c r="A22" s="5" t="s">
        <v>334</v>
      </c>
      <c r="C22" s="74" t="n">
        <f aca="false">历史报表!E18</f>
        <v>260.0848</v>
      </c>
      <c r="D22" s="74" t="n">
        <f aca="false">历史报表!F18</f>
        <v>275.016</v>
      </c>
      <c r="E22" s="74" t="n">
        <f aca="false">历史报表!G18</f>
        <v>447.9878</v>
      </c>
      <c r="F22" s="74" t="n">
        <f aca="false">历史报表!H18</f>
        <v>771.2192</v>
      </c>
      <c r="G22" s="74" t="n">
        <f aca="false">历史报表!I18</f>
        <v>722.6505</v>
      </c>
      <c r="H22" s="64" t="n">
        <f aca="false">H6*H23</f>
        <v>606.397357324</v>
      </c>
      <c r="I22" s="64" t="n">
        <f aca="false">I6*I23</f>
        <v>588.0926392096</v>
      </c>
      <c r="J22" s="64" t="n">
        <f aca="false">J6*J23</f>
        <v>586.49711147276</v>
      </c>
      <c r="K22" s="64" t="n">
        <f aca="false">K6*K23</f>
        <v>583.574137148015</v>
      </c>
      <c r="L22" s="64" t="n">
        <f aca="false">L6*L23</f>
        <v>611.360932595491</v>
      </c>
      <c r="N22" s="74" t="n">
        <f aca="false">历史报表!K18</f>
        <v>219.0644</v>
      </c>
      <c r="O22" s="21" t="s">
        <v>335</v>
      </c>
    </row>
    <row r="23" customFormat="false" ht="15" hidden="false" customHeight="false" outlineLevel="0" collapsed="false">
      <c r="A23" s="5" t="s">
        <v>320</v>
      </c>
      <c r="C23" s="14" t="n">
        <f aca="false">C22/C6</f>
        <v>0.00988352630459693</v>
      </c>
      <c r="D23" s="14" t="n">
        <f aca="false">D22/D6</f>
        <v>0.00889505271913931</v>
      </c>
      <c r="E23" s="14" t="n">
        <f aca="false">E22/E6</f>
        <v>0.0143910673394592</v>
      </c>
      <c r="F23" s="14" t="n">
        <f aca="false">F22/F6</f>
        <v>0.0270140379023367</v>
      </c>
      <c r="G23" s="14" t="n">
        <f aca="false">G22/G6</f>
        <v>0.0290004984037096</v>
      </c>
      <c r="H23" s="66" t="n">
        <f aca="false">假设!H102</f>
        <v>0.022</v>
      </c>
      <c r="I23" s="66" t="n">
        <f aca="false">假设!I102</f>
        <v>0.02</v>
      </c>
      <c r="J23" s="66" t="n">
        <f aca="false">假设!J102</f>
        <v>0.019</v>
      </c>
      <c r="K23" s="66" t="n">
        <f aca="false">假设!K102</f>
        <v>0.018</v>
      </c>
      <c r="L23" s="66" t="n">
        <f aca="false">假设!L102</f>
        <v>0.018</v>
      </c>
      <c r="N23" s="14" t="n">
        <f aca="false">N22/N6</f>
        <v>0.0177002307884038</v>
      </c>
    </row>
    <row r="24" customFormat="false" ht="15" hidden="false" customHeight="false" outlineLevel="0" collapsed="false">
      <c r="A24" s="5" t="s">
        <v>336</v>
      </c>
      <c r="C24" s="74" t="n">
        <f aca="false">历史报表!E24</f>
        <v>-17.4286</v>
      </c>
      <c r="D24" s="74" t="n">
        <f aca="false">历史报表!F24</f>
        <v>-232.8913</v>
      </c>
      <c r="E24" s="74" t="n">
        <f aca="false">历史报表!G24</f>
        <v>-291.6802</v>
      </c>
      <c r="F24" s="74" t="n">
        <f aca="false">历史报表!H24</f>
        <v>-345.4449</v>
      </c>
      <c r="G24" s="74" t="n">
        <f aca="false">历史报表!I24</f>
        <v>-81.4387</v>
      </c>
      <c r="H24" s="64" t="n">
        <f aca="false">H6*H25</f>
        <v>-192.944613694</v>
      </c>
      <c r="I24" s="64" t="n">
        <f aca="false">I6*I25</f>
        <v>-176.42779176288</v>
      </c>
      <c r="J24" s="64" t="n">
        <f aca="false">J6*J25</f>
        <v>-185.209614149293</v>
      </c>
      <c r="K24" s="64" t="n">
        <f aca="false">K6*K25</f>
        <v>-194.524712382672</v>
      </c>
      <c r="L24" s="64" t="n">
        <f aca="false">L6*L25</f>
        <v>-203.78697753183</v>
      </c>
      <c r="N24" s="74" t="n">
        <f aca="false">历史报表!K24</f>
        <v>4.1395</v>
      </c>
    </row>
    <row r="25" customFormat="false" ht="15" hidden="false" customHeight="false" outlineLevel="0" collapsed="false">
      <c r="A25" s="5" t="s">
        <v>320</v>
      </c>
      <c r="C25" s="76" t="n">
        <f aca="false">C24/C6</f>
        <v>-0.000662307165018094</v>
      </c>
      <c r="D25" s="76" t="n">
        <f aca="false">D24/D6</f>
        <v>-0.00753258134555403</v>
      </c>
      <c r="E25" s="76" t="n">
        <f aca="false">E24/E6</f>
        <v>-0.00936987435771006</v>
      </c>
      <c r="F25" s="76" t="n">
        <f aca="false">F24/F6</f>
        <v>-0.0121001417259437</v>
      </c>
      <c r="G25" s="76" t="n">
        <f aca="false">G24/G6</f>
        <v>-0.00326819519165929</v>
      </c>
      <c r="H25" s="77" t="n">
        <f aca="false">假设!H106</f>
        <v>-0.007</v>
      </c>
      <c r="I25" s="77" t="n">
        <f aca="false">假设!I106</f>
        <v>-0.006</v>
      </c>
      <c r="J25" s="77" t="n">
        <f aca="false">假设!J106</f>
        <v>-0.006</v>
      </c>
      <c r="K25" s="77" t="n">
        <f aca="false">假设!K106</f>
        <v>-0.006</v>
      </c>
      <c r="L25" s="77" t="n">
        <f aca="false">假设!L106</f>
        <v>-0.006</v>
      </c>
    </row>
    <row r="26" customFormat="false" ht="15" hidden="false" customHeight="false" outlineLevel="0" collapsed="false">
      <c r="A26" s="5" t="s">
        <v>337</v>
      </c>
      <c r="C26" s="74" t="n">
        <f aca="false">历史报表!E23</f>
        <v>-239.801</v>
      </c>
      <c r="D26" s="74" t="n">
        <f aca="false">历史报表!F23</f>
        <v>-122.3486</v>
      </c>
      <c r="E26" s="74" t="n">
        <f aca="false">历史报表!G23</f>
        <v>-147.8754</v>
      </c>
      <c r="F26" s="74" t="n">
        <f aca="false">历史报表!H23</f>
        <v>-107.2242</v>
      </c>
      <c r="G26" s="74" t="n">
        <f aca="false">历史报表!I23</f>
        <v>-294.1611</v>
      </c>
      <c r="H26" s="64" t="n">
        <f aca="false">H6*H27</f>
        <v>-192.944613694</v>
      </c>
      <c r="I26" s="64" t="n">
        <f aca="false">I6*I27</f>
        <v>-176.42779176288</v>
      </c>
      <c r="J26" s="64" t="n">
        <f aca="false">J6*J27</f>
        <v>-185.209614149293</v>
      </c>
      <c r="K26" s="64" t="n">
        <f aca="false">K6*K27</f>
        <v>-194.524712382672</v>
      </c>
      <c r="L26" s="64" t="n">
        <f aca="false">L6*L27</f>
        <v>-203.78697753183</v>
      </c>
      <c r="N26" s="74" t="n">
        <f aca="false">历史报表!K23</f>
        <v>-44.045</v>
      </c>
    </row>
    <row r="27" customFormat="false" ht="15" hidden="false" customHeight="false" outlineLevel="0" collapsed="false">
      <c r="A27" s="5" t="s">
        <v>320</v>
      </c>
      <c r="C27" s="76" t="n">
        <f aca="false">C26/C6</f>
        <v>-0.00911271820332695</v>
      </c>
      <c r="D27" s="76" t="n">
        <f aca="false">D26/D6</f>
        <v>-0.00395721429703322</v>
      </c>
      <c r="E27" s="76" t="n">
        <f aca="false">E26/E6</f>
        <v>-0.00475031873468312</v>
      </c>
      <c r="F27" s="76" t="n">
        <f aca="false">F26/F6</f>
        <v>-0.00375581754557942</v>
      </c>
      <c r="G27" s="76" t="n">
        <f aca="false">G26/G6</f>
        <v>-0.0118049022466371</v>
      </c>
      <c r="H27" s="77" t="n">
        <f aca="false">假设!H110</f>
        <v>-0.007</v>
      </c>
      <c r="I27" s="77" t="n">
        <f aca="false">假设!I110</f>
        <v>-0.006</v>
      </c>
      <c r="J27" s="77" t="n">
        <f aca="false">假设!J110</f>
        <v>-0.006</v>
      </c>
      <c r="K27" s="77" t="n">
        <f aca="false">假设!K110</f>
        <v>-0.006</v>
      </c>
      <c r="L27" s="77" t="n">
        <f aca="false">假设!L110</f>
        <v>-0.006</v>
      </c>
    </row>
    <row r="28" customFormat="false" ht="15" hidden="false" customHeight="false" outlineLevel="0" collapsed="false">
      <c r="A28" s="47" t="s">
        <v>338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</row>
    <row r="29" customFormat="false" ht="15" hidden="false" customHeight="false" outlineLevel="0" collapsed="false">
      <c r="A29" s="5" t="s">
        <v>339</v>
      </c>
      <c r="C29" s="42" t="n">
        <v>2586.93</v>
      </c>
      <c r="D29" s="42" t="n">
        <v>2133.57</v>
      </c>
      <c r="E29" s="42" t="n">
        <v>1949.69</v>
      </c>
      <c r="F29" s="42" t="n">
        <v>1999.67</v>
      </c>
      <c r="G29" s="42" t="n">
        <v>2753.45</v>
      </c>
      <c r="H29" s="64" t="n">
        <f aca="false">G29*(1+H30)</f>
        <v>4488.1235</v>
      </c>
      <c r="I29" s="64" t="n">
        <f aca="false">H29*(1+I30)</f>
        <v>4712.529675</v>
      </c>
      <c r="J29" s="64" t="n">
        <f aca="false">I29*(1+J30)</f>
        <v>4948.15615875</v>
      </c>
      <c r="K29" s="64" t="n">
        <f aca="false">J29*(1+K30)</f>
        <v>5195.5639666875</v>
      </c>
      <c r="L29" s="64" t="n">
        <f aca="false">K29*(1+L30)</f>
        <v>5455.34216502188</v>
      </c>
      <c r="N29" s="42" t="n">
        <v>2458.57</v>
      </c>
      <c r="O29" s="22" t="s">
        <v>340</v>
      </c>
    </row>
    <row r="30" customFormat="false" ht="15" hidden="false" customHeight="false" outlineLevel="0" collapsed="false">
      <c r="A30" s="5" t="s">
        <v>248</v>
      </c>
      <c r="C30" s="38" t="n">
        <v>0.418319681568472</v>
      </c>
      <c r="D30" s="14" t="n">
        <f aca="false">D29/C29-1</f>
        <v>-0.175250200044068</v>
      </c>
      <c r="E30" s="14" t="n">
        <f aca="false">E29/D29-1</f>
        <v>-0.0861841889415393</v>
      </c>
      <c r="F30" s="14" t="n">
        <f aca="false">F29/E29-1</f>
        <v>0.0256348445137433</v>
      </c>
      <c r="G30" s="14" t="n">
        <f aca="false">G29/F29-1</f>
        <v>0.376952197112523</v>
      </c>
      <c r="H30" s="66" t="n">
        <f aca="false">假设!H114</f>
        <v>0.63</v>
      </c>
      <c r="I30" s="66" t="n">
        <f aca="false">假设!I114</f>
        <v>0.05</v>
      </c>
      <c r="J30" s="66" t="n">
        <f aca="false">假设!J114</f>
        <v>0.05</v>
      </c>
      <c r="K30" s="66" t="n">
        <f aca="false">假设!K114</f>
        <v>0.05</v>
      </c>
      <c r="L30" s="66" t="n">
        <f aca="false">假设!L114</f>
        <v>0.05</v>
      </c>
      <c r="N30" s="38" t="n">
        <v>1.08383411169406</v>
      </c>
    </row>
    <row r="31" customFormat="false" ht="15" hidden="false" customHeight="false" outlineLevel="0" collapsed="false">
      <c r="A31" s="12" t="s">
        <v>341</v>
      </c>
      <c r="C31" s="13" t="n">
        <f aca="false">C29*假设!$C$18</f>
        <v>367.0077591</v>
      </c>
      <c r="D31" s="13" t="n">
        <f aca="false">D29*假设!$C$18</f>
        <v>302.6895759</v>
      </c>
      <c r="E31" s="13" t="n">
        <f aca="false">E29*假设!$C$18</f>
        <v>276.6025203</v>
      </c>
      <c r="F31" s="13" t="n">
        <f aca="false">F29*假设!$C$18</f>
        <v>283.6931829</v>
      </c>
      <c r="G31" s="13" t="n">
        <f aca="false">G29*假设!$C$18</f>
        <v>390.6319515</v>
      </c>
      <c r="H31" s="62" t="n">
        <f aca="false">H29*假设!$C$18</f>
        <v>636.730080945</v>
      </c>
      <c r="I31" s="62" t="n">
        <f aca="false">I29*假设!$C$18</f>
        <v>668.56658499225</v>
      </c>
      <c r="J31" s="62" t="n">
        <f aca="false">J29*假设!$C$18</f>
        <v>701.994914241863</v>
      </c>
      <c r="K31" s="62" t="n">
        <f aca="false">K29*假设!$C$18</f>
        <v>737.094659953956</v>
      </c>
      <c r="L31" s="62" t="n">
        <f aca="false">L29*假设!$C$18</f>
        <v>773.949392951654</v>
      </c>
      <c r="N31" s="13" t="n">
        <f aca="false">N29*假设!$C$18</f>
        <v>348.7973259</v>
      </c>
    </row>
    <row r="32" customFormat="false" ht="15" hidden="false" customHeight="false" outlineLevel="0" collapsed="false">
      <c r="A32" s="5" t="s">
        <v>342</v>
      </c>
      <c r="D32" s="42" t="n">
        <v>160</v>
      </c>
      <c r="E32" s="42" t="n">
        <v>180</v>
      </c>
      <c r="F32" s="42" t="n">
        <v>120</v>
      </c>
      <c r="G32" s="42" t="n">
        <v>120</v>
      </c>
      <c r="H32" s="57" t="n">
        <v>144</v>
      </c>
      <c r="I32" s="64" t="n">
        <f aca="false">H31*假设!$C$38</f>
        <v>254.692032378</v>
      </c>
      <c r="J32" s="64" t="n">
        <f aca="false">I31*假设!$C$38</f>
        <v>267.4266339969</v>
      </c>
      <c r="K32" s="64" t="n">
        <f aca="false">J31*假设!$C$38</f>
        <v>280.797965696745</v>
      </c>
      <c r="L32" s="64" t="n">
        <f aca="false">K31*假设!$C$38</f>
        <v>294.837863981582</v>
      </c>
      <c r="N32" s="42" t="n">
        <v>144</v>
      </c>
      <c r="O32" s="21" t="s">
        <v>343</v>
      </c>
    </row>
    <row r="33" customFormat="false" ht="15" hidden="false" customHeight="false" outlineLevel="0" collapsed="false">
      <c r="A33" s="5" t="s">
        <v>344</v>
      </c>
      <c r="E33" s="42" t="n">
        <v>1519.73</v>
      </c>
      <c r="F33" s="42" t="n">
        <v>1684.08</v>
      </c>
      <c r="G33" s="42" t="n">
        <v>1953.76</v>
      </c>
      <c r="H33" s="64" t="n">
        <f aca="false">G33+H31-H32</f>
        <v>2446.490080945</v>
      </c>
      <c r="I33" s="64" t="n">
        <f aca="false">H33+I31-I32</f>
        <v>2860.36463355925</v>
      </c>
      <c r="J33" s="64" t="n">
        <f aca="false">I33+J31-J32</f>
        <v>3294.93291380421</v>
      </c>
      <c r="K33" s="64" t="n">
        <f aca="false">J33+K31-K32</f>
        <v>3751.22960806142</v>
      </c>
      <c r="L33" s="64" t="n">
        <f aca="false">K33+L31-L32</f>
        <v>4230.34113703149</v>
      </c>
      <c r="N33" s="42" t="n">
        <v>2156.75</v>
      </c>
    </row>
    <row r="34" customFormat="false" ht="15" hidden="false" customHeight="false" outlineLevel="0" collapsed="false">
      <c r="A34" s="47" t="s">
        <v>345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customFormat="false" ht="15" hidden="false" customHeight="false" outlineLevel="0" collapsed="false">
      <c r="A35" s="5" t="s">
        <v>346</v>
      </c>
      <c r="C35" s="74" t="n">
        <f aca="false">历史报表!E20</f>
        <v>402.1722</v>
      </c>
      <c r="D35" s="74" t="n">
        <f aca="false">历史报表!F20</f>
        <v>378.8812</v>
      </c>
      <c r="E35" s="74" t="n">
        <f aca="false">历史报表!G20</f>
        <v>325.9203</v>
      </c>
      <c r="F35" s="74" t="n">
        <f aca="false">历史报表!H20</f>
        <v>285.6265</v>
      </c>
      <c r="G35" s="74" t="n">
        <f aca="false">历史报表!I20</f>
        <v>442.3</v>
      </c>
      <c r="H35" s="64" t="n">
        <f aca="false">H31+H36</f>
        <v>686.730080945</v>
      </c>
      <c r="I35" s="64" t="n">
        <f aca="false">I31+I36</f>
        <v>718.56658499225</v>
      </c>
      <c r="J35" s="64" t="n">
        <f aca="false">J31+J36</f>
        <v>751.994914241863</v>
      </c>
      <c r="K35" s="64" t="n">
        <f aca="false">K31+K36</f>
        <v>787.094659953956</v>
      </c>
      <c r="L35" s="64" t="n">
        <f aca="false">L31+L36</f>
        <v>823.949392951654</v>
      </c>
      <c r="N35" s="74" t="n">
        <f aca="false">历史报表!K20</f>
        <v>400.0886</v>
      </c>
    </row>
    <row r="36" customFormat="false" ht="15" hidden="false" customHeight="false" outlineLevel="0" collapsed="false">
      <c r="A36" s="5" t="s">
        <v>347</v>
      </c>
      <c r="C36" s="8" t="n">
        <f aca="false">C35-C31</f>
        <v>35.1644409</v>
      </c>
      <c r="D36" s="8" t="n">
        <f aca="false">D35-D31</f>
        <v>76.1916241</v>
      </c>
      <c r="E36" s="8" t="n">
        <f aca="false">E35-E31</f>
        <v>49.3177797</v>
      </c>
      <c r="F36" s="8" t="n">
        <f aca="false">F35-F31</f>
        <v>1.93331710000001</v>
      </c>
      <c r="G36" s="8" t="n">
        <f aca="false">G35-G31</f>
        <v>51.6680485000001</v>
      </c>
      <c r="H36" s="75" t="n">
        <f aca="false">假设!H118</f>
        <v>50</v>
      </c>
      <c r="I36" s="75" t="n">
        <f aca="false">假设!I118</f>
        <v>50</v>
      </c>
      <c r="J36" s="75" t="n">
        <f aca="false">假设!J118</f>
        <v>50</v>
      </c>
      <c r="K36" s="75" t="n">
        <f aca="false">假设!K118</f>
        <v>50</v>
      </c>
      <c r="L36" s="75" t="n">
        <f aca="false">假设!L118</f>
        <v>50</v>
      </c>
      <c r="N36" s="8" t="n">
        <f aca="false">N35-N31</f>
        <v>51.2912741</v>
      </c>
    </row>
    <row r="37" customFormat="false" ht="15" hidden="false" customHeight="false" outlineLevel="0" collapsed="false">
      <c r="A37" s="5" t="s">
        <v>348</v>
      </c>
      <c r="C37" s="8" t="n">
        <f aca="false">历史报表!E19-C35</f>
        <v>0.395400000000052</v>
      </c>
      <c r="D37" s="8" t="n">
        <f aca="false">历史报表!F19-D35</f>
        <v>10.7646</v>
      </c>
      <c r="E37" s="8" t="n">
        <f aca="false">历史报表!G19-E35</f>
        <v>-24.0725</v>
      </c>
      <c r="F37" s="8" t="n">
        <f aca="false">历史报表!H19-F35</f>
        <v>2.15879999999999</v>
      </c>
      <c r="G37" s="8" t="n">
        <f aca="false">历史报表!I19-G35</f>
        <v>2.85249999999996</v>
      </c>
      <c r="H37" s="75" t="n">
        <f aca="false">假设!H122</f>
        <v>-25</v>
      </c>
      <c r="I37" s="75" t="n">
        <f aca="false">假设!I122</f>
        <v>-25</v>
      </c>
      <c r="J37" s="75" t="n">
        <f aca="false">假设!J122</f>
        <v>-25</v>
      </c>
      <c r="K37" s="75" t="n">
        <f aca="false">假设!K122</f>
        <v>-25</v>
      </c>
      <c r="L37" s="75" t="n">
        <f aca="false">假设!L122</f>
        <v>-25</v>
      </c>
      <c r="N37" s="8" t="n">
        <f aca="false">历史报表!K19-N35</f>
        <v>-11.1528</v>
      </c>
    </row>
    <row r="38" customFormat="false" ht="15" hidden="false" customHeight="false" outlineLevel="0" collapsed="false">
      <c r="A38" s="12" t="s">
        <v>349</v>
      </c>
      <c r="C38" s="13" t="n">
        <f aca="false">C35+C37</f>
        <v>402.5676</v>
      </c>
      <c r="D38" s="13" t="n">
        <f aca="false">D35+D37</f>
        <v>389.6458</v>
      </c>
      <c r="E38" s="13" t="n">
        <f aca="false">E35+E37</f>
        <v>301.8478</v>
      </c>
      <c r="F38" s="13" t="n">
        <f aca="false">F35+F37</f>
        <v>287.7853</v>
      </c>
      <c r="G38" s="13" t="n">
        <f aca="false">G35+G37</f>
        <v>445.1525</v>
      </c>
      <c r="H38" s="62" t="n">
        <f aca="false">H35+H37</f>
        <v>661.730080945</v>
      </c>
      <c r="I38" s="62" t="n">
        <f aca="false">I35+I37</f>
        <v>693.56658499225</v>
      </c>
      <c r="J38" s="62" t="n">
        <f aca="false">J35+J37</f>
        <v>726.994914241863</v>
      </c>
      <c r="K38" s="62" t="n">
        <f aca="false">K35+K37</f>
        <v>762.094659953956</v>
      </c>
      <c r="L38" s="62" t="n">
        <f aca="false">L35+L37</f>
        <v>798.949392951654</v>
      </c>
      <c r="N38" s="13" t="n">
        <f aca="false">N35+N37</f>
        <v>388.9358</v>
      </c>
    </row>
    <row r="39" customFormat="false" ht="15" hidden="false" customHeight="false" outlineLevel="0" collapsed="false">
      <c r="A39" s="5" t="s">
        <v>350</v>
      </c>
      <c r="C39" s="74" t="n">
        <f aca="false">历史报表!E22</f>
        <v>2.7352</v>
      </c>
      <c r="D39" s="74" t="n">
        <f aca="false">历史报表!F22</f>
        <v>-2.4842</v>
      </c>
      <c r="E39" s="74" t="n">
        <f aca="false">历史报表!G22</f>
        <v>0.3342</v>
      </c>
      <c r="F39" s="74" t="n">
        <f aca="false">历史报表!H22</f>
        <v>0.269</v>
      </c>
      <c r="G39" s="74" t="n">
        <f aca="false">历史报表!I22</f>
        <v>-12.6198</v>
      </c>
      <c r="H39" s="57" t="n">
        <v>0</v>
      </c>
      <c r="I39" s="57" t="n">
        <v>0</v>
      </c>
      <c r="J39" s="57" t="n">
        <v>0</v>
      </c>
      <c r="K39" s="57" t="n">
        <v>0</v>
      </c>
      <c r="L39" s="57" t="n">
        <v>0</v>
      </c>
      <c r="N39" s="74" t="n">
        <f aca="false">历史报表!K22</f>
        <v>0</v>
      </c>
    </row>
    <row r="40" customFormat="false" ht="15" hidden="false" customHeight="false" outlineLevel="0" collapsed="false">
      <c r="A40" s="5" t="s">
        <v>351</v>
      </c>
      <c r="C40" s="74" t="n">
        <f aca="false">历史报表!E25</f>
        <v>1.838</v>
      </c>
      <c r="D40" s="74" t="n">
        <f aca="false">历史报表!F25</f>
        <v>4.1996</v>
      </c>
      <c r="E40" s="74" t="n">
        <f aca="false">历史报表!G25</f>
        <v>-14.9768</v>
      </c>
      <c r="F40" s="74" t="n">
        <f aca="false">历史报表!H25</f>
        <v>6.6168</v>
      </c>
      <c r="G40" s="74" t="n">
        <f aca="false">历史报表!I25</f>
        <v>0.4398</v>
      </c>
      <c r="H40" s="57" t="n">
        <v>0</v>
      </c>
      <c r="I40" s="57" t="n">
        <v>0</v>
      </c>
      <c r="J40" s="57" t="n">
        <v>0</v>
      </c>
      <c r="K40" s="57" t="n">
        <v>0</v>
      </c>
      <c r="L40" s="57" t="n">
        <v>0</v>
      </c>
      <c r="N40" s="74" t="n">
        <f aca="false">历史报表!K25</f>
        <v>-0.3458</v>
      </c>
    </row>
    <row r="41" customFormat="false" ht="15" hidden="false" customHeight="false" outlineLevel="0" collapsed="false">
      <c r="A41" s="5" t="s">
        <v>352</v>
      </c>
      <c r="C41" s="8" t="n">
        <f aca="false">历史报表!E27-历史报表!E28</f>
        <v>-2.6277</v>
      </c>
      <c r="D41" s="8" t="n">
        <f aca="false">历史报表!F27-历史报表!F28</f>
        <v>-0.953799999999999</v>
      </c>
      <c r="E41" s="8" t="n">
        <f aca="false">历史报表!G27-历史报表!G28</f>
        <v>15.0161</v>
      </c>
      <c r="F41" s="8" t="n">
        <f aca="false">历史报表!H27-历史报表!H28</f>
        <v>-11.2164</v>
      </c>
      <c r="G41" s="8" t="n">
        <f aca="false">历史报表!I27-历史报表!I28</f>
        <v>-11.1238</v>
      </c>
      <c r="H41" s="75" t="n">
        <f aca="false">假设!H126</f>
        <v>-10</v>
      </c>
      <c r="I41" s="75" t="n">
        <f aca="false">假设!I126</f>
        <v>-10</v>
      </c>
      <c r="J41" s="75" t="n">
        <f aca="false">假设!J126</f>
        <v>-10</v>
      </c>
      <c r="K41" s="75" t="n">
        <f aca="false">假设!K126</f>
        <v>-10</v>
      </c>
      <c r="L41" s="75" t="n">
        <f aca="false">假设!L126</f>
        <v>-10</v>
      </c>
      <c r="N41" s="8" t="n">
        <f aca="false">历史报表!K27-历史报表!K28</f>
        <v>1.4673</v>
      </c>
    </row>
    <row r="42" customFormat="false" ht="15" hidden="false" customHeight="false" outlineLevel="0" collapsed="false">
      <c r="A42" s="5" t="s">
        <v>353</v>
      </c>
      <c r="C42" s="14" t="n">
        <f aca="false">历史报表!E30/历史报表!E29</f>
        <v>0.275757990460283</v>
      </c>
      <c r="D42" s="14" t="n">
        <f aca="false">历史报表!F30/历史报表!F29</f>
        <v>0.242735533984607</v>
      </c>
      <c r="E42" s="14" t="n">
        <f aca="false">历史报表!G30/历史报表!G29</f>
        <v>0.159057574994834</v>
      </c>
      <c r="F42" s="14" t="n">
        <f aca="false">历史报表!H30/历史报表!H29</f>
        <v>0.103439173477349</v>
      </c>
      <c r="G42" s="14" t="n">
        <f aca="false">历史报表!I30/历史报表!I29</f>
        <v>0.186101526096838</v>
      </c>
      <c r="H42" s="66" t="n">
        <f aca="false">假设!H130</f>
        <v>0.13</v>
      </c>
      <c r="I42" s="66" t="n">
        <f aca="false">假设!I130</f>
        <v>0.13</v>
      </c>
      <c r="J42" s="66" t="n">
        <f aca="false">假设!J130</f>
        <v>0.13</v>
      </c>
      <c r="K42" s="66" t="n">
        <f aca="false">假设!K130</f>
        <v>0.13</v>
      </c>
      <c r="L42" s="66" t="n">
        <f aca="false">假设!L130</f>
        <v>0.13</v>
      </c>
      <c r="N42" s="14" t="n">
        <f aca="false">历史报表!K30/历史报表!K29</f>
        <v>0.232597403673297</v>
      </c>
    </row>
    <row r="43" customFormat="false" ht="15" hidden="false" customHeight="false" outlineLevel="0" collapsed="false">
      <c r="A43" s="47" t="s">
        <v>354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</row>
    <row r="44" customFormat="false" ht="15" hidden="false" customHeight="false" outlineLevel="0" collapsed="false">
      <c r="A44" s="12" t="s">
        <v>355</v>
      </c>
      <c r="C44" s="13" t="n">
        <f aca="false">利润表!C23-C38-C39-C40</f>
        <v>86.5287999999987</v>
      </c>
      <c r="D44" s="13" t="n">
        <f aca="false">利润表!D23-D38-D39-D40</f>
        <v>149.990200000002</v>
      </c>
      <c r="E44" s="13" t="n">
        <f aca="false">利润表!E23-E38-E39-E40</f>
        <v>279.0152</v>
      </c>
      <c r="F44" s="13" t="n">
        <f aca="false">利润表!F23-F38-F39-F40</f>
        <v>508.683500000002</v>
      </c>
      <c r="G44" s="13" t="n">
        <f aca="false">利润表!G23-G38-G39-G40</f>
        <v>40.1859999999995</v>
      </c>
      <c r="H44" s="62" t="n">
        <f aca="false">利润表!H23-H38-H39-H40</f>
        <v>195.322999129759</v>
      </c>
      <c r="I44" s="62" t="n">
        <f aca="false">利润表!I23-I38-I39-I40</f>
        <v>553.050832541673</v>
      </c>
      <c r="J44" s="62" t="n">
        <f aca="false">利润表!J23-J38-J39-J40</f>
        <v>620.16265913427</v>
      </c>
      <c r="K44" s="62" t="n">
        <f aca="false">利润表!K23-K38-K39-K40</f>
        <v>724.476423021279</v>
      </c>
      <c r="L44" s="62" t="n">
        <f aca="false">利润表!L23-L38-L39-L40</f>
        <v>765.032795906729</v>
      </c>
      <c r="N44" s="13" t="n">
        <f aca="false">利润表!N23-N38-N39-N40</f>
        <v>-148.639300000001</v>
      </c>
    </row>
    <row r="45" customFormat="false" ht="15" hidden="false" customHeight="false" outlineLevel="0" collapsed="false">
      <c r="A45" s="5" t="s">
        <v>356</v>
      </c>
      <c r="C45" s="14" t="n">
        <f aca="false">C44/C6</f>
        <v>0.00328819550740833</v>
      </c>
      <c r="D45" s="14" t="n">
        <f aca="false">D44/D6</f>
        <v>0.00485124769596774</v>
      </c>
      <c r="E45" s="14" t="n">
        <f aca="false">E44/E6</f>
        <v>0.00896302651976839</v>
      </c>
      <c r="F45" s="14" t="n">
        <f aca="false">F44/F6</f>
        <v>0.0178180150977742</v>
      </c>
      <c r="G45" s="14" t="n">
        <f aca="false">G44/G6</f>
        <v>0.00161269386633159</v>
      </c>
      <c r="H45" s="63" t="n">
        <f aca="false">H44/H6</f>
        <v>0.00708628744659706</v>
      </c>
      <c r="I45" s="63" t="n">
        <f aca="false">I44/I6</f>
        <v>0.0188082895676088</v>
      </c>
      <c r="J45" s="63" t="n">
        <f aca="false">J44/J6</f>
        <v>0.0200906198735787</v>
      </c>
      <c r="K45" s="63" t="n">
        <f aca="false">K44/K6</f>
        <v>0.0223460478871007</v>
      </c>
      <c r="L45" s="63" t="n">
        <f aca="false">L44/L6</f>
        <v>0.0225244852788663</v>
      </c>
      <c r="N45" s="14" t="n">
        <f aca="false">N44/N6</f>
        <v>-0.0120099382383756</v>
      </c>
    </row>
    <row r="46" customFormat="false" ht="15" hidden="false" customHeight="false" outlineLevel="0" collapsed="false">
      <c r="A46" s="5" t="s">
        <v>357</v>
      </c>
      <c r="C46" s="14" t="n">
        <f aca="false">C31/利润表!C29</f>
        <v>1.27444091285544</v>
      </c>
      <c r="D46" s="14" t="n">
        <f aca="false">D31/利润表!D29</f>
        <v>0.745920585431052</v>
      </c>
      <c r="E46" s="14" t="n">
        <f aca="false">E31/利润表!E29</f>
        <v>0.547329892072515</v>
      </c>
      <c r="F46" s="14" t="n">
        <f aca="false">F31/利润表!F29</f>
        <v>0.403715212559672</v>
      </c>
      <c r="G46" s="14" t="n">
        <f aca="false">G31/利润表!G29</f>
        <v>0.896285472483466</v>
      </c>
      <c r="H46" s="63" t="n">
        <f aca="false">H31/利润表!H29</f>
        <v>0.846787397872835</v>
      </c>
      <c r="I46" s="63" t="n">
        <f aca="false">I31/利润表!I29</f>
        <v>0.621426908739518</v>
      </c>
      <c r="J46" s="63" t="n">
        <f aca="false">J31/利润表!J29</f>
        <v>0.608669406134908</v>
      </c>
      <c r="K46" s="63" t="n">
        <f aca="false">K31/利润表!K29</f>
        <v>0.58056465183891</v>
      </c>
      <c r="L46" s="63" t="n">
        <f aca="false">L31/利润表!L29</f>
        <v>0.581058572093442</v>
      </c>
      <c r="N46" s="14" t="n">
        <f aca="false">N31/利润表!N29</f>
        <v>1.8091175759091</v>
      </c>
    </row>
    <row r="47" customFormat="false" ht="15" hidden="false" customHeight="false" outlineLevel="0" collapsed="false">
      <c r="A47" s="12" t="s">
        <v>358</v>
      </c>
      <c r="C47" s="13" t="n">
        <f aca="false">利润表!C29-C31</f>
        <v>-79.0322591000013</v>
      </c>
      <c r="D47" s="13" t="n">
        <f aca="false">利润表!D29-D31</f>
        <v>103.103724100002</v>
      </c>
      <c r="E47" s="13" t="n">
        <f aca="false">利润表!E29-E31</f>
        <v>228.7645797</v>
      </c>
      <c r="F47" s="13" t="n">
        <f aca="false">利润表!F29-F31</f>
        <v>419.013017100002</v>
      </c>
      <c r="G47" s="13" t="n">
        <f aca="false">利润表!G29-G31</f>
        <v>45.2023484999995</v>
      </c>
      <c r="H47" s="62" t="n">
        <f aca="false">利润表!H29-H31</f>
        <v>115.20609872004</v>
      </c>
      <c r="I47" s="62" t="n">
        <f aca="false">利润表!I29-I31</f>
        <v>407.290568262263</v>
      </c>
      <c r="J47" s="62" t="n">
        <f aca="false">利润表!J29-J31</f>
        <v>451.332174595373</v>
      </c>
      <c r="K47" s="62" t="n">
        <f aca="false">利润表!K29-K31</f>
        <v>532.522182234498</v>
      </c>
      <c r="L47" s="62" t="n">
        <f aca="false">利润表!L29-L31</f>
        <v>558.015111355139</v>
      </c>
      <c r="N47" s="13" t="n">
        <f aca="false">利润表!N29-N31</f>
        <v>-155.997625900001</v>
      </c>
      <c r="O47" s="22" t="s">
        <v>359</v>
      </c>
    </row>
    <row r="48" customFormat="false" ht="15" hidden="false" customHeight="false" outlineLevel="0" collapsed="false">
      <c r="A48" s="5" t="s">
        <v>360</v>
      </c>
      <c r="C48" s="8" t="n">
        <f aca="false">资本开支折旧!C40*假设!$C$39</f>
        <v>63.439864158</v>
      </c>
      <c r="D48" s="8" t="n">
        <f aca="false">资本开支折旧!D40*假设!$C$39</f>
        <v>92.226879486</v>
      </c>
      <c r="E48" s="8" t="n">
        <f aca="false">资本开支折旧!E40*假设!$C$39</f>
        <v>125.713261794</v>
      </c>
      <c r="F48" s="8" t="n">
        <f aca="false">资本开支折旧!F40*假设!$C$39</f>
        <v>154.31833002</v>
      </c>
      <c r="G48" s="8" t="n">
        <f aca="false">资本开支折旧!G40*假设!$C$39</f>
        <v>182.805766656</v>
      </c>
      <c r="H48" s="64" t="n">
        <f aca="false">资本开支折旧!H40*假设!$C$39</f>
        <v>245.789485946157</v>
      </c>
      <c r="I48" s="64" t="n">
        <f aca="false">资本开支折旧!I40*假设!$C$39</f>
        <v>286.422879941989</v>
      </c>
      <c r="J48" s="64" t="n">
        <f aca="false">资本开支折旧!J40*假设!$C$39</f>
        <v>325.954412108359</v>
      </c>
      <c r="K48" s="64" t="n">
        <f aca="false">资本开支折旧!K40*假设!$C$39</f>
        <v>364.376849153444</v>
      </c>
      <c r="L48" s="64" t="n">
        <f aca="false">资本开支折旧!L40*假设!$C$39</f>
        <v>401.757727413101</v>
      </c>
      <c r="O48" s="22" t="s">
        <v>361</v>
      </c>
    </row>
    <row r="49" customFormat="false" ht="15" hidden="false" customHeight="false" outlineLevel="0" collapsed="false">
      <c r="A49" s="12" t="s">
        <v>362</v>
      </c>
      <c r="C49" s="13" t="n">
        <f aca="false">C17-C48</f>
        <v>201.865464842</v>
      </c>
      <c r="D49" s="13" t="n">
        <f aca="false">D17-D48</f>
        <v>199.674926514</v>
      </c>
      <c r="E49" s="13" t="n">
        <f aca="false">E17-E48</f>
        <v>152.450830206</v>
      </c>
      <c r="F49" s="13" t="n">
        <f aca="false">F17-F48</f>
        <v>542.53568398</v>
      </c>
      <c r="G49" s="13" t="n">
        <f aca="false">G17-G48</f>
        <v>405.020640344</v>
      </c>
      <c r="H49" s="62" t="n">
        <f aca="false">H17-H48</f>
        <v>340.762139683603</v>
      </c>
      <c r="I49" s="62" t="n">
        <f aca="false">I17-I48</f>
        <v>285.203165369742</v>
      </c>
      <c r="J49" s="62" t="n">
        <f aca="false">J17-J48</f>
        <v>225.044189985786</v>
      </c>
      <c r="K49" s="62" t="n">
        <f aca="false">K17-K48</f>
        <v>169.917694190961</v>
      </c>
      <c r="L49" s="62" t="n">
        <f aca="false">L17-L48</f>
        <v>117.899065293066</v>
      </c>
    </row>
    <row r="50" customFormat="false" ht="15" hidden="false" customHeight="false" outlineLevel="0" collapsed="false">
      <c r="A50" s="5" t="s">
        <v>363</v>
      </c>
      <c r="C50" s="8" t="n">
        <f aca="false">利润表!C29-C49*(1-C42)</f>
        <v>141.776050086159</v>
      </c>
      <c r="D50" s="8" t="n">
        <f aca="false">利润表!D29-D49*(1-D42)</f>
        <v>254.586573396715</v>
      </c>
      <c r="E50" s="8" t="n">
        <f aca="false">利润表!E29-E49*(1-E42)</f>
        <v>377.164729152516</v>
      </c>
      <c r="F50" s="8" t="n">
        <f aca="false">利润表!F29-F49*(1-F42)</f>
        <v>216.289958752861</v>
      </c>
      <c r="G50" s="8" t="n">
        <f aca="false">利润表!G29-G49*(1-G42)</f>
        <v>106.188618924736</v>
      </c>
      <c r="H50" s="64" t="n">
        <f aca="false">利润表!H29-H49*(1-H42)</f>
        <v>455.473118140306</v>
      </c>
      <c r="I50" s="64" t="n">
        <f aca="false">利润表!I29-I49*(1-I42)</f>
        <v>827.730399382838</v>
      </c>
      <c r="J50" s="64" t="n">
        <f aca="false">利润表!J29-J49*(1-J42)</f>
        <v>957.538643549602</v>
      </c>
      <c r="K50" s="64" t="n">
        <f aca="false">利润表!K29-K49*(1-K42)</f>
        <v>1121.78844824232</v>
      </c>
      <c r="L50" s="64" t="n">
        <f aca="false">利润表!L29-L49*(1-L42)</f>
        <v>1229.39231750183</v>
      </c>
    </row>
    <row r="51" customFormat="false" ht="15" hidden="false" customHeight="false" outlineLevel="0" collapsed="false">
      <c r="A51" s="5" t="s">
        <v>364</v>
      </c>
      <c r="C51" s="8" t="n">
        <f aca="false">C15*MAX(0,C18-0.07)</f>
        <v>4.50379023999994</v>
      </c>
      <c r="D51" s="8" t="n">
        <f aca="false">D15*MAX(0,D18-0.07)</f>
        <v>0</v>
      </c>
      <c r="E51" s="8" t="n">
        <f aca="false">E15*MAX(0,E18-0.07)</f>
        <v>8.20942295999994</v>
      </c>
      <c r="F51" s="8" t="n">
        <f aca="false">F15*MAX(0,F18-0.07)</f>
        <v>446.3867039</v>
      </c>
      <c r="G51" s="8" t="n">
        <f aca="false">G15*MAX(0,G18-0.07)</f>
        <v>366.77168073</v>
      </c>
      <c r="H51" s="64" t="n">
        <f aca="false">H15*MAX(0,H18-0.07)</f>
        <v>370.45365829248</v>
      </c>
      <c r="I51" s="64" t="n">
        <f aca="false">I15*MAX(0,I18-0.07)</f>
        <v>349.327027690502</v>
      </c>
      <c r="J51" s="64" t="n">
        <f aca="false">J15*MAX(0,J18-0.07)</f>
        <v>324.116824761262</v>
      </c>
      <c r="K51" s="64" t="n">
        <f aca="false">K15*MAX(0,K18-0.07)</f>
        <v>300.540680631228</v>
      </c>
      <c r="L51" s="64" t="n">
        <f aca="false">L15*MAX(0,L18-0.07)</f>
        <v>277.150289443289</v>
      </c>
      <c r="O51" s="21" t="s">
        <v>365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366</v>
      </c>
    </row>
    <row r="2" customFormat="false" ht="15" hidden="false" customHeight="false" outlineLevel="0" collapsed="false">
      <c r="A2" s="2" t="s">
        <v>367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47" t="s">
        <v>368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customFormat="false" ht="15" hidden="false" customHeight="false" outlineLevel="0" collapsed="false">
      <c r="A7" s="5" t="s">
        <v>369</v>
      </c>
      <c r="C7" s="42" t="n">
        <v>6244.33050229</v>
      </c>
      <c r="D7" s="8" t="n">
        <f aca="false">C12</f>
        <v>6739.32513112</v>
      </c>
      <c r="E7" s="8" t="n">
        <f aca="false">D12</f>
        <v>7360.70144152</v>
      </c>
      <c r="F7" s="8" t="n">
        <f aca="false">E12</f>
        <v>8208.48520207</v>
      </c>
      <c r="G7" s="8" t="n">
        <f aca="false">F12</f>
        <v>8109.03895457</v>
      </c>
      <c r="H7" s="64" t="n">
        <f aca="false">G12</f>
        <v>8535.43236878</v>
      </c>
      <c r="I7" s="64" t="n">
        <f aca="false">H12</f>
        <v>9580.95764614196</v>
      </c>
      <c r="J7" s="64" t="n">
        <f aca="false">I12</f>
        <v>10833.0400915114</v>
      </c>
      <c r="K7" s="64" t="n">
        <f aca="false">J12</f>
        <v>12141.5421955142</v>
      </c>
      <c r="L7" s="64" t="n">
        <f aca="false">K12</f>
        <v>13244.9176901024</v>
      </c>
      <c r="N7" s="42" t="n">
        <v>8535.43236878</v>
      </c>
    </row>
    <row r="8" customFormat="false" ht="15" hidden="false" customHeight="false" outlineLevel="0" collapsed="false">
      <c r="A8" s="17" t="s">
        <v>370</v>
      </c>
      <c r="C8" s="42" t="n">
        <v>391.41101209</v>
      </c>
      <c r="D8" s="42" t="n">
        <v>418.78003594</v>
      </c>
      <c r="E8" s="42" t="n">
        <v>391.74527017</v>
      </c>
      <c r="F8" s="42" t="n">
        <v>248.55300679</v>
      </c>
      <c r="G8" s="42" t="n">
        <v>224.39684513</v>
      </c>
      <c r="H8" s="57" t="n">
        <v>0</v>
      </c>
      <c r="I8" s="57" t="n">
        <v>0</v>
      </c>
      <c r="J8" s="57" t="n">
        <v>0</v>
      </c>
      <c r="K8" s="57" t="n">
        <v>0</v>
      </c>
      <c r="L8" s="57" t="n">
        <v>0</v>
      </c>
      <c r="N8" s="42" t="n">
        <v>323.77315212</v>
      </c>
      <c r="O8" s="22" t="s">
        <v>371</v>
      </c>
    </row>
    <row r="9" customFormat="false" ht="15" hidden="false" customHeight="false" outlineLevel="0" collapsed="false">
      <c r="A9" s="17" t="s">
        <v>372</v>
      </c>
      <c r="C9" s="42" t="n">
        <v>256.72105334</v>
      </c>
      <c r="D9" s="42" t="n">
        <v>406.12670791</v>
      </c>
      <c r="E9" s="42" t="n">
        <v>801.90355422</v>
      </c>
      <c r="F9" s="42" t="n">
        <v>93.83961675</v>
      </c>
      <c r="G9" s="42" t="n">
        <v>356.72407386</v>
      </c>
      <c r="H9" s="64" t="n">
        <f aca="false">H28</f>
        <v>1199.16306</v>
      </c>
      <c r="I9" s="64" t="n">
        <f aca="false">I28</f>
        <v>1424.539683</v>
      </c>
      <c r="J9" s="64" t="n">
        <f aca="false">J28</f>
        <v>1503.49682565</v>
      </c>
      <c r="K9" s="64" t="n">
        <f aca="false">K28</f>
        <v>1321.9232541075</v>
      </c>
      <c r="L9" s="64" t="n">
        <f aca="false">L28</f>
        <v>1132.05778975913</v>
      </c>
      <c r="N9" s="42" t="n">
        <v>451.40110686</v>
      </c>
    </row>
    <row r="10" customFormat="false" ht="15" hidden="false" customHeight="false" outlineLevel="0" collapsed="false">
      <c r="A10" s="17" t="s">
        <v>373</v>
      </c>
      <c r="C10" s="42" t="n">
        <v>-2.27373675443232E-013</v>
      </c>
      <c r="D10" s="42" t="n">
        <v>2.66148679999992</v>
      </c>
      <c r="E10" s="42" t="n">
        <v>6.41010285999982</v>
      </c>
      <c r="F10" s="42" t="n">
        <v>87.66227112</v>
      </c>
      <c r="G10" s="42" t="n">
        <v>-3.43469206999939</v>
      </c>
      <c r="H10" s="57" t="n">
        <v>0</v>
      </c>
      <c r="I10" s="57" t="n">
        <v>0</v>
      </c>
      <c r="J10" s="57" t="n">
        <v>0</v>
      </c>
      <c r="K10" s="57" t="n">
        <v>0</v>
      </c>
      <c r="L10" s="57" t="n">
        <v>0</v>
      </c>
    </row>
    <row r="11" customFormat="false" ht="15" hidden="false" customHeight="false" outlineLevel="0" collapsed="false">
      <c r="A11" s="5" t="s">
        <v>374</v>
      </c>
      <c r="C11" s="42" t="n">
        <v>153.1374366</v>
      </c>
      <c r="D11" s="42" t="n">
        <v>206.19192025</v>
      </c>
      <c r="E11" s="42" t="n">
        <v>352.2751667</v>
      </c>
      <c r="F11" s="42" t="n">
        <v>529.50114216</v>
      </c>
      <c r="G11" s="42" t="n">
        <v>151.29281271</v>
      </c>
      <c r="H11" s="64" t="n">
        <f aca="false">H7*H23</f>
        <v>153.63778263804</v>
      </c>
      <c r="I11" s="64" t="n">
        <f aca="false">I7*I23</f>
        <v>172.457237630555</v>
      </c>
      <c r="J11" s="64" t="n">
        <f aca="false">J7*J23</f>
        <v>194.994721647205</v>
      </c>
      <c r="K11" s="64" t="n">
        <f aca="false">K7*K23</f>
        <v>218.547759519256</v>
      </c>
      <c r="L11" s="64" t="n">
        <f aca="false">L7*L23</f>
        <v>238.408518421844</v>
      </c>
      <c r="N11" s="42" t="n">
        <v>72.15997431</v>
      </c>
    </row>
    <row r="12" customFormat="false" ht="15" hidden="false" customHeight="false" outlineLevel="0" collapsed="false">
      <c r="A12" s="12" t="s">
        <v>375</v>
      </c>
      <c r="C12" s="68" t="n">
        <f aca="false">C7+C8+C9+C10-C11</f>
        <v>6739.32513112</v>
      </c>
      <c r="D12" s="68" t="n">
        <f aca="false">D7+D8+D9+D10-D11</f>
        <v>7360.70144152</v>
      </c>
      <c r="E12" s="68" t="n">
        <f aca="false">E7+E8+E9+E10-E11</f>
        <v>8208.48520207</v>
      </c>
      <c r="F12" s="68" t="n">
        <f aca="false">F7+F8+F9+F10-F11</f>
        <v>8109.03895457</v>
      </c>
      <c r="G12" s="68" t="n">
        <f aca="false">G7+G8+G9+G10-G11</f>
        <v>8535.43236878</v>
      </c>
      <c r="H12" s="69" t="n">
        <f aca="false">H7+H8+H9+H10-H11</f>
        <v>9580.95764614196</v>
      </c>
      <c r="I12" s="69" t="n">
        <f aca="false">I7+I8+I9+I10-I11</f>
        <v>10833.0400915114</v>
      </c>
      <c r="J12" s="69" t="n">
        <f aca="false">J7+J8+J9+J10-J11</f>
        <v>12141.5421955142</v>
      </c>
      <c r="K12" s="69" t="n">
        <f aca="false">K7+K8+K9+K10-K11</f>
        <v>13244.9176901024</v>
      </c>
      <c r="L12" s="69" t="n">
        <f aca="false">L7+L8+L9+L10-L11</f>
        <v>14138.5669614397</v>
      </c>
      <c r="N12" s="79" t="n">
        <v>9238.44665345</v>
      </c>
    </row>
    <row r="13" customFormat="false" ht="15" hidden="false" customHeight="false" outlineLevel="0" collapsed="false">
      <c r="A13" s="47" t="s">
        <v>376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customFormat="false" ht="15" hidden="false" customHeight="false" outlineLevel="0" collapsed="false">
      <c r="A14" s="5" t="s">
        <v>377</v>
      </c>
      <c r="C14" s="42" t="n">
        <v>2882.08093721</v>
      </c>
      <c r="D14" s="8" t="n">
        <f aca="false">C18</f>
        <v>3273.84305129</v>
      </c>
      <c r="E14" s="8" t="n">
        <f aca="false">D18</f>
        <v>3680.85625587</v>
      </c>
      <c r="F14" s="8" t="n">
        <f aca="false">E18</f>
        <v>4013.24944233</v>
      </c>
      <c r="G14" s="8" t="n">
        <f aca="false">F18</f>
        <v>4345.51503323</v>
      </c>
      <c r="H14" s="64" t="n">
        <f aca="false">G18</f>
        <v>4926.14139805</v>
      </c>
      <c r="I14" s="64" t="n">
        <f aca="false">H18</f>
        <v>5558.11481070704</v>
      </c>
      <c r="J14" s="64" t="n">
        <f aca="false">I18</f>
        <v>6270.87513701369</v>
      </c>
      <c r="K14" s="64" t="n">
        <f aca="false">J18</f>
        <v>7072.17222673942</v>
      </c>
      <c r="L14" s="64" t="n">
        <f aca="false">K18</f>
        <v>7954.63979596101</v>
      </c>
      <c r="N14" s="42" t="n">
        <v>4926.14139805</v>
      </c>
    </row>
    <row r="15" customFormat="false" ht="15" hidden="false" customHeight="false" outlineLevel="0" collapsed="false">
      <c r="A15" s="15" t="s">
        <v>378</v>
      </c>
      <c r="C15" s="61" t="n">
        <v>537.45957339</v>
      </c>
      <c r="D15" s="61" t="n">
        <v>482.38679354</v>
      </c>
      <c r="E15" s="61" t="n">
        <v>657.70459434</v>
      </c>
      <c r="F15" s="61" t="n">
        <v>689.91629548</v>
      </c>
      <c r="G15" s="61" t="n">
        <v>704.60417335</v>
      </c>
      <c r="H15" s="62" t="n">
        <f aca="false">H22*(H7+0.5*(H8+H9))</f>
        <v>785.61119529508</v>
      </c>
      <c r="I15" s="62" t="n">
        <f aca="false">I22*(I7+0.5*(I8+I9))</f>
        <v>885.217563937209</v>
      </c>
      <c r="J15" s="62" t="n">
        <f aca="false">J22*(J7+0.5*(J8+J9))</f>
        <v>996.291811372931</v>
      </c>
      <c r="K15" s="62" t="n">
        <f aca="false">K22*(K7+0.5*(K8+K9))</f>
        <v>1101.01532874084</v>
      </c>
      <c r="L15" s="62" t="n">
        <f aca="false">L22*(L7+0.5*(L8+L9))</f>
        <v>1187.74140630845</v>
      </c>
      <c r="N15" s="61" t="n">
        <v>403.55620459</v>
      </c>
    </row>
    <row r="16" customFormat="false" ht="15" hidden="false" customHeight="false" outlineLevel="0" collapsed="false">
      <c r="A16" s="17" t="s">
        <v>379</v>
      </c>
      <c r="C16" s="42" t="n">
        <v>-2.27373675443232E-013</v>
      </c>
      <c r="D16" s="42" t="n">
        <v>0.294556680000056</v>
      </c>
      <c r="E16" s="42" t="n">
        <v>3.67295571999989</v>
      </c>
      <c r="F16" s="42" t="n">
        <v>160.68635865</v>
      </c>
      <c r="G16" s="42" t="n">
        <v>-2.24783513999984</v>
      </c>
      <c r="H16" s="57" t="n">
        <v>0</v>
      </c>
      <c r="I16" s="57" t="n">
        <v>0</v>
      </c>
      <c r="J16" s="57" t="n">
        <v>0</v>
      </c>
      <c r="K16" s="57" t="n">
        <v>0</v>
      </c>
      <c r="L16" s="57" t="n">
        <v>0</v>
      </c>
    </row>
    <row r="17" customFormat="false" ht="15" hidden="false" customHeight="false" outlineLevel="0" collapsed="false">
      <c r="A17" s="5" t="s">
        <v>380</v>
      </c>
      <c r="C17" s="42" t="n">
        <v>145.69745931</v>
      </c>
      <c r="D17" s="42" t="n">
        <v>75.66814564</v>
      </c>
      <c r="E17" s="42" t="n">
        <v>328.9843636</v>
      </c>
      <c r="F17" s="42" t="n">
        <v>518.33706323</v>
      </c>
      <c r="G17" s="42" t="n">
        <v>121.72997339</v>
      </c>
      <c r="H17" s="64" t="n">
        <f aca="false">H11</f>
        <v>153.63778263804</v>
      </c>
      <c r="I17" s="64" t="n">
        <f aca="false">I11</f>
        <v>172.457237630555</v>
      </c>
      <c r="J17" s="64" t="n">
        <f aca="false">J11</f>
        <v>194.994721647205</v>
      </c>
      <c r="K17" s="64" t="n">
        <f aca="false">K11</f>
        <v>218.547759519256</v>
      </c>
      <c r="L17" s="64" t="n">
        <f aca="false">L11</f>
        <v>238.408518421844</v>
      </c>
      <c r="N17" s="42" t="n">
        <v>64.90008192</v>
      </c>
      <c r="O17" s="22" t="s">
        <v>381</v>
      </c>
    </row>
    <row r="18" customFormat="false" ht="15" hidden="false" customHeight="false" outlineLevel="0" collapsed="false">
      <c r="A18" s="5" t="s">
        <v>382</v>
      </c>
      <c r="C18" s="80" t="n">
        <f aca="false">C14+C15+C16-C17</f>
        <v>3273.84305129</v>
      </c>
      <c r="D18" s="80" t="n">
        <f aca="false">D14+D15+D16-D17</f>
        <v>3680.85625587</v>
      </c>
      <c r="E18" s="80" t="n">
        <f aca="false">E14+E15+E16-E17</f>
        <v>4013.24944233</v>
      </c>
      <c r="F18" s="80" t="n">
        <f aca="false">F14+F15+F16-F17</f>
        <v>4345.51503323</v>
      </c>
      <c r="G18" s="80" t="n">
        <f aca="false">G14+G15+G16-G17</f>
        <v>4926.14139805</v>
      </c>
      <c r="H18" s="81" t="n">
        <f aca="false">H14+H15+H16-H17</f>
        <v>5558.11481070704</v>
      </c>
      <c r="I18" s="81" t="n">
        <f aca="false">I14+I15+I16-I17</f>
        <v>6270.87513701369</v>
      </c>
      <c r="J18" s="81" t="n">
        <f aca="false">J14+J15+J16-J17</f>
        <v>7072.17222673942</v>
      </c>
      <c r="K18" s="81" t="n">
        <f aca="false">K14+K15+K16-K17</f>
        <v>7954.63979596101</v>
      </c>
      <c r="L18" s="81" t="n">
        <f aca="false">L14+L15+L16-L17</f>
        <v>8903.97268384761</v>
      </c>
      <c r="N18" s="82" t="n">
        <v>5264.79752072</v>
      </c>
    </row>
    <row r="19" customFormat="false" ht="15" hidden="false" customHeight="false" outlineLevel="0" collapsed="false">
      <c r="A19" s="5" t="s">
        <v>383</v>
      </c>
      <c r="C19" s="8" t="n">
        <f aca="false">C12-C18-历史报表!E59</f>
        <v>6.51347983000142</v>
      </c>
      <c r="D19" s="8" t="n">
        <f aca="false">D12-D18-历史报表!F59</f>
        <v>6.5134856500008</v>
      </c>
      <c r="E19" s="8" t="n">
        <f aca="false">E12-E18-历史报表!G59</f>
        <v>0.982859740001914</v>
      </c>
      <c r="F19" s="8" t="n">
        <f aca="false">F12-F18-历史报表!H59</f>
        <v>0.849721340001906</v>
      </c>
      <c r="G19" s="8" t="n">
        <f aca="false">G12-G18-历史报表!I59</f>
        <v>0.849770730001183</v>
      </c>
      <c r="H19" s="64" t="n">
        <f aca="false">G19</f>
        <v>0.849770730001183</v>
      </c>
      <c r="I19" s="64" t="n">
        <f aca="false">H19</f>
        <v>0.849770730001183</v>
      </c>
      <c r="J19" s="64" t="n">
        <f aca="false">I19</f>
        <v>0.849770730001183</v>
      </c>
      <c r="K19" s="64" t="n">
        <f aca="false">J19</f>
        <v>0.849770730001183</v>
      </c>
      <c r="L19" s="64" t="n">
        <f aca="false">K19</f>
        <v>0.849770730001183</v>
      </c>
      <c r="N19" s="42" t="n">
        <v>0.84973506</v>
      </c>
      <c r="O19" s="22" t="s">
        <v>384</v>
      </c>
    </row>
    <row r="20" customFormat="false" ht="15" hidden="false" customHeight="false" outlineLevel="0" collapsed="false">
      <c r="A20" s="12" t="s">
        <v>385</v>
      </c>
      <c r="C20" s="68" t="n">
        <f aca="false">C12-C18-C19</f>
        <v>3458.9686</v>
      </c>
      <c r="D20" s="68" t="n">
        <f aca="false">D12-D18-D19</f>
        <v>3673.3317</v>
      </c>
      <c r="E20" s="68" t="n">
        <f aca="false">E12-E18-E19</f>
        <v>4194.2529</v>
      </c>
      <c r="F20" s="68" t="n">
        <f aca="false">F12-F18-F19</f>
        <v>3762.6742</v>
      </c>
      <c r="G20" s="68" t="n">
        <f aca="false">G12-G18-G19</f>
        <v>3608.4412</v>
      </c>
      <c r="H20" s="69" t="n">
        <f aca="false">H12-H18-H19</f>
        <v>4021.99306470492</v>
      </c>
      <c r="I20" s="69" t="n">
        <f aca="false">I12-I18-I19</f>
        <v>4561.31518376771</v>
      </c>
      <c r="J20" s="69" t="n">
        <f aca="false">J12-J18-J19</f>
        <v>5068.52019804478</v>
      </c>
      <c r="K20" s="69" t="n">
        <f aca="false">K12-K18-K19</f>
        <v>5289.42812341144</v>
      </c>
      <c r="L20" s="69" t="n">
        <f aca="false">L12-L18-L19</f>
        <v>5233.74450686211</v>
      </c>
      <c r="N20" s="68" t="n">
        <f aca="false">N12-N18-N19</f>
        <v>3972.79939767</v>
      </c>
    </row>
    <row r="21" customFormat="false" ht="15" hidden="false" customHeight="false" outlineLevel="0" collapsed="false">
      <c r="A21" s="5" t="s">
        <v>386</v>
      </c>
      <c r="C21" s="7" t="n">
        <f aca="false">C20-历史报表!E59</f>
        <v>0</v>
      </c>
      <c r="D21" s="7" t="n">
        <f aca="false">D20-历史报表!F59</f>
        <v>0</v>
      </c>
      <c r="E21" s="7" t="n">
        <f aca="false">E20-历史报表!G59</f>
        <v>0</v>
      </c>
      <c r="F21" s="7" t="n">
        <f aca="false">F20-历史报表!H59</f>
        <v>0</v>
      </c>
      <c r="G21" s="7" t="n">
        <f aca="false">G20-历史报表!I59</f>
        <v>0</v>
      </c>
      <c r="N21" s="7" t="n">
        <f aca="false">N20-历史报表!K59</f>
        <v>-2.3299999156734E-006</v>
      </c>
    </row>
    <row r="22" customFormat="false" ht="15" hidden="false" customHeight="false" outlineLevel="0" collapsed="false">
      <c r="A22" s="5" t="s">
        <v>387</v>
      </c>
      <c r="C22" s="76" t="n">
        <f aca="false">C15/(C7+0.5*(C8+C9))</f>
        <v>0.0818250802194589</v>
      </c>
      <c r="D22" s="76" t="n">
        <f aca="false">D15/(D7+0.5*(D8+D9))</f>
        <v>0.0674499068077423</v>
      </c>
      <c r="E22" s="76" t="n">
        <f aca="false">E15/(E7+0.5*(E8+E9))</f>
        <v>0.0826518953793846</v>
      </c>
      <c r="F22" s="76" t="n">
        <f aca="false">F15/(F7+0.5*(F8+F9))</f>
        <v>0.0823320426128994</v>
      </c>
      <c r="G22" s="76" t="n">
        <f aca="false">G15/(G7+0.5*(G8+G9))</f>
        <v>0.0838854496049123</v>
      </c>
      <c r="H22" s="77" t="n">
        <f aca="false">假设!H151</f>
        <v>0.086</v>
      </c>
      <c r="I22" s="77" t="n">
        <f aca="false">假设!I151</f>
        <v>0.086</v>
      </c>
      <c r="J22" s="77" t="n">
        <f aca="false">假设!J151</f>
        <v>0.086</v>
      </c>
      <c r="K22" s="77" t="n">
        <f aca="false">假设!K151</f>
        <v>0.086</v>
      </c>
      <c r="L22" s="77" t="n">
        <f aca="false">假设!L151</f>
        <v>0.086</v>
      </c>
    </row>
    <row r="23" customFormat="false" ht="15" hidden="false" customHeight="false" outlineLevel="0" collapsed="false">
      <c r="A23" s="5" t="s">
        <v>388</v>
      </c>
      <c r="C23" s="76" t="n">
        <f aca="false">C11/C7</f>
        <v>0.0245242362722216</v>
      </c>
      <c r="D23" s="76" t="n">
        <f aca="false">D11/D7</f>
        <v>0.0305953365119414</v>
      </c>
      <c r="E23" s="76" t="n">
        <f aca="false">E11/E7</f>
        <v>0.0478589125640796</v>
      </c>
      <c r="F23" s="76" t="n">
        <f aca="false">F11/F7</f>
        <v>0.0645065598737355</v>
      </c>
      <c r="G23" s="76" t="n">
        <f aca="false">G11/G7</f>
        <v>0.018657304960255</v>
      </c>
      <c r="H23" s="77" t="n">
        <f aca="false">假设!H155</f>
        <v>0.018</v>
      </c>
      <c r="I23" s="77" t="n">
        <f aca="false">假设!I155</f>
        <v>0.018</v>
      </c>
      <c r="J23" s="77" t="n">
        <f aca="false">假设!J155</f>
        <v>0.018</v>
      </c>
      <c r="K23" s="77" t="n">
        <f aca="false">假设!K155</f>
        <v>0.018</v>
      </c>
      <c r="L23" s="77" t="n">
        <f aca="false">假设!L155</f>
        <v>0.018</v>
      </c>
    </row>
    <row r="24" customFormat="false" ht="15" hidden="false" customHeight="false" outlineLevel="0" collapsed="false">
      <c r="A24" s="5" t="s">
        <v>389</v>
      </c>
      <c r="C24" s="14" t="n">
        <f aca="false">C18/C12</f>
        <v>0.485782031226311</v>
      </c>
      <c r="D24" s="14" t="n">
        <f aca="false">D18/D12</f>
        <v>0.500068680290053</v>
      </c>
      <c r="E24" s="14" t="n">
        <f aca="false">E18/E12</f>
        <v>0.488914744137925</v>
      </c>
      <c r="F24" s="14" t="n">
        <f aca="false">F18/F12</f>
        <v>0.535885332105971</v>
      </c>
      <c r="G24" s="14" t="n">
        <f aca="false">G18/G12</f>
        <v>0.577140229716812</v>
      </c>
      <c r="H24" s="63" t="n">
        <f aca="false">H18/H12</f>
        <v>0.580121008357152</v>
      </c>
      <c r="I24" s="63" t="n">
        <f aca="false">I18/I12</f>
        <v>0.578865681659154</v>
      </c>
      <c r="J24" s="63" t="n">
        <f aca="false">J18/J12</f>
        <v>0.582477259713539</v>
      </c>
      <c r="K24" s="63" t="n">
        <f aca="false">K18/K12</f>
        <v>0.600580538292456</v>
      </c>
      <c r="L24" s="63" t="n">
        <f aca="false">L18/L12</f>
        <v>0.629764862884019</v>
      </c>
    </row>
    <row r="25" customFormat="false" ht="15" hidden="false" customHeight="false" outlineLevel="0" collapsed="false">
      <c r="A25" s="47" t="s">
        <v>390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</row>
    <row r="26" customFormat="false" ht="15" hidden="false" customHeight="false" outlineLevel="0" collapsed="false">
      <c r="A26" s="5" t="s">
        <v>391</v>
      </c>
      <c r="C26" s="42" t="n">
        <v>877.2857</v>
      </c>
      <c r="D26" s="8" t="n">
        <f aca="false">C30</f>
        <v>1191.0416</v>
      </c>
      <c r="E26" s="8" t="n">
        <f aca="false">D30</f>
        <v>916.072</v>
      </c>
      <c r="F26" s="8" t="n">
        <f aca="false">E30</f>
        <v>429.2772</v>
      </c>
      <c r="G26" s="8" t="n">
        <f aca="false">F30</f>
        <v>889.8926</v>
      </c>
      <c r="H26" s="64" t="n">
        <f aca="false">G30</f>
        <v>1364.8068</v>
      </c>
      <c r="I26" s="64" t="n">
        <f aca="false">H30</f>
        <v>1465.64374</v>
      </c>
      <c r="J26" s="64" t="n">
        <f aca="false">I30</f>
        <v>1741.104057</v>
      </c>
      <c r="K26" s="64" t="n">
        <f aca="false">J30</f>
        <v>1837.60723135</v>
      </c>
      <c r="L26" s="64" t="n">
        <f aca="false">K30</f>
        <v>1615.6839772425</v>
      </c>
    </row>
    <row r="27" customFormat="false" ht="15" hidden="false" customHeight="false" outlineLevel="0" collapsed="false">
      <c r="A27" s="15" t="s">
        <v>392</v>
      </c>
      <c r="C27" s="13" t="n">
        <f aca="false">C30-C26+C28+C29</f>
        <v>570.47695334</v>
      </c>
      <c r="D27" s="13" t="n">
        <f aca="false">D30-D26+D28+D29</f>
        <v>296.40205149</v>
      </c>
      <c r="E27" s="13" t="n">
        <f aca="false">E30-E26+E28+E29</f>
        <v>315.10875422</v>
      </c>
      <c r="F27" s="13" t="n">
        <f aca="false">F30-F26+F28+F29</f>
        <v>554.45501675</v>
      </c>
      <c r="G27" s="13" t="n">
        <f aca="false">G30-G26+G28+G29</f>
        <v>831.63827386</v>
      </c>
      <c r="H27" s="83" t="n">
        <f aca="false">假设!H139</f>
        <v>1300</v>
      </c>
      <c r="I27" s="83" t="n">
        <f aca="false">假设!I139</f>
        <v>1700</v>
      </c>
      <c r="J27" s="83" t="n">
        <f aca="false">假设!J139</f>
        <v>1600</v>
      </c>
      <c r="K27" s="83" t="n">
        <f aca="false">假设!K139</f>
        <v>1100</v>
      </c>
      <c r="L27" s="83" t="n">
        <f aca="false">假设!L139</f>
        <v>900</v>
      </c>
      <c r="O27" s="22" t="s">
        <v>393</v>
      </c>
    </row>
    <row r="28" customFormat="false" ht="15" hidden="false" customHeight="false" outlineLevel="0" collapsed="false">
      <c r="A28" s="5" t="s">
        <v>394</v>
      </c>
      <c r="C28" s="8" t="n">
        <f aca="false">C9</f>
        <v>256.72105334</v>
      </c>
      <c r="D28" s="8" t="n">
        <f aca="false">D9</f>
        <v>406.12670791</v>
      </c>
      <c r="E28" s="8" t="n">
        <f aca="false">E9</f>
        <v>801.90355422</v>
      </c>
      <c r="F28" s="8" t="n">
        <f aca="false">F9</f>
        <v>93.83961675</v>
      </c>
      <c r="G28" s="8" t="n">
        <f aca="false">G9</f>
        <v>356.72407386</v>
      </c>
      <c r="H28" s="64" t="n">
        <f aca="false">(H26+H27)*H31</f>
        <v>1199.16306</v>
      </c>
      <c r="I28" s="64" t="n">
        <f aca="false">(I26+I27)*I31</f>
        <v>1424.539683</v>
      </c>
      <c r="J28" s="64" t="n">
        <f aca="false">(J26+J27)*J31</f>
        <v>1503.49682565</v>
      </c>
      <c r="K28" s="64" t="n">
        <f aca="false">(K26+K27)*K31</f>
        <v>1321.9232541075</v>
      </c>
      <c r="L28" s="64" t="n">
        <f aca="false">(L26+L27)*L31</f>
        <v>1132.05778975913</v>
      </c>
    </row>
    <row r="29" customFormat="false" ht="15" hidden="false" customHeight="false" outlineLevel="0" collapsed="false">
      <c r="A29" s="5" t="s">
        <v>395</v>
      </c>
      <c r="C29" s="42" t="n">
        <v>0</v>
      </c>
      <c r="D29" s="42" t="n">
        <v>165.24494358</v>
      </c>
      <c r="E29" s="42" t="n">
        <v>0</v>
      </c>
      <c r="F29" s="42" t="n">
        <v>0</v>
      </c>
      <c r="G29" s="42" t="n">
        <v>0</v>
      </c>
      <c r="H29" s="57" t="n">
        <v>0</v>
      </c>
      <c r="I29" s="57" t="n">
        <v>0</v>
      </c>
      <c r="J29" s="57" t="n">
        <v>0</v>
      </c>
      <c r="K29" s="57" t="n">
        <v>0</v>
      </c>
      <c r="L29" s="57" t="n">
        <v>0</v>
      </c>
    </row>
    <row r="30" customFormat="false" ht="15" hidden="false" customHeight="false" outlineLevel="0" collapsed="false">
      <c r="A30" s="12" t="s">
        <v>396</v>
      </c>
      <c r="C30" s="84" t="n">
        <f aca="false">历史报表!E61</f>
        <v>1191.0416</v>
      </c>
      <c r="D30" s="84" t="n">
        <f aca="false">历史报表!F61</f>
        <v>916.072</v>
      </c>
      <c r="E30" s="84" t="n">
        <f aca="false">历史报表!G61</f>
        <v>429.2772</v>
      </c>
      <c r="F30" s="84" t="n">
        <f aca="false">历史报表!H61</f>
        <v>889.8926</v>
      </c>
      <c r="G30" s="84" t="n">
        <f aca="false">历史报表!I61</f>
        <v>1364.8068</v>
      </c>
      <c r="H30" s="69" t="n">
        <f aca="false">H26+H27-H28-H29</f>
        <v>1465.64374</v>
      </c>
      <c r="I30" s="69" t="n">
        <f aca="false">I26+I27-I28-I29</f>
        <v>1741.104057</v>
      </c>
      <c r="J30" s="69" t="n">
        <f aca="false">J26+J27-J28-J29</f>
        <v>1837.60723135</v>
      </c>
      <c r="K30" s="69" t="n">
        <f aca="false">K26+K27-K28-K29</f>
        <v>1615.6839772425</v>
      </c>
      <c r="L30" s="69" t="n">
        <f aca="false">L26+L27-L28-L29</f>
        <v>1383.62618748338</v>
      </c>
      <c r="N30" s="84" t="n">
        <f aca="false">历史报表!K61</f>
        <v>1155.3614</v>
      </c>
    </row>
    <row r="31" customFormat="false" ht="15" hidden="false" customHeight="false" outlineLevel="0" collapsed="false">
      <c r="A31" s="5" t="s">
        <v>397</v>
      </c>
      <c r="C31" s="14" t="n">
        <f aca="false">C28/(C26+C27)</f>
        <v>0.177322610683279</v>
      </c>
      <c r="D31" s="14" t="n">
        <f aca="false">D28/(D26+D27)</f>
        <v>0.273036701258011</v>
      </c>
      <c r="E31" s="14" t="n">
        <f aca="false">E28/(E26+E27)</f>
        <v>0.651328857660739</v>
      </c>
      <c r="F31" s="14" t="n">
        <f aca="false">F28/(F26+F27)</f>
        <v>0.0953914237555644</v>
      </c>
      <c r="G31" s="14" t="n">
        <f aca="false">G28/(G26+G27)</f>
        <v>0.207213288635455</v>
      </c>
      <c r="H31" s="66" t="n">
        <f aca="false">假设!H147</f>
        <v>0.45</v>
      </c>
      <c r="I31" s="66" t="n">
        <f aca="false">假设!I147</f>
        <v>0.45</v>
      </c>
      <c r="J31" s="66" t="n">
        <f aca="false">假设!J147</f>
        <v>0.45</v>
      </c>
      <c r="K31" s="66" t="n">
        <f aca="false">假设!K147</f>
        <v>0.45</v>
      </c>
      <c r="L31" s="66" t="n">
        <f aca="false">假设!L147</f>
        <v>0.45</v>
      </c>
    </row>
    <row r="32" customFormat="false" ht="15" hidden="false" customHeight="false" outlineLevel="0" collapsed="false">
      <c r="A32" s="47" t="s">
        <v>398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customFormat="false" ht="15" hidden="false" customHeight="false" outlineLevel="0" collapsed="false">
      <c r="A33" s="5" t="s">
        <v>369</v>
      </c>
      <c r="C33" s="42" t="n">
        <v>1427.54107945</v>
      </c>
      <c r="D33" s="8" t="n">
        <f aca="false">C38</f>
        <v>1487.16106617</v>
      </c>
      <c r="E33" s="8" t="n">
        <f aca="false">D38</f>
        <v>1874.78881211</v>
      </c>
      <c r="F33" s="8" t="n">
        <f aca="false">E38</f>
        <v>2376.73885572</v>
      </c>
      <c r="G33" s="8" t="n">
        <f aca="false">F38</f>
        <v>2804.28375632</v>
      </c>
      <c r="H33" s="64" t="n">
        <f aca="false">G38</f>
        <v>3753.43016731</v>
      </c>
      <c r="I33" s="64" t="n">
        <f aca="false">H38</f>
        <v>4439.5526975619</v>
      </c>
      <c r="J33" s="64" t="n">
        <f aca="false">I38</f>
        <v>5107.87663383774</v>
      </c>
      <c r="K33" s="64" t="n">
        <f aca="false">J38</f>
        <v>5757.2704364409</v>
      </c>
      <c r="L33" s="64" t="n">
        <f aca="false">K38</f>
        <v>6388.62453534056</v>
      </c>
      <c r="N33" s="42" t="n">
        <v>3753.43016731</v>
      </c>
    </row>
    <row r="34" customFormat="false" ht="15" hidden="false" customHeight="false" outlineLevel="0" collapsed="false">
      <c r="A34" s="17" t="s">
        <v>399</v>
      </c>
      <c r="C34" s="42" t="n">
        <v>61.42092095</v>
      </c>
      <c r="D34" s="42" t="n">
        <v>115.89485148</v>
      </c>
      <c r="E34" s="42" t="n">
        <v>217.90332382</v>
      </c>
      <c r="F34" s="42" t="n">
        <v>101.05920914</v>
      </c>
      <c r="G34" s="42" t="n">
        <v>66.69917125</v>
      </c>
      <c r="H34" s="75" t="n">
        <f aca="false">假设!H143</f>
        <v>70</v>
      </c>
      <c r="I34" s="75" t="n">
        <f aca="false">假设!I143</f>
        <v>70</v>
      </c>
      <c r="J34" s="75" t="n">
        <f aca="false">假设!J143</f>
        <v>70</v>
      </c>
      <c r="K34" s="75" t="n">
        <f aca="false">假设!K143</f>
        <v>70</v>
      </c>
      <c r="L34" s="75" t="n">
        <f aca="false">假设!L143</f>
        <v>70</v>
      </c>
      <c r="N34" s="42" t="n">
        <v>7.93482252</v>
      </c>
    </row>
    <row r="35" customFormat="false" ht="15" hidden="false" customHeight="false" outlineLevel="0" collapsed="false">
      <c r="A35" s="15" t="s">
        <v>400</v>
      </c>
      <c r="C35" s="61" t="n">
        <v>1.78</v>
      </c>
      <c r="D35" s="61" t="n">
        <v>124.28470739</v>
      </c>
      <c r="E35" s="61" t="n">
        <v>351.50396415</v>
      </c>
      <c r="F35" s="61" t="n">
        <v>361.3500793</v>
      </c>
      <c r="G35" s="61" t="n">
        <v>906.86020033</v>
      </c>
      <c r="H35" s="62" t="n">
        <f aca="false">H51</f>
        <v>616.122530251904</v>
      </c>
      <c r="I35" s="62" t="n">
        <f aca="false">I51</f>
        <v>598.323936275835</v>
      </c>
      <c r="J35" s="62" t="n">
        <f aca="false">J51</f>
        <v>579.393802603159</v>
      </c>
      <c r="K35" s="62" t="n">
        <f aca="false">K51</f>
        <v>561.354098899657</v>
      </c>
      <c r="L35" s="62" t="n">
        <f aca="false">L51</f>
        <v>544.675176422261</v>
      </c>
      <c r="N35" s="61" t="n">
        <v>25.83463427</v>
      </c>
    </row>
    <row r="36" customFormat="false" ht="15" hidden="false" customHeight="false" outlineLevel="0" collapsed="false">
      <c r="A36" s="17" t="s">
        <v>401</v>
      </c>
      <c r="C36" s="42" t="n">
        <v>3.95239396766556E-014</v>
      </c>
      <c r="D36" s="42" t="n">
        <v>180.30611502</v>
      </c>
      <c r="E36" s="42" t="n">
        <v>0.0537956599997642</v>
      </c>
      <c r="F36" s="42" t="n">
        <v>56.5794000000003</v>
      </c>
      <c r="G36" s="42" t="n">
        <v>2.02985459999976</v>
      </c>
      <c r="H36" s="64" t="n">
        <f aca="false">H29</f>
        <v>0</v>
      </c>
      <c r="I36" s="64" t="n">
        <f aca="false">I29</f>
        <v>0</v>
      </c>
      <c r="J36" s="64" t="n">
        <f aca="false">J29</f>
        <v>0</v>
      </c>
      <c r="K36" s="64" t="n">
        <f aca="false">K29</f>
        <v>0</v>
      </c>
      <c r="L36" s="64" t="n">
        <f aca="false">L29</f>
        <v>0</v>
      </c>
    </row>
    <row r="37" customFormat="false" ht="15" hidden="false" customHeight="false" outlineLevel="0" collapsed="false">
      <c r="A37" s="5" t="s">
        <v>402</v>
      </c>
      <c r="C37" s="42" t="n">
        <v>3.58093423</v>
      </c>
      <c r="D37" s="42" t="n">
        <v>32.85792795</v>
      </c>
      <c r="E37" s="42" t="n">
        <v>67.51104002</v>
      </c>
      <c r="F37" s="42" t="n">
        <v>91.44378784</v>
      </c>
      <c r="G37" s="42" t="n">
        <v>26.44281519</v>
      </c>
      <c r="H37" s="57" t="n">
        <v>0</v>
      </c>
      <c r="I37" s="57" t="n">
        <v>0</v>
      </c>
      <c r="J37" s="57" t="n">
        <v>0</v>
      </c>
      <c r="K37" s="57" t="n">
        <v>0</v>
      </c>
      <c r="L37" s="57" t="n">
        <v>0</v>
      </c>
      <c r="N37" s="42" t="n">
        <v>2.73404772</v>
      </c>
    </row>
    <row r="38" customFormat="false" ht="15" hidden="false" customHeight="false" outlineLevel="0" collapsed="false">
      <c r="A38" s="5" t="s">
        <v>375</v>
      </c>
      <c r="C38" s="80" t="n">
        <f aca="false">C33+C34+C35+C36-C37</f>
        <v>1487.16106617</v>
      </c>
      <c r="D38" s="80" t="n">
        <f aca="false">D33+D34+D35+D36-D37</f>
        <v>1874.78881211</v>
      </c>
      <c r="E38" s="80" t="n">
        <f aca="false">E33+E34+E35+E36-E37</f>
        <v>2376.73885572</v>
      </c>
      <c r="F38" s="80" t="n">
        <f aca="false">F33+F34+F35+F36-F37</f>
        <v>2804.28375632</v>
      </c>
      <c r="G38" s="80" t="n">
        <f aca="false">G33+G34+G35+G36-G37</f>
        <v>3753.43016731</v>
      </c>
      <c r="H38" s="81" t="n">
        <f aca="false">H33+H34+H35+H36-H37</f>
        <v>4439.5526975619</v>
      </c>
      <c r="I38" s="81" t="n">
        <f aca="false">I33+I34+I35+I36-I37</f>
        <v>5107.87663383774</v>
      </c>
      <c r="J38" s="81" t="n">
        <f aca="false">J33+J34+J35+J36-J37</f>
        <v>5757.2704364409</v>
      </c>
      <c r="K38" s="81" t="n">
        <f aca="false">K33+K34+K35+K36-K37</f>
        <v>6388.62453534056</v>
      </c>
      <c r="L38" s="81" t="n">
        <f aca="false">L33+L34+L35+L36-L37</f>
        <v>7003.29971176282</v>
      </c>
      <c r="N38" s="82" t="n">
        <v>3784.46557638</v>
      </c>
    </row>
    <row r="39" customFormat="false" ht="15" hidden="false" customHeight="false" outlineLevel="0" collapsed="false">
      <c r="A39" s="5" t="s">
        <v>403</v>
      </c>
      <c r="C39" s="42" t="n">
        <v>427.55604485</v>
      </c>
      <c r="D39" s="8" t="n">
        <f aca="false">C43</f>
        <v>529.84177802</v>
      </c>
      <c r="E39" s="8" t="n">
        <f aca="false">D43</f>
        <v>666.52786845</v>
      </c>
      <c r="F39" s="8" t="n">
        <f aca="false">E43</f>
        <v>817.31539083</v>
      </c>
      <c r="G39" s="8" t="n">
        <f aca="false">F43</f>
        <v>1056.16863211</v>
      </c>
      <c r="H39" s="64" t="n">
        <f aca="false">G43</f>
        <v>1339.50168716</v>
      </c>
      <c r="I39" s="64" t="n">
        <f aca="false">H43</f>
        <v>1749.1508304036</v>
      </c>
      <c r="J39" s="64" t="n">
        <f aca="false">I43</f>
        <v>2226.52229697358</v>
      </c>
      <c r="K39" s="64" t="n">
        <f aca="false">J43</f>
        <v>2769.77965048751</v>
      </c>
      <c r="L39" s="64" t="n">
        <f aca="false">K43</f>
        <v>3377.07439907658</v>
      </c>
      <c r="N39" s="42" t="n">
        <v>1339.50168716</v>
      </c>
    </row>
    <row r="40" customFormat="false" ht="15" hidden="false" customHeight="false" outlineLevel="0" collapsed="false">
      <c r="A40" s="15" t="s">
        <v>404</v>
      </c>
      <c r="C40" s="61" t="n">
        <v>105.73310693</v>
      </c>
      <c r="D40" s="61" t="n">
        <v>153.71146581</v>
      </c>
      <c r="E40" s="61" t="n">
        <v>209.52210299</v>
      </c>
      <c r="F40" s="61" t="n">
        <v>257.1972167</v>
      </c>
      <c r="G40" s="61" t="n">
        <v>304.67627776</v>
      </c>
      <c r="H40" s="62" t="n">
        <f aca="false">H47*(H33+0.5*(H34+H35+H36))</f>
        <v>409.649143243595</v>
      </c>
      <c r="I40" s="62" t="n">
        <f aca="false">I47*(I33+0.5*(I34+I35+I36))</f>
        <v>477.371466569982</v>
      </c>
      <c r="J40" s="62" t="n">
        <f aca="false">J47*(J33+0.5*(J34+J35+J36))</f>
        <v>543.257353513932</v>
      </c>
      <c r="K40" s="62" t="n">
        <f aca="false">K47*(K33+0.5*(K34+K35+K36))</f>
        <v>607.294748589073</v>
      </c>
      <c r="L40" s="62" t="n">
        <f aca="false">L47*(L33+0.5*(L34+L35+L36))</f>
        <v>669.596212355169</v>
      </c>
      <c r="N40" s="61" t="n">
        <v>191.21775629</v>
      </c>
    </row>
    <row r="41" customFormat="false" ht="15" hidden="false" customHeight="false" outlineLevel="0" collapsed="false">
      <c r="A41" s="17" t="s">
        <v>379</v>
      </c>
      <c r="C41" s="42" t="n">
        <v>-4.79616346638068E-014</v>
      </c>
      <c r="D41" s="42" t="n">
        <v>11.61221125</v>
      </c>
      <c r="E41" s="42" t="n">
        <v>0.00596508000003126</v>
      </c>
      <c r="F41" s="42" t="n">
        <v>1.06581410364015E-014</v>
      </c>
      <c r="G41" s="42" t="n">
        <v>0.00134199999997975</v>
      </c>
      <c r="H41" s="57" t="n">
        <v>0</v>
      </c>
      <c r="I41" s="57" t="n">
        <v>0</v>
      </c>
      <c r="J41" s="57" t="n">
        <v>0</v>
      </c>
      <c r="K41" s="57" t="n">
        <v>0</v>
      </c>
      <c r="L41" s="57" t="n">
        <v>0</v>
      </c>
    </row>
    <row r="42" customFormat="false" ht="15" hidden="false" customHeight="false" outlineLevel="0" collapsed="false">
      <c r="A42" s="5" t="s">
        <v>405</v>
      </c>
      <c r="C42" s="42" t="n">
        <v>3.44737376</v>
      </c>
      <c r="D42" s="42" t="n">
        <v>28.63758663</v>
      </c>
      <c r="E42" s="42" t="n">
        <v>58.74054569</v>
      </c>
      <c r="F42" s="42" t="n">
        <v>18.34397542</v>
      </c>
      <c r="G42" s="42" t="n">
        <v>21.34456471</v>
      </c>
      <c r="H42" s="57" t="n">
        <v>0</v>
      </c>
      <c r="I42" s="57" t="n">
        <v>0</v>
      </c>
      <c r="J42" s="57" t="n">
        <v>0</v>
      </c>
      <c r="K42" s="57" t="n">
        <v>0</v>
      </c>
      <c r="L42" s="57" t="n">
        <v>0</v>
      </c>
      <c r="N42" s="42" t="n">
        <v>1.69302272</v>
      </c>
    </row>
    <row r="43" customFormat="false" ht="15" hidden="false" customHeight="false" outlineLevel="0" collapsed="false">
      <c r="A43" s="5" t="s">
        <v>406</v>
      </c>
      <c r="C43" s="80" t="n">
        <f aca="false">C39+C40+C41-C42</f>
        <v>529.84177802</v>
      </c>
      <c r="D43" s="80" t="n">
        <f aca="false">D39+D40+D41-D42</f>
        <v>666.52786845</v>
      </c>
      <c r="E43" s="80" t="n">
        <f aca="false">E39+E40+E41-E42</f>
        <v>817.31539083</v>
      </c>
      <c r="F43" s="80" t="n">
        <f aca="false">F39+F40+F41-F42</f>
        <v>1056.16863211</v>
      </c>
      <c r="G43" s="80" t="n">
        <f aca="false">G39+G40+G41-G42</f>
        <v>1339.50168716</v>
      </c>
      <c r="H43" s="81" t="n">
        <f aca="false">H39+H40+H41-H42</f>
        <v>1749.1508304036</v>
      </c>
      <c r="I43" s="81" t="n">
        <f aca="false">I39+I40+I41-I42</f>
        <v>2226.52229697358</v>
      </c>
      <c r="J43" s="81" t="n">
        <f aca="false">J39+J40+J41-J42</f>
        <v>2769.77965048751</v>
      </c>
      <c r="K43" s="81" t="n">
        <f aca="false">K39+K40+K41-K42</f>
        <v>3377.07439907658</v>
      </c>
      <c r="L43" s="81" t="n">
        <f aca="false">L39+L40+L41-L42</f>
        <v>4046.67061143175</v>
      </c>
      <c r="N43" s="82" t="n">
        <v>1529.02642073</v>
      </c>
    </row>
    <row r="44" customFormat="false" ht="15" hidden="false" customHeight="false" outlineLevel="0" collapsed="false">
      <c r="A44" s="5" t="s">
        <v>383</v>
      </c>
      <c r="C44" s="8" t="n">
        <f aca="false">C38-C43-历史报表!E64</f>
        <v>0.422188150000125</v>
      </c>
      <c r="D44" s="8" t="n">
        <f aca="false">D38-D43-历史报表!F64</f>
        <v>6.1222436600001</v>
      </c>
      <c r="E44" s="8" t="n">
        <f aca="false">E38-E43-历史报表!G64</f>
        <v>6.12216488999957</v>
      </c>
      <c r="F44" s="8" t="n">
        <f aca="false">F38-F43-历史报表!H64</f>
        <v>6.12222421000024</v>
      </c>
      <c r="G44" s="8" t="n">
        <f aca="false">G38-G43-历史报表!I64</f>
        <v>6.12218014999962</v>
      </c>
      <c r="H44" s="64" t="n">
        <f aca="false">G44</f>
        <v>6.12218014999962</v>
      </c>
      <c r="I44" s="64" t="n">
        <f aca="false">H44</f>
        <v>6.12218014999962</v>
      </c>
      <c r="J44" s="64" t="n">
        <f aca="false">I44</f>
        <v>6.12218014999962</v>
      </c>
      <c r="K44" s="64" t="n">
        <f aca="false">J44</f>
        <v>6.12218014999962</v>
      </c>
      <c r="L44" s="64" t="n">
        <f aca="false">K44</f>
        <v>6.12218014999962</v>
      </c>
      <c r="N44" s="42" t="n">
        <v>6.14</v>
      </c>
      <c r="O44" s="22" t="s">
        <v>407</v>
      </c>
    </row>
    <row r="45" customFormat="false" ht="15" hidden="false" customHeight="false" outlineLevel="0" collapsed="false">
      <c r="A45" s="12" t="s">
        <v>408</v>
      </c>
      <c r="C45" s="68" t="n">
        <f aca="false">C38-C43-C44</f>
        <v>956.8971</v>
      </c>
      <c r="D45" s="68" t="n">
        <f aca="false">D38-D43-D44</f>
        <v>1202.1387</v>
      </c>
      <c r="E45" s="68" t="n">
        <f aca="false">E38-E43-E44</f>
        <v>1553.3013</v>
      </c>
      <c r="F45" s="68" t="n">
        <f aca="false">F38-F43-F44</f>
        <v>1741.9929</v>
      </c>
      <c r="G45" s="68" t="n">
        <f aca="false">G38-G43-G44</f>
        <v>2407.8063</v>
      </c>
      <c r="H45" s="69" t="n">
        <f aca="false">H38-H43-H44</f>
        <v>2684.27968700831</v>
      </c>
      <c r="I45" s="69" t="n">
        <f aca="false">I38-I43-I44</f>
        <v>2875.23215671416</v>
      </c>
      <c r="J45" s="69" t="n">
        <f aca="false">J38-J43-J44</f>
        <v>2981.36860580339</v>
      </c>
      <c r="K45" s="69" t="n">
        <f aca="false">K38-K43-K44</f>
        <v>3005.42795611397</v>
      </c>
      <c r="L45" s="69" t="n">
        <f aca="false">L38-L43-L44</f>
        <v>2950.50692018107</v>
      </c>
      <c r="N45" s="68" t="n">
        <f aca="false">N38-N43-N44</f>
        <v>2249.29915565</v>
      </c>
    </row>
    <row r="46" customFormat="false" ht="15" hidden="false" customHeight="false" outlineLevel="0" collapsed="false">
      <c r="A46" s="5" t="s">
        <v>386</v>
      </c>
      <c r="C46" s="7" t="n">
        <f aca="false">C45-历史报表!E64</f>
        <v>0</v>
      </c>
      <c r="D46" s="7" t="n">
        <f aca="false">D45-历史报表!F64</f>
        <v>0</v>
      </c>
      <c r="E46" s="7" t="n">
        <f aca="false">E45-历史报表!G64</f>
        <v>0</v>
      </c>
      <c r="F46" s="7" t="n">
        <f aca="false">F45-历史报表!H64</f>
        <v>0</v>
      </c>
      <c r="G46" s="7" t="n">
        <f aca="false">G45-历史报表!I64</f>
        <v>0</v>
      </c>
      <c r="N46" s="7" t="n">
        <f aca="false">N45-历史报表!K64</f>
        <v>-0.0178443499994501</v>
      </c>
    </row>
    <row r="47" customFormat="false" ht="15" hidden="false" customHeight="false" outlineLevel="0" collapsed="false">
      <c r="A47" s="5" t="s">
        <v>409</v>
      </c>
      <c r="C47" s="76" t="n">
        <f aca="false">C40/(C33+0.5*(C34+C35+C36))</f>
        <v>0.0724625432399346</v>
      </c>
      <c r="D47" s="76" t="n">
        <f aca="false">D40/(D33+0.5*(D34+D35+D36))</f>
        <v>0.0905568000214419</v>
      </c>
      <c r="E47" s="76" t="n">
        <f aca="false">E40/(E33+0.5*(E34+E35+E36))</f>
        <v>0.0970225631963828</v>
      </c>
      <c r="F47" s="76" t="n">
        <f aca="false">F40/(F33+0.5*(F34+F35+F36))</f>
        <v>0.0975623919408396</v>
      </c>
      <c r="G47" s="76" t="n">
        <f aca="false">G40/(G33+0.5*(G34+G35+G36))</f>
        <v>0.0925483064410169</v>
      </c>
      <c r="H47" s="77" t="n">
        <f aca="false">假设!H159</f>
        <v>0.1</v>
      </c>
      <c r="I47" s="77" t="n">
        <f aca="false">假设!I159</f>
        <v>0.1</v>
      </c>
      <c r="J47" s="77" t="n">
        <f aca="false">假设!J159</f>
        <v>0.1</v>
      </c>
      <c r="K47" s="77" t="n">
        <f aca="false">假设!K159</f>
        <v>0.1</v>
      </c>
      <c r="L47" s="77" t="n">
        <f aca="false">假设!L159</f>
        <v>0.1</v>
      </c>
    </row>
    <row r="48" customFormat="false" ht="15" hidden="false" customHeight="false" outlineLevel="0" collapsed="false">
      <c r="A48" s="47" t="s">
        <v>410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customFormat="false" ht="15" hidden="false" customHeight="false" outlineLevel="0" collapsed="false">
      <c r="A49" s="5" t="s">
        <v>391</v>
      </c>
      <c r="C49" s="42" t="n">
        <v>1134.4627</v>
      </c>
      <c r="D49" s="8" t="n">
        <f aca="false">C53</f>
        <v>1124.4628</v>
      </c>
      <c r="E49" s="8" t="n">
        <f aca="false">D53</f>
        <v>1020.541</v>
      </c>
      <c r="F49" s="8" t="n">
        <f aca="false">E53</f>
        <v>938.2379</v>
      </c>
      <c r="G49" s="8" t="n">
        <f aca="false">F53</f>
        <v>1273.7418</v>
      </c>
      <c r="H49" s="64" t="n">
        <f aca="false">G53</f>
        <v>953.7547</v>
      </c>
      <c r="I49" s="64" t="n">
        <f aca="false">H53</f>
        <v>924.183795377856</v>
      </c>
      <c r="J49" s="64" t="n">
        <f aca="false">I53</f>
        <v>897.485904413753</v>
      </c>
      <c r="K49" s="64" t="n">
        <f aca="false">J53</f>
        <v>869.090703904739</v>
      </c>
      <c r="L49" s="64" t="n">
        <f aca="false">K53</f>
        <v>842.031148349486</v>
      </c>
    </row>
    <row r="50" customFormat="false" ht="15" hidden="false" customHeight="false" outlineLevel="0" collapsed="false">
      <c r="A50" s="17" t="s">
        <v>411</v>
      </c>
      <c r="C50" s="74" t="n">
        <f aca="false">费用!C17</f>
        <v>265.305329</v>
      </c>
      <c r="D50" s="74" t="n">
        <f aca="false">费用!D17</f>
        <v>291.901806</v>
      </c>
      <c r="E50" s="74" t="n">
        <f aca="false">费用!E17</f>
        <v>278.164092</v>
      </c>
      <c r="F50" s="74" t="n">
        <f aca="false">费用!F17</f>
        <v>696.854014</v>
      </c>
      <c r="G50" s="74" t="n">
        <f aca="false">费用!G17</f>
        <v>587.826407</v>
      </c>
      <c r="H50" s="75" t="n">
        <f aca="false">费用!H17</f>
        <v>586.55162562976</v>
      </c>
      <c r="I50" s="75" t="n">
        <f aca="false">费用!I17</f>
        <v>571.626045311731</v>
      </c>
      <c r="J50" s="75" t="n">
        <f aca="false">费用!J17</f>
        <v>550.998602094145</v>
      </c>
      <c r="K50" s="75" t="n">
        <f aca="false">费用!K17</f>
        <v>534.294543344405</v>
      </c>
      <c r="L50" s="75" t="n">
        <f aca="false">费用!L17</f>
        <v>519.656792706167</v>
      </c>
    </row>
    <row r="51" customFormat="false" ht="15" hidden="false" customHeight="false" outlineLevel="0" collapsed="false">
      <c r="A51" s="5" t="s">
        <v>412</v>
      </c>
      <c r="C51" s="8" t="n">
        <f aca="false">C35</f>
        <v>1.78</v>
      </c>
      <c r="D51" s="8" t="n">
        <f aca="false">D35</f>
        <v>124.28470739</v>
      </c>
      <c r="E51" s="8" t="n">
        <f aca="false">E35</f>
        <v>351.50396415</v>
      </c>
      <c r="F51" s="8" t="n">
        <f aca="false">F35</f>
        <v>361.3500793</v>
      </c>
      <c r="G51" s="8" t="n">
        <f aca="false">G35</f>
        <v>906.86020033</v>
      </c>
      <c r="H51" s="64" t="n">
        <f aca="false">(H49+H50)*H54</f>
        <v>616.122530251904</v>
      </c>
      <c r="I51" s="64" t="n">
        <f aca="false">(I49+I50)*I54</f>
        <v>598.323936275835</v>
      </c>
      <c r="J51" s="64" t="n">
        <f aca="false">(J49+J50)*J54</f>
        <v>579.393802603159</v>
      </c>
      <c r="K51" s="64" t="n">
        <f aca="false">(K49+K50)*K54</f>
        <v>561.354098899657</v>
      </c>
      <c r="L51" s="64" t="n">
        <f aca="false">(L49+L50)*L54</f>
        <v>544.675176422261</v>
      </c>
    </row>
    <row r="52" customFormat="false" ht="15" hidden="false" customHeight="false" outlineLevel="0" collapsed="false">
      <c r="A52" s="17" t="s">
        <v>413</v>
      </c>
      <c r="C52" s="8" t="n">
        <f aca="false">C53-C49-C50+C51</f>
        <v>-273.525229</v>
      </c>
      <c r="D52" s="8" t="n">
        <f aca="false">D53-D49-D50+D51</f>
        <v>-271.53889861</v>
      </c>
      <c r="E52" s="8" t="n">
        <f aca="false">E53-E49-E50+E51</f>
        <v>-8.96322785000007</v>
      </c>
      <c r="F52" s="8" t="n">
        <f aca="false">F53-F49-F50+F51</f>
        <v>-3.46999999578657E-005</v>
      </c>
      <c r="G52" s="8" t="n">
        <f aca="false">G53-G49-G50+G51</f>
        <v>-0.953306670000075</v>
      </c>
      <c r="H52" s="57" t="n">
        <v>0</v>
      </c>
      <c r="I52" s="57" t="n">
        <v>0</v>
      </c>
      <c r="J52" s="57" t="n">
        <v>0</v>
      </c>
      <c r="K52" s="57" t="n">
        <v>0</v>
      </c>
      <c r="L52" s="57" t="n">
        <v>0</v>
      </c>
    </row>
    <row r="53" customFormat="false" ht="15" hidden="false" customHeight="false" outlineLevel="0" collapsed="false">
      <c r="A53" s="12" t="s">
        <v>396</v>
      </c>
      <c r="C53" s="84" t="n">
        <f aca="false">历史报表!E65</f>
        <v>1124.4628</v>
      </c>
      <c r="D53" s="84" t="n">
        <f aca="false">历史报表!F65</f>
        <v>1020.541</v>
      </c>
      <c r="E53" s="84" t="n">
        <f aca="false">历史报表!G65</f>
        <v>938.2379</v>
      </c>
      <c r="F53" s="84" t="n">
        <f aca="false">历史报表!H65</f>
        <v>1273.7418</v>
      </c>
      <c r="G53" s="84" t="n">
        <f aca="false">历史报表!I65</f>
        <v>953.7547</v>
      </c>
      <c r="H53" s="69" t="n">
        <f aca="false">H49+H50-H51+H52</f>
        <v>924.183795377856</v>
      </c>
      <c r="I53" s="69" t="n">
        <f aca="false">I49+I50-I51+I52</f>
        <v>897.485904413753</v>
      </c>
      <c r="J53" s="69" t="n">
        <f aca="false">J49+J50-J51+J52</f>
        <v>869.090703904739</v>
      </c>
      <c r="K53" s="69" t="n">
        <f aca="false">K49+K50-K51+K52</f>
        <v>842.031148349486</v>
      </c>
      <c r="L53" s="69" t="n">
        <f aca="false">L49+L50-L51+L52</f>
        <v>817.012764633392</v>
      </c>
      <c r="N53" s="84" t="n">
        <f aca="false">历史报表!K65</f>
        <v>1229.9452</v>
      </c>
    </row>
    <row r="54" customFormat="false" ht="15" hidden="false" customHeight="false" outlineLevel="0" collapsed="false">
      <c r="A54" s="5" t="s">
        <v>414</v>
      </c>
      <c r="C54" s="14" t="n">
        <f aca="false">C51/(C49+C50)</f>
        <v>0.00127163927388143</v>
      </c>
      <c r="D54" s="14" t="n">
        <f aca="false">D51/(D49+D50)</f>
        <v>0.087749091486405</v>
      </c>
      <c r="E54" s="14" t="n">
        <f aca="false">E51/(E49+E50)</f>
        <v>0.270657261848943</v>
      </c>
      <c r="F54" s="14" t="n">
        <f aca="false">F51/(F49+F50)</f>
        <v>0.220996799143855</v>
      </c>
      <c r="G54" s="14" t="n">
        <f aca="false">G51/(G49+G50)</f>
        <v>0.48714852183227</v>
      </c>
      <c r="H54" s="66" t="n">
        <f aca="false">假设!H163</f>
        <v>0.4</v>
      </c>
      <c r="I54" s="66" t="n">
        <f aca="false">假设!I163</f>
        <v>0.4</v>
      </c>
      <c r="J54" s="66" t="n">
        <f aca="false">假设!J163</f>
        <v>0.4</v>
      </c>
      <c r="K54" s="66" t="n">
        <f aca="false">假设!K163</f>
        <v>0.4</v>
      </c>
      <c r="L54" s="66" t="n">
        <f aca="false">假设!L163</f>
        <v>0.4</v>
      </c>
    </row>
    <row r="55" customFormat="false" ht="15" hidden="false" customHeight="false" outlineLevel="0" collapsed="false">
      <c r="A55" s="47" t="s">
        <v>415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</row>
    <row r="56" customFormat="false" ht="15" hidden="false" customHeight="false" outlineLevel="0" collapsed="false">
      <c r="A56" s="5" t="s">
        <v>416</v>
      </c>
      <c r="C56" s="74" t="n">
        <f aca="false">历史报表!E63</f>
        <v>88.6436</v>
      </c>
      <c r="D56" s="74" t="n">
        <f aca="false">历史报表!F63</f>
        <v>147.4453</v>
      </c>
      <c r="E56" s="74" t="n">
        <f aca="false">历史报表!G63</f>
        <v>78.6099</v>
      </c>
      <c r="F56" s="74" t="n">
        <f aca="false">历史报表!H63</f>
        <v>160.5597</v>
      </c>
      <c r="G56" s="74" t="n">
        <f aca="false">历史报表!I63</f>
        <v>108.2493</v>
      </c>
      <c r="H56" s="64" t="n">
        <f aca="false">G56</f>
        <v>108.2493</v>
      </c>
      <c r="I56" s="64" t="n">
        <f aca="false">H56</f>
        <v>108.2493</v>
      </c>
      <c r="J56" s="64" t="n">
        <f aca="false">I56</f>
        <v>108.2493</v>
      </c>
      <c r="K56" s="64" t="n">
        <f aca="false">J56</f>
        <v>108.2493</v>
      </c>
      <c r="L56" s="64" t="n">
        <f aca="false">K56</f>
        <v>108.2493</v>
      </c>
      <c r="N56" s="74" t="n">
        <f aca="false">历史报表!K63</f>
        <v>79.9477</v>
      </c>
      <c r="O56" s="22" t="s">
        <v>417</v>
      </c>
    </row>
    <row r="57" customFormat="false" ht="15" hidden="false" customHeight="false" outlineLevel="0" collapsed="false">
      <c r="A57" s="5" t="s">
        <v>418</v>
      </c>
      <c r="C57" s="74" t="n">
        <f aca="false">历史报表!E151</f>
        <v>29.1999</v>
      </c>
      <c r="D57" s="74" t="n">
        <f aca="false">历史报表!F151</f>
        <v>83.9439</v>
      </c>
      <c r="E57" s="74" t="n">
        <f aca="false">历史报表!G151</f>
        <v>88.8283</v>
      </c>
      <c r="F57" s="74" t="n">
        <f aca="false">历史报表!H151</f>
        <v>69.341</v>
      </c>
      <c r="G57" s="74" t="n">
        <f aca="false">历史报表!I151</f>
        <v>69.2566</v>
      </c>
      <c r="H57" s="75" t="n">
        <f aca="false">假设!H167</f>
        <v>60</v>
      </c>
      <c r="I57" s="75" t="n">
        <f aca="false">假设!I167</f>
        <v>60</v>
      </c>
      <c r="J57" s="75" t="n">
        <f aca="false">假设!J167</f>
        <v>60</v>
      </c>
      <c r="K57" s="75" t="n">
        <f aca="false">假设!K167</f>
        <v>60</v>
      </c>
      <c r="L57" s="75" t="n">
        <f aca="false">假设!L167</f>
        <v>60</v>
      </c>
    </row>
    <row r="58" customFormat="false" ht="15" hidden="false" customHeight="false" outlineLevel="0" collapsed="false">
      <c r="A58" s="5" t="s">
        <v>419</v>
      </c>
      <c r="C58" s="74" t="n">
        <f aca="false">历史报表!E67</f>
        <v>57.8415</v>
      </c>
      <c r="D58" s="74" t="n">
        <f aca="false">历史报表!F67</f>
        <v>50.8145</v>
      </c>
      <c r="E58" s="74" t="n">
        <f aca="false">历史报表!G67</f>
        <v>48.4462</v>
      </c>
      <c r="F58" s="74" t="n">
        <f aca="false">历史报表!H67</f>
        <v>39.0585</v>
      </c>
      <c r="G58" s="74" t="n">
        <f aca="false">历史报表!I67</f>
        <v>36.4732</v>
      </c>
      <c r="H58" s="64" t="n">
        <f aca="false">G58</f>
        <v>36.4732</v>
      </c>
      <c r="I58" s="64" t="n">
        <f aca="false">H58</f>
        <v>36.4732</v>
      </c>
      <c r="J58" s="64" t="n">
        <f aca="false">I58</f>
        <v>36.4732</v>
      </c>
      <c r="K58" s="64" t="n">
        <f aca="false">J58</f>
        <v>36.4732</v>
      </c>
      <c r="L58" s="64" t="n">
        <f aca="false">K58</f>
        <v>36.4732</v>
      </c>
    </row>
    <row r="59" customFormat="false" ht="15" hidden="false" customHeight="false" outlineLevel="0" collapsed="false">
      <c r="A59" s="5" t="s">
        <v>420</v>
      </c>
      <c r="C59" s="74" t="n">
        <f aca="false">历史报表!E152</f>
        <v>12.7651</v>
      </c>
      <c r="D59" s="74" t="n">
        <f aca="false">历史报表!F152</f>
        <v>10.2963</v>
      </c>
      <c r="E59" s="74" t="n">
        <f aca="false">历史报表!G152</f>
        <v>7.4813</v>
      </c>
      <c r="F59" s="74" t="n">
        <f aca="false">历史报表!H152</f>
        <v>9.405</v>
      </c>
      <c r="G59" s="74" t="n">
        <f aca="false">历史报表!I152</f>
        <v>7.4958</v>
      </c>
      <c r="H59" s="75" t="n">
        <f aca="false">假设!H171</f>
        <v>8</v>
      </c>
      <c r="I59" s="75" t="n">
        <f aca="false">假设!I171</f>
        <v>8</v>
      </c>
      <c r="J59" s="75" t="n">
        <f aca="false">假设!J171</f>
        <v>8</v>
      </c>
      <c r="K59" s="75" t="n">
        <f aca="false">假设!K171</f>
        <v>8</v>
      </c>
      <c r="L59" s="75" t="n">
        <f aca="false">假设!L171</f>
        <v>8</v>
      </c>
    </row>
    <row r="60" customFormat="false" ht="15" hidden="false" customHeight="false" outlineLevel="0" collapsed="false">
      <c r="A60" s="47" t="s">
        <v>421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customFormat="false" ht="15" hidden="false" customHeight="false" outlineLevel="0" collapsed="false">
      <c r="A61" s="5" t="s">
        <v>422</v>
      </c>
      <c r="C61" s="74" t="n">
        <f aca="false">历史报表!E149</f>
        <v>542.2143</v>
      </c>
      <c r="D61" s="74" t="n">
        <f aca="false">历史报表!F149</f>
        <v>487.1415</v>
      </c>
      <c r="E61" s="74" t="n">
        <f aca="false">历史报表!G149</f>
        <v>662.437</v>
      </c>
      <c r="F61" s="74" t="n">
        <f aca="false">历史报表!H149</f>
        <v>694.6932</v>
      </c>
      <c r="G61" s="74" t="n">
        <f aca="false">历史报表!I149</f>
        <v>709.3589</v>
      </c>
      <c r="H61" s="64" t="n">
        <f aca="false">H15</f>
        <v>785.61119529508</v>
      </c>
      <c r="I61" s="64" t="n">
        <f aca="false">I15</f>
        <v>885.217563937209</v>
      </c>
      <c r="J61" s="64" t="n">
        <f aca="false">J15</f>
        <v>996.291811372931</v>
      </c>
      <c r="K61" s="64" t="n">
        <f aca="false">K15</f>
        <v>1101.01532874084</v>
      </c>
      <c r="L61" s="64" t="n">
        <f aca="false">L15</f>
        <v>1187.74140630845</v>
      </c>
      <c r="N61" s="74" t="n">
        <f aca="false">历史报表!K149</f>
        <v>405.9335</v>
      </c>
    </row>
    <row r="62" customFormat="false" ht="15" hidden="false" customHeight="false" outlineLevel="0" collapsed="false">
      <c r="A62" s="5" t="s">
        <v>423</v>
      </c>
      <c r="C62" s="74" t="n">
        <f aca="false">历史报表!E150</f>
        <v>105.7331</v>
      </c>
      <c r="D62" s="74" t="n">
        <f aca="false">历史报表!F150</f>
        <v>235.0587</v>
      </c>
      <c r="E62" s="74" t="n">
        <f aca="false">历史报表!G150</f>
        <v>209.5221</v>
      </c>
      <c r="F62" s="74" t="n">
        <f aca="false">历史报表!H150</f>
        <v>257.1972</v>
      </c>
      <c r="G62" s="74" t="n">
        <f aca="false">历史报表!I150</f>
        <v>304.6763</v>
      </c>
      <c r="H62" s="64" t="n">
        <f aca="false">H40</f>
        <v>409.649143243595</v>
      </c>
      <c r="I62" s="64" t="n">
        <f aca="false">I40</f>
        <v>477.371466569982</v>
      </c>
      <c r="J62" s="64" t="n">
        <f aca="false">J40</f>
        <v>543.257353513932</v>
      </c>
      <c r="K62" s="64" t="n">
        <f aca="false">K40</f>
        <v>607.294748589073</v>
      </c>
      <c r="L62" s="64" t="n">
        <f aca="false">L40</f>
        <v>669.596212355169</v>
      </c>
      <c r="N62" s="74" t="n">
        <f aca="false">历史报表!K150</f>
        <v>191.2178</v>
      </c>
    </row>
    <row r="63" customFormat="false" ht="15" hidden="false" customHeight="false" outlineLevel="0" collapsed="false">
      <c r="A63" s="5" t="s">
        <v>418</v>
      </c>
      <c r="C63" s="8" t="n">
        <f aca="false">C57</f>
        <v>29.1999</v>
      </c>
      <c r="D63" s="8" t="n">
        <f aca="false">D57</f>
        <v>83.9439</v>
      </c>
      <c r="E63" s="8" t="n">
        <f aca="false">E57</f>
        <v>88.8283</v>
      </c>
      <c r="F63" s="8" t="n">
        <f aca="false">F57</f>
        <v>69.341</v>
      </c>
      <c r="G63" s="8" t="n">
        <f aca="false">G57</f>
        <v>69.2566</v>
      </c>
      <c r="H63" s="64" t="n">
        <f aca="false">H57</f>
        <v>60</v>
      </c>
      <c r="I63" s="64" t="n">
        <f aca="false">I57</f>
        <v>60</v>
      </c>
      <c r="J63" s="64" t="n">
        <f aca="false">J57</f>
        <v>60</v>
      </c>
      <c r="K63" s="64" t="n">
        <f aca="false">K57</f>
        <v>60</v>
      </c>
      <c r="L63" s="64" t="n">
        <f aca="false">L57</f>
        <v>60</v>
      </c>
      <c r="N63" s="74" t="n">
        <f aca="false">历史报表!K151</f>
        <v>21.1434</v>
      </c>
    </row>
    <row r="64" customFormat="false" ht="15" hidden="false" customHeight="false" outlineLevel="0" collapsed="false">
      <c r="A64" s="5" t="s">
        <v>420</v>
      </c>
      <c r="C64" s="8" t="n">
        <f aca="false">C59</f>
        <v>12.7651</v>
      </c>
      <c r="D64" s="8" t="n">
        <f aca="false">D59</f>
        <v>10.2963</v>
      </c>
      <c r="E64" s="8" t="n">
        <f aca="false">E59</f>
        <v>7.4813</v>
      </c>
      <c r="F64" s="8" t="n">
        <f aca="false">F59</f>
        <v>9.405</v>
      </c>
      <c r="G64" s="8" t="n">
        <f aca="false">G59</f>
        <v>7.4958</v>
      </c>
      <c r="H64" s="64" t="n">
        <f aca="false">H59</f>
        <v>8</v>
      </c>
      <c r="I64" s="64" t="n">
        <f aca="false">I59</f>
        <v>8</v>
      </c>
      <c r="J64" s="64" t="n">
        <f aca="false">J59</f>
        <v>8</v>
      </c>
      <c r="K64" s="64" t="n">
        <f aca="false">K59</f>
        <v>8</v>
      </c>
      <c r="L64" s="64" t="n">
        <f aca="false">L59</f>
        <v>8</v>
      </c>
      <c r="N64" s="74" t="n">
        <f aca="false">历史报表!K152</f>
        <v>1.6197</v>
      </c>
    </row>
    <row r="65" customFormat="false" ht="15" hidden="false" customHeight="false" outlineLevel="0" collapsed="false">
      <c r="A65" s="12" t="s">
        <v>424</v>
      </c>
      <c r="C65" s="68" t="n">
        <f aca="false">SUM(C61:C64)</f>
        <v>689.9124</v>
      </c>
      <c r="D65" s="68" t="n">
        <f aca="false">SUM(D61:D64)</f>
        <v>816.4404</v>
      </c>
      <c r="E65" s="68" t="n">
        <f aca="false">SUM(E61:E64)</f>
        <v>968.2687</v>
      </c>
      <c r="F65" s="68" t="n">
        <f aca="false">SUM(F61:F64)</f>
        <v>1030.6364</v>
      </c>
      <c r="G65" s="68" t="n">
        <f aca="false">SUM(G61:G64)</f>
        <v>1090.7876</v>
      </c>
      <c r="H65" s="69" t="n">
        <f aca="false">SUM(H61:H64)</f>
        <v>1263.26033853868</v>
      </c>
      <c r="I65" s="69" t="n">
        <f aca="false">SUM(I61:I64)</f>
        <v>1430.58903050719</v>
      </c>
      <c r="J65" s="69" t="n">
        <f aca="false">SUM(J61:J64)</f>
        <v>1607.54916488686</v>
      </c>
      <c r="K65" s="69" t="n">
        <f aca="false">SUM(K61:K64)</f>
        <v>1776.31007732992</v>
      </c>
      <c r="L65" s="69" t="n">
        <f aca="false">SUM(L61:L64)</f>
        <v>1925.33761866362</v>
      </c>
      <c r="N65" s="68" t="n">
        <f aca="false">SUM(N61:N64)</f>
        <v>619.9144</v>
      </c>
    </row>
    <row r="66" customFormat="false" ht="15" hidden="false" customHeight="false" outlineLevel="0" collapsed="false">
      <c r="A66" s="5" t="s">
        <v>425</v>
      </c>
      <c r="C66" s="14" t="n">
        <f aca="false">C65/利润表!C6</f>
        <v>0.0262174773507241</v>
      </c>
      <c r="D66" s="14" t="n">
        <f aca="false">D65/利润表!D6</f>
        <v>0.0264067559706896</v>
      </c>
      <c r="E66" s="14" t="n">
        <f aca="false">E65/利润表!E6</f>
        <v>0.0311044632563446</v>
      </c>
      <c r="F66" s="14" t="n">
        <f aca="false">F65/利润表!F6</f>
        <v>0.0361008268117907</v>
      </c>
      <c r="G66" s="14" t="n">
        <f aca="false">G65/利润表!G6</f>
        <v>0.0437741121781362</v>
      </c>
      <c r="H66" s="63" t="n">
        <f aca="false">H65/利润表!H6</f>
        <v>0.0458308848351423</v>
      </c>
      <c r="I66" s="63" t="n">
        <f aca="false">I65/利润表!I6</f>
        <v>0.0486518257541843</v>
      </c>
      <c r="J66" s="63" t="n">
        <f aca="false">J65/利润表!J6</f>
        <v>0.0520777230362694</v>
      </c>
      <c r="K66" s="63" t="n">
        <f aca="false">K65/利润表!K6</f>
        <v>0.0547892364596495</v>
      </c>
      <c r="L66" s="63" t="n">
        <f aca="false">L65/利润表!L6</f>
        <v>0.0566867709207639</v>
      </c>
    </row>
    <row r="67" customFormat="false" ht="15" hidden="false" customHeight="false" outlineLevel="0" collapsed="false">
      <c r="A67" s="47" t="s">
        <v>426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</row>
    <row r="68" customFormat="false" ht="15" hidden="false" customHeight="false" outlineLevel="0" collapsed="false">
      <c r="A68" s="5" t="s">
        <v>427</v>
      </c>
      <c r="C68" s="8" t="n">
        <f aca="false">C27+C8</f>
        <v>961.88796543</v>
      </c>
      <c r="D68" s="8" t="n">
        <f aca="false">D27+D8</f>
        <v>715.18208743</v>
      </c>
      <c r="E68" s="8" t="n">
        <f aca="false">E27+E8</f>
        <v>706.85402439</v>
      </c>
      <c r="F68" s="8" t="n">
        <f aca="false">F27+F8</f>
        <v>803.00802354</v>
      </c>
      <c r="G68" s="8" t="n">
        <f aca="false">G27+G8</f>
        <v>1056.03511899</v>
      </c>
      <c r="H68" s="64" t="n">
        <f aca="false">H27+H8</f>
        <v>1300</v>
      </c>
      <c r="I68" s="64" t="n">
        <f aca="false">I27+I8</f>
        <v>1700</v>
      </c>
      <c r="J68" s="64" t="n">
        <f aca="false">J27+J8</f>
        <v>1600</v>
      </c>
      <c r="K68" s="64" t="n">
        <f aca="false">K27+K8</f>
        <v>1100</v>
      </c>
      <c r="L68" s="64" t="n">
        <f aca="false">L27+L8</f>
        <v>900</v>
      </c>
    </row>
    <row r="69" customFormat="false" ht="15" hidden="false" customHeight="false" outlineLevel="0" collapsed="false">
      <c r="A69" s="5" t="s">
        <v>428</v>
      </c>
      <c r="C69" s="8" t="n">
        <f aca="false">C34</f>
        <v>61.42092095</v>
      </c>
      <c r="D69" s="8" t="n">
        <f aca="false">D34</f>
        <v>115.89485148</v>
      </c>
      <c r="E69" s="8" t="n">
        <f aca="false">E34</f>
        <v>217.90332382</v>
      </c>
      <c r="F69" s="8" t="n">
        <f aca="false">F34</f>
        <v>101.05920914</v>
      </c>
      <c r="G69" s="8" t="n">
        <f aca="false">G34</f>
        <v>66.69917125</v>
      </c>
      <c r="H69" s="64" t="n">
        <f aca="false">H34</f>
        <v>70</v>
      </c>
      <c r="I69" s="64" t="n">
        <f aca="false">I34</f>
        <v>70</v>
      </c>
      <c r="J69" s="64" t="n">
        <f aca="false">J34</f>
        <v>70</v>
      </c>
      <c r="K69" s="64" t="n">
        <f aca="false">K34</f>
        <v>70</v>
      </c>
      <c r="L69" s="64" t="n">
        <f aca="false">L34</f>
        <v>70</v>
      </c>
    </row>
    <row r="70" customFormat="false" ht="15" hidden="false" customHeight="false" outlineLevel="0" collapsed="false">
      <c r="A70" s="5" t="s">
        <v>429</v>
      </c>
      <c r="C70" s="8" t="n">
        <f aca="false">C50</f>
        <v>265.305329</v>
      </c>
      <c r="D70" s="8" t="n">
        <f aca="false">D50</f>
        <v>291.901806</v>
      </c>
      <c r="E70" s="8" t="n">
        <f aca="false">E50</f>
        <v>278.164092</v>
      </c>
      <c r="F70" s="8" t="n">
        <f aca="false">F50</f>
        <v>696.854014</v>
      </c>
      <c r="G70" s="8" t="n">
        <f aca="false">G50</f>
        <v>587.826407</v>
      </c>
      <c r="H70" s="64" t="n">
        <f aca="false">H50</f>
        <v>586.55162562976</v>
      </c>
      <c r="I70" s="64" t="n">
        <f aca="false">I50</f>
        <v>571.626045311731</v>
      </c>
      <c r="J70" s="64" t="n">
        <f aca="false">J50</f>
        <v>550.998602094145</v>
      </c>
      <c r="K70" s="64" t="n">
        <f aca="false">K50</f>
        <v>534.294543344405</v>
      </c>
      <c r="L70" s="64" t="n">
        <f aca="false">L50</f>
        <v>519.656792706167</v>
      </c>
    </row>
    <row r="71" customFormat="false" ht="15" hidden="false" customHeight="false" outlineLevel="0" collapsed="false">
      <c r="A71" s="5" t="s">
        <v>430</v>
      </c>
      <c r="H71" s="64" t="n">
        <f aca="false">H59</f>
        <v>8</v>
      </c>
      <c r="I71" s="64" t="n">
        <f aca="false">I59</f>
        <v>8</v>
      </c>
      <c r="J71" s="64" t="n">
        <f aca="false">J59</f>
        <v>8</v>
      </c>
      <c r="K71" s="64" t="n">
        <f aca="false">K59</f>
        <v>8</v>
      </c>
      <c r="L71" s="64" t="n">
        <f aca="false">L59</f>
        <v>8</v>
      </c>
    </row>
    <row r="72" customFormat="false" ht="15" hidden="false" customHeight="false" outlineLevel="0" collapsed="false">
      <c r="A72" s="12" t="s">
        <v>431</v>
      </c>
      <c r="C72" s="68" t="n">
        <f aca="false">SUM(C68:C71)</f>
        <v>1288.61421538</v>
      </c>
      <c r="D72" s="68" t="n">
        <f aca="false">SUM(D68:D71)</f>
        <v>1122.97874491</v>
      </c>
      <c r="E72" s="68" t="n">
        <f aca="false">SUM(E68:E71)</f>
        <v>1202.92144021</v>
      </c>
      <c r="F72" s="68" t="n">
        <f aca="false">SUM(F68:F71)</f>
        <v>1600.92124668</v>
      </c>
      <c r="G72" s="68" t="n">
        <f aca="false">SUM(G68:G71)</f>
        <v>1710.56069724</v>
      </c>
      <c r="H72" s="69" t="n">
        <f aca="false">SUM(H68:H71)</f>
        <v>1964.55162562976</v>
      </c>
      <c r="I72" s="69" t="n">
        <f aca="false">SUM(I68:I71)</f>
        <v>2349.62604531173</v>
      </c>
      <c r="J72" s="69" t="n">
        <f aca="false">SUM(J68:J71)</f>
        <v>2228.99860209415</v>
      </c>
      <c r="K72" s="69" t="n">
        <f aca="false">SUM(K68:K71)</f>
        <v>1712.2945433444</v>
      </c>
      <c r="L72" s="69" t="n">
        <f aca="false">SUM(L68:L71)</f>
        <v>1497.65679270617</v>
      </c>
    </row>
    <row r="73" customFormat="false" ht="15" hidden="false" customHeight="false" outlineLevel="0" collapsed="false">
      <c r="A73" s="5" t="s">
        <v>432</v>
      </c>
      <c r="C73" s="74" t="n">
        <f aca="false">历史报表!E126</f>
        <v>700.5675</v>
      </c>
      <c r="D73" s="74" t="n">
        <f aca="false">历史报表!F126</f>
        <v>732.8186</v>
      </c>
      <c r="E73" s="74" t="n">
        <f aca="false">历史报表!G126</f>
        <v>749.8998</v>
      </c>
      <c r="F73" s="74" t="n">
        <f aca="false">历史报表!H126</f>
        <v>1368.6518</v>
      </c>
      <c r="G73" s="74" t="n">
        <f aca="false">历史报表!I126</f>
        <v>1436.5548</v>
      </c>
      <c r="N73" s="74" t="n">
        <f aca="false">历史报表!K126</f>
        <v>648.24</v>
      </c>
      <c r="O73" s="22" t="s">
        <v>433</v>
      </c>
    </row>
    <row r="74" customFormat="false" ht="15" hidden="false" customHeight="false" outlineLevel="0" collapsed="false">
      <c r="A74" s="5" t="s">
        <v>434</v>
      </c>
      <c r="C74" s="14" t="n">
        <f aca="false">C72/利润表!C6</f>
        <v>0.0489688459078953</v>
      </c>
      <c r="D74" s="14" t="n">
        <f aca="false">D72/利润表!D6</f>
        <v>0.0363213599879547</v>
      </c>
      <c r="E74" s="14" t="n">
        <f aca="false">E72/利润表!E6</f>
        <v>0.0386423993022609</v>
      </c>
      <c r="F74" s="14" t="n">
        <f aca="false">F72/利润表!F6</f>
        <v>0.0560765956507172</v>
      </c>
      <c r="G74" s="14" t="n">
        <f aca="false">G72/利润表!G6</f>
        <v>0.06864606441116</v>
      </c>
      <c r="H74" s="63" t="n">
        <f aca="false">H72/利润表!H6</f>
        <v>0.071273621564881</v>
      </c>
      <c r="I74" s="63" t="n">
        <f aca="false">I72/利润表!I6</f>
        <v>0.0799066639728612</v>
      </c>
      <c r="J74" s="63" t="n">
        <f aca="false">J72/利润表!J6</f>
        <v>0.0722100290203318</v>
      </c>
      <c r="K74" s="63" t="n">
        <f aca="false">K72/利润表!K6</f>
        <v>0.052814715077721</v>
      </c>
      <c r="L74" s="63" t="n">
        <f aca="false">L72/利润表!L6</f>
        <v>0.0440947741856246</v>
      </c>
    </row>
    <row r="75" customFormat="false" ht="15" hidden="false" customHeight="false" outlineLevel="0" collapsed="false">
      <c r="A75" s="5" t="s">
        <v>435</v>
      </c>
      <c r="C75" s="18" t="n">
        <f aca="false">C72/C65</f>
        <v>1.86779396250886</v>
      </c>
      <c r="D75" s="18" t="n">
        <f aca="false">D72/D65</f>
        <v>1.37545710000387</v>
      </c>
      <c r="E75" s="18" t="n">
        <f aca="false">E72/E65</f>
        <v>1.24234258549306</v>
      </c>
      <c r="F75" s="18" t="n">
        <f aca="false">F72/F65</f>
        <v>1.55333272401402</v>
      </c>
      <c r="G75" s="18" t="n">
        <f aca="false">G72/G65</f>
        <v>1.56818861640891</v>
      </c>
      <c r="H75" s="85" t="n">
        <f aca="false">H72/H65</f>
        <v>1.55514391269683</v>
      </c>
      <c r="I75" s="85" t="n">
        <f aca="false">I72/I65</f>
        <v>1.64241860884304</v>
      </c>
      <c r="J75" s="85" t="n">
        <f aca="false">J72/J65</f>
        <v>1.38658191661032</v>
      </c>
      <c r="K75" s="85" t="n">
        <f aca="false">K72/K65</f>
        <v>0.963961509421971</v>
      </c>
      <c r="L75" s="85" t="n">
        <f aca="false">L72/L65</f>
        <v>0.777867101431121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436</v>
      </c>
    </row>
    <row r="2" customFormat="false" ht="15" hidden="false" customHeight="false" outlineLevel="0" collapsed="false">
      <c r="A2" s="2" t="s">
        <v>437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5" t="s">
        <v>17</v>
      </c>
      <c r="C6" s="74" t="n">
        <f aca="false">利润表!C6</f>
        <v>26314.9803</v>
      </c>
      <c r="D6" s="74" t="n">
        <f aca="false">利润表!D6</f>
        <v>30917.8606</v>
      </c>
      <c r="E6" s="74" t="n">
        <f aca="false">利润表!E6</f>
        <v>31129.5743</v>
      </c>
      <c r="F6" s="74" t="n">
        <f aca="false">利润表!F6</f>
        <v>28548.8309</v>
      </c>
      <c r="G6" s="74" t="n">
        <f aca="false">利润表!G6</f>
        <v>24918.5545</v>
      </c>
      <c r="H6" s="75" t="n">
        <f aca="false">利润表!H6</f>
        <v>27563.516242</v>
      </c>
      <c r="I6" s="75" t="n">
        <f aca="false">利润表!I6</f>
        <v>29404.63196048</v>
      </c>
      <c r="J6" s="75" t="n">
        <f aca="false">利润表!J6</f>
        <v>30868.2690248821</v>
      </c>
      <c r="K6" s="75" t="n">
        <f aca="false">利润表!K6</f>
        <v>32420.7853971119</v>
      </c>
      <c r="L6" s="75" t="n">
        <f aca="false">利润表!L6</f>
        <v>33964.4962553051</v>
      </c>
    </row>
    <row r="7" customFormat="false" ht="15" hidden="false" customHeight="false" outlineLevel="0" collapsed="false">
      <c r="A7" s="5" t="s">
        <v>438</v>
      </c>
      <c r="C7" s="74" t="n">
        <f aca="false">利润表!C7</f>
        <v>20605.0455</v>
      </c>
      <c r="D7" s="74" t="n">
        <f aca="false">利润表!D7</f>
        <v>24126.6805</v>
      </c>
      <c r="E7" s="74" t="n">
        <f aca="false">利润表!E7</f>
        <v>24728.1253</v>
      </c>
      <c r="F7" s="74" t="n">
        <f aca="false">利润表!F7</f>
        <v>22482.6639</v>
      </c>
      <c r="G7" s="74" t="n">
        <f aca="false">利润表!G7</f>
        <v>19661.2283</v>
      </c>
      <c r="H7" s="75" t="n">
        <f aca="false">利润表!H7</f>
        <v>21762.216111632</v>
      </c>
      <c r="I7" s="75" t="n">
        <f aca="false">利润表!I7</f>
        <v>23299.6458865914</v>
      </c>
      <c r="J7" s="75" t="n">
        <f aca="false">利润表!J7</f>
        <v>24627.740833582</v>
      </c>
      <c r="K7" s="75" t="n">
        <f aca="false">利润表!K7</f>
        <v>25862.6058015824</v>
      </c>
      <c r="L7" s="75" t="n">
        <f aca="false">利润表!L7</f>
        <v>27167.3403492372</v>
      </c>
    </row>
    <row r="8" customFormat="false" ht="15" hidden="false" customHeight="false" outlineLevel="0" collapsed="false">
      <c r="A8" s="47" t="s">
        <v>439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customFormat="false" ht="15" hidden="false" customHeight="false" outlineLevel="0" collapsed="false">
      <c r="A9" s="5" t="s">
        <v>440</v>
      </c>
      <c r="C9" s="8" t="n">
        <f aca="false">历史报表!E44+历史报表!E46</f>
        <v>791.3691</v>
      </c>
      <c r="D9" s="8" t="n">
        <f aca="false">历史报表!F44+历史报表!F46</f>
        <v>722.2022</v>
      </c>
      <c r="E9" s="8" t="n">
        <f aca="false">历史报表!G44+历史报表!G46</f>
        <v>1387.9972</v>
      </c>
      <c r="F9" s="8" t="n">
        <f aca="false">历史报表!H44+历史报表!H46</f>
        <v>1704.2001</v>
      </c>
      <c r="G9" s="8" t="n">
        <f aca="false">历史报表!I44+历史报表!I46</f>
        <v>967.2344</v>
      </c>
      <c r="H9" s="64" t="n">
        <f aca="false">H6*H10</f>
        <v>1102.54064968</v>
      </c>
      <c r="I9" s="64" t="n">
        <f aca="false">I6*I10</f>
        <v>1176.1852784192</v>
      </c>
      <c r="J9" s="64" t="n">
        <f aca="false">J6*J10</f>
        <v>1234.73076099528</v>
      </c>
      <c r="K9" s="64" t="n">
        <f aca="false">K6*K10</f>
        <v>1296.83141588448</v>
      </c>
      <c r="L9" s="64" t="n">
        <f aca="false">L6*L10</f>
        <v>1358.5798502122</v>
      </c>
      <c r="N9" s="8" t="n">
        <f aca="false">历史报表!K44+历史报表!K46</f>
        <v>1214.8501</v>
      </c>
    </row>
    <row r="10" customFormat="false" ht="15" hidden="false" customHeight="false" outlineLevel="0" collapsed="false">
      <c r="A10" s="5" t="s">
        <v>441</v>
      </c>
      <c r="C10" s="14" t="n">
        <f aca="false">C9/C6</f>
        <v>0.0300729505011258</v>
      </c>
      <c r="D10" s="14" t="n">
        <f aca="false">D9/D6</f>
        <v>0.0233587378293568</v>
      </c>
      <c r="E10" s="14" t="n">
        <f aca="false">E9/E6</f>
        <v>0.0445877346931789</v>
      </c>
      <c r="F10" s="14" t="n">
        <f aca="false">F9/F6</f>
        <v>0.0596942167603788</v>
      </c>
      <c r="G10" s="14" t="n">
        <f aca="false">G9/G6</f>
        <v>0.0388158309905175</v>
      </c>
      <c r="H10" s="66" t="n">
        <f aca="false">假设!H180</f>
        <v>0.04</v>
      </c>
      <c r="I10" s="66" t="n">
        <f aca="false">假设!I180</f>
        <v>0.04</v>
      </c>
      <c r="J10" s="66" t="n">
        <f aca="false">假设!J180</f>
        <v>0.04</v>
      </c>
      <c r="K10" s="66" t="n">
        <f aca="false">假设!K180</f>
        <v>0.04</v>
      </c>
      <c r="L10" s="66" t="n">
        <f aca="false">假设!L180</f>
        <v>0.04</v>
      </c>
    </row>
    <row r="11" customFormat="false" ht="15" hidden="false" customHeight="false" outlineLevel="0" collapsed="false">
      <c r="A11" s="5" t="s">
        <v>442</v>
      </c>
      <c r="C11" s="74" t="n">
        <f aca="false">历史报表!E45</f>
        <v>4219.3462</v>
      </c>
      <c r="D11" s="74" t="n">
        <f aca="false">历史报表!F45</f>
        <v>6830.3427</v>
      </c>
      <c r="E11" s="74" t="n">
        <f aca="false">历史报表!G45</f>
        <v>12411.7951</v>
      </c>
      <c r="F11" s="74" t="n">
        <f aca="false">历史报表!H45</f>
        <v>15260.8568</v>
      </c>
      <c r="G11" s="74" t="n">
        <f aca="false">历史报表!I45</f>
        <v>14811.0516</v>
      </c>
      <c r="H11" s="64" t="n">
        <f aca="false">H6*H12/365</f>
        <v>15103.2965709589</v>
      </c>
      <c r="I11" s="64" t="n">
        <f aca="false">I6*I12/365</f>
        <v>15306.5207465512</v>
      </c>
      <c r="J11" s="64" t="n">
        <f aca="false">J6*J12/365</f>
        <v>15222.7080122706</v>
      </c>
      <c r="K11" s="64" t="n">
        <f aca="false">K6*K12/365</f>
        <v>15544.2121766975</v>
      </c>
      <c r="L11" s="64" t="n">
        <f aca="false">L6*L12/365</f>
        <v>15819.0804476763</v>
      </c>
      <c r="N11" s="74" t="n">
        <f aca="false">历史报表!K45</f>
        <v>13100.2914</v>
      </c>
      <c r="O11" s="21" t="s">
        <v>443</v>
      </c>
    </row>
    <row r="12" customFormat="false" ht="15" hidden="false" customHeight="false" outlineLevel="0" collapsed="false">
      <c r="A12" s="5" t="s">
        <v>444</v>
      </c>
      <c r="C12" s="19" t="n">
        <f aca="false">C11/C6*365</f>
        <v>58.5241313291046</v>
      </c>
      <c r="D12" s="19" t="n">
        <f aca="false">D11/D6*365</f>
        <v>80.6354332776829</v>
      </c>
      <c r="E12" s="19" t="n">
        <f aca="false">E11/E6*365</f>
        <v>145.53058669678</v>
      </c>
      <c r="F12" s="19" t="n">
        <f aca="false">F11/F6*365</f>
        <v>195.111763123022</v>
      </c>
      <c r="G12" s="19" t="n">
        <f aca="false">G11/G6*365</f>
        <v>216.948131321181</v>
      </c>
      <c r="H12" s="86" t="n">
        <f aca="false">假设!H176</f>
        <v>200</v>
      </c>
      <c r="I12" s="86" t="n">
        <f aca="false">假设!I176</f>
        <v>190</v>
      </c>
      <c r="J12" s="86" t="n">
        <f aca="false">假设!J176</f>
        <v>180</v>
      </c>
      <c r="K12" s="86" t="n">
        <f aca="false">假设!K176</f>
        <v>175</v>
      </c>
      <c r="L12" s="86" t="n">
        <f aca="false">假设!L176</f>
        <v>170</v>
      </c>
    </row>
    <row r="13" customFormat="false" ht="15" hidden="false" customHeight="false" outlineLevel="0" collapsed="false">
      <c r="A13" s="5" t="s">
        <v>445</v>
      </c>
      <c r="C13" s="74" t="n">
        <f aca="false">历史报表!E47</f>
        <v>345.0894</v>
      </c>
      <c r="D13" s="74" t="n">
        <f aca="false">历史报表!F47</f>
        <v>744.5724</v>
      </c>
      <c r="E13" s="74" t="n">
        <f aca="false">历史报表!G47</f>
        <v>1204.0073</v>
      </c>
      <c r="F13" s="74" t="n">
        <f aca="false">历史报表!H47</f>
        <v>659.2119</v>
      </c>
      <c r="G13" s="74" t="n">
        <f aca="false">历史报表!I47</f>
        <v>1461.3915</v>
      </c>
      <c r="H13" s="64" t="n">
        <f aca="false">H7*H14</f>
        <v>1632.1662083724</v>
      </c>
      <c r="I13" s="64" t="n">
        <f aca="false">I7*I14</f>
        <v>1630.9752120614</v>
      </c>
      <c r="J13" s="64" t="n">
        <f aca="false">J7*J14</f>
        <v>1600.80315418283</v>
      </c>
      <c r="K13" s="64" t="n">
        <f aca="false">K7*K14</f>
        <v>1681.06937710286</v>
      </c>
      <c r="L13" s="64" t="n">
        <f aca="false">L7*L14</f>
        <v>1765.87712270042</v>
      </c>
      <c r="N13" s="74" t="n">
        <f aca="false">历史报表!K47</f>
        <v>2516.0374</v>
      </c>
    </row>
    <row r="14" customFormat="false" ht="15" hidden="false" customHeight="false" outlineLevel="0" collapsed="false">
      <c r="A14" s="5" t="s">
        <v>441</v>
      </c>
      <c r="C14" s="14" t="n">
        <f aca="false">C13/C7</f>
        <v>0.0167478106272563</v>
      </c>
      <c r="D14" s="14" t="n">
        <f aca="false">D13/D7</f>
        <v>0.0308609549498531</v>
      </c>
      <c r="E14" s="14" t="n">
        <f aca="false">E13/E7</f>
        <v>0.0486897929136585</v>
      </c>
      <c r="F14" s="14" t="n">
        <f aca="false">F13/F7</f>
        <v>0.029320898223275</v>
      </c>
      <c r="G14" s="14" t="n">
        <f aca="false">G13/G7</f>
        <v>0.074328596245434</v>
      </c>
      <c r="H14" s="66" t="n">
        <f aca="false">假设!H184</f>
        <v>0.075</v>
      </c>
      <c r="I14" s="66" t="n">
        <f aca="false">假设!I184</f>
        <v>0.07</v>
      </c>
      <c r="J14" s="66" t="n">
        <f aca="false">假设!J184</f>
        <v>0.065</v>
      </c>
      <c r="K14" s="66" t="n">
        <f aca="false">假设!K184</f>
        <v>0.065</v>
      </c>
      <c r="L14" s="66" t="n">
        <f aca="false">假设!L184</f>
        <v>0.065</v>
      </c>
    </row>
    <row r="15" customFormat="false" ht="15" hidden="false" customHeight="false" outlineLevel="0" collapsed="false">
      <c r="A15" s="5" t="s">
        <v>446</v>
      </c>
      <c r="C15" s="74" t="n">
        <f aca="false">历史报表!E48</f>
        <v>680.7874</v>
      </c>
      <c r="D15" s="74" t="n">
        <f aca="false">历史报表!F48</f>
        <v>484.3906</v>
      </c>
      <c r="E15" s="74" t="n">
        <f aca="false">历史报表!G48</f>
        <v>646.0326</v>
      </c>
      <c r="F15" s="74" t="n">
        <f aca="false">历史报表!H48</f>
        <v>496.4689</v>
      </c>
      <c r="G15" s="74" t="n">
        <f aca="false">历史报表!I48</f>
        <v>367.0848</v>
      </c>
      <c r="H15" s="64" t="n">
        <f aca="false">G15</f>
        <v>367.0848</v>
      </c>
      <c r="I15" s="64" t="n">
        <f aca="false">H15</f>
        <v>367.0848</v>
      </c>
      <c r="J15" s="64" t="n">
        <f aca="false">I15</f>
        <v>367.0848</v>
      </c>
      <c r="K15" s="64" t="n">
        <f aca="false">J15</f>
        <v>367.0848</v>
      </c>
      <c r="L15" s="64" t="n">
        <f aca="false">K15</f>
        <v>367.0848</v>
      </c>
      <c r="N15" s="74" t="n">
        <f aca="false">历史报表!K48</f>
        <v>315.1794</v>
      </c>
    </row>
    <row r="16" customFormat="false" ht="15" hidden="false" customHeight="false" outlineLevel="0" collapsed="false">
      <c r="A16" s="5" t="s">
        <v>447</v>
      </c>
      <c r="C16" s="74" t="n">
        <f aca="false">历史报表!E52</f>
        <v>14605.1278</v>
      </c>
      <c r="D16" s="74" t="n">
        <f aca="false">历史报表!F52</f>
        <v>14390.1617</v>
      </c>
      <c r="E16" s="74" t="n">
        <f aca="false">历史报表!G52</f>
        <v>9718.9319</v>
      </c>
      <c r="F16" s="74" t="n">
        <f aca="false">历史报表!H52</f>
        <v>9329.2257</v>
      </c>
      <c r="G16" s="74" t="n">
        <f aca="false">历史报表!I52</f>
        <v>10575.039</v>
      </c>
      <c r="H16" s="64" t="n">
        <f aca="false">H7*H17/365</f>
        <v>11030.1643305532</v>
      </c>
      <c r="I16" s="64" t="n">
        <f aca="false">I7*I17/365</f>
        <v>11490.2363276341</v>
      </c>
      <c r="J16" s="64" t="n">
        <f aca="false">J7*J17/365</f>
        <v>11807.8209476078</v>
      </c>
      <c r="K16" s="64" t="n">
        <f aca="false">K7*K17/365</f>
        <v>12045.5972226548</v>
      </c>
      <c r="L16" s="64" t="n">
        <f aca="false">L7*L17/365</f>
        <v>12653.281806494</v>
      </c>
      <c r="N16" s="74" t="n">
        <f aca="false">历史报表!K52</f>
        <v>13560.0929</v>
      </c>
    </row>
    <row r="17" customFormat="false" ht="15" hidden="false" customHeight="false" outlineLevel="0" collapsed="false">
      <c r="A17" s="5" t="s">
        <v>444</v>
      </c>
      <c r="C17" s="19" t="n">
        <f aca="false">C16/C7*365</f>
        <v>258.716810258924</v>
      </c>
      <c r="D17" s="19" t="n">
        <f aca="false">D16/D7*365</f>
        <v>217.701271440968</v>
      </c>
      <c r="E17" s="19" t="n">
        <f aca="false">E16/E7*365</f>
        <v>143.456493384074</v>
      </c>
      <c r="F17" s="19" t="n">
        <f aca="false">F16/F7*365</f>
        <v>151.457469437152</v>
      </c>
      <c r="G17" s="19" t="n">
        <f aca="false">G16/G7*365</f>
        <v>196.319842082298</v>
      </c>
      <c r="H17" s="86" t="n">
        <f aca="false">假设!H188</f>
        <v>185</v>
      </c>
      <c r="I17" s="86" t="n">
        <f aca="false">假设!I188</f>
        <v>180</v>
      </c>
      <c r="J17" s="86" t="n">
        <f aca="false">假设!J188</f>
        <v>175</v>
      </c>
      <c r="K17" s="86" t="n">
        <f aca="false">假设!K188</f>
        <v>170</v>
      </c>
      <c r="L17" s="86" t="n">
        <f aca="false">假设!L188</f>
        <v>170</v>
      </c>
    </row>
    <row r="18" customFormat="false" ht="15" hidden="false" customHeight="false" outlineLevel="0" collapsed="false">
      <c r="A18" s="5" t="s">
        <v>448</v>
      </c>
      <c r="C18" s="8" t="n">
        <f aca="false">历史报表!E54-历史报表!E42-C9-C11-C13-C15-C16</f>
        <v>543.3164</v>
      </c>
      <c r="D18" s="8" t="n">
        <f aca="false">历史报表!F54-历史报表!F42-D9-D11-D13-D15-D16</f>
        <v>633.532699999998</v>
      </c>
      <c r="E18" s="8" t="n">
        <f aca="false">历史报表!G54-历史报表!G42-E9-E11-E13-E15-E16</f>
        <v>725.1378</v>
      </c>
      <c r="F18" s="8" t="n">
        <f aca="false">历史报表!H54-历史报表!H42-F9-F11-F13-F15-F16</f>
        <v>917.712299999997</v>
      </c>
      <c r="G18" s="8" t="n">
        <f aca="false">历史报表!I54-历史报表!I42-G9-G11-G13-G15-G16</f>
        <v>539.472499999993</v>
      </c>
      <c r="H18" s="64" t="n">
        <f aca="false">H6*H19</f>
        <v>606.397357324</v>
      </c>
      <c r="I18" s="64" t="n">
        <f aca="false">I6*I19</f>
        <v>646.90190313056</v>
      </c>
      <c r="J18" s="64" t="n">
        <f aca="false">J6*J19</f>
        <v>679.101918547406</v>
      </c>
      <c r="K18" s="64" t="n">
        <f aca="false">K6*K19</f>
        <v>713.257278736463</v>
      </c>
      <c r="L18" s="64" t="n">
        <f aca="false">L6*L19</f>
        <v>747.218917616711</v>
      </c>
      <c r="N18" s="8" t="n">
        <f aca="false">历史报表!K54-历史报表!K42-N9-N11-N13-N15-N16</f>
        <v>706.3645</v>
      </c>
    </row>
    <row r="19" customFormat="false" ht="15" hidden="false" customHeight="false" outlineLevel="0" collapsed="false">
      <c r="A19" s="5" t="s">
        <v>441</v>
      </c>
      <c r="C19" s="14" t="n">
        <f aca="false">C18/C6</f>
        <v>0.0206466580558299</v>
      </c>
      <c r="D19" s="14" t="n">
        <f aca="false">D18/D6</f>
        <v>0.0204908324090186</v>
      </c>
      <c r="E19" s="14" t="n">
        <f aca="false">E18/E6</f>
        <v>0.0232941765605834</v>
      </c>
      <c r="F19" s="14" t="n">
        <f aca="false">F18/F6</f>
        <v>0.0321453548558445</v>
      </c>
      <c r="G19" s="14" t="n">
        <f aca="false">G18/G6</f>
        <v>0.0216494299458659</v>
      </c>
      <c r="H19" s="66" t="n">
        <f aca="false">假设!H192</f>
        <v>0.022</v>
      </c>
      <c r="I19" s="66" t="n">
        <f aca="false">假设!I192</f>
        <v>0.022</v>
      </c>
      <c r="J19" s="66" t="n">
        <f aca="false">假设!J192</f>
        <v>0.022</v>
      </c>
      <c r="K19" s="66" t="n">
        <f aca="false">假设!K192</f>
        <v>0.022</v>
      </c>
      <c r="L19" s="66" t="n">
        <f aca="false">假设!L192</f>
        <v>0.022</v>
      </c>
    </row>
    <row r="20" customFormat="false" ht="15" hidden="false" customHeight="false" outlineLevel="0" collapsed="false">
      <c r="A20" s="12" t="s">
        <v>449</v>
      </c>
      <c r="C20" s="68" t="n">
        <f aca="false">C9+C11+C13+C15+C16+C18</f>
        <v>21185.0363</v>
      </c>
      <c r="D20" s="68" t="n">
        <f aca="false">D9+D11+D13+D15+D16+D18</f>
        <v>23805.2023</v>
      </c>
      <c r="E20" s="68" t="n">
        <f aca="false">E9+E11+E13+E15+E16+E18</f>
        <v>26093.9019</v>
      </c>
      <c r="F20" s="68" t="n">
        <f aca="false">F9+F11+F13+F15+F16+F18</f>
        <v>28367.6757</v>
      </c>
      <c r="G20" s="68" t="n">
        <f aca="false">G9+G11+G13+G15+G16+G18</f>
        <v>28721.2738</v>
      </c>
      <c r="H20" s="69" t="n">
        <f aca="false">H9+H11+H13+H15+H16+H18</f>
        <v>29841.6499168885</v>
      </c>
      <c r="I20" s="69" t="n">
        <f aca="false">I9+I11+I13+I15+I16+I18</f>
        <v>30617.9042677965</v>
      </c>
      <c r="J20" s="69" t="n">
        <f aca="false">J9+J11+J13+J15+J16+J18</f>
        <v>30912.249593604</v>
      </c>
      <c r="K20" s="69" t="n">
        <f aca="false">K9+K11+K13+K15+K16+K18</f>
        <v>31648.0522710761</v>
      </c>
      <c r="L20" s="69" t="n">
        <f aca="false">L9+L11+L13+L15+L16+L18</f>
        <v>32711.1229446997</v>
      </c>
      <c r="N20" s="68" t="n">
        <f aca="false">N9+N11+N13+N15+N16+N18</f>
        <v>31412.8157</v>
      </c>
    </row>
    <row r="21" customFormat="false" ht="15" hidden="false" customHeight="false" outlineLevel="0" collapsed="false">
      <c r="A21" s="47" t="s">
        <v>450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</row>
    <row r="22" customFormat="false" ht="15" hidden="false" customHeight="false" outlineLevel="0" collapsed="false">
      <c r="A22" s="5" t="s">
        <v>451</v>
      </c>
      <c r="C22" s="8" t="n">
        <f aca="false">C24+C25</f>
        <v>11601.425</v>
      </c>
      <c r="D22" s="8" t="n">
        <f aca="false">D24+D25</f>
        <v>14019.2164</v>
      </c>
      <c r="E22" s="8" t="n">
        <f aca="false">E24+E25</f>
        <v>14566.4881</v>
      </c>
      <c r="F22" s="8" t="n">
        <f aca="false">F24+F25</f>
        <v>14506.032</v>
      </c>
      <c r="G22" s="8" t="n">
        <f aca="false">G24+G25</f>
        <v>12627.4956</v>
      </c>
      <c r="H22" s="64" t="n">
        <f aca="false">H7*H23/365</f>
        <v>13713.1772758229</v>
      </c>
      <c r="I22" s="64" t="n">
        <f aca="false">I7*I23/365</f>
        <v>14681.9686408658</v>
      </c>
      <c r="J22" s="64" t="n">
        <f aca="false">J7*J23/365</f>
        <v>15518.8503882846</v>
      </c>
      <c r="K22" s="64" t="n">
        <f aca="false">K7*K23/365</f>
        <v>16296.9844777095</v>
      </c>
      <c r="L22" s="64" t="n">
        <f aca="false">L7*L23/365</f>
        <v>17119.1459734919</v>
      </c>
      <c r="N22" s="8" t="n">
        <f aca="false">N24+N25</f>
        <v>13548.8507</v>
      </c>
    </row>
    <row r="23" customFormat="false" ht="15" hidden="false" customHeight="false" outlineLevel="0" collapsed="false">
      <c r="A23" s="5" t="s">
        <v>444</v>
      </c>
      <c r="C23" s="19" t="n">
        <f aca="false">C22/C7*365</f>
        <v>205.508894653982</v>
      </c>
      <c r="D23" s="19" t="n">
        <f aca="false">D22/D7*365</f>
        <v>212.089432941262</v>
      </c>
      <c r="E23" s="19" t="n">
        <f aca="false">E22/E7*365</f>
        <v>215.008945967287</v>
      </c>
      <c r="F23" s="19" t="n">
        <f aca="false">F22/F7*365</f>
        <v>235.501527023228</v>
      </c>
      <c r="G23" s="19" t="n">
        <f aca="false">G22/G7*365</f>
        <v>234.422581523048</v>
      </c>
      <c r="H23" s="86" t="n">
        <f aca="false">假设!H196</f>
        <v>230</v>
      </c>
      <c r="I23" s="86" t="n">
        <f aca="false">假设!I196</f>
        <v>230</v>
      </c>
      <c r="J23" s="86" t="n">
        <f aca="false">假设!J196</f>
        <v>230</v>
      </c>
      <c r="K23" s="86" t="n">
        <f aca="false">假设!K196</f>
        <v>230</v>
      </c>
      <c r="L23" s="86" t="n">
        <f aca="false">假设!L196</f>
        <v>230</v>
      </c>
    </row>
    <row r="24" customFormat="false" ht="15" hidden="false" customHeight="false" outlineLevel="0" collapsed="false">
      <c r="A24" s="5" t="s">
        <v>452</v>
      </c>
      <c r="C24" s="74" t="n">
        <f aca="false">历史报表!E76</f>
        <v>5945.8226</v>
      </c>
      <c r="D24" s="74" t="n">
        <f aca="false">历史报表!F76</f>
        <v>7526.9418</v>
      </c>
      <c r="E24" s="74" t="n">
        <f aca="false">历史报表!G76</f>
        <v>7752.2333</v>
      </c>
      <c r="F24" s="74" t="n">
        <f aca="false">历史报表!H76</f>
        <v>8512.7803</v>
      </c>
      <c r="G24" s="74" t="n">
        <f aca="false">历史报表!I76</f>
        <v>6071.3562</v>
      </c>
      <c r="H24" s="64" t="n">
        <f aca="false">H22*H26</f>
        <v>6582.32509239499</v>
      </c>
      <c r="I24" s="64" t="n">
        <f aca="false">I22*I26</f>
        <v>7047.34494761558</v>
      </c>
      <c r="J24" s="64" t="n">
        <f aca="false">J22*J26</f>
        <v>7449.04818637659</v>
      </c>
      <c r="K24" s="64" t="n">
        <f aca="false">K22*K26</f>
        <v>7822.55254930055</v>
      </c>
      <c r="L24" s="64" t="n">
        <f aca="false">L22*L26</f>
        <v>8217.19006727612</v>
      </c>
      <c r="N24" s="74" t="n">
        <f aca="false">历史报表!K76</f>
        <v>7293.6379</v>
      </c>
    </row>
    <row r="25" customFormat="false" ht="15" hidden="false" customHeight="false" outlineLevel="0" collapsed="false">
      <c r="A25" s="5" t="s">
        <v>453</v>
      </c>
      <c r="C25" s="74" t="n">
        <f aca="false">历史报表!E77</f>
        <v>5655.6024</v>
      </c>
      <c r="D25" s="74" t="n">
        <f aca="false">历史报表!F77</f>
        <v>6492.2746</v>
      </c>
      <c r="E25" s="74" t="n">
        <f aca="false">历史报表!G77</f>
        <v>6814.2548</v>
      </c>
      <c r="F25" s="74" t="n">
        <f aca="false">历史报表!H77</f>
        <v>5993.2517</v>
      </c>
      <c r="G25" s="74" t="n">
        <f aca="false">历史报表!I77</f>
        <v>6556.1394</v>
      </c>
      <c r="H25" s="64" t="n">
        <f aca="false">H22-H24</f>
        <v>7130.85218342791</v>
      </c>
      <c r="I25" s="64" t="n">
        <f aca="false">I22-I24</f>
        <v>7634.62369325021</v>
      </c>
      <c r="J25" s="64" t="n">
        <f aca="false">J22-J24</f>
        <v>8069.80220190798</v>
      </c>
      <c r="K25" s="64" t="n">
        <f aca="false">K22-K24</f>
        <v>8474.43192840893</v>
      </c>
      <c r="L25" s="64" t="n">
        <f aca="false">L22-L24</f>
        <v>8901.9559062158</v>
      </c>
      <c r="N25" s="74" t="n">
        <f aca="false">历史报表!K77</f>
        <v>6255.2128</v>
      </c>
    </row>
    <row r="26" customFormat="false" ht="15" hidden="false" customHeight="false" outlineLevel="0" collapsed="false">
      <c r="A26" s="5" t="s">
        <v>454</v>
      </c>
      <c r="C26" s="14" t="n">
        <f aca="false">C24/C22</f>
        <v>0.512507954841754</v>
      </c>
      <c r="D26" s="14" t="n">
        <f aca="false">D24/D22</f>
        <v>0.53690174865979</v>
      </c>
      <c r="E26" s="14" t="n">
        <f aca="false">E24/E22</f>
        <v>0.532196453035238</v>
      </c>
      <c r="F26" s="14" t="n">
        <f aca="false">F24/F22</f>
        <v>0.586844169377263</v>
      </c>
      <c r="G26" s="14" t="n">
        <f aca="false">G24/G22</f>
        <v>0.480804459753682</v>
      </c>
      <c r="H26" s="66" t="n">
        <f aca="false">假设!H200</f>
        <v>0.48</v>
      </c>
      <c r="I26" s="66" t="n">
        <f aca="false">假设!I200</f>
        <v>0.48</v>
      </c>
      <c r="J26" s="66" t="n">
        <f aca="false">假设!J200</f>
        <v>0.48</v>
      </c>
      <c r="K26" s="66" t="n">
        <f aca="false">假设!K200</f>
        <v>0.48</v>
      </c>
      <c r="L26" s="66" t="n">
        <f aca="false">假设!L200</f>
        <v>0.48</v>
      </c>
    </row>
    <row r="27" customFormat="false" ht="15" hidden="false" customHeight="false" outlineLevel="0" collapsed="false">
      <c r="A27" s="5" t="s">
        <v>455</v>
      </c>
      <c r="C27" s="8" t="n">
        <f aca="false">历史报表!E79+历史报表!E78</f>
        <v>3168.6748</v>
      </c>
      <c r="D27" s="8" t="n">
        <f aca="false">历史报表!F79+历史报表!F78</f>
        <v>1320.7421</v>
      </c>
      <c r="E27" s="8" t="n">
        <f aca="false">历史报表!G79+历史报表!G78</f>
        <v>1337.322</v>
      </c>
      <c r="F27" s="8" t="n">
        <f aca="false">历史报表!H79+历史报表!H78</f>
        <v>776.1394</v>
      </c>
      <c r="G27" s="8" t="n">
        <f aca="false">历史报表!I79+历史报表!I78</f>
        <v>977.6682</v>
      </c>
      <c r="H27" s="64" t="n">
        <f aca="false">H6*H28</f>
        <v>1074.977133438</v>
      </c>
      <c r="I27" s="64" t="n">
        <f aca="false">I6*I28</f>
        <v>1146.78064645872</v>
      </c>
      <c r="J27" s="64" t="n">
        <f aca="false">J6*J28</f>
        <v>1203.8624919704</v>
      </c>
      <c r="K27" s="64" t="n">
        <f aca="false">K6*K28</f>
        <v>1264.41063048737</v>
      </c>
      <c r="L27" s="64" t="n">
        <f aca="false">L6*L28</f>
        <v>1324.6153539569</v>
      </c>
      <c r="N27" s="8" t="n">
        <f aca="false">历史报表!K79+历史报表!K78</f>
        <v>1107.5807</v>
      </c>
      <c r="O27" s="21" t="s">
        <v>456</v>
      </c>
    </row>
    <row r="28" customFormat="false" ht="15" hidden="false" customHeight="false" outlineLevel="0" collapsed="false">
      <c r="A28" s="5" t="s">
        <v>441</v>
      </c>
      <c r="C28" s="14" t="n">
        <f aca="false">C27/C6</f>
        <v>0.120413344941778</v>
      </c>
      <c r="D28" s="14" t="n">
        <f aca="false">D27/D6</f>
        <v>0.0427177713583455</v>
      </c>
      <c r="E28" s="14" t="n">
        <f aca="false">E27/E6</f>
        <v>0.042959855059759</v>
      </c>
      <c r="F28" s="14" t="n">
        <f aca="false">F27/F6</f>
        <v>0.0271863812118485</v>
      </c>
      <c r="G28" s="14" t="n">
        <f aca="false">G27/G6</f>
        <v>0.0392345470922079</v>
      </c>
      <c r="H28" s="66" t="n">
        <f aca="false">假设!H204</f>
        <v>0.039</v>
      </c>
      <c r="I28" s="66" t="n">
        <f aca="false">假设!I204</f>
        <v>0.039</v>
      </c>
      <c r="J28" s="66" t="n">
        <f aca="false">假设!J204</f>
        <v>0.039</v>
      </c>
      <c r="K28" s="66" t="n">
        <f aca="false">假设!K204</f>
        <v>0.039</v>
      </c>
      <c r="L28" s="66" t="n">
        <f aca="false">假设!L204</f>
        <v>0.039</v>
      </c>
    </row>
    <row r="29" customFormat="false" ht="15" hidden="false" customHeight="false" outlineLevel="0" collapsed="false">
      <c r="A29" s="5" t="s">
        <v>457</v>
      </c>
      <c r="C29" s="74" t="n">
        <f aca="false">历史报表!E80</f>
        <v>235.4881</v>
      </c>
      <c r="D29" s="74" t="n">
        <f aca="false">历史报表!F80</f>
        <v>231.3288</v>
      </c>
      <c r="E29" s="74" t="n">
        <f aca="false">历史报表!G80</f>
        <v>283.6855</v>
      </c>
      <c r="F29" s="74" t="n">
        <f aca="false">历史报表!H80</f>
        <v>256.2975</v>
      </c>
      <c r="G29" s="74" t="n">
        <f aca="false">历史报表!I80</f>
        <v>270.1812</v>
      </c>
      <c r="H29" s="64" t="n">
        <f aca="false">H6*H30</f>
        <v>303.198678662</v>
      </c>
      <c r="I29" s="64" t="n">
        <f aca="false">I6*I30</f>
        <v>323.45095156528</v>
      </c>
      <c r="J29" s="64" t="n">
        <f aca="false">J6*J30</f>
        <v>339.550959273703</v>
      </c>
      <c r="K29" s="64" t="n">
        <f aca="false">K6*K30</f>
        <v>356.628639368231</v>
      </c>
      <c r="L29" s="64" t="n">
        <f aca="false">L6*L30</f>
        <v>373.609458808356</v>
      </c>
      <c r="N29" s="74" t="n">
        <f aca="false">历史报表!K80</f>
        <v>183.8769</v>
      </c>
    </row>
    <row r="30" customFormat="false" ht="15" hidden="false" customHeight="false" outlineLevel="0" collapsed="false">
      <c r="A30" s="5" t="s">
        <v>441</v>
      </c>
      <c r="C30" s="76" t="n">
        <f aca="false">C29/C6</f>
        <v>0.00894882296377778</v>
      </c>
      <c r="D30" s="76" t="n">
        <f aca="false">D29/D6</f>
        <v>0.00748204421362842</v>
      </c>
      <c r="E30" s="76" t="n">
        <f aca="false">E29/E6</f>
        <v>0.00911305427006755</v>
      </c>
      <c r="F30" s="76" t="n">
        <f aca="false">F29/F6</f>
        <v>0.00897751298110074</v>
      </c>
      <c r="G30" s="76" t="n">
        <f aca="false">G29/G6</f>
        <v>0.010842571145128</v>
      </c>
      <c r="H30" s="77" t="n">
        <f aca="false">假设!H208</f>
        <v>0.011</v>
      </c>
      <c r="I30" s="77" t="n">
        <f aca="false">假设!I208</f>
        <v>0.011</v>
      </c>
      <c r="J30" s="77" t="n">
        <f aca="false">假设!J208</f>
        <v>0.011</v>
      </c>
      <c r="K30" s="77" t="n">
        <f aca="false">假设!K208</f>
        <v>0.011</v>
      </c>
      <c r="L30" s="77" t="n">
        <f aca="false">假设!L208</f>
        <v>0.011</v>
      </c>
    </row>
    <row r="31" customFormat="false" ht="15" hidden="false" customHeight="false" outlineLevel="0" collapsed="false">
      <c r="A31" s="5" t="s">
        <v>458</v>
      </c>
      <c r="C31" s="74" t="n">
        <f aca="false">历史报表!E81</f>
        <v>244.7092</v>
      </c>
      <c r="D31" s="74" t="n">
        <f aca="false">历史报表!F81</f>
        <v>524.5033</v>
      </c>
      <c r="E31" s="74" t="n">
        <f aca="false">历史报表!G81</f>
        <v>905.9197</v>
      </c>
      <c r="F31" s="74" t="n">
        <f aca="false">历史报表!H81</f>
        <v>754.1246</v>
      </c>
      <c r="G31" s="74" t="n">
        <f aca="false">历史报表!I81</f>
        <v>402.134</v>
      </c>
      <c r="H31" s="64" t="n">
        <f aca="false">H6*H32</f>
        <v>441.016259872</v>
      </c>
      <c r="I31" s="64" t="n">
        <f aca="false">I6*I32</f>
        <v>470.47411136768</v>
      </c>
      <c r="J31" s="64" t="n">
        <f aca="false">J6*J32</f>
        <v>493.892304398113</v>
      </c>
      <c r="K31" s="64" t="n">
        <f aca="false">K6*K32</f>
        <v>518.732566353791</v>
      </c>
      <c r="L31" s="64" t="n">
        <f aca="false">L6*L32</f>
        <v>543.431940084881</v>
      </c>
      <c r="N31" s="74" t="n">
        <f aca="false">历史报表!K81</f>
        <v>248.2249</v>
      </c>
    </row>
    <row r="32" customFormat="false" ht="15" hidden="false" customHeight="false" outlineLevel="0" collapsed="false">
      <c r="A32" s="5" t="s">
        <v>441</v>
      </c>
      <c r="C32" s="76" t="n">
        <f aca="false">C31/C6</f>
        <v>0.00929923553847388</v>
      </c>
      <c r="D32" s="76" t="n">
        <f aca="false">D31/D6</f>
        <v>0.0169644111792134</v>
      </c>
      <c r="E32" s="76" t="n">
        <f aca="false">E31/E6</f>
        <v>0.0291015768885731</v>
      </c>
      <c r="F32" s="76" t="n">
        <f aca="false">F31/F6</f>
        <v>0.0264152533125271</v>
      </c>
      <c r="G32" s="76" t="n">
        <f aca="false">G31/G6</f>
        <v>0.0161379344857263</v>
      </c>
      <c r="H32" s="77" t="n">
        <f aca="false">假设!H212</f>
        <v>0.016</v>
      </c>
      <c r="I32" s="77" t="n">
        <f aca="false">假设!I212</f>
        <v>0.016</v>
      </c>
      <c r="J32" s="77" t="n">
        <f aca="false">假设!J212</f>
        <v>0.016</v>
      </c>
      <c r="K32" s="77" t="n">
        <f aca="false">假设!K212</f>
        <v>0.016</v>
      </c>
      <c r="L32" s="77" t="n">
        <f aca="false">假设!L212</f>
        <v>0.016</v>
      </c>
    </row>
    <row r="33" customFormat="false" ht="15" hidden="false" customHeight="false" outlineLevel="0" collapsed="false">
      <c r="A33" s="5" t="s">
        <v>459</v>
      </c>
      <c r="C33" s="74" t="n">
        <f aca="false">历史报表!E82</f>
        <v>1700.9199</v>
      </c>
      <c r="D33" s="74" t="n">
        <f aca="false">历史报表!F82</f>
        <v>2131.7705</v>
      </c>
      <c r="E33" s="74" t="n">
        <f aca="false">历史报表!G82</f>
        <v>2036.3337</v>
      </c>
      <c r="F33" s="74" t="n">
        <f aca="false">历史报表!H82</f>
        <v>1765.2361</v>
      </c>
      <c r="G33" s="74" t="n">
        <f aca="false">历史报表!I82</f>
        <v>1304.7764</v>
      </c>
      <c r="H33" s="64" t="n">
        <f aca="false">H6*H34</f>
        <v>1378.1758121</v>
      </c>
      <c r="I33" s="64" t="n">
        <f aca="false">I6*I34</f>
        <v>1470.231598024</v>
      </c>
      <c r="J33" s="64" t="n">
        <f aca="false">J6*J34</f>
        <v>1543.4134512441</v>
      </c>
      <c r="K33" s="64" t="n">
        <f aca="false">K6*K34</f>
        <v>1621.0392698556</v>
      </c>
      <c r="L33" s="64" t="n">
        <f aca="false">L6*L34</f>
        <v>1698.22481276525</v>
      </c>
      <c r="N33" s="74" t="n">
        <f aca="false">历史报表!K82</f>
        <v>1579.4903</v>
      </c>
    </row>
    <row r="34" customFormat="false" ht="15" hidden="false" customHeight="false" outlineLevel="0" collapsed="false">
      <c r="A34" s="5" t="s">
        <v>441</v>
      </c>
      <c r="C34" s="76" t="n">
        <f aca="false">C33/C6</f>
        <v>0.0646369436955269</v>
      </c>
      <c r="D34" s="76" t="n">
        <f aca="false">D33/D6</f>
        <v>0.0689494828759271</v>
      </c>
      <c r="E34" s="76" t="n">
        <f aca="false">E33/E6</f>
        <v>0.0654147621928772</v>
      </c>
      <c r="F34" s="76" t="n">
        <f aca="false">F33/F6</f>
        <v>0.0618321677053333</v>
      </c>
      <c r="G34" s="76" t="n">
        <f aca="false">G33/G6</f>
        <v>0.0523616408006331</v>
      </c>
      <c r="H34" s="77" t="n">
        <f aca="false">假设!H216</f>
        <v>0.05</v>
      </c>
      <c r="I34" s="77" t="n">
        <f aca="false">假设!I216</f>
        <v>0.05</v>
      </c>
      <c r="J34" s="77" t="n">
        <f aca="false">假设!J216</f>
        <v>0.05</v>
      </c>
      <c r="K34" s="77" t="n">
        <f aca="false">假设!K216</f>
        <v>0.05</v>
      </c>
      <c r="L34" s="77" t="n">
        <f aca="false">假设!L216</f>
        <v>0.05</v>
      </c>
    </row>
    <row r="35" customFormat="false" ht="15" hidden="false" customHeight="false" outlineLevel="0" collapsed="false">
      <c r="A35" s="5" t="s">
        <v>460</v>
      </c>
      <c r="C35" s="8" t="n">
        <f aca="false">历史报表!E88-历史报表!E73-历史报表!E74-C22-C27-C29-C31-C33-历史报表!E86</f>
        <v>458.729099999999</v>
      </c>
      <c r="D35" s="8" t="n">
        <f aca="false">历史报表!F88-历史报表!F73-历史报表!F74-D22-D27-D29-D31-D33-历史报表!F86</f>
        <v>269.373400000001</v>
      </c>
      <c r="E35" s="8" t="n">
        <f aca="false">历史报表!G88-历史报表!G73-历史报表!G74-E22-E27-E29-E31-E33-历史报表!G86</f>
        <v>246.475900000001</v>
      </c>
      <c r="F35" s="8" t="n">
        <f aca="false">历史报表!H88-历史报表!H73-历史报表!H74-F22-F27-F29-F31-F33-历史报表!H86</f>
        <v>186.524900000002</v>
      </c>
      <c r="G35" s="8" t="n">
        <f aca="false">历史报表!I88-历史报表!I73-历史报表!I74-G22-G27-G29-G31-G33-历史报表!I86</f>
        <v>159.7008</v>
      </c>
      <c r="H35" s="64" t="n">
        <f aca="false">H6*H36</f>
        <v>179.162855573</v>
      </c>
      <c r="I35" s="64" t="n">
        <f aca="false">I6*I36</f>
        <v>191.13010774312</v>
      </c>
      <c r="J35" s="64" t="n">
        <f aca="false">J6*J36</f>
        <v>200.643748661734</v>
      </c>
      <c r="K35" s="64" t="n">
        <f aca="false">K6*K36</f>
        <v>210.735105081228</v>
      </c>
      <c r="L35" s="64" t="n">
        <f aca="false">L6*L36</f>
        <v>220.769225659483</v>
      </c>
      <c r="N35" s="8" t="n">
        <f aca="false">历史报表!K88-历史报表!K73-历史报表!K74-N22-N27-N29-N31-N33-历史报表!K86</f>
        <v>142.541199999999</v>
      </c>
    </row>
    <row r="36" customFormat="false" ht="15" hidden="false" customHeight="false" outlineLevel="0" collapsed="false">
      <c r="A36" s="5" t="s">
        <v>441</v>
      </c>
      <c r="C36" s="76" t="n">
        <f aca="false">C35/C6</f>
        <v>0.0174322418170307</v>
      </c>
      <c r="D36" s="76" t="n">
        <f aca="false">D35/D6</f>
        <v>0.00871254979395311</v>
      </c>
      <c r="E36" s="76" t="n">
        <f aca="false">E35/E6</f>
        <v>0.00791774078323972</v>
      </c>
      <c r="F36" s="76" t="n">
        <f aca="false">F35/F6</f>
        <v>0.00653353899686315</v>
      </c>
      <c r="G36" s="76" t="n">
        <f aca="false">G35/G6</f>
        <v>0.00640891107869037</v>
      </c>
      <c r="H36" s="77" t="n">
        <f aca="false">假设!H220</f>
        <v>0.0065</v>
      </c>
      <c r="I36" s="77" t="n">
        <f aca="false">假设!I220</f>
        <v>0.0065</v>
      </c>
      <c r="J36" s="77" t="n">
        <f aca="false">假设!J220</f>
        <v>0.0065</v>
      </c>
      <c r="K36" s="77" t="n">
        <f aca="false">假设!K220</f>
        <v>0.0065</v>
      </c>
      <c r="L36" s="77" t="n">
        <f aca="false">假设!L220</f>
        <v>0.0065</v>
      </c>
    </row>
    <row r="37" customFormat="false" ht="15" hidden="false" customHeight="false" outlineLevel="0" collapsed="false">
      <c r="A37" s="5" t="s">
        <v>461</v>
      </c>
      <c r="C37" s="74" t="n">
        <f aca="false">历史报表!E74</f>
        <v>0</v>
      </c>
      <c r="D37" s="74" t="n">
        <f aca="false">历史报表!F74</f>
        <v>0</v>
      </c>
      <c r="E37" s="74" t="n">
        <f aca="false">历史报表!G74</f>
        <v>0</v>
      </c>
      <c r="F37" s="74" t="n">
        <f aca="false">历史报表!H74</f>
        <v>0</v>
      </c>
      <c r="G37" s="74" t="n">
        <f aca="false">历史报表!I74</f>
        <v>18.9335</v>
      </c>
      <c r="H37" s="64" t="n">
        <f aca="false">G37</f>
        <v>18.9335</v>
      </c>
      <c r="I37" s="64" t="n">
        <f aca="false">H37</f>
        <v>18.9335</v>
      </c>
      <c r="J37" s="64" t="n">
        <f aca="false">I37</f>
        <v>18.9335</v>
      </c>
      <c r="K37" s="64" t="n">
        <f aca="false">J37</f>
        <v>18.9335</v>
      </c>
      <c r="L37" s="64" t="n">
        <f aca="false">K37</f>
        <v>18.9335</v>
      </c>
      <c r="N37" s="74" t="n">
        <f aca="false">历史报表!K74</f>
        <v>18.9335</v>
      </c>
    </row>
    <row r="38" customFormat="false" ht="15" hidden="false" customHeight="false" outlineLevel="0" collapsed="false">
      <c r="A38" s="12" t="s">
        <v>462</v>
      </c>
      <c r="C38" s="68" t="n">
        <f aca="false">C22+C27+C29+C31+C33+C35+C37</f>
        <v>17409.9461</v>
      </c>
      <c r="D38" s="68" t="n">
        <f aca="false">D22+D27+D29+D31+D33+D35+D37</f>
        <v>18496.9345</v>
      </c>
      <c r="E38" s="68" t="n">
        <f aca="false">E22+E27+E29+E31+E33+E35+E37</f>
        <v>19376.2249</v>
      </c>
      <c r="F38" s="68" t="n">
        <f aca="false">F22+F27+F29+F31+F33+F35+F37</f>
        <v>18244.3545</v>
      </c>
      <c r="G38" s="68" t="n">
        <f aca="false">G22+G27+G29+G31+G33+G35+G37</f>
        <v>15760.8897</v>
      </c>
      <c r="H38" s="69" t="n">
        <f aca="false">H22+H27+H29+H31+H33+H35+H37</f>
        <v>17108.6415154679</v>
      </c>
      <c r="I38" s="69" t="n">
        <f aca="false">I22+I27+I29+I31+I33+I35+I37</f>
        <v>18302.9695560246</v>
      </c>
      <c r="J38" s="69" t="n">
        <f aca="false">J22+J27+J29+J31+J33+J35+J37</f>
        <v>19319.1468438326</v>
      </c>
      <c r="K38" s="69" t="n">
        <f aca="false">K22+K27+K29+K31+K33+K35+K37</f>
        <v>20287.4641888557</v>
      </c>
      <c r="L38" s="69" t="n">
        <f aca="false">L22+L27+L29+L31+L33+L35+L37</f>
        <v>21298.7302647668</v>
      </c>
      <c r="N38" s="68" t="n">
        <f aca="false">N22+N27+N29+N31+N33+N35+N37</f>
        <v>16829.4982</v>
      </c>
    </row>
    <row r="39" customFormat="false" ht="15" hidden="false" customHeight="false" outlineLevel="0" collapsed="false">
      <c r="A39" s="47" t="s">
        <v>463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</row>
    <row r="40" customFormat="false" ht="15" hidden="false" customHeight="false" outlineLevel="0" collapsed="false">
      <c r="A40" s="12" t="s">
        <v>463</v>
      </c>
      <c r="C40" s="13" t="n">
        <f aca="false">C20-C38</f>
        <v>3775.0902</v>
      </c>
      <c r="D40" s="13" t="n">
        <f aca="false">D20-D38</f>
        <v>5308.2678</v>
      </c>
      <c r="E40" s="13" t="n">
        <f aca="false">E20-E38</f>
        <v>6717.677</v>
      </c>
      <c r="F40" s="13" t="n">
        <f aca="false">F20-F38</f>
        <v>10123.3212</v>
      </c>
      <c r="G40" s="13" t="n">
        <f aca="false">G20-G38</f>
        <v>12960.3841</v>
      </c>
      <c r="H40" s="62" t="n">
        <f aca="false">H20-H38</f>
        <v>12733.0084014206</v>
      </c>
      <c r="I40" s="62" t="n">
        <f aca="false">I20-I38</f>
        <v>12314.9347117719</v>
      </c>
      <c r="J40" s="62" t="n">
        <f aca="false">J20-J38</f>
        <v>11593.1027497713</v>
      </c>
      <c r="K40" s="62" t="n">
        <f aca="false">K20-K38</f>
        <v>11360.5880822204</v>
      </c>
      <c r="L40" s="62" t="n">
        <f aca="false">L20-L38</f>
        <v>11412.3926799329</v>
      </c>
      <c r="N40" s="13" t="n">
        <f aca="false">N20-N38</f>
        <v>14583.3175</v>
      </c>
    </row>
    <row r="41" customFormat="false" ht="15" hidden="false" customHeight="false" outlineLevel="0" collapsed="false">
      <c r="A41" s="12" t="s">
        <v>464</v>
      </c>
      <c r="D41" s="13" t="n">
        <f aca="false">D40-C40</f>
        <v>1533.1776</v>
      </c>
      <c r="E41" s="13" t="n">
        <f aca="false">E40-D40</f>
        <v>1409.40920000001</v>
      </c>
      <c r="F41" s="13" t="n">
        <f aca="false">F40-E40</f>
        <v>3405.6442</v>
      </c>
      <c r="G41" s="13" t="n">
        <f aca="false">G40-F40</f>
        <v>2837.06289999999</v>
      </c>
      <c r="H41" s="62" t="n">
        <f aca="false">H40-G40</f>
        <v>-227.37569857939</v>
      </c>
      <c r="I41" s="62" t="n">
        <f aca="false">I40-H40</f>
        <v>-418.073689648711</v>
      </c>
      <c r="J41" s="62" t="n">
        <f aca="false">J40-I40</f>
        <v>-721.83196200055</v>
      </c>
      <c r="K41" s="62" t="n">
        <f aca="false">K40-J40</f>
        <v>-232.514667550895</v>
      </c>
      <c r="L41" s="62" t="n">
        <f aca="false">L40-K40</f>
        <v>51.8045977124493</v>
      </c>
      <c r="N41" s="13" t="n">
        <f aca="false">N40-G40</f>
        <v>1622.93340000001</v>
      </c>
      <c r="O41" s="21" t="s">
        <v>465</v>
      </c>
    </row>
    <row r="42" customFormat="false" ht="15" hidden="false" customHeight="false" outlineLevel="0" collapsed="false">
      <c r="A42" s="5" t="s">
        <v>466</v>
      </c>
      <c r="C42" s="14" t="n">
        <f aca="false">C40/C6</f>
        <v>0.1434578387277</v>
      </c>
      <c r="D42" s="14" t="n">
        <f aca="false">D40/D6</f>
        <v>0.171689363267263</v>
      </c>
      <c r="E42" s="14" t="n">
        <f aca="false">E40/E6</f>
        <v>0.215797265174937</v>
      </c>
      <c r="F42" s="14" t="n">
        <f aca="false">F40/F6</f>
        <v>0.354596699089349</v>
      </c>
      <c r="G42" s="14" t="n">
        <f aca="false">G40/G6</f>
        <v>0.520109788069769</v>
      </c>
      <c r="H42" s="63" t="n">
        <f aca="false">H40/H6</f>
        <v>0.461951526417324</v>
      </c>
      <c r="I42" s="63" t="n">
        <f aca="false">I40/I6</f>
        <v>0.418809347055363</v>
      </c>
      <c r="J42" s="63" t="n">
        <f aca="false">J40/J6</f>
        <v>0.375566985645565</v>
      </c>
      <c r="K42" s="63" t="n">
        <f aca="false">K40/K6</f>
        <v>0.350410637591539</v>
      </c>
      <c r="L42" s="63" t="n">
        <f aca="false">L40/L6</f>
        <v>0.336009478667017</v>
      </c>
    </row>
    <row r="43" customFormat="false" ht="15" hidden="false" customHeight="false" outlineLevel="0" collapsed="false">
      <c r="A43" s="5" t="s">
        <v>467</v>
      </c>
      <c r="C43" s="19" t="n">
        <f aca="false">C12+C17-C23</f>
        <v>111.732046934047</v>
      </c>
      <c r="D43" s="19" t="n">
        <f aca="false">D12+D17-D23</f>
        <v>86.2472717773886</v>
      </c>
      <c r="E43" s="19" t="n">
        <f aca="false">E12+E17-E23</f>
        <v>73.9781341135668</v>
      </c>
      <c r="F43" s="19" t="n">
        <f aca="false">F12+F17-F23</f>
        <v>111.067705536945</v>
      </c>
      <c r="G43" s="19" t="n">
        <f aca="false">G12+G17-G23</f>
        <v>178.845391880431</v>
      </c>
      <c r="H43" s="87" t="n">
        <f aca="false">H12+H17-H23</f>
        <v>155</v>
      </c>
      <c r="I43" s="87" t="n">
        <f aca="false">I12+I17-I23</f>
        <v>140</v>
      </c>
      <c r="J43" s="87" t="n">
        <f aca="false">J12+J17-J23</f>
        <v>125</v>
      </c>
      <c r="K43" s="87" t="n">
        <f aca="false">K12+K17-K23</f>
        <v>115</v>
      </c>
      <c r="L43" s="87" t="n">
        <f aca="false">L12+L17-L23</f>
        <v>110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468</v>
      </c>
    </row>
    <row r="2" customFormat="false" ht="15" hidden="false" customHeight="false" outlineLevel="0" collapsed="false">
      <c r="A2" s="2" t="s">
        <v>469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47" t="s">
        <v>470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customFormat="false" ht="15" hidden="false" customHeight="false" outlineLevel="0" collapsed="false">
      <c r="A7" s="5" t="s">
        <v>471</v>
      </c>
      <c r="C7" s="74" t="n">
        <f aca="false">历史报表!E145</f>
        <v>4533.5814</v>
      </c>
      <c r="D7" s="74" t="n">
        <f aca="false">历史报表!F145</f>
        <v>4085.1596</v>
      </c>
      <c r="E7" s="74" t="n">
        <f aca="false">历史报表!G145</f>
        <v>4848.3305</v>
      </c>
      <c r="F7" s="74" t="n">
        <f aca="false">历史报表!H145</f>
        <v>4810.2668</v>
      </c>
      <c r="G7" s="74" t="n">
        <f aca="false">历史报表!I145</f>
        <v>6364.4738</v>
      </c>
      <c r="H7" s="75" t="n">
        <f aca="false">现金流量表!H36</f>
        <v>4500</v>
      </c>
      <c r="I7" s="75" t="n">
        <f aca="false">现金流量表!I36</f>
        <v>4625.03564179327</v>
      </c>
      <c r="J7" s="75" t="n">
        <f aca="false">现金流量表!J36</f>
        <v>5001.41982920245</v>
      </c>
      <c r="K7" s="75" t="n">
        <f aca="false">现金流量表!K36</f>
        <v>5650.27205201893</v>
      </c>
      <c r="L7" s="75" t="n">
        <f aca="false">现金流量表!L36</f>
        <v>6388.11620294412</v>
      </c>
      <c r="N7" s="74" t="n">
        <f aca="false">历史报表!K145</f>
        <v>4816.5155</v>
      </c>
    </row>
    <row r="8" customFormat="false" ht="15" hidden="false" customHeight="false" outlineLevel="0" collapsed="false">
      <c r="A8" s="5" t="s">
        <v>472</v>
      </c>
      <c r="C8" s="8" t="n">
        <f aca="false">历史报表!E42-历史报表!E145</f>
        <v>188.7475</v>
      </c>
      <c r="D8" s="8" t="n">
        <f aca="false">历史报表!F42-历史报表!F145</f>
        <v>303.8136</v>
      </c>
      <c r="E8" s="8" t="n">
        <f aca="false">历史报表!G42-历史报表!G145</f>
        <v>359.3982</v>
      </c>
      <c r="F8" s="8" t="n">
        <f aca="false">历史报表!H42-历史报表!H145</f>
        <v>433.4901</v>
      </c>
      <c r="G8" s="8" t="n">
        <f aca="false">历史报表!I42-历史报表!I145</f>
        <v>122.020100000001</v>
      </c>
      <c r="H8" s="64" t="n">
        <f aca="false">G8</f>
        <v>122.020100000001</v>
      </c>
      <c r="I8" s="64" t="n">
        <f aca="false">H8</f>
        <v>122.020100000001</v>
      </c>
      <c r="J8" s="64" t="n">
        <f aca="false">I8</f>
        <v>122.020100000001</v>
      </c>
      <c r="K8" s="64" t="n">
        <f aca="false">J8</f>
        <v>122.020100000001</v>
      </c>
      <c r="L8" s="64" t="n">
        <f aca="false">K8</f>
        <v>122.020100000001</v>
      </c>
      <c r="N8" s="8" t="n">
        <f aca="false">历史报表!K42-历史报表!K145</f>
        <v>148.6104</v>
      </c>
      <c r="O8" s="22" t="s">
        <v>473</v>
      </c>
    </row>
    <row r="9" customFormat="false" ht="15" hidden="false" customHeight="false" outlineLevel="0" collapsed="false">
      <c r="A9" s="12" t="s">
        <v>474</v>
      </c>
      <c r="C9" s="78" t="n">
        <f aca="false">历史报表!E42</f>
        <v>4722.3289</v>
      </c>
      <c r="D9" s="78" t="n">
        <f aca="false">历史报表!F42</f>
        <v>4388.9732</v>
      </c>
      <c r="E9" s="78" t="n">
        <f aca="false">历史报表!G42</f>
        <v>5207.7287</v>
      </c>
      <c r="F9" s="78" t="n">
        <f aca="false">历史报表!H42</f>
        <v>5243.7569</v>
      </c>
      <c r="G9" s="78" t="n">
        <f aca="false">历史报表!I42</f>
        <v>6486.4939</v>
      </c>
      <c r="H9" s="62" t="n">
        <f aca="false">H7+H8</f>
        <v>4622.0201</v>
      </c>
      <c r="I9" s="62" t="n">
        <f aca="false">I7+I8</f>
        <v>4747.05574179327</v>
      </c>
      <c r="J9" s="62" t="n">
        <f aca="false">J7+J8</f>
        <v>5123.43992920246</v>
      </c>
      <c r="K9" s="62" t="n">
        <f aca="false">K7+K8</f>
        <v>5772.29215201893</v>
      </c>
      <c r="L9" s="62" t="n">
        <f aca="false">L7+L8</f>
        <v>6510.13630294412</v>
      </c>
      <c r="N9" s="78" t="n">
        <f aca="false">历史报表!K42</f>
        <v>4965.1259</v>
      </c>
    </row>
    <row r="10" customFormat="false" ht="15" hidden="false" customHeight="false" outlineLevel="0" collapsed="false">
      <c r="A10" s="47" t="s">
        <v>475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</row>
    <row r="11" customFormat="false" ht="15" hidden="false" customHeight="false" outlineLevel="0" collapsed="false">
      <c r="A11" s="5" t="s">
        <v>476</v>
      </c>
      <c r="H11" s="64" t="n">
        <f aca="false">G12</f>
        <v>6930.4263</v>
      </c>
      <c r="I11" s="64" t="n">
        <f aca="false">H12</f>
        <v>5561.15208979165</v>
      </c>
      <c r="J11" s="64" t="n">
        <f aca="false">I12</f>
        <v>3000</v>
      </c>
      <c r="K11" s="64" t="n">
        <f aca="false">J12</f>
        <v>3000</v>
      </c>
      <c r="L11" s="64" t="n">
        <f aca="false">K12</f>
        <v>3000</v>
      </c>
    </row>
    <row r="12" customFormat="false" ht="15" hidden="false" customHeight="false" outlineLevel="0" collapsed="false">
      <c r="A12" s="12" t="s">
        <v>477</v>
      </c>
      <c r="C12" s="78" t="n">
        <f aca="false">历史报表!E73</f>
        <v>288.5518</v>
      </c>
      <c r="D12" s="78" t="n">
        <f aca="false">历史报表!F73</f>
        <v>638.6606</v>
      </c>
      <c r="E12" s="78" t="n">
        <f aca="false">历史报表!G73</f>
        <v>2026.2359</v>
      </c>
      <c r="F12" s="78" t="n">
        <f aca="false">历史报表!H73</f>
        <v>5079.8579</v>
      </c>
      <c r="G12" s="78" t="n">
        <f aca="false">历史报表!I73</f>
        <v>6930.4263</v>
      </c>
      <c r="H12" s="62" t="n">
        <f aca="false">MAX(假设!$C$35,H11+假设!$C$34-现金流量表!H27)</f>
        <v>5561.15208979165</v>
      </c>
      <c r="I12" s="62" t="n">
        <f aca="false">MAX(假设!$C$35,I11+假设!$C$34-现金流量表!I27)</f>
        <v>3000</v>
      </c>
      <c r="J12" s="62" t="n">
        <f aca="false">MAX(假设!$C$35,J11+假设!$C$34-现金流量表!J27)</f>
        <v>3000</v>
      </c>
      <c r="K12" s="62" t="n">
        <f aca="false">MAX(假设!$C$35,K11+假设!$C$34-现金流量表!K27)</f>
        <v>3000</v>
      </c>
      <c r="L12" s="62" t="n">
        <f aca="false">MAX(假设!$C$35,L11+假设!$C$34-现金流量表!L27)</f>
        <v>3000</v>
      </c>
      <c r="N12" s="78" t="n">
        <f aca="false">历史报表!K73</f>
        <v>7776.7969</v>
      </c>
    </row>
    <row r="13" customFormat="false" ht="15" hidden="false" customHeight="false" outlineLevel="0" collapsed="false">
      <c r="A13" s="5" t="s">
        <v>478</v>
      </c>
      <c r="C13" s="8" t="n">
        <f aca="false">历史报表!E89+历史报表!E86</f>
        <v>2471.9005</v>
      </c>
      <c r="D13" s="8" t="n">
        <f aca="false">历史报表!F89+历史报表!F86</f>
        <v>2569.3013</v>
      </c>
      <c r="E13" s="8" t="n">
        <f aca="false">历史报表!G89+历史报表!G86</f>
        <v>2079.0444</v>
      </c>
      <c r="F13" s="42" t="n">
        <v>2075.71</v>
      </c>
      <c r="G13" s="42" t="n">
        <v>4703.75</v>
      </c>
      <c r="H13" s="75" t="n">
        <f aca="false">假设!H225</f>
        <v>4700</v>
      </c>
      <c r="I13" s="75" t="n">
        <f aca="false">假设!I225</f>
        <v>4700</v>
      </c>
      <c r="J13" s="75" t="n">
        <f aca="false">假设!J225</f>
        <v>4700</v>
      </c>
      <c r="K13" s="75" t="n">
        <f aca="false">假设!K225</f>
        <v>4700</v>
      </c>
      <c r="L13" s="75" t="n">
        <f aca="false">假设!L225</f>
        <v>4700</v>
      </c>
      <c r="O13" s="21" t="s">
        <v>479</v>
      </c>
    </row>
    <row r="14" customFormat="false" ht="15" hidden="false" customHeight="false" outlineLevel="0" collapsed="false">
      <c r="A14" s="5" t="s">
        <v>480</v>
      </c>
      <c r="C14" s="74" t="n">
        <f aca="false">历史报表!E89</f>
        <v>2455.8</v>
      </c>
      <c r="D14" s="74" t="n">
        <f aca="false">历史报表!F89</f>
        <v>1672.1</v>
      </c>
      <c r="E14" s="74" t="n">
        <f aca="false">历史报表!G89</f>
        <v>717.2</v>
      </c>
      <c r="F14" s="74" t="n">
        <f aca="false">历史报表!H89</f>
        <v>1937.29</v>
      </c>
      <c r="G14" s="74" t="n">
        <f aca="false">历史报表!I89</f>
        <v>4239.3389</v>
      </c>
      <c r="H14" s="64" t="n">
        <f aca="false">H13*(1-假设!$C$36)</f>
        <v>4230</v>
      </c>
      <c r="I14" s="64" t="n">
        <f aca="false">I13*(1-假设!$C$36)</f>
        <v>4230</v>
      </c>
      <c r="J14" s="64" t="n">
        <f aca="false">J13*(1-假设!$C$36)</f>
        <v>4230</v>
      </c>
      <c r="K14" s="64" t="n">
        <f aca="false">K13*(1-假设!$C$36)</f>
        <v>4230</v>
      </c>
      <c r="L14" s="64" t="n">
        <f aca="false">L13*(1-假设!$C$36)</f>
        <v>4230</v>
      </c>
      <c r="N14" s="74" t="n">
        <f aca="false">历史报表!K89</f>
        <v>1781.3981</v>
      </c>
    </row>
    <row r="15" customFormat="false" ht="15" hidden="false" customHeight="false" outlineLevel="0" collapsed="false">
      <c r="A15" s="5" t="s">
        <v>481</v>
      </c>
      <c r="C15" s="74" t="n">
        <f aca="false">历史报表!E86</f>
        <v>16.1005</v>
      </c>
      <c r="D15" s="74" t="n">
        <f aca="false">历史报表!F86</f>
        <v>897.2013</v>
      </c>
      <c r="E15" s="74" t="n">
        <f aca="false">历史报表!G86</f>
        <v>1361.8444</v>
      </c>
      <c r="F15" s="74" t="n">
        <f aca="false">历史报表!H86</f>
        <v>3162.1433</v>
      </c>
      <c r="G15" s="74" t="n">
        <f aca="false">历史报表!I86</f>
        <v>524.3707</v>
      </c>
      <c r="H15" s="64" t="n">
        <f aca="false">H13*假设!$C$36+假设!$C$37</f>
        <v>529.958738</v>
      </c>
      <c r="I15" s="64" t="n">
        <f aca="false">I13*假设!$C$36+假设!$C$37</f>
        <v>529.958738</v>
      </c>
      <c r="J15" s="64" t="n">
        <f aca="false">J13*假设!$C$36+假设!$C$37</f>
        <v>529.958738</v>
      </c>
      <c r="K15" s="64" t="n">
        <f aca="false">K13*假设!$C$36+假设!$C$37</f>
        <v>529.958738</v>
      </c>
      <c r="L15" s="64" t="n">
        <f aca="false">L13*假设!$C$36+假设!$C$37</f>
        <v>529.958738</v>
      </c>
      <c r="N15" s="74" t="n">
        <f aca="false">历史报表!K86</f>
        <v>2996.6449</v>
      </c>
      <c r="O15" s="21" t="s">
        <v>482</v>
      </c>
    </row>
    <row r="16" customFormat="false" ht="15" hidden="false" customHeight="false" outlineLevel="0" collapsed="false">
      <c r="A16" s="5" t="s">
        <v>483</v>
      </c>
      <c r="C16" s="74" t="n">
        <f aca="false">历史报表!E90</f>
        <v>2598.1583</v>
      </c>
      <c r="D16" s="74" t="n">
        <f aca="false">历史报表!F90</f>
        <v>2722.4942</v>
      </c>
      <c r="E16" s="74" t="n">
        <f aca="false">历史报表!G90</f>
        <v>2843.957</v>
      </c>
      <c r="F16" s="74" t="n">
        <f aca="false">历史报表!H90</f>
        <v>0</v>
      </c>
      <c r="G16" s="74" t="n">
        <f aca="false">历史报表!I90</f>
        <v>0</v>
      </c>
      <c r="H16" s="57" t="n">
        <v>0</v>
      </c>
      <c r="I16" s="57" t="n">
        <v>0</v>
      </c>
      <c r="J16" s="57" t="n">
        <v>0</v>
      </c>
      <c r="K16" s="57" t="n">
        <v>0</v>
      </c>
      <c r="L16" s="57" t="n">
        <v>0</v>
      </c>
      <c r="N16" s="74" t="n">
        <f aca="false">历史报表!K90</f>
        <v>0</v>
      </c>
    </row>
    <row r="17" customFormat="false" ht="15" hidden="false" customHeight="false" outlineLevel="0" collapsed="false">
      <c r="A17" s="5" t="s">
        <v>484</v>
      </c>
      <c r="C17" s="74" t="n">
        <f aca="false">历史报表!E91</f>
        <v>72.0342</v>
      </c>
      <c r="D17" s="74" t="n">
        <f aca="false">历史报表!F91</f>
        <v>84.52</v>
      </c>
      <c r="E17" s="74" t="n">
        <f aca="false">历史报表!G91</f>
        <v>49.6756</v>
      </c>
      <c r="F17" s="74" t="n">
        <f aca="false">历史报表!H91</f>
        <v>99.1721</v>
      </c>
      <c r="G17" s="74" t="n">
        <f aca="false">历史报表!I91</f>
        <v>39.9403</v>
      </c>
      <c r="H17" s="64" t="n">
        <f aca="false">G17</f>
        <v>39.9403</v>
      </c>
      <c r="I17" s="64" t="n">
        <f aca="false">H17</f>
        <v>39.9403</v>
      </c>
      <c r="J17" s="64" t="n">
        <f aca="false">I17</f>
        <v>39.9403</v>
      </c>
      <c r="K17" s="64" t="n">
        <f aca="false">J17</f>
        <v>39.9403</v>
      </c>
      <c r="L17" s="64" t="n">
        <f aca="false">K17</f>
        <v>39.9403</v>
      </c>
      <c r="N17" s="74" t="n">
        <f aca="false">历史报表!K91</f>
        <v>16.7409</v>
      </c>
    </row>
    <row r="18" customFormat="false" ht="15" hidden="false" customHeight="false" outlineLevel="0" collapsed="false">
      <c r="A18" s="12" t="s">
        <v>485</v>
      </c>
      <c r="C18" s="68" t="n">
        <f aca="false">C12+C14+C15+C16+C17</f>
        <v>5430.6448</v>
      </c>
      <c r="D18" s="68" t="n">
        <f aca="false">D12+D14+D15+D16+D17</f>
        <v>6014.9761</v>
      </c>
      <c r="E18" s="68" t="n">
        <f aca="false">E12+E14+E15+E16+E17</f>
        <v>6998.9129</v>
      </c>
      <c r="F18" s="68" t="n">
        <f aca="false">F12+F14+F15+F16+F17</f>
        <v>10278.4633</v>
      </c>
      <c r="G18" s="68" t="n">
        <f aca="false">G12+G14+G15+G16+G17</f>
        <v>11734.0762</v>
      </c>
      <c r="H18" s="69" t="n">
        <f aca="false">H12+H14+H15+H16+H17</f>
        <v>10361.0511277917</v>
      </c>
      <c r="I18" s="69" t="n">
        <f aca="false">I12+I14+I15+I16+I17</f>
        <v>7799.899038</v>
      </c>
      <c r="J18" s="69" t="n">
        <f aca="false">J12+J14+J15+J16+J17</f>
        <v>7799.899038</v>
      </c>
      <c r="K18" s="69" t="n">
        <f aca="false">K12+K14+K15+K16+K17</f>
        <v>7799.899038</v>
      </c>
      <c r="L18" s="69" t="n">
        <f aca="false">L12+L14+L15+L16+L17</f>
        <v>7799.899038</v>
      </c>
      <c r="N18" s="68" t="n">
        <f aca="false">N12+N14+N15+N16+N17</f>
        <v>12571.5808</v>
      </c>
    </row>
    <row r="19" customFormat="false" ht="15" hidden="false" customHeight="false" outlineLevel="0" collapsed="false">
      <c r="A19" s="12" t="s">
        <v>486</v>
      </c>
      <c r="C19" s="13" t="n">
        <f aca="false">C18-C9</f>
        <v>708.3159</v>
      </c>
      <c r="D19" s="13" t="n">
        <f aca="false">D18-D9</f>
        <v>1626.0029</v>
      </c>
      <c r="E19" s="13" t="n">
        <f aca="false">E18-E9</f>
        <v>1791.1842</v>
      </c>
      <c r="F19" s="13" t="n">
        <f aca="false">F18-F9</f>
        <v>5034.7064</v>
      </c>
      <c r="G19" s="13" t="n">
        <f aca="false">G18-G9</f>
        <v>5247.5823</v>
      </c>
      <c r="H19" s="62" t="n">
        <f aca="false">H18-H9</f>
        <v>5739.03102779165</v>
      </c>
      <c r="I19" s="62" t="n">
        <f aca="false">I18-I9</f>
        <v>3052.84329620673</v>
      </c>
      <c r="J19" s="62" t="n">
        <f aca="false">J18-J9</f>
        <v>2676.45910879755</v>
      </c>
      <c r="K19" s="62" t="n">
        <f aca="false">K18-K9</f>
        <v>2027.60688598107</v>
      </c>
      <c r="L19" s="62" t="n">
        <f aca="false">L18-L9</f>
        <v>1289.76273505588</v>
      </c>
      <c r="N19" s="13" t="n">
        <f aca="false">N18-N9</f>
        <v>7606.4549</v>
      </c>
    </row>
    <row r="20" customFormat="false" ht="15" hidden="false" customHeight="false" outlineLevel="0" collapsed="false">
      <c r="A20" s="47" t="s">
        <v>487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</row>
    <row r="21" customFormat="false" ht="15" hidden="false" customHeight="false" outlineLevel="0" collapsed="false">
      <c r="A21" s="5" t="s">
        <v>488</v>
      </c>
      <c r="H21" s="64" t="n">
        <f aca="false">G12+G13+G16</f>
        <v>11634.1763</v>
      </c>
      <c r="I21" s="64" t="n">
        <f aca="false">H12+H13+H16</f>
        <v>10261.1520897917</v>
      </c>
      <c r="J21" s="64" t="n">
        <f aca="false">I12+I13+I16</f>
        <v>7700</v>
      </c>
      <c r="K21" s="64" t="n">
        <f aca="false">J12+J13+J16</f>
        <v>7700</v>
      </c>
      <c r="L21" s="64" t="n">
        <f aca="false">K12+K13+K16</f>
        <v>7700</v>
      </c>
    </row>
    <row r="22" customFormat="false" ht="15" hidden="false" customHeight="false" outlineLevel="0" collapsed="false">
      <c r="A22" s="5" t="s">
        <v>489</v>
      </c>
      <c r="C22" s="74" t="n">
        <f aca="false">历史报表!E16</f>
        <v>215.601</v>
      </c>
      <c r="D22" s="74" t="n">
        <f aca="false">历史报表!F16</f>
        <v>313.6005</v>
      </c>
      <c r="E22" s="74" t="n">
        <f aca="false">历史报表!G16</f>
        <v>338.3448</v>
      </c>
      <c r="F22" s="74" t="n">
        <f aca="false">历史报表!H16</f>
        <v>460.6155</v>
      </c>
      <c r="G22" s="74" t="n">
        <f aca="false">历史报表!I16</f>
        <v>327.7565</v>
      </c>
      <c r="H22" s="64" t="n">
        <f aca="false">H21*H23</f>
        <v>314.1227601</v>
      </c>
      <c r="I22" s="64" t="n">
        <f aca="false">I21*I23</f>
        <v>277.051106424375</v>
      </c>
      <c r="J22" s="64" t="n">
        <f aca="false">J21*J23</f>
        <v>207.9</v>
      </c>
      <c r="K22" s="64" t="n">
        <f aca="false">K21*K23</f>
        <v>207.9</v>
      </c>
      <c r="L22" s="64" t="n">
        <f aca="false">L21*L23</f>
        <v>207.9</v>
      </c>
      <c r="N22" s="74" t="n">
        <f aca="false">历史报表!K16</f>
        <v>149.8608</v>
      </c>
      <c r="O22" s="21" t="s">
        <v>490</v>
      </c>
    </row>
    <row r="23" customFormat="false" ht="15" hidden="false" customHeight="false" outlineLevel="0" collapsed="false">
      <c r="A23" s="5" t="s">
        <v>491</v>
      </c>
      <c r="D23" s="76" t="n">
        <f aca="false">D22/AVERAGE(C18,D18)</f>
        <v>0.054798337764271</v>
      </c>
      <c r="E23" s="76" t="n">
        <f aca="false">E22/AVERAGE(D18,E18)</f>
        <v>0.0519974928324654</v>
      </c>
      <c r="F23" s="76" t="n">
        <f aca="false">F22/AVERAGE(E18,F18)</f>
        <v>0.0533200753017116</v>
      </c>
      <c r="G23" s="76" t="n">
        <f aca="false">G22/AVERAGE(F18,G18)</f>
        <v>0.0297790720602682</v>
      </c>
      <c r="H23" s="77" t="n">
        <f aca="false">假设!H229</f>
        <v>0.027</v>
      </c>
      <c r="I23" s="77" t="n">
        <f aca="false">假设!I229</f>
        <v>0.027</v>
      </c>
      <c r="J23" s="77" t="n">
        <f aca="false">假设!J229</f>
        <v>0.027</v>
      </c>
      <c r="K23" s="77" t="n">
        <f aca="false">假设!K229</f>
        <v>0.027</v>
      </c>
      <c r="L23" s="77" t="n">
        <f aca="false">假设!L229</f>
        <v>0.027</v>
      </c>
      <c r="O23" s="22" t="s">
        <v>492</v>
      </c>
    </row>
    <row r="24" customFormat="false" ht="15" hidden="false" customHeight="false" outlineLevel="0" collapsed="false">
      <c r="A24" s="5" t="s">
        <v>493</v>
      </c>
      <c r="C24" s="74" t="n">
        <f aca="false">历史报表!E17</f>
        <v>31.8052</v>
      </c>
      <c r="D24" s="74" t="n">
        <f aca="false">历史报表!F17</f>
        <v>45.4798</v>
      </c>
      <c r="E24" s="74" t="n">
        <f aca="false">历史报表!G17</f>
        <v>42.8973</v>
      </c>
      <c r="F24" s="74" t="n">
        <f aca="false">历史报表!H17</f>
        <v>46.4411</v>
      </c>
      <c r="G24" s="74" t="n">
        <f aca="false">历史报表!I17</f>
        <v>41.9207</v>
      </c>
      <c r="H24" s="64" t="n">
        <f aca="false">G7*H25</f>
        <v>44.5513166</v>
      </c>
      <c r="I24" s="64" t="n">
        <f aca="false">H7*I25</f>
        <v>31.5</v>
      </c>
      <c r="J24" s="64" t="n">
        <f aca="false">I7*J25</f>
        <v>32.3752494925529</v>
      </c>
      <c r="K24" s="64" t="n">
        <f aca="false">J7*K25</f>
        <v>35.0099388044172</v>
      </c>
      <c r="L24" s="64" t="n">
        <f aca="false">K7*L25</f>
        <v>39.5519043641325</v>
      </c>
      <c r="N24" s="74" t="n">
        <f aca="false">历史报表!K17</f>
        <v>17.8741</v>
      </c>
    </row>
    <row r="25" customFormat="false" ht="15" hidden="false" customHeight="false" outlineLevel="0" collapsed="false">
      <c r="A25" s="5" t="s">
        <v>494</v>
      </c>
      <c r="D25" s="76" t="n">
        <f aca="false">D24/AVERAGE(C9,D9)</f>
        <v>0.0099831614627288</v>
      </c>
      <c r="E25" s="76" t="n">
        <f aca="false">E24/AVERAGE(D9,E9)</f>
        <v>0.00894000885866841</v>
      </c>
      <c r="F25" s="76" t="n">
        <f aca="false">F24/AVERAGE(E9,F9)</f>
        <v>0.00888698540617039</v>
      </c>
      <c r="G25" s="76" t="n">
        <f aca="false">G24/AVERAGE(F9,G9)</f>
        <v>0.00714745161288452</v>
      </c>
      <c r="H25" s="77" t="n">
        <f aca="false">假设!H233</f>
        <v>0.007</v>
      </c>
      <c r="I25" s="77" t="n">
        <f aca="false">假设!I233</f>
        <v>0.007</v>
      </c>
      <c r="J25" s="77" t="n">
        <f aca="false">假设!J233</f>
        <v>0.007</v>
      </c>
      <c r="K25" s="77" t="n">
        <f aca="false">假设!K233</f>
        <v>0.007</v>
      </c>
      <c r="L25" s="77" t="n">
        <f aca="false">假设!L233</f>
        <v>0.007</v>
      </c>
    </row>
    <row r="26" customFormat="false" ht="15" hidden="false" customHeight="false" outlineLevel="0" collapsed="false">
      <c r="A26" s="5" t="s">
        <v>495</v>
      </c>
      <c r="C26" s="8" t="n">
        <f aca="false">历史报表!E15-C22+C24</f>
        <v>181.4787</v>
      </c>
      <c r="D26" s="8" t="n">
        <f aca="false">历史报表!F15-D22+D24</f>
        <v>114.4138</v>
      </c>
      <c r="E26" s="8" t="n">
        <f aca="false">历史报表!G15-E22+E24</f>
        <v>20.1453</v>
      </c>
      <c r="F26" s="8" t="n">
        <f aca="false">历史报表!H15-F22+F24</f>
        <v>143.4701</v>
      </c>
      <c r="G26" s="8" t="n">
        <f aca="false">历史报表!I15-G22+G24</f>
        <v>138.3653</v>
      </c>
      <c r="H26" s="75" t="n">
        <f aca="false">假设!H237</f>
        <v>300</v>
      </c>
      <c r="I26" s="75" t="n">
        <f aca="false">假设!I237</f>
        <v>100</v>
      </c>
      <c r="J26" s="75" t="n">
        <f aca="false">假设!J237</f>
        <v>100</v>
      </c>
      <c r="K26" s="75" t="n">
        <f aca="false">假设!K237</f>
        <v>100</v>
      </c>
      <c r="L26" s="75" t="n">
        <f aca="false">假设!L237</f>
        <v>100</v>
      </c>
      <c r="N26" s="8" t="n">
        <f aca="false">历史报表!K15-N22+N24</f>
        <v>243.6936</v>
      </c>
    </row>
    <row r="27" customFormat="false" ht="15" hidden="false" customHeight="false" outlineLevel="0" collapsed="false">
      <c r="A27" s="12" t="s">
        <v>496</v>
      </c>
      <c r="C27" s="68" t="n">
        <f aca="false">C22-C24+C26</f>
        <v>365.2745</v>
      </c>
      <c r="D27" s="68" t="n">
        <f aca="false">D22-D24+D26</f>
        <v>382.5345</v>
      </c>
      <c r="E27" s="68" t="n">
        <f aca="false">E22-E24+E26</f>
        <v>315.5928</v>
      </c>
      <c r="F27" s="68" t="n">
        <f aca="false">F22-F24+F26</f>
        <v>557.6445</v>
      </c>
      <c r="G27" s="68" t="n">
        <f aca="false">G22-G24+G26</f>
        <v>424.2011</v>
      </c>
      <c r="H27" s="69" t="n">
        <f aca="false">H22-H24+H26</f>
        <v>569.5714435</v>
      </c>
      <c r="I27" s="69" t="n">
        <f aca="false">I22-I24+I26</f>
        <v>345.551106424375</v>
      </c>
      <c r="J27" s="69" t="n">
        <f aca="false">J22-J24+J26</f>
        <v>275.524750507447</v>
      </c>
      <c r="K27" s="69" t="n">
        <f aca="false">K22-K24+K26</f>
        <v>272.890061195583</v>
      </c>
      <c r="L27" s="69" t="n">
        <f aca="false">L22-L24+L26</f>
        <v>268.348095635868</v>
      </c>
      <c r="N27" s="68" t="n">
        <f aca="false">N22-N24+N26</f>
        <v>375.6803</v>
      </c>
    </row>
    <row r="28" customFormat="false" ht="15" hidden="false" customHeight="false" outlineLevel="0" collapsed="false">
      <c r="A28" s="47" t="s">
        <v>497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</row>
    <row r="29" customFormat="false" ht="15" hidden="false" customHeight="false" outlineLevel="0" collapsed="false">
      <c r="A29" s="5" t="s">
        <v>498</v>
      </c>
      <c r="C29" s="37" t="n">
        <v>1170.154</v>
      </c>
      <c r="D29" s="7" t="n">
        <f aca="false">C35</f>
        <v>1187.8277</v>
      </c>
      <c r="E29" s="7" t="n">
        <f aca="false">D35</f>
        <v>1186.5645</v>
      </c>
      <c r="F29" s="7" t="n">
        <f aca="false">E35</f>
        <v>1185.4913</v>
      </c>
      <c r="G29" s="7" t="n">
        <f aca="false">F35</f>
        <v>1184.4645</v>
      </c>
      <c r="H29" s="88" t="n">
        <f aca="false">G35</f>
        <v>1358.1675</v>
      </c>
      <c r="I29" s="88" t="n">
        <f aca="false">H35</f>
        <v>1358.1675</v>
      </c>
      <c r="J29" s="88" t="n">
        <f aca="false">I35</f>
        <v>1455.2605</v>
      </c>
      <c r="K29" s="88" t="n">
        <f aca="false">J35</f>
        <v>1455.2605</v>
      </c>
      <c r="L29" s="88" t="n">
        <f aca="false">K35</f>
        <v>1455.2605</v>
      </c>
    </row>
    <row r="30" customFormat="false" ht="15" hidden="false" customHeight="false" outlineLevel="0" collapsed="false">
      <c r="A30" s="5" t="s">
        <v>499</v>
      </c>
      <c r="G30" s="42" t="n">
        <v>1100</v>
      </c>
      <c r="H30" s="75" t="n">
        <f aca="false">假设!H249</f>
        <v>0</v>
      </c>
      <c r="I30" s="75" t="n">
        <f aca="false">假设!I249</f>
        <v>2912.79</v>
      </c>
      <c r="J30" s="75" t="n">
        <f aca="false">假设!J249</f>
        <v>0</v>
      </c>
      <c r="K30" s="75" t="n">
        <f aca="false">假设!K249</f>
        <v>0</v>
      </c>
      <c r="L30" s="75" t="n">
        <f aca="false">假设!L249</f>
        <v>0</v>
      </c>
      <c r="O30" s="21" t="s">
        <v>500</v>
      </c>
    </row>
    <row r="31" customFormat="false" ht="15" hidden="false" customHeight="false" outlineLevel="0" collapsed="false">
      <c r="A31" s="5" t="s">
        <v>501</v>
      </c>
      <c r="G31" s="42" t="n">
        <v>1093.1</v>
      </c>
      <c r="H31" s="64" t="n">
        <f aca="false">H30*(1-假设!$C$41)</f>
        <v>0</v>
      </c>
      <c r="I31" s="64" t="n">
        <f aca="false">I30*(1-假设!$C$41)</f>
        <v>2880.74931</v>
      </c>
      <c r="J31" s="64" t="n">
        <f aca="false">J30*(1-假设!$C$41)</f>
        <v>0</v>
      </c>
      <c r="K31" s="64" t="n">
        <f aca="false">K30*(1-假设!$C$41)</f>
        <v>0</v>
      </c>
      <c r="L31" s="64" t="n">
        <f aca="false">L30*(1-假设!$C$41)</f>
        <v>0</v>
      </c>
    </row>
    <row r="32" customFormat="false" ht="15" hidden="false" customHeight="false" outlineLevel="0" collapsed="false">
      <c r="A32" s="17" t="s">
        <v>502</v>
      </c>
      <c r="C32" s="7" t="n">
        <f aca="false">C35-C29+C34</f>
        <v>17.6737000000001</v>
      </c>
      <c r="D32" s="7" t="n">
        <f aca="false">D35-D29+D34</f>
        <v>-1.2632000000001</v>
      </c>
      <c r="E32" s="7" t="n">
        <f aca="false">E35-E29+E34</f>
        <v>-1.07320000000004</v>
      </c>
      <c r="F32" s="7" t="n">
        <f aca="false">F35-F29+F34</f>
        <v>-1.02679999999987</v>
      </c>
      <c r="G32" s="7" t="n">
        <f aca="false">G35-G29+G34</f>
        <v>176.803</v>
      </c>
      <c r="H32" s="88" t="n">
        <f aca="false">H30/假设!$C$40</f>
        <v>0</v>
      </c>
      <c r="I32" s="88" t="n">
        <f aca="false">I30/假设!$C$40</f>
        <v>97.093</v>
      </c>
      <c r="J32" s="88" t="n">
        <f aca="false">J30/假设!$C$40</f>
        <v>0</v>
      </c>
      <c r="K32" s="88" t="n">
        <f aca="false">K30/假设!$C$40</f>
        <v>0</v>
      </c>
      <c r="L32" s="88" t="n">
        <f aca="false">L30/假设!$C$40</f>
        <v>0</v>
      </c>
      <c r="O32" s="21" t="s">
        <v>503</v>
      </c>
    </row>
    <row r="33" customFormat="false" ht="15" hidden="false" customHeight="false" outlineLevel="0" collapsed="false">
      <c r="A33" s="5" t="s">
        <v>504</v>
      </c>
      <c r="C33" s="42" t="n">
        <v>0</v>
      </c>
      <c r="D33" s="42" t="n">
        <v>0</v>
      </c>
      <c r="E33" s="42" t="n">
        <v>0</v>
      </c>
      <c r="F33" s="42" t="n">
        <v>0</v>
      </c>
      <c r="G33" s="42" t="n">
        <v>75</v>
      </c>
      <c r="H33" s="75" t="n">
        <f aca="false">假设!H245</f>
        <v>0</v>
      </c>
      <c r="I33" s="75" t="n">
        <f aca="false">假设!I245</f>
        <v>0</v>
      </c>
      <c r="J33" s="75" t="n">
        <f aca="false">假设!J245</f>
        <v>0</v>
      </c>
      <c r="K33" s="75" t="n">
        <f aca="false">假设!K245</f>
        <v>0</v>
      </c>
      <c r="L33" s="75" t="n">
        <f aca="false">假设!L245</f>
        <v>0</v>
      </c>
      <c r="O33" s="21" t="s">
        <v>505</v>
      </c>
    </row>
    <row r="34" customFormat="false" ht="15" hidden="false" customHeight="false" outlineLevel="0" collapsed="false">
      <c r="A34" s="5" t="s">
        <v>506</v>
      </c>
      <c r="C34" s="37" t="n">
        <v>0</v>
      </c>
      <c r="D34" s="37" t="n">
        <v>0</v>
      </c>
      <c r="E34" s="37" t="n">
        <v>0</v>
      </c>
      <c r="F34" s="37" t="n">
        <v>0</v>
      </c>
      <c r="G34" s="37" t="n">
        <v>3.1</v>
      </c>
      <c r="H34" s="88" t="n">
        <f aca="false">H33/假设!$C$8</f>
        <v>0</v>
      </c>
      <c r="I34" s="88" t="n">
        <f aca="false">I33/假设!$C$8</f>
        <v>0</v>
      </c>
      <c r="J34" s="88" t="n">
        <f aca="false">J33/假设!$C$8</f>
        <v>0</v>
      </c>
      <c r="K34" s="88" t="n">
        <f aca="false">K33/假设!$C$8</f>
        <v>0</v>
      </c>
      <c r="L34" s="88" t="n">
        <f aca="false">L33/假设!$C$8</f>
        <v>0</v>
      </c>
    </row>
    <row r="35" customFormat="false" ht="15" hidden="false" customHeight="false" outlineLevel="0" collapsed="false">
      <c r="A35" s="12" t="s">
        <v>507</v>
      </c>
      <c r="C35" s="89" t="n">
        <f aca="false">历史报表!E97</f>
        <v>1187.8277</v>
      </c>
      <c r="D35" s="89" t="n">
        <f aca="false">历史报表!F97</f>
        <v>1186.5645</v>
      </c>
      <c r="E35" s="89" t="n">
        <f aca="false">历史报表!G97</f>
        <v>1185.4913</v>
      </c>
      <c r="F35" s="89" t="n">
        <f aca="false">历史报表!H97</f>
        <v>1184.4645</v>
      </c>
      <c r="G35" s="89" t="n">
        <f aca="false">历史报表!I97</f>
        <v>1358.1675</v>
      </c>
      <c r="H35" s="90" t="n">
        <f aca="false">H29+H32-H34</f>
        <v>1358.1675</v>
      </c>
      <c r="I35" s="90" t="n">
        <f aca="false">I29+I32-I34</f>
        <v>1455.2605</v>
      </c>
      <c r="J35" s="90" t="n">
        <f aca="false">J29+J32-J34</f>
        <v>1455.2605</v>
      </c>
      <c r="K35" s="90" t="n">
        <f aca="false">K29+K32-K34</f>
        <v>1455.2605</v>
      </c>
      <c r="L35" s="90" t="n">
        <f aca="false">L29+L32-L34</f>
        <v>1455.2605</v>
      </c>
      <c r="N35" s="89" t="n">
        <f aca="false">历史报表!K97</f>
        <v>1358.1675</v>
      </c>
    </row>
    <row r="36" customFormat="false" ht="15" hidden="false" customHeight="false" outlineLevel="0" collapsed="false">
      <c r="A36" s="5" t="s">
        <v>508</v>
      </c>
      <c r="C36" s="7" t="n">
        <f aca="false">AVERAGE(C29,C35)</f>
        <v>1178.99085</v>
      </c>
      <c r="D36" s="7" t="n">
        <f aca="false">AVERAGE(D29,D35)</f>
        <v>1187.1961</v>
      </c>
      <c r="E36" s="7" t="n">
        <f aca="false">AVERAGE(E29,E35)</f>
        <v>1186.0279</v>
      </c>
      <c r="F36" s="7" t="n">
        <f aca="false">AVERAGE(F29,F35)</f>
        <v>1184.9779</v>
      </c>
      <c r="G36" s="7" t="n">
        <f aca="false">AVERAGE(G29,G35)</f>
        <v>1271.316</v>
      </c>
      <c r="H36" s="88" t="n">
        <f aca="false">AVERAGE(H29,H35)</f>
        <v>1358.1675</v>
      </c>
      <c r="I36" s="88" t="n">
        <f aca="false">AVERAGE(I29,I35)</f>
        <v>1406.714</v>
      </c>
      <c r="J36" s="88" t="n">
        <f aca="false">AVERAGE(J29,J35)</f>
        <v>1455.2605</v>
      </c>
      <c r="K36" s="88" t="n">
        <f aca="false">AVERAGE(K29,K35)</f>
        <v>1455.2605</v>
      </c>
      <c r="L36" s="88" t="n">
        <f aca="false">AVERAGE(L29,L35)</f>
        <v>1455.2605</v>
      </c>
    </row>
    <row r="37" customFormat="false" ht="15" hidden="false" customHeight="false" outlineLevel="0" collapsed="false">
      <c r="A37" s="47" t="s">
        <v>509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customFormat="false" ht="15" hidden="false" customHeight="false" outlineLevel="0" collapsed="false">
      <c r="A38" s="5" t="s">
        <v>510</v>
      </c>
      <c r="C38" s="42" t="n">
        <v>95.03</v>
      </c>
      <c r="D38" s="42" t="n">
        <v>130.52</v>
      </c>
      <c r="E38" s="42" t="n">
        <v>151.74</v>
      </c>
      <c r="F38" s="42" t="n">
        <v>212.02</v>
      </c>
      <c r="G38" s="42" t="n">
        <v>131.74</v>
      </c>
      <c r="H38" s="64" t="n">
        <f aca="false">利润表!H29*假设!H241</f>
        <v>225.580853899512</v>
      </c>
      <c r="I38" s="64" t="n">
        <f aca="false">利润表!I29*假设!I241</f>
        <v>322.757145976354</v>
      </c>
      <c r="J38" s="64" t="n">
        <f aca="false">利润表!J29*假设!J241</f>
        <v>345.998126651171</v>
      </c>
      <c r="K38" s="64" t="n">
        <f aca="false">利润表!K29*假设!K241</f>
        <v>380.885052656536</v>
      </c>
      <c r="L38" s="64" t="n">
        <f aca="false">利润表!L29*假设!L241</f>
        <v>399.589351292038</v>
      </c>
      <c r="O38" s="22" t="s">
        <v>511</v>
      </c>
    </row>
    <row r="39" customFormat="false" ht="15" hidden="false" customHeight="false" outlineLevel="0" collapsed="false">
      <c r="A39" s="5" t="s">
        <v>512</v>
      </c>
      <c r="C39" s="14" t="n">
        <f aca="false">C38/利润表!C29</f>
        <v>0.329993350128745</v>
      </c>
      <c r="D39" s="14" t="n">
        <f aca="false">D38/利润表!D29</f>
        <v>0.321641584520985</v>
      </c>
      <c r="E39" s="14" t="n">
        <f aca="false">E38/利润表!E29</f>
        <v>0.300256981509085</v>
      </c>
      <c r="F39" s="14" t="n">
        <f aca="false">F38/利润表!F29</f>
        <v>0.301719267597183</v>
      </c>
      <c r="G39" s="14" t="n">
        <f aca="false">G38/利润表!G29</f>
        <v>0.302270840087621</v>
      </c>
      <c r="H39" s="66" t="n">
        <f aca="false">假设!H241</f>
        <v>0.3</v>
      </c>
      <c r="I39" s="66" t="n">
        <f aca="false">假设!I241</f>
        <v>0.3</v>
      </c>
      <c r="J39" s="66" t="n">
        <f aca="false">假设!J241</f>
        <v>0.3</v>
      </c>
      <c r="K39" s="66" t="n">
        <f aca="false">假设!K241</f>
        <v>0.3</v>
      </c>
      <c r="L39" s="66" t="n">
        <f aca="false">假设!L241</f>
        <v>0.3</v>
      </c>
    </row>
    <row r="40" customFormat="false" ht="15" hidden="false" customHeight="false" outlineLevel="0" collapsed="false">
      <c r="A40" s="5" t="s">
        <v>513</v>
      </c>
      <c r="C40" s="44" t="n">
        <v>0.08</v>
      </c>
      <c r="D40" s="44" t="n">
        <v>0.11</v>
      </c>
      <c r="E40" s="44" t="n">
        <v>0.128</v>
      </c>
      <c r="F40" s="44" t="n">
        <v>0.179</v>
      </c>
      <c r="G40" s="44" t="n">
        <v>0.097</v>
      </c>
      <c r="H40" s="91" t="n">
        <f aca="false">H38/H35</f>
        <v>0.166092071780183</v>
      </c>
      <c r="I40" s="91" t="n">
        <f aca="false">I38/I35</f>
        <v>0.221786508997086</v>
      </c>
      <c r="J40" s="91" t="n">
        <f aca="false">J38/J35</f>
        <v>0.237756832299901</v>
      </c>
      <c r="K40" s="91" t="n">
        <f aca="false">K38/K35</f>
        <v>0.261729808963094</v>
      </c>
      <c r="L40" s="91" t="n">
        <f aca="false">L38/L35</f>
        <v>0.274582695876125</v>
      </c>
    </row>
    <row r="41" customFormat="false" ht="15" hidden="false" customHeight="false" outlineLevel="0" collapsed="false">
      <c r="A41" s="5" t="s">
        <v>514</v>
      </c>
      <c r="D41" s="8" t="n">
        <f aca="false">C38</f>
        <v>95.03</v>
      </c>
      <c r="E41" s="8" t="n">
        <f aca="false">D38</f>
        <v>130.52</v>
      </c>
      <c r="F41" s="8" t="n">
        <f aca="false">E38</f>
        <v>151.74</v>
      </c>
      <c r="G41" s="8" t="n">
        <f aca="false">F38</f>
        <v>212.02</v>
      </c>
      <c r="H41" s="64" t="n">
        <f aca="false">G38</f>
        <v>131.74</v>
      </c>
      <c r="I41" s="64" t="n">
        <f aca="false">H38</f>
        <v>225.580853899512</v>
      </c>
      <c r="J41" s="64" t="n">
        <f aca="false">I38</f>
        <v>322.757145976354</v>
      </c>
      <c r="K41" s="64" t="n">
        <f aca="false">J38</f>
        <v>345.998126651171</v>
      </c>
      <c r="L41" s="64" t="n">
        <f aca="false">K38</f>
        <v>380.885052656536</v>
      </c>
    </row>
    <row r="42" customFormat="false" ht="15" hidden="false" customHeight="false" outlineLevel="0" collapsed="false">
      <c r="A42" s="47" t="s">
        <v>515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customFormat="false" ht="15" hidden="false" customHeight="false" outlineLevel="0" collapsed="false">
      <c r="A43" s="5" t="s">
        <v>516</v>
      </c>
      <c r="C43" s="42" t="n">
        <v>602.0284</v>
      </c>
      <c r="D43" s="8" t="n">
        <f aca="false">C47</f>
        <v>858.608</v>
      </c>
      <c r="E43" s="8" t="n">
        <f aca="false">D47</f>
        <v>1389.5164</v>
      </c>
      <c r="F43" s="8" t="n">
        <f aca="false">E47</f>
        <v>1741.8913</v>
      </c>
      <c r="G43" s="8" t="n">
        <f aca="false">F47</f>
        <v>1719.5595</v>
      </c>
      <c r="H43" s="64" t="n">
        <f aca="false">G47</f>
        <v>1573.3797</v>
      </c>
      <c r="I43" s="64" t="n">
        <f aca="false">H47</f>
        <v>1538.3797</v>
      </c>
      <c r="J43" s="64" t="n">
        <f aca="false">I47</f>
        <v>1518.3797</v>
      </c>
      <c r="K43" s="64" t="n">
        <f aca="false">J47</f>
        <v>1508.3797</v>
      </c>
      <c r="L43" s="64" t="n">
        <f aca="false">K47</f>
        <v>1503.3797</v>
      </c>
    </row>
    <row r="44" customFormat="false" ht="15" hidden="false" customHeight="false" outlineLevel="0" collapsed="false">
      <c r="A44" s="17" t="s">
        <v>517</v>
      </c>
      <c r="C44" s="74" t="n">
        <f aca="false">利润表!C28</f>
        <v>67.6577</v>
      </c>
      <c r="D44" s="74" t="n">
        <f aca="false">利润表!D28</f>
        <v>3.4306</v>
      </c>
      <c r="E44" s="74" t="n">
        <f aca="false">利润表!E28</f>
        <v>-16.5807</v>
      </c>
      <c r="F44" s="74" t="n">
        <f aca="false">利润表!F28</f>
        <v>7.4939</v>
      </c>
      <c r="G44" s="74" t="n">
        <f aca="false">利润表!G28</f>
        <v>-59.785</v>
      </c>
      <c r="H44" s="75" t="n">
        <f aca="false">利润表!H28</f>
        <v>-15</v>
      </c>
      <c r="I44" s="75" t="n">
        <f aca="false">利润表!I28</f>
        <v>0</v>
      </c>
      <c r="J44" s="75" t="n">
        <f aca="false">利润表!J28</f>
        <v>10</v>
      </c>
      <c r="K44" s="75" t="n">
        <f aca="false">利润表!K28</f>
        <v>15</v>
      </c>
      <c r="L44" s="75" t="n">
        <f aca="false">利润表!L28</f>
        <v>20</v>
      </c>
    </row>
    <row r="45" customFormat="false" ht="15" hidden="false" customHeight="false" outlineLevel="0" collapsed="false">
      <c r="A45" s="5" t="s">
        <v>518</v>
      </c>
      <c r="C45" s="74" t="n">
        <f aca="false">历史报表!E138</f>
        <v>12.6649</v>
      </c>
      <c r="D45" s="74" t="n">
        <f aca="false">历史报表!F138</f>
        <v>0</v>
      </c>
      <c r="E45" s="74" t="n">
        <f aca="false">历史报表!G138</f>
        <v>0.2215</v>
      </c>
      <c r="F45" s="74" t="n">
        <f aca="false">历史报表!H138</f>
        <v>2.9198</v>
      </c>
      <c r="G45" s="74" t="n">
        <f aca="false">历史报表!I138</f>
        <v>21.775</v>
      </c>
      <c r="H45" s="75" t="n">
        <f aca="false">假设!H253</f>
        <v>20</v>
      </c>
      <c r="I45" s="75" t="n">
        <f aca="false">假设!I253</f>
        <v>20</v>
      </c>
      <c r="J45" s="75" t="n">
        <f aca="false">假设!J253</f>
        <v>20</v>
      </c>
      <c r="K45" s="75" t="n">
        <f aca="false">假设!K253</f>
        <v>20</v>
      </c>
      <c r="L45" s="75" t="n">
        <f aca="false">假设!L253</f>
        <v>20</v>
      </c>
    </row>
    <row r="46" customFormat="false" ht="15" hidden="false" customHeight="false" outlineLevel="0" collapsed="false">
      <c r="A46" s="17" t="s">
        <v>519</v>
      </c>
      <c r="C46" s="8" t="n">
        <f aca="false">C47-C43-C44+C45</f>
        <v>201.5868</v>
      </c>
      <c r="D46" s="8" t="n">
        <f aca="false">D47-D43-D44+D45</f>
        <v>527.4778</v>
      </c>
      <c r="E46" s="8" t="n">
        <f aca="false">E47-E43-E44+E45</f>
        <v>369.1771</v>
      </c>
      <c r="F46" s="8" t="n">
        <f aca="false">F47-F43-F44+F45</f>
        <v>-26.9058999999999</v>
      </c>
      <c r="G46" s="8" t="n">
        <f aca="false">G47-G43-G44+G45</f>
        <v>-64.6198000000001</v>
      </c>
      <c r="H46" s="57" t="n">
        <v>0</v>
      </c>
      <c r="I46" s="57" t="n">
        <v>0</v>
      </c>
      <c r="J46" s="57" t="n">
        <v>0</v>
      </c>
      <c r="K46" s="57" t="n">
        <v>0</v>
      </c>
      <c r="L46" s="57" t="n">
        <v>0</v>
      </c>
    </row>
    <row r="47" customFormat="false" ht="15" hidden="false" customHeight="false" outlineLevel="0" collapsed="false">
      <c r="A47" s="12" t="s">
        <v>520</v>
      </c>
      <c r="C47" s="78" t="n">
        <f aca="false">历史报表!E106</f>
        <v>858.608</v>
      </c>
      <c r="D47" s="78" t="n">
        <f aca="false">历史报表!F106</f>
        <v>1389.5164</v>
      </c>
      <c r="E47" s="78" t="n">
        <f aca="false">历史报表!G106</f>
        <v>1741.8913</v>
      </c>
      <c r="F47" s="78" t="n">
        <f aca="false">历史报表!H106</f>
        <v>1719.5595</v>
      </c>
      <c r="G47" s="78" t="n">
        <f aca="false">历史报表!I106</f>
        <v>1573.3797</v>
      </c>
      <c r="H47" s="62" t="n">
        <f aca="false">H43+H44-H45+H46</f>
        <v>1538.3797</v>
      </c>
      <c r="I47" s="62" t="n">
        <f aca="false">I43+I44-I45+I46</f>
        <v>1518.3797</v>
      </c>
      <c r="J47" s="62" t="n">
        <f aca="false">J43+J44-J45+J46</f>
        <v>1508.3797</v>
      </c>
      <c r="K47" s="62" t="n">
        <f aca="false">K43+K44-K45+K46</f>
        <v>1503.3797</v>
      </c>
      <c r="L47" s="62" t="n">
        <f aca="false">L43+L44-L45+L46</f>
        <v>1503.3797</v>
      </c>
    </row>
    <row r="48" customFormat="false" ht="15" hidden="false" customHeight="false" outlineLevel="0" collapsed="false">
      <c r="A48" s="47" t="s">
        <v>521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customFormat="false" ht="15" hidden="false" customHeight="false" outlineLevel="0" collapsed="false">
      <c r="A49" s="5" t="s">
        <v>522</v>
      </c>
      <c r="C49" s="18" t="n">
        <f aca="false">C19/利润表!C38</f>
        <v>0.620396040800701</v>
      </c>
      <c r="D49" s="18" t="n">
        <f aca="false">D19/利润表!D38</f>
        <v>1.20537062078181</v>
      </c>
      <c r="E49" s="18" t="n">
        <f aca="false">E19/利润表!E38</f>
        <v>1.14608158148368</v>
      </c>
      <c r="F49" s="18" t="n">
        <f aca="false">F19/利润表!F38</f>
        <v>2.40094986829533</v>
      </c>
      <c r="G49" s="18" t="n">
        <f aca="false">G19/利润表!G38</f>
        <v>3.37427190655815</v>
      </c>
      <c r="H49" s="85" t="n">
        <f aca="false">H19/利润表!H38</f>
        <v>2.8296809893796</v>
      </c>
      <c r="I49" s="85" t="n">
        <f aca="false">I19/利润表!I38</f>
        <v>1.31068827597986</v>
      </c>
      <c r="J49" s="85" t="n">
        <f aca="false">J19/利润表!J38</f>
        <v>1.06919942606767</v>
      </c>
      <c r="K49" s="85" t="n">
        <f aca="false">K19/利润表!K38</f>
        <v>0.731017781269473</v>
      </c>
      <c r="L49" s="85" t="n">
        <f aca="false">L19/利润表!L38</f>
        <v>0.435919378814439</v>
      </c>
    </row>
    <row r="50" customFormat="false" ht="15" hidden="false" customHeight="false" outlineLevel="0" collapsed="false">
      <c r="A50" s="5" t="s">
        <v>523</v>
      </c>
      <c r="C50" s="14" t="n">
        <f aca="false">C18/资产负债表!C28</f>
        <v>0.151354408722517</v>
      </c>
      <c r="D50" s="14" t="n">
        <f aca="false">D18/资产负债表!D28</f>
        <v>0.156046947399691</v>
      </c>
      <c r="E50" s="14" t="n">
        <f aca="false">E18/资产负债表!E28</f>
        <v>0.166904710546906</v>
      </c>
      <c r="F50" s="14" t="n">
        <f aca="false">F18/资产负债表!F28</f>
        <v>0.229648152683086</v>
      </c>
      <c r="G50" s="14" t="n">
        <f aca="false">G18/资产负债表!G28</f>
        <v>0.24869824302657</v>
      </c>
      <c r="H50" s="63" t="n">
        <f aca="false">H18/资产负债表!H28</f>
        <v>0.217022149141982</v>
      </c>
      <c r="I50" s="63" t="n">
        <f aca="false">I18/资产负债表!I28</f>
        <v>0.155729789317193</v>
      </c>
      <c r="J50" s="63" t="n">
        <f aca="false">J18/资产负债表!J28</f>
        <v>0.150220919315861</v>
      </c>
      <c r="K50" s="63" t="n">
        <f aca="false">K18/资产负债表!K28</f>
        <v>0.144953155527985</v>
      </c>
      <c r="L50" s="63" t="n">
        <f aca="false">L18/资产负债表!L28</f>
        <v>0.13985297122519</v>
      </c>
    </row>
    <row r="51" customFormat="false" ht="15" hidden="false" customHeight="false" outlineLevel="0" collapsed="false">
      <c r="A51" s="5" t="s">
        <v>524</v>
      </c>
      <c r="C51" s="14" t="n">
        <f aca="false">资产负债表!C47/资产负债表!C28</f>
        <v>0.649052915947698</v>
      </c>
      <c r="D51" s="14" t="n">
        <f aca="false">资产负债表!D47/资产负债表!D28</f>
        <v>0.649204461329129</v>
      </c>
      <c r="E51" s="14" t="n">
        <f aca="false">资产负债表!E47/资产负债表!E28</f>
        <v>0.644325534559826</v>
      </c>
      <c r="F51" s="14" t="n">
        <f aca="false">资产负债表!F47/资产负债表!F28</f>
        <v>0.649882507242176</v>
      </c>
      <c r="G51" s="14" t="n">
        <f aca="false">资产负债表!G47/资产负债表!G28</f>
        <v>0.594944607955189</v>
      </c>
      <c r="H51" s="63" t="n">
        <f aca="false">资产负债表!H47/资产负债表!H28</f>
        <v>0.587437642668484</v>
      </c>
      <c r="I51" s="63" t="n">
        <f aca="false">资产负债表!I47/资产负债表!I28</f>
        <v>0.532654062944895</v>
      </c>
      <c r="J51" s="63" t="n">
        <f aca="false">资产负债表!J47/资产负债表!J28</f>
        <v>0.533382574746903</v>
      </c>
      <c r="K51" s="63" t="n">
        <f aca="false">资产负债表!K47/资产负债表!K28</f>
        <v>0.532673754503131</v>
      </c>
      <c r="L51" s="63" t="n">
        <f aca="false">资产负债表!L47/资产负债表!L28</f>
        <v>0.532063702856168</v>
      </c>
    </row>
    <row r="52" customFormat="false" ht="15" hidden="false" customHeight="false" outlineLevel="0" collapsed="false">
      <c r="A52" s="5" t="s">
        <v>525</v>
      </c>
      <c r="C52" s="18" t="n">
        <f aca="false">利润表!C37/C22</f>
        <v>2.09555289632237</v>
      </c>
      <c r="D52" s="18" t="n">
        <f aca="false">利润表!D37/D22</f>
        <v>1.69809901451051</v>
      </c>
      <c r="E52" s="18" t="n">
        <f aca="false">利润表!E37/E22</f>
        <v>1.75740250773767</v>
      </c>
      <c r="F52" s="18" t="n">
        <f aca="false">利润表!F37/F22</f>
        <v>2.31500676811788</v>
      </c>
      <c r="G52" s="18" t="n">
        <f aca="false">利润表!G37/G22</f>
        <v>1.4168661796181</v>
      </c>
      <c r="H52" s="85" t="n">
        <f aca="false">利润表!H37/H22</f>
        <v>2.43501757843417</v>
      </c>
      <c r="I52" s="85" t="n">
        <f aca="false">利润表!I37/I22</f>
        <v>3.24345190518608</v>
      </c>
      <c r="J52" s="85" t="n">
        <f aca="false">利润表!J37/J22</f>
        <v>4.30826074863741</v>
      </c>
      <c r="K52" s="85" t="n">
        <f aca="false">利润表!K37/K22</f>
        <v>4.79733758642069</v>
      </c>
      <c r="L52" s="85" t="n">
        <f aca="false">利润表!L37/L22</f>
        <v>4.97056705888695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526</v>
      </c>
    </row>
    <row r="2" customFormat="false" ht="15" hidden="false" customHeight="false" outlineLevel="0" collapsed="false">
      <c r="A2" s="2" t="s">
        <v>527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12" t="s">
        <v>17</v>
      </c>
      <c r="C6" s="78" t="n">
        <f aca="false">历史报表!E8</f>
        <v>26314.9803</v>
      </c>
      <c r="D6" s="78" t="n">
        <f aca="false">历史报表!F8</f>
        <v>30917.8606</v>
      </c>
      <c r="E6" s="78" t="n">
        <f aca="false">历史报表!G8</f>
        <v>31129.5743</v>
      </c>
      <c r="F6" s="78" t="n">
        <f aca="false">历史报表!H8</f>
        <v>28548.8309</v>
      </c>
      <c r="G6" s="78" t="n">
        <f aca="false">历史报表!I8</f>
        <v>24918.5545</v>
      </c>
      <c r="H6" s="83" t="n">
        <f aca="false">分业务!H35</f>
        <v>27563.516242</v>
      </c>
      <c r="I6" s="83" t="n">
        <f aca="false">分业务!I35</f>
        <v>29404.63196048</v>
      </c>
      <c r="J6" s="83" t="n">
        <f aca="false">分业务!J35</f>
        <v>30868.2690248821</v>
      </c>
      <c r="K6" s="83" t="n">
        <f aca="false">分业务!K35</f>
        <v>32420.7853971119</v>
      </c>
      <c r="L6" s="83" t="n">
        <f aca="false">分业务!L35</f>
        <v>33964.4962553051</v>
      </c>
      <c r="N6" s="78" t="n">
        <f aca="false">历史报表!K8</f>
        <v>12376.3584</v>
      </c>
    </row>
    <row r="7" customFormat="false" ht="15" hidden="false" customHeight="false" outlineLevel="0" collapsed="false">
      <c r="A7" s="5" t="s">
        <v>438</v>
      </c>
      <c r="C7" s="74" t="n">
        <f aca="false">历史报表!E10</f>
        <v>20605.0455</v>
      </c>
      <c r="D7" s="74" t="n">
        <f aca="false">历史报表!F10</f>
        <v>24126.6805</v>
      </c>
      <c r="E7" s="74" t="n">
        <f aca="false">历史报表!G10</f>
        <v>24728.1253</v>
      </c>
      <c r="F7" s="74" t="n">
        <f aca="false">历史报表!H10</f>
        <v>22482.6639</v>
      </c>
      <c r="G7" s="74" t="n">
        <f aca="false">历史报表!I10</f>
        <v>19661.2283</v>
      </c>
      <c r="H7" s="75" t="n">
        <f aca="false">分业务!H37</f>
        <v>21762.216111632</v>
      </c>
      <c r="I7" s="75" t="n">
        <f aca="false">分业务!I37</f>
        <v>23299.6458865914</v>
      </c>
      <c r="J7" s="75" t="n">
        <f aca="false">分业务!J37</f>
        <v>24627.740833582</v>
      </c>
      <c r="K7" s="75" t="n">
        <f aca="false">分业务!K37</f>
        <v>25862.6058015824</v>
      </c>
      <c r="L7" s="75" t="n">
        <f aca="false">分业务!L37</f>
        <v>27167.3403492372</v>
      </c>
      <c r="N7" s="74" t="n">
        <f aca="false">历史报表!K10</f>
        <v>9727.8614</v>
      </c>
    </row>
    <row r="8" customFormat="false" ht="15" hidden="false" customHeight="false" outlineLevel="0" collapsed="false">
      <c r="A8" s="12" t="s">
        <v>528</v>
      </c>
      <c r="C8" s="68" t="n">
        <f aca="false">C6-C7</f>
        <v>5709.9348</v>
      </c>
      <c r="D8" s="68" t="n">
        <f aca="false">D6-D7</f>
        <v>6791.1801</v>
      </c>
      <c r="E8" s="68" t="n">
        <f aca="false">E6-E7</f>
        <v>6401.449</v>
      </c>
      <c r="F8" s="68" t="n">
        <f aca="false">F6-F7</f>
        <v>6066.167</v>
      </c>
      <c r="G8" s="68" t="n">
        <f aca="false">G6-G7</f>
        <v>5257.3262</v>
      </c>
      <c r="H8" s="69" t="n">
        <f aca="false">H6-H7</f>
        <v>5801.300130368</v>
      </c>
      <c r="I8" s="69" t="n">
        <f aca="false">I6-I7</f>
        <v>6104.98607388864</v>
      </c>
      <c r="J8" s="69" t="n">
        <f aca="false">J6-J7</f>
        <v>6240.52819130005</v>
      </c>
      <c r="K8" s="69" t="n">
        <f aca="false">K6-K7</f>
        <v>6558.1795955295</v>
      </c>
      <c r="L8" s="69" t="n">
        <f aca="false">L6-L7</f>
        <v>6797.15590606786</v>
      </c>
      <c r="N8" s="68" t="n">
        <f aca="false">N6-N7</f>
        <v>2648.497</v>
      </c>
    </row>
    <row r="9" customFormat="false" ht="15" hidden="false" customHeight="false" outlineLevel="0" collapsed="false">
      <c r="A9" s="5" t="s">
        <v>319</v>
      </c>
      <c r="C9" s="74" t="n">
        <f aca="false">历史报表!E11</f>
        <v>88.2078</v>
      </c>
      <c r="D9" s="74" t="n">
        <f aca="false">历史报表!F11</f>
        <v>102.0822</v>
      </c>
      <c r="E9" s="74" t="n">
        <f aca="false">历史报表!G11</f>
        <v>109.2552</v>
      </c>
      <c r="F9" s="74" t="n">
        <f aca="false">历史报表!H11</f>
        <v>116.2267</v>
      </c>
      <c r="G9" s="74" t="n">
        <f aca="false">历史报表!I11</f>
        <v>109.8429</v>
      </c>
      <c r="H9" s="75" t="n">
        <f aca="false">费用!H8</f>
        <v>137.81758121</v>
      </c>
      <c r="I9" s="75" t="n">
        <f aca="false">费用!I8</f>
        <v>147.0231598024</v>
      </c>
      <c r="J9" s="75" t="n">
        <f aca="false">费用!J8</f>
        <v>154.34134512441</v>
      </c>
      <c r="K9" s="75" t="n">
        <f aca="false">费用!K8</f>
        <v>162.10392698556</v>
      </c>
      <c r="L9" s="75" t="n">
        <f aca="false">费用!L8</f>
        <v>169.822481276525</v>
      </c>
      <c r="N9" s="74" t="n">
        <f aca="false">历史报表!K11</f>
        <v>79.0084</v>
      </c>
    </row>
    <row r="10" customFormat="false" ht="15" hidden="false" customHeight="false" outlineLevel="0" collapsed="false">
      <c r="A10" s="5" t="s">
        <v>321</v>
      </c>
      <c r="C10" s="74" t="n">
        <f aca="false">历史报表!E12</f>
        <v>1417.9454</v>
      </c>
      <c r="D10" s="74" t="n">
        <f aca="false">历史报表!F12</f>
        <v>1645.9351</v>
      </c>
      <c r="E10" s="74" t="n">
        <f aca="false">历史报表!G12</f>
        <v>1786.6738</v>
      </c>
      <c r="F10" s="74" t="n">
        <f aca="false">历史报表!H12</f>
        <v>1881.3582</v>
      </c>
      <c r="G10" s="74" t="n">
        <f aca="false">历史报表!I12</f>
        <v>1975.6587</v>
      </c>
      <c r="H10" s="75" t="n">
        <f aca="false">费用!H10</f>
        <v>2094.827234392</v>
      </c>
      <c r="I10" s="75" t="n">
        <f aca="false">费用!I10</f>
        <v>2146.53813311504</v>
      </c>
      <c r="J10" s="75" t="n">
        <f aca="false">费用!J10</f>
        <v>2160.77883174175</v>
      </c>
      <c r="K10" s="75" t="n">
        <f aca="false">费用!K10</f>
        <v>2204.61340700361</v>
      </c>
      <c r="L10" s="75" t="n">
        <f aca="false">费用!L10</f>
        <v>2241.65675285013</v>
      </c>
      <c r="N10" s="74" t="n">
        <f aca="false">历史报表!K12</f>
        <v>1061.5176</v>
      </c>
    </row>
    <row r="11" customFormat="false" ht="15" hidden="false" customHeight="false" outlineLevel="0" collapsed="false">
      <c r="A11" s="5" t="s">
        <v>322</v>
      </c>
      <c r="C11" s="74" t="n">
        <f aca="false">历史报表!E13</f>
        <v>294.4026</v>
      </c>
      <c r="D11" s="74" t="n">
        <f aca="false">历史报表!F13</f>
        <v>328.6322</v>
      </c>
      <c r="E11" s="74" t="n">
        <f aca="false">历史报表!G13</f>
        <v>341.013</v>
      </c>
      <c r="F11" s="74" t="n">
        <f aca="false">历史报表!H13</f>
        <v>439.5538</v>
      </c>
      <c r="G11" s="74" t="n">
        <f aca="false">历史报表!I13</f>
        <v>484.3899</v>
      </c>
      <c r="H11" s="75" t="n">
        <f aca="false">费用!H12</f>
        <v>523.706808598</v>
      </c>
      <c r="I11" s="75" t="n">
        <f aca="false">费用!I12</f>
        <v>543.98569126888</v>
      </c>
      <c r="J11" s="75" t="n">
        <f aca="false">费用!J12</f>
        <v>555.628842447878</v>
      </c>
      <c r="K11" s="75" t="n">
        <f aca="false">费用!K12</f>
        <v>583.574137148015</v>
      </c>
      <c r="L11" s="75" t="n">
        <f aca="false">费用!L12</f>
        <v>611.360932595491</v>
      </c>
      <c r="N11" s="74" t="n">
        <f aca="false">历史报表!K13</f>
        <v>190.1205</v>
      </c>
    </row>
    <row r="12" customFormat="false" ht="15" hidden="false" customHeight="false" outlineLevel="0" collapsed="false">
      <c r="A12" s="5" t="s">
        <v>529</v>
      </c>
      <c r="C12" s="74" t="n">
        <f aca="false">历史报表!E14</f>
        <v>3460.4309</v>
      </c>
      <c r="D12" s="74" t="n">
        <f aca="false">历史报表!F14</f>
        <v>4101.782</v>
      </c>
      <c r="E12" s="74" t="n">
        <f aca="false">历史报表!G14</f>
        <v>3578.3312</v>
      </c>
      <c r="F12" s="74" t="n">
        <f aca="false">历史报表!H14</f>
        <v>2881.2504</v>
      </c>
      <c r="G12" s="74" t="n">
        <f aca="false">历史报表!I14</f>
        <v>2570.0983</v>
      </c>
      <c r="H12" s="75" t="n">
        <f aca="false">费用!H19</f>
        <v>2500.56219347424</v>
      </c>
      <c r="I12" s="75" t="n">
        <f aca="false">费用!I19</f>
        <v>2604.07420642011</v>
      </c>
      <c r="J12" s="75" t="n">
        <f aca="false">费用!J19</f>
        <v>2690.16964551847</v>
      </c>
      <c r="K12" s="75" t="n">
        <f aca="false">费用!K19</f>
        <v>2805.04635255813</v>
      </c>
      <c r="L12" s="75" t="n">
        <f aca="false">费用!L19</f>
        <v>2944.72182533495</v>
      </c>
      <c r="N12" s="74" t="n">
        <f aca="false">历史报表!K14</f>
        <v>1269.9684</v>
      </c>
    </row>
    <row r="13" customFormat="false" ht="15" hidden="false" customHeight="false" outlineLevel="0" collapsed="false">
      <c r="A13" s="5" t="s">
        <v>487</v>
      </c>
      <c r="C13" s="74" t="n">
        <f aca="false">历史报表!E15</f>
        <v>365.2745</v>
      </c>
      <c r="D13" s="74" t="n">
        <f aca="false">历史报表!F15</f>
        <v>382.5345</v>
      </c>
      <c r="E13" s="74" t="n">
        <f aca="false">历史报表!G15</f>
        <v>315.5928</v>
      </c>
      <c r="F13" s="74" t="n">
        <f aca="false">历史报表!H15</f>
        <v>557.6445</v>
      </c>
      <c r="G13" s="74" t="n">
        <f aca="false">历史报表!I15</f>
        <v>424.2011</v>
      </c>
      <c r="H13" s="75" t="n">
        <f aca="false">融资!H27</f>
        <v>569.5714435</v>
      </c>
      <c r="I13" s="75" t="n">
        <f aca="false">融资!I27</f>
        <v>345.551106424375</v>
      </c>
      <c r="J13" s="75" t="n">
        <f aca="false">融资!J27</f>
        <v>275.524750507447</v>
      </c>
      <c r="K13" s="75" t="n">
        <f aca="false">融资!K27</f>
        <v>272.890061195583</v>
      </c>
      <c r="L13" s="75" t="n">
        <f aca="false">融资!L27</f>
        <v>268.348095635868</v>
      </c>
      <c r="N13" s="74" t="n">
        <f aca="false">历史报表!K15</f>
        <v>375.6803</v>
      </c>
    </row>
    <row r="14" customFormat="false" ht="15" hidden="false" customHeight="false" outlineLevel="0" collapsed="false">
      <c r="A14" s="5" t="s">
        <v>530</v>
      </c>
      <c r="C14" s="74" t="n">
        <f aca="false">历史报表!E16</f>
        <v>215.601</v>
      </c>
      <c r="D14" s="74" t="n">
        <f aca="false">历史报表!F16</f>
        <v>313.6005</v>
      </c>
      <c r="E14" s="74" t="n">
        <f aca="false">历史报表!G16</f>
        <v>338.3448</v>
      </c>
      <c r="F14" s="74" t="n">
        <f aca="false">历史报表!H16</f>
        <v>460.6155</v>
      </c>
      <c r="G14" s="74" t="n">
        <f aca="false">历史报表!I16</f>
        <v>327.7565</v>
      </c>
      <c r="H14" s="75" t="n">
        <f aca="false">融资!H22</f>
        <v>314.1227601</v>
      </c>
      <c r="I14" s="75" t="n">
        <f aca="false">融资!I22</f>
        <v>277.051106424375</v>
      </c>
      <c r="J14" s="75" t="n">
        <f aca="false">融资!J22</f>
        <v>207.9</v>
      </c>
      <c r="K14" s="75" t="n">
        <f aca="false">融资!K22</f>
        <v>207.9</v>
      </c>
      <c r="L14" s="75" t="n">
        <f aca="false">融资!L22</f>
        <v>207.9</v>
      </c>
      <c r="N14" s="74" t="n">
        <f aca="false">历史报表!K16</f>
        <v>149.8608</v>
      </c>
    </row>
    <row r="15" customFormat="false" ht="15" hidden="false" customHeight="false" outlineLevel="0" collapsed="false">
      <c r="A15" s="5" t="s">
        <v>531</v>
      </c>
      <c r="C15" s="74" t="n">
        <f aca="false">历史报表!E17</f>
        <v>31.8052</v>
      </c>
      <c r="D15" s="74" t="n">
        <f aca="false">历史报表!F17</f>
        <v>45.4798</v>
      </c>
      <c r="E15" s="74" t="n">
        <f aca="false">历史报表!G17</f>
        <v>42.8973</v>
      </c>
      <c r="F15" s="74" t="n">
        <f aca="false">历史报表!H17</f>
        <v>46.4411</v>
      </c>
      <c r="G15" s="74" t="n">
        <f aca="false">历史报表!I17</f>
        <v>41.9207</v>
      </c>
      <c r="H15" s="75" t="n">
        <f aca="false">融资!H24</f>
        <v>44.5513166</v>
      </c>
      <c r="I15" s="75" t="n">
        <f aca="false">融资!I24</f>
        <v>31.5</v>
      </c>
      <c r="J15" s="75" t="n">
        <f aca="false">融资!J24</f>
        <v>32.3752494925529</v>
      </c>
      <c r="K15" s="75" t="n">
        <f aca="false">融资!K24</f>
        <v>35.0099388044172</v>
      </c>
      <c r="L15" s="75" t="n">
        <f aca="false">融资!L24</f>
        <v>39.5519043641325</v>
      </c>
      <c r="N15" s="74" t="n">
        <f aca="false">历史报表!K17</f>
        <v>17.8741</v>
      </c>
    </row>
    <row r="16" customFormat="false" ht="15" hidden="false" customHeight="false" outlineLevel="0" collapsed="false">
      <c r="A16" s="5" t="s">
        <v>532</v>
      </c>
      <c r="C16" s="74" t="n">
        <f aca="false">历史报表!E18</f>
        <v>260.0848</v>
      </c>
      <c r="D16" s="74" t="n">
        <f aca="false">历史报表!F18</f>
        <v>275.016</v>
      </c>
      <c r="E16" s="74" t="n">
        <f aca="false">历史报表!G18</f>
        <v>447.9878</v>
      </c>
      <c r="F16" s="74" t="n">
        <f aca="false">历史报表!H18</f>
        <v>771.2192</v>
      </c>
      <c r="G16" s="74" t="n">
        <f aca="false">历史报表!I18</f>
        <v>722.6505</v>
      </c>
      <c r="H16" s="75" t="n">
        <f aca="false">费用!H22</f>
        <v>606.397357324</v>
      </c>
      <c r="I16" s="75" t="n">
        <f aca="false">费用!I22</f>
        <v>588.0926392096</v>
      </c>
      <c r="J16" s="75" t="n">
        <f aca="false">费用!J22</f>
        <v>586.49711147276</v>
      </c>
      <c r="K16" s="75" t="n">
        <f aca="false">费用!K22</f>
        <v>583.574137148015</v>
      </c>
      <c r="L16" s="75" t="n">
        <f aca="false">费用!L22</f>
        <v>611.360932595491</v>
      </c>
      <c r="N16" s="74" t="n">
        <f aca="false">历史报表!K18</f>
        <v>219.0644</v>
      </c>
    </row>
    <row r="17" customFormat="false" ht="15" hidden="false" customHeight="false" outlineLevel="0" collapsed="false">
      <c r="A17" s="5" t="s">
        <v>533</v>
      </c>
      <c r="C17" s="74" t="n">
        <f aca="false">历史报表!E19</f>
        <v>402.5676</v>
      </c>
      <c r="D17" s="74" t="n">
        <f aca="false">历史报表!F19</f>
        <v>389.6458</v>
      </c>
      <c r="E17" s="74" t="n">
        <f aca="false">历史报表!G19</f>
        <v>301.8478</v>
      </c>
      <c r="F17" s="74" t="n">
        <f aca="false">历史报表!H19</f>
        <v>287.7853</v>
      </c>
      <c r="G17" s="74" t="n">
        <f aca="false">历史报表!I19</f>
        <v>445.1525</v>
      </c>
      <c r="H17" s="75" t="n">
        <f aca="false">费用!H38</f>
        <v>661.730080945</v>
      </c>
      <c r="I17" s="75" t="n">
        <f aca="false">费用!I38</f>
        <v>693.56658499225</v>
      </c>
      <c r="J17" s="75" t="n">
        <f aca="false">费用!J38</f>
        <v>726.994914241863</v>
      </c>
      <c r="K17" s="75" t="n">
        <f aca="false">费用!K38</f>
        <v>762.094659953956</v>
      </c>
      <c r="L17" s="75" t="n">
        <f aca="false">费用!L38</f>
        <v>798.949392951654</v>
      </c>
      <c r="N17" s="74" t="n">
        <f aca="false">历史报表!K19</f>
        <v>388.9358</v>
      </c>
    </row>
    <row r="18" customFormat="false" ht="15" hidden="false" customHeight="false" outlineLevel="0" collapsed="false">
      <c r="A18" s="5" t="s">
        <v>534</v>
      </c>
      <c r="C18" s="74" t="n">
        <f aca="false">历史报表!E20</f>
        <v>402.1722</v>
      </c>
      <c r="D18" s="74" t="n">
        <f aca="false">历史报表!F20</f>
        <v>378.8812</v>
      </c>
      <c r="E18" s="74" t="n">
        <f aca="false">历史报表!G20</f>
        <v>325.9203</v>
      </c>
      <c r="F18" s="74" t="n">
        <f aca="false">历史报表!H20</f>
        <v>285.6265</v>
      </c>
      <c r="G18" s="74" t="n">
        <f aca="false">历史报表!I20</f>
        <v>442.3</v>
      </c>
      <c r="H18" s="75" t="n">
        <f aca="false">费用!H35</f>
        <v>686.730080945</v>
      </c>
      <c r="I18" s="75" t="n">
        <f aca="false">费用!I35</f>
        <v>718.56658499225</v>
      </c>
      <c r="J18" s="75" t="n">
        <f aca="false">费用!J35</f>
        <v>751.994914241863</v>
      </c>
      <c r="K18" s="75" t="n">
        <f aca="false">费用!K35</f>
        <v>787.094659953956</v>
      </c>
      <c r="L18" s="75" t="n">
        <f aca="false">费用!L35</f>
        <v>823.949392951654</v>
      </c>
      <c r="N18" s="74" t="n">
        <f aca="false">历史报表!K20</f>
        <v>400.0886</v>
      </c>
    </row>
    <row r="19" customFormat="false" ht="15" hidden="false" customHeight="false" outlineLevel="0" collapsed="false">
      <c r="A19" s="5" t="s">
        <v>350</v>
      </c>
      <c r="C19" s="74" t="n">
        <f aca="false">历史报表!E22</f>
        <v>2.7352</v>
      </c>
      <c r="D19" s="74" t="n">
        <f aca="false">历史报表!F22</f>
        <v>-2.4842</v>
      </c>
      <c r="E19" s="74" t="n">
        <f aca="false">历史报表!G22</f>
        <v>0.3342</v>
      </c>
      <c r="F19" s="74" t="n">
        <f aca="false">历史报表!H22</f>
        <v>0.269</v>
      </c>
      <c r="G19" s="74" t="n">
        <f aca="false">历史报表!I22</f>
        <v>-12.6198</v>
      </c>
      <c r="H19" s="75" t="n">
        <f aca="false">费用!H39</f>
        <v>0</v>
      </c>
      <c r="I19" s="75" t="n">
        <f aca="false">费用!I39</f>
        <v>0</v>
      </c>
      <c r="J19" s="75" t="n">
        <f aca="false">费用!J39</f>
        <v>0</v>
      </c>
      <c r="K19" s="75" t="n">
        <f aca="false">费用!K39</f>
        <v>0</v>
      </c>
      <c r="L19" s="75" t="n">
        <f aca="false">费用!L39</f>
        <v>0</v>
      </c>
      <c r="N19" s="74" t="n">
        <f aca="false">历史报表!K22</f>
        <v>0</v>
      </c>
    </row>
    <row r="20" customFormat="false" ht="15" hidden="false" customHeight="false" outlineLevel="0" collapsed="false">
      <c r="A20" s="5" t="s">
        <v>336</v>
      </c>
      <c r="C20" s="74" t="n">
        <f aca="false">历史报表!E24</f>
        <v>-17.4286</v>
      </c>
      <c r="D20" s="74" t="n">
        <f aca="false">历史报表!F24</f>
        <v>-232.8913</v>
      </c>
      <c r="E20" s="74" t="n">
        <f aca="false">历史报表!G24</f>
        <v>-291.6802</v>
      </c>
      <c r="F20" s="74" t="n">
        <f aca="false">历史报表!H24</f>
        <v>-345.4449</v>
      </c>
      <c r="G20" s="74" t="n">
        <f aca="false">历史报表!I24</f>
        <v>-81.4387</v>
      </c>
      <c r="H20" s="75" t="n">
        <f aca="false">费用!H24</f>
        <v>-192.944613694</v>
      </c>
      <c r="I20" s="75" t="n">
        <f aca="false">费用!I24</f>
        <v>-176.42779176288</v>
      </c>
      <c r="J20" s="75" t="n">
        <f aca="false">费用!J24</f>
        <v>-185.209614149293</v>
      </c>
      <c r="K20" s="75" t="n">
        <f aca="false">费用!K24</f>
        <v>-194.524712382672</v>
      </c>
      <c r="L20" s="75" t="n">
        <f aca="false">费用!L24</f>
        <v>-203.78697753183</v>
      </c>
      <c r="N20" s="74" t="n">
        <f aca="false">历史报表!K24</f>
        <v>4.1395</v>
      </c>
    </row>
    <row r="21" customFormat="false" ht="15" hidden="false" customHeight="false" outlineLevel="0" collapsed="false">
      <c r="A21" s="5" t="s">
        <v>337</v>
      </c>
      <c r="C21" s="74" t="n">
        <f aca="false">历史报表!E23</f>
        <v>-239.801</v>
      </c>
      <c r="D21" s="74" t="n">
        <f aca="false">历史报表!F23</f>
        <v>-122.3486</v>
      </c>
      <c r="E21" s="74" t="n">
        <f aca="false">历史报表!G23</f>
        <v>-147.8754</v>
      </c>
      <c r="F21" s="74" t="n">
        <f aca="false">历史报表!H23</f>
        <v>-107.2242</v>
      </c>
      <c r="G21" s="74" t="n">
        <f aca="false">历史报表!I23</f>
        <v>-294.1611</v>
      </c>
      <c r="H21" s="75" t="n">
        <f aca="false">费用!H26</f>
        <v>-192.944613694</v>
      </c>
      <c r="I21" s="75" t="n">
        <f aca="false">费用!I26</f>
        <v>-176.42779176288</v>
      </c>
      <c r="J21" s="75" t="n">
        <f aca="false">费用!J26</f>
        <v>-185.209614149293</v>
      </c>
      <c r="K21" s="75" t="n">
        <f aca="false">费用!K26</f>
        <v>-194.524712382672</v>
      </c>
      <c r="L21" s="75" t="n">
        <f aca="false">费用!L26</f>
        <v>-203.78697753183</v>
      </c>
      <c r="N21" s="74" t="n">
        <f aca="false">历史报表!K23</f>
        <v>-44.045</v>
      </c>
    </row>
    <row r="22" customFormat="false" ht="15" hidden="false" customHeight="false" outlineLevel="0" collapsed="false">
      <c r="A22" s="5" t="s">
        <v>351</v>
      </c>
      <c r="C22" s="74" t="n">
        <f aca="false">历史报表!E25</f>
        <v>1.838</v>
      </c>
      <c r="D22" s="74" t="n">
        <f aca="false">历史报表!F25</f>
        <v>4.1996</v>
      </c>
      <c r="E22" s="74" t="n">
        <f aca="false">历史报表!G25</f>
        <v>-14.9768</v>
      </c>
      <c r="F22" s="74" t="n">
        <f aca="false">历史报表!H25</f>
        <v>6.6168</v>
      </c>
      <c r="G22" s="74" t="n">
        <f aca="false">历史报表!I25</f>
        <v>0.4398</v>
      </c>
      <c r="H22" s="75" t="n">
        <f aca="false">费用!H40</f>
        <v>0</v>
      </c>
      <c r="I22" s="75" t="n">
        <f aca="false">费用!I40</f>
        <v>0</v>
      </c>
      <c r="J22" s="75" t="n">
        <f aca="false">费用!J40</f>
        <v>0</v>
      </c>
      <c r="K22" s="75" t="n">
        <f aca="false">费用!K40</f>
        <v>0</v>
      </c>
      <c r="L22" s="75" t="n">
        <f aca="false">费用!L40</f>
        <v>0</v>
      </c>
      <c r="N22" s="74" t="n">
        <f aca="false">历史报表!K25</f>
        <v>-0.3458</v>
      </c>
    </row>
    <row r="23" customFormat="false" ht="15" hidden="false" customHeight="false" outlineLevel="0" collapsed="false">
      <c r="A23" s="12" t="s">
        <v>535</v>
      </c>
      <c r="C23" s="68" t="n">
        <f aca="false">C8-C9-C10-C11-C12-C13+C16+C17+C19+C20+C21+C22</f>
        <v>493.669599999999</v>
      </c>
      <c r="D23" s="68" t="n">
        <f aca="false">D8-D9-D10-D11-D12-D13+D16+D17+D19+D20+D21+D22</f>
        <v>541.351400000002</v>
      </c>
      <c r="E23" s="68" t="n">
        <f aca="false">E8-E9-E10-E11-E12-E13+E16+E17+E19+E20+E21+E22</f>
        <v>566.2204</v>
      </c>
      <c r="F23" s="68" t="n">
        <f aca="false">F8-F9-F10-F11-F12-F13+F16+F17+F19+F20+F21+F22</f>
        <v>803.354600000002</v>
      </c>
      <c r="G23" s="68" t="n">
        <f aca="false">G8-G9-G10-G11-G12-G13+G16+G17+G19+G20+G21+G22</f>
        <v>473.1585</v>
      </c>
      <c r="H23" s="69" t="n">
        <f aca="false">H8-H9-H10-H11-H12-H13+H16+H17+H19+H20+H21+H22</f>
        <v>857.053080074759</v>
      </c>
      <c r="I23" s="69" t="n">
        <f aca="false">I8-I9-I10-I11-I12-I13+I16+I17+I19+I20+I21+I22</f>
        <v>1246.61741753392</v>
      </c>
      <c r="J23" s="69" t="n">
        <f aca="false">J8-J9-J10-J11-J12-J13+J16+J17+J19+J20+J21+J22</f>
        <v>1347.15757337613</v>
      </c>
      <c r="K23" s="69" t="n">
        <f aca="false">K8-K9-K10-K11-K12-K13+K16+K17+K19+K20+K21+K22</f>
        <v>1486.57108297523</v>
      </c>
      <c r="L23" s="69" t="n">
        <f aca="false">L8-L9-L10-L11-L12-L13+L16+L17+L19+L20+L21+L22</f>
        <v>1563.98218885838</v>
      </c>
      <c r="N23" s="68" t="n">
        <f aca="false">N8-N9-N10-N11-N12-N13+N16+N17+N19+N20+N21+N22</f>
        <v>239.950699999999</v>
      </c>
    </row>
    <row r="24" customFormat="false" ht="15" hidden="false" customHeight="false" outlineLevel="0" collapsed="false">
      <c r="A24" s="5" t="s">
        <v>352</v>
      </c>
      <c r="C24" s="8" t="n">
        <f aca="false">历史报表!E27-历史报表!E28</f>
        <v>-2.6277</v>
      </c>
      <c r="D24" s="8" t="n">
        <f aca="false">历史报表!F27-历史报表!F28</f>
        <v>-0.953799999999999</v>
      </c>
      <c r="E24" s="8" t="n">
        <f aca="false">历史报表!G27-历史报表!G28</f>
        <v>15.0161</v>
      </c>
      <c r="F24" s="8" t="n">
        <f aca="false">历史报表!H27-历史报表!H28</f>
        <v>-11.2164</v>
      </c>
      <c r="G24" s="8" t="n">
        <f aca="false">历史报表!I27-历史报表!I28</f>
        <v>-11.1238</v>
      </c>
      <c r="H24" s="75" t="n">
        <f aca="false">费用!H41</f>
        <v>-10</v>
      </c>
      <c r="I24" s="75" t="n">
        <f aca="false">费用!I41</f>
        <v>-10</v>
      </c>
      <c r="J24" s="75" t="n">
        <f aca="false">费用!J41</f>
        <v>-10</v>
      </c>
      <c r="K24" s="75" t="n">
        <f aca="false">费用!K41</f>
        <v>-10</v>
      </c>
      <c r="L24" s="75" t="n">
        <f aca="false">费用!L41</f>
        <v>-10</v>
      </c>
      <c r="N24" s="8" t="n">
        <f aca="false">历史报表!K27-历史报表!K28</f>
        <v>1.4673</v>
      </c>
    </row>
    <row r="25" customFormat="false" ht="15" hidden="false" customHeight="false" outlineLevel="0" collapsed="false">
      <c r="A25" s="12" t="s">
        <v>536</v>
      </c>
      <c r="C25" s="13" t="n">
        <f aca="false">C23+C24</f>
        <v>491.041899999999</v>
      </c>
      <c r="D25" s="13" t="n">
        <f aca="false">D23+D24</f>
        <v>540.397600000002</v>
      </c>
      <c r="E25" s="13" t="n">
        <f aca="false">E23+E24</f>
        <v>581.2365</v>
      </c>
      <c r="F25" s="13" t="n">
        <f aca="false">F23+F24</f>
        <v>792.138200000002</v>
      </c>
      <c r="G25" s="13" t="n">
        <f aca="false">G23+G24</f>
        <v>462.0347</v>
      </c>
      <c r="H25" s="62" t="n">
        <f aca="false">H23+H24</f>
        <v>847.053080074759</v>
      </c>
      <c r="I25" s="62" t="n">
        <f aca="false">I23+I24</f>
        <v>1236.61741753392</v>
      </c>
      <c r="J25" s="62" t="n">
        <f aca="false">J23+J24</f>
        <v>1337.15757337613</v>
      </c>
      <c r="K25" s="62" t="n">
        <f aca="false">K23+K24</f>
        <v>1476.57108297523</v>
      </c>
      <c r="L25" s="62" t="n">
        <f aca="false">L23+L24</f>
        <v>1553.98218885838</v>
      </c>
      <c r="N25" s="13" t="n">
        <f aca="false">N23+N24</f>
        <v>241.417999999999</v>
      </c>
    </row>
    <row r="26" customFormat="false" ht="15" hidden="false" customHeight="false" outlineLevel="0" collapsed="false">
      <c r="A26" s="5" t="s">
        <v>537</v>
      </c>
      <c r="C26" s="74" t="n">
        <f aca="false">历史报表!E30</f>
        <v>135.4087</v>
      </c>
      <c r="D26" s="74" t="n">
        <f aca="false">历史报表!F30</f>
        <v>131.1737</v>
      </c>
      <c r="E26" s="74" t="n">
        <f aca="false">历史报表!G30</f>
        <v>92.4501</v>
      </c>
      <c r="F26" s="74" t="n">
        <f aca="false">历史报表!H30</f>
        <v>81.9381</v>
      </c>
      <c r="G26" s="74" t="n">
        <f aca="false">历史报表!I30</f>
        <v>85.9854</v>
      </c>
      <c r="H26" s="64" t="n">
        <f aca="false">H25*费用!H42</f>
        <v>110.116900409719</v>
      </c>
      <c r="I26" s="64" t="n">
        <f aca="false">I25*费用!I42</f>
        <v>160.76026427941</v>
      </c>
      <c r="J26" s="64" t="n">
        <f aca="false">J25*费用!J42</f>
        <v>173.830484538897</v>
      </c>
      <c r="K26" s="64" t="n">
        <f aca="false">K25*费用!K42</f>
        <v>191.95424078678</v>
      </c>
      <c r="L26" s="64" t="n">
        <f aca="false">L25*费用!L42</f>
        <v>202.01768455159</v>
      </c>
      <c r="N26" s="74" t="n">
        <f aca="false">历史报表!K30</f>
        <v>56.1532</v>
      </c>
    </row>
    <row r="27" customFormat="false" ht="15" hidden="false" customHeight="false" outlineLevel="0" collapsed="false">
      <c r="A27" s="12" t="s">
        <v>538</v>
      </c>
      <c r="C27" s="13" t="n">
        <f aca="false">C25-C26</f>
        <v>355.633199999999</v>
      </c>
      <c r="D27" s="13" t="n">
        <f aca="false">D25-D26</f>
        <v>409.223900000002</v>
      </c>
      <c r="E27" s="13" t="n">
        <f aca="false">E25-E26</f>
        <v>488.7864</v>
      </c>
      <c r="F27" s="13" t="n">
        <f aca="false">F25-F26</f>
        <v>710.200100000002</v>
      </c>
      <c r="G27" s="13" t="n">
        <f aca="false">G25-G26</f>
        <v>376.049299999999</v>
      </c>
      <c r="H27" s="62" t="n">
        <f aca="false">H25-H26</f>
        <v>736.93617966504</v>
      </c>
      <c r="I27" s="62" t="n">
        <f aca="false">I25-I26</f>
        <v>1075.85715325451</v>
      </c>
      <c r="J27" s="62" t="n">
        <f aca="false">J25-J26</f>
        <v>1163.32708883724</v>
      </c>
      <c r="K27" s="62" t="n">
        <f aca="false">K25-K26</f>
        <v>1284.61684218845</v>
      </c>
      <c r="L27" s="62" t="n">
        <f aca="false">L25-L26</f>
        <v>1351.96450430679</v>
      </c>
      <c r="N27" s="13" t="n">
        <f aca="false">N25-N26</f>
        <v>185.264799999999</v>
      </c>
    </row>
    <row r="28" customFormat="false" ht="15" hidden="false" customHeight="false" outlineLevel="0" collapsed="false">
      <c r="A28" s="5" t="s">
        <v>539</v>
      </c>
      <c r="C28" s="74" t="n">
        <f aca="false">历史报表!E33</f>
        <v>67.6577</v>
      </c>
      <c r="D28" s="74" t="n">
        <f aca="false">历史报表!F33</f>
        <v>3.4306</v>
      </c>
      <c r="E28" s="74" t="n">
        <f aca="false">历史报表!G33</f>
        <v>-16.5807</v>
      </c>
      <c r="F28" s="74" t="n">
        <f aca="false">历史报表!H33</f>
        <v>7.4939</v>
      </c>
      <c r="G28" s="74" t="n">
        <f aca="false">历史报表!I33</f>
        <v>-59.785</v>
      </c>
      <c r="H28" s="75" t="n">
        <f aca="false">假设!H134</f>
        <v>-15</v>
      </c>
      <c r="I28" s="75" t="n">
        <f aca="false">假设!I134</f>
        <v>0</v>
      </c>
      <c r="J28" s="75" t="n">
        <f aca="false">假设!J134</f>
        <v>10</v>
      </c>
      <c r="K28" s="75" t="n">
        <f aca="false">假设!K134</f>
        <v>15</v>
      </c>
      <c r="L28" s="75" t="n">
        <f aca="false">假设!L134</f>
        <v>20</v>
      </c>
      <c r="N28" s="74" t="n">
        <f aca="false">历史报表!K33</f>
        <v>-7.5349</v>
      </c>
    </row>
    <row r="29" customFormat="false" ht="15" hidden="false" customHeight="false" outlineLevel="0" collapsed="false">
      <c r="A29" s="12" t="s">
        <v>540</v>
      </c>
      <c r="C29" s="68" t="n">
        <f aca="false">C27-C28</f>
        <v>287.975499999999</v>
      </c>
      <c r="D29" s="68" t="n">
        <f aca="false">D27-D28</f>
        <v>405.793300000002</v>
      </c>
      <c r="E29" s="68" t="n">
        <f aca="false">E27-E28</f>
        <v>505.3671</v>
      </c>
      <c r="F29" s="68" t="n">
        <f aca="false">F27-F28</f>
        <v>702.706200000002</v>
      </c>
      <c r="G29" s="68" t="n">
        <f aca="false">G27-G28</f>
        <v>435.834299999999</v>
      </c>
      <c r="H29" s="69" t="n">
        <f aca="false">H27-H28</f>
        <v>751.93617966504</v>
      </c>
      <c r="I29" s="69" t="n">
        <f aca="false">I27-I28</f>
        <v>1075.85715325451</v>
      </c>
      <c r="J29" s="69" t="n">
        <f aca="false">J27-J28</f>
        <v>1153.32708883724</v>
      </c>
      <c r="K29" s="69" t="n">
        <f aca="false">K27-K28</f>
        <v>1269.61684218845</v>
      </c>
      <c r="L29" s="69" t="n">
        <f aca="false">L27-L28</f>
        <v>1331.96450430679</v>
      </c>
      <c r="N29" s="68" t="n">
        <f aca="false">N27-N28</f>
        <v>192.799699999999</v>
      </c>
    </row>
    <row r="30" customFormat="false" ht="15" hidden="false" customHeight="false" outlineLevel="0" collapsed="false">
      <c r="A30" s="5" t="s">
        <v>541</v>
      </c>
      <c r="C30" s="7" t="n">
        <f aca="false">C29-历史报表!E34</f>
        <v>9.99999986674993E-005</v>
      </c>
      <c r="D30" s="7" t="n">
        <f aca="false">D29-历史报表!F34</f>
        <v>1.81898940354586E-012</v>
      </c>
      <c r="E30" s="7" t="n">
        <f aca="false">E29-历史报表!G34</f>
        <v>-9.99999996338374E-005</v>
      </c>
      <c r="F30" s="7" t="n">
        <f aca="false">F29-历史报表!H34</f>
        <v>0.000200000001541412</v>
      </c>
      <c r="G30" s="7" t="n">
        <f aca="false">G29-历史报表!I34</f>
        <v>-0.000200000000575074</v>
      </c>
      <c r="N30" s="7" t="n">
        <f aca="false">N29-历史报表!K34</f>
        <v>-7.105427357601E-013</v>
      </c>
      <c r="O30" s="22" t="s">
        <v>278</v>
      </c>
    </row>
    <row r="31" customFormat="false" ht="15" hidden="false" customHeight="false" outlineLevel="0" collapsed="false">
      <c r="A31" s="47" t="s">
        <v>542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customFormat="false" ht="15" hidden="false" customHeight="false" outlineLevel="0" collapsed="false">
      <c r="A32" s="15" t="s">
        <v>543</v>
      </c>
      <c r="C32" s="16" t="n">
        <f aca="false">C29/融资!C36</f>
        <v>0.244255924462856</v>
      </c>
      <c r="D32" s="16" t="n">
        <f aca="false">D29/融资!D36</f>
        <v>0.341808147786201</v>
      </c>
      <c r="E32" s="16" t="n">
        <f aca="false">E29/融资!E36</f>
        <v>0.426100515847899</v>
      </c>
      <c r="F32" s="16" t="n">
        <f aca="false">F29/融资!F36</f>
        <v>0.593012072208268</v>
      </c>
      <c r="G32" s="16" t="n">
        <f aca="false">G29/融资!G36</f>
        <v>0.342821375645394</v>
      </c>
      <c r="H32" s="92" t="n">
        <f aca="false">H29/融资!H36</f>
        <v>0.553640239267278</v>
      </c>
      <c r="I32" s="92" t="n">
        <f aca="false">I29/融资!I36</f>
        <v>0.764801625102554</v>
      </c>
      <c r="J32" s="92" t="n">
        <f aca="false">J29/融资!J36</f>
        <v>0.792522774333005</v>
      </c>
      <c r="K32" s="92" t="n">
        <f aca="false">K29/融资!K36</f>
        <v>0.872432696543645</v>
      </c>
      <c r="L32" s="92" t="n">
        <f aca="false">L29/融资!L36</f>
        <v>0.915275652920417</v>
      </c>
      <c r="O32" s="22" t="s">
        <v>544</v>
      </c>
    </row>
    <row r="33" customFormat="false" ht="15" hidden="false" customHeight="false" outlineLevel="0" collapsed="false">
      <c r="A33" s="17" t="s">
        <v>545</v>
      </c>
      <c r="C33" s="6" t="n">
        <f aca="false">C29/融资!C35</f>
        <v>0.242438781314831</v>
      </c>
      <c r="D33" s="6" t="n">
        <f aca="false">D29/融资!D35</f>
        <v>0.341990089877122</v>
      </c>
      <c r="E33" s="6" t="n">
        <f aca="false">E29/融资!E35</f>
        <v>0.426293385704307</v>
      </c>
      <c r="F33" s="6" t="n">
        <f aca="false">F29/融资!F35</f>
        <v>0.593269110218163</v>
      </c>
      <c r="G33" s="6" t="n">
        <f aca="false">G29/融资!G35</f>
        <v>0.32089878457554</v>
      </c>
      <c r="H33" s="91" t="n">
        <f aca="false">H29/融资!H35</f>
        <v>0.553640239267278</v>
      </c>
      <c r="I33" s="91" t="n">
        <f aca="false">I29/融资!I35</f>
        <v>0.73928836332362</v>
      </c>
      <c r="J33" s="91" t="n">
        <f aca="false">J29/融资!J35</f>
        <v>0.792522774333005</v>
      </c>
      <c r="K33" s="91" t="n">
        <f aca="false">K29/融资!K35</f>
        <v>0.872432696543645</v>
      </c>
      <c r="L33" s="91" t="n">
        <f aca="false">L29/融资!L35</f>
        <v>0.915275652920417</v>
      </c>
    </row>
    <row r="34" customFormat="false" ht="15" hidden="false" customHeight="false" outlineLevel="0" collapsed="false">
      <c r="A34" s="17" t="s">
        <v>546</v>
      </c>
      <c r="C34" s="93" t="n">
        <f aca="false">融资!C40</f>
        <v>0.08</v>
      </c>
      <c r="D34" s="93" t="n">
        <f aca="false">融资!D40</f>
        <v>0.11</v>
      </c>
      <c r="E34" s="93" t="n">
        <f aca="false">融资!E40</f>
        <v>0.128</v>
      </c>
      <c r="F34" s="93" t="n">
        <f aca="false">融资!F40</f>
        <v>0.179</v>
      </c>
      <c r="G34" s="93" t="n">
        <f aca="false">融资!G40</f>
        <v>0.097</v>
      </c>
      <c r="H34" s="94" t="n">
        <f aca="false">融资!H40</f>
        <v>0.166092071780183</v>
      </c>
      <c r="I34" s="94" t="n">
        <f aca="false">融资!I40</f>
        <v>0.221786508997086</v>
      </c>
      <c r="J34" s="94" t="n">
        <f aca="false">融资!J40</f>
        <v>0.237756832299901</v>
      </c>
      <c r="K34" s="94" t="n">
        <f aca="false">融资!K40</f>
        <v>0.261729808963094</v>
      </c>
      <c r="L34" s="94" t="n">
        <f aca="false">融资!L40</f>
        <v>0.274582695876125</v>
      </c>
    </row>
    <row r="35" customFormat="false" ht="15" hidden="false" customHeight="false" outlineLevel="0" collapsed="false">
      <c r="A35" s="5" t="s">
        <v>547</v>
      </c>
      <c r="C35" s="6" t="n">
        <f aca="false">资产负债表!C56/融资!C35</f>
        <v>9.87810445908948</v>
      </c>
      <c r="D35" s="6" t="n">
        <f aca="false">资产负债表!D56/融资!D35</f>
        <v>10.2246670113593</v>
      </c>
      <c r="E35" s="6" t="n">
        <f aca="false">资产负债表!E56/融资!E35</f>
        <v>11.1116920891786</v>
      </c>
      <c r="F35" s="6" t="n">
        <f aca="false">资产负债表!F56/融资!F35</f>
        <v>11.7781521523017</v>
      </c>
      <c r="G35" s="6" t="n">
        <f aca="false">资产负债表!G56/融资!G35</f>
        <v>12.9129410768554</v>
      </c>
      <c r="H35" s="91" t="n">
        <f aca="false">资产负债表!H56/融资!H35</f>
        <v>13.3695829709259</v>
      </c>
      <c r="I35" s="91" t="n">
        <f aca="false">资产负债表!I56/融资!I35</f>
        <v>15.04140233932</v>
      </c>
      <c r="J35" s="91" t="n">
        <f aca="false">资产负债表!J56/融资!J35</f>
        <v>15.612138604656</v>
      </c>
      <c r="K35" s="91" t="n">
        <f aca="false">资产负债表!K56/融资!K35</f>
        <v>16.2468144688997</v>
      </c>
      <c r="L35" s="91" t="n">
        <f aca="false">资产负债表!L56/融资!L35</f>
        <v>16.900360312857</v>
      </c>
    </row>
    <row r="36" customFormat="false" ht="15" hidden="false" customHeight="false" outlineLevel="0" collapsed="false">
      <c r="A36" s="47" t="s">
        <v>548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</row>
    <row r="37" customFormat="false" ht="15" hidden="false" customHeight="false" outlineLevel="0" collapsed="false">
      <c r="A37" s="17" t="s">
        <v>549</v>
      </c>
      <c r="C37" s="8" t="n">
        <f aca="false">C23+C13-C17-C19-C22</f>
        <v>451.803299999999</v>
      </c>
      <c r="D37" s="8" t="n">
        <f aca="false">D23+D13-D17-D19-D22</f>
        <v>532.524700000002</v>
      </c>
      <c r="E37" s="8" t="n">
        <f aca="false">E23+E13-E17-E19-E22</f>
        <v>594.608</v>
      </c>
      <c r="F37" s="8" t="n">
        <f aca="false">F23+F13-F17-F19-F22</f>
        <v>1066.328</v>
      </c>
      <c r="G37" s="8" t="n">
        <f aca="false">G23+G13-G17-G19-G22</f>
        <v>464.3871</v>
      </c>
      <c r="H37" s="64" t="n">
        <f aca="false">H23+H13-H17-H19-H22</f>
        <v>764.894442629759</v>
      </c>
      <c r="I37" s="64" t="n">
        <f aca="false">I23+I13-I17-I19-I22</f>
        <v>898.601938966048</v>
      </c>
      <c r="J37" s="64" t="n">
        <f aca="false">J23+J13-J17-J19-J22</f>
        <v>895.687409641718</v>
      </c>
      <c r="K37" s="64" t="n">
        <f aca="false">K23+K13-K17-K19-K22</f>
        <v>997.366484216861</v>
      </c>
      <c r="L37" s="64" t="n">
        <f aca="false">L23+L13-L17-L19-L22</f>
        <v>1033.3808915426</v>
      </c>
      <c r="N37" s="8" t="n">
        <f aca="false">N23+N13-N17-N19-N22</f>
        <v>227.040999999999</v>
      </c>
    </row>
    <row r="38" customFormat="false" ht="15" hidden="false" customHeight="false" outlineLevel="0" collapsed="false">
      <c r="A38" s="17" t="s">
        <v>550</v>
      </c>
      <c r="C38" s="8" t="n">
        <f aca="false">C37+资本开支折旧!C65</f>
        <v>1141.7157</v>
      </c>
      <c r="D38" s="8" t="n">
        <f aca="false">D37+资本开支折旧!D65</f>
        <v>1348.9651</v>
      </c>
      <c r="E38" s="8" t="n">
        <f aca="false">E37+资本开支折旧!E65</f>
        <v>1562.8767</v>
      </c>
      <c r="F38" s="8" t="n">
        <f aca="false">F37+资本开支折旧!F65</f>
        <v>2096.9644</v>
      </c>
      <c r="G38" s="8" t="n">
        <f aca="false">G37+资本开支折旧!G65</f>
        <v>1555.1747</v>
      </c>
      <c r="H38" s="64" t="n">
        <f aca="false">H37+资本开支折旧!H65</f>
        <v>2028.15478116843</v>
      </c>
      <c r="I38" s="64" t="n">
        <f aca="false">I37+资本开支折旧!I65</f>
        <v>2329.19096947324</v>
      </c>
      <c r="J38" s="64" t="n">
        <f aca="false">J37+资本开支折旧!J65</f>
        <v>2503.23657452858</v>
      </c>
      <c r="K38" s="64" t="n">
        <f aca="false">K37+资本开支折旧!K65</f>
        <v>2773.67656154678</v>
      </c>
      <c r="L38" s="64" t="n">
        <f aca="false">L37+资本开支折旧!L65</f>
        <v>2958.71851020622</v>
      </c>
      <c r="N38" s="8" t="n">
        <f aca="false">N37+资本开支折旧!N65</f>
        <v>846.955399999999</v>
      </c>
    </row>
    <row r="39" customFormat="false" ht="15" hidden="false" customHeight="false" outlineLevel="0" collapsed="false">
      <c r="A39" s="5" t="s">
        <v>551</v>
      </c>
      <c r="C39" s="95" t="n">
        <f aca="false">分业务!C36</f>
        <v>0.248668228973307</v>
      </c>
      <c r="D39" s="95" t="n">
        <f aca="false">分业务!D36</f>
        <v>0.174914834250949</v>
      </c>
      <c r="E39" s="95" t="n">
        <f aca="false">分业务!E36</f>
        <v>0.00684761480553409</v>
      </c>
      <c r="F39" s="95" t="n">
        <f aca="false">分业务!F36</f>
        <v>-0.0829032669518492</v>
      </c>
      <c r="G39" s="95" t="n">
        <f aca="false">分业务!G36</f>
        <v>-0.127160240831999</v>
      </c>
      <c r="H39" s="63" t="n">
        <f aca="false">H6/G6-1</f>
        <v>0.106144268601134</v>
      </c>
      <c r="I39" s="63" t="n">
        <f aca="false">I6/H6-1</f>
        <v>0.0667953864200606</v>
      </c>
      <c r="J39" s="63" t="n">
        <f aca="false">J6/I6-1</f>
        <v>0.0497757314687435</v>
      </c>
      <c r="K39" s="63" t="n">
        <f aca="false">K6/J6-1</f>
        <v>0.0502948957383522</v>
      </c>
      <c r="L39" s="63" t="n">
        <f aca="false">L6/K6-1</f>
        <v>0.0476148507596186</v>
      </c>
    </row>
    <row r="40" customFormat="false" ht="15" hidden="false" customHeight="false" outlineLevel="0" collapsed="false">
      <c r="A40" s="5" t="s">
        <v>552</v>
      </c>
      <c r="D40" s="14" t="n">
        <f aca="false">D29/C29-1</f>
        <v>0.409124387317684</v>
      </c>
      <c r="E40" s="14" t="n">
        <f aca="false">E29/D29-1</f>
        <v>0.245380591547466</v>
      </c>
      <c r="F40" s="14" t="n">
        <f aca="false">F29/E29-1</f>
        <v>0.390486638326874</v>
      </c>
      <c r="G40" s="14" t="n">
        <f aca="false">G29/F29-1</f>
        <v>-0.379777352185026</v>
      </c>
      <c r="H40" s="63" t="n">
        <f aca="false">H29/G29-1</f>
        <v>0.725279950809382</v>
      </c>
      <c r="I40" s="63" t="n">
        <f aca="false">I29/H29-1</f>
        <v>0.430782534940356</v>
      </c>
      <c r="J40" s="63" t="n">
        <f aca="false">J29/I29-1</f>
        <v>0.0720076409292556</v>
      </c>
      <c r="K40" s="63" t="n">
        <f aca="false">K29/J29-1</f>
        <v>0.100829811834611</v>
      </c>
      <c r="L40" s="63" t="n">
        <f aca="false">L29/K29-1</f>
        <v>0.0491074630129114</v>
      </c>
    </row>
    <row r="41" customFormat="false" ht="15" hidden="false" customHeight="false" outlineLevel="0" collapsed="false">
      <c r="A41" s="5" t="s">
        <v>19</v>
      </c>
      <c r="C41" s="14" t="n">
        <f aca="false">C8/C6</f>
        <v>0.216984194360199</v>
      </c>
      <c r="D41" s="14" t="n">
        <f aca="false">D8/D6</f>
        <v>0.219652329372363</v>
      </c>
      <c r="E41" s="14" t="n">
        <f aca="false">E8/E6</f>
        <v>0.205638822372203</v>
      </c>
      <c r="F41" s="14" t="n">
        <f aca="false">F8/F6</f>
        <v>0.212483902449399</v>
      </c>
      <c r="G41" s="14" t="n">
        <f aca="false">G8/G6</f>
        <v>0.210980384114977</v>
      </c>
      <c r="H41" s="63" t="n">
        <f aca="false">H8/H6</f>
        <v>0.210470249130561</v>
      </c>
      <c r="I41" s="63" t="n">
        <f aca="false">I8/I6</f>
        <v>0.207619877102824</v>
      </c>
      <c r="J41" s="63" t="n">
        <f aca="false">J8/J6</f>
        <v>0.202166444327336</v>
      </c>
      <c r="K41" s="63" t="n">
        <f aca="false">K8/K6</f>
        <v>0.20228318084218</v>
      </c>
      <c r="L41" s="63" t="n">
        <f aca="false">L8/L6</f>
        <v>0.200125326605019</v>
      </c>
      <c r="N41" s="14" t="n">
        <f aca="false">N8/N6</f>
        <v>0.213996469268375</v>
      </c>
    </row>
    <row r="42" customFormat="false" ht="15" hidden="false" customHeight="false" outlineLevel="0" collapsed="false">
      <c r="A42" s="17" t="s">
        <v>553</v>
      </c>
      <c r="C42" s="14" t="n">
        <f aca="false">C37/C6</f>
        <v>0.017169053324353</v>
      </c>
      <c r="D42" s="14" t="n">
        <f aca="false">D37/D6</f>
        <v>0.0172238534512314</v>
      </c>
      <c r="E42" s="14" t="n">
        <f aca="false">E37/E6</f>
        <v>0.0191010642892087</v>
      </c>
      <c r="F42" s="14" t="n">
        <f aca="false">F37/F6</f>
        <v>0.0373510216139885</v>
      </c>
      <c r="G42" s="14" t="n">
        <f aca="false">G37/G6</f>
        <v>0.0186361973765372</v>
      </c>
      <c r="H42" s="63" t="n">
        <f aca="false">H37/H6</f>
        <v>0.0277502491305608</v>
      </c>
      <c r="I42" s="63" t="n">
        <f aca="false">I37/I6</f>
        <v>0.0305598771028243</v>
      </c>
      <c r="J42" s="63" t="n">
        <f aca="false">J37/J6</f>
        <v>0.0290164443273359</v>
      </c>
      <c r="K42" s="63" t="n">
        <f aca="false">K37/K6</f>
        <v>0.0307631808421799</v>
      </c>
      <c r="L42" s="63" t="n">
        <f aca="false">L37/L6</f>
        <v>0.0304253266050189</v>
      </c>
      <c r="N42" s="14" t="n">
        <f aca="false">N37/N6</f>
        <v>0.0183447337788795</v>
      </c>
    </row>
    <row r="43" customFormat="false" ht="15" hidden="false" customHeight="false" outlineLevel="0" collapsed="false">
      <c r="A43" s="5" t="s">
        <v>554</v>
      </c>
      <c r="C43" s="14" t="n">
        <f aca="false">C29/C6</f>
        <v>0.0109434054943981</v>
      </c>
      <c r="D43" s="14" t="n">
        <f aca="false">D29/D6</f>
        <v>0.0131248829034439</v>
      </c>
      <c r="E43" s="14" t="n">
        <f aca="false">E29/E6</f>
        <v>0.0162343080933169</v>
      </c>
      <c r="F43" s="14" t="n">
        <f aca="false">F29/F6</f>
        <v>0.024614184814132</v>
      </c>
      <c r="G43" s="14" t="n">
        <f aca="false">G29/G6</f>
        <v>0.0174903524199206</v>
      </c>
      <c r="H43" s="63" t="n">
        <f aca="false">H29/H6</f>
        <v>0.0272801254042935</v>
      </c>
      <c r="I43" s="63" t="n">
        <f aca="false">I29/I6</f>
        <v>0.0365880162928232</v>
      </c>
      <c r="J43" s="63" t="n">
        <f aca="false">J29/J6</f>
        <v>0.0373628689029362</v>
      </c>
      <c r="K43" s="63" t="n">
        <f aca="false">K29/K6</f>
        <v>0.039160582528687</v>
      </c>
      <c r="L43" s="63" t="n">
        <f aca="false">L29/L6</f>
        <v>0.0392163774282019</v>
      </c>
      <c r="N43" s="14" t="n">
        <f aca="false">N29/N6</f>
        <v>0.0155780637380378</v>
      </c>
    </row>
    <row r="44" customFormat="false" ht="15" hidden="false" customHeight="false" outlineLevel="0" collapsed="false">
      <c r="A44" s="5" t="s">
        <v>555</v>
      </c>
      <c r="C44" s="14" t="n">
        <f aca="false">C10/C6</f>
        <v>0.0538835820447109</v>
      </c>
      <c r="D44" s="14" t="n">
        <f aca="false">D10/D6</f>
        <v>0.0532357371454091</v>
      </c>
      <c r="E44" s="14" t="n">
        <f aca="false">E10/E6</f>
        <v>0.0573947392528269</v>
      </c>
      <c r="F44" s="14" t="n">
        <f aca="false">F10/F6</f>
        <v>0.0658996582588606</v>
      </c>
      <c r="G44" s="14" t="n">
        <f aca="false">G10/G6</f>
        <v>0.0792846430959709</v>
      </c>
      <c r="H44" s="63" t="n">
        <f aca="false">H10/H6</f>
        <v>0.076</v>
      </c>
      <c r="I44" s="63" t="n">
        <f aca="false">I10/I6</f>
        <v>0.073</v>
      </c>
      <c r="J44" s="63" t="n">
        <f aca="false">J10/J6</f>
        <v>0.07</v>
      </c>
      <c r="K44" s="63" t="n">
        <f aca="false">K10/K6</f>
        <v>0.068</v>
      </c>
      <c r="L44" s="63" t="n">
        <f aca="false">L10/L6</f>
        <v>0.066</v>
      </c>
      <c r="N44" s="14" t="n">
        <f aca="false">N10/N6</f>
        <v>0.085769785076683</v>
      </c>
    </row>
    <row r="45" customFormat="false" ht="15" hidden="false" customHeight="false" outlineLevel="0" collapsed="false">
      <c r="A45" s="5" t="s">
        <v>556</v>
      </c>
      <c r="C45" s="14" t="n">
        <f aca="false">C11/C6</f>
        <v>0.0111876428043535</v>
      </c>
      <c r="D45" s="14" t="n">
        <f aca="false">D11/D6</f>
        <v>0.0106292024616994</v>
      </c>
      <c r="E45" s="14" t="n">
        <f aca="false">E11/E6</f>
        <v>0.0109546310114495</v>
      </c>
      <c r="F45" s="14" t="n">
        <f aca="false">F11/F6</f>
        <v>0.0153965604244761</v>
      </c>
      <c r="G45" s="14" t="n">
        <f aca="false">G11/G6</f>
        <v>0.0194389245170702</v>
      </c>
      <c r="H45" s="63" t="n">
        <f aca="false">H11/H6</f>
        <v>0.019</v>
      </c>
      <c r="I45" s="63" t="n">
        <f aca="false">I11/I6</f>
        <v>0.0185</v>
      </c>
      <c r="J45" s="63" t="n">
        <f aca="false">J11/J6</f>
        <v>0.018</v>
      </c>
      <c r="K45" s="63" t="n">
        <f aca="false">K11/K6</f>
        <v>0.018</v>
      </c>
      <c r="L45" s="63" t="n">
        <f aca="false">L11/L6</f>
        <v>0.018</v>
      </c>
      <c r="N45" s="14" t="n">
        <f aca="false">N11/N6</f>
        <v>0.0153615864905787</v>
      </c>
    </row>
    <row r="46" customFormat="false" ht="15" hidden="false" customHeight="false" outlineLevel="0" collapsed="false">
      <c r="A46" s="5" t="s">
        <v>557</v>
      </c>
      <c r="C46" s="14" t="n">
        <f aca="false">C12/C6</f>
        <v>0.131500417653742</v>
      </c>
      <c r="D46" s="14" t="n">
        <f aca="false">D12/D6</f>
        <v>0.132667070761034</v>
      </c>
      <c r="E46" s="14" t="n">
        <f aca="false">E12/E6</f>
        <v>0.11494957064029</v>
      </c>
      <c r="F46" s="14" t="n">
        <f aca="false">F12/F6</f>
        <v>0.100923586331516</v>
      </c>
      <c r="G46" s="14" t="n">
        <f aca="false">G12/G6</f>
        <v>0.103139943370311</v>
      </c>
      <c r="H46" s="63" t="n">
        <f aca="false">H12/H6</f>
        <v>0.09072</v>
      </c>
      <c r="I46" s="63" t="n">
        <f aca="false">I12/I6</f>
        <v>0.08856</v>
      </c>
      <c r="J46" s="63" t="n">
        <f aca="false">J12/J6</f>
        <v>0.08715</v>
      </c>
      <c r="K46" s="63" t="n">
        <f aca="false">K12/K6</f>
        <v>0.08652</v>
      </c>
      <c r="L46" s="63" t="n">
        <f aca="false">L12/L6</f>
        <v>0.0867</v>
      </c>
      <c r="N46" s="14" t="n">
        <f aca="false">N12/N6</f>
        <v>0.102612445353877</v>
      </c>
    </row>
    <row r="47" customFormat="false" ht="15" hidden="false" customHeight="false" outlineLevel="0" collapsed="false">
      <c r="A47" s="5" t="s">
        <v>558</v>
      </c>
      <c r="C47" s="14" t="n">
        <f aca="false">C13/C6</f>
        <v>0.0138808578169447</v>
      </c>
      <c r="D47" s="14" t="n">
        <f aca="false">D13/D6</f>
        <v>0.0123726057552637</v>
      </c>
      <c r="E47" s="14" t="n">
        <f aca="false">E13/E6</f>
        <v>0.0101380377694404</v>
      </c>
      <c r="F47" s="14" t="n">
        <f aca="false">F13/F6</f>
        <v>0.0195330065162143</v>
      </c>
      <c r="G47" s="14" t="n">
        <f aca="false">G13/G6</f>
        <v>0.0170235035102056</v>
      </c>
      <c r="H47" s="63" t="n">
        <f aca="false">H13/H6</f>
        <v>0.0206639616839637</v>
      </c>
      <c r="I47" s="63" t="n">
        <f aca="false">I13/I6</f>
        <v>0.0117515875352154</v>
      </c>
      <c r="J47" s="63" t="n">
        <f aca="false">J13/J6</f>
        <v>0.00892582445375716</v>
      </c>
      <c r="K47" s="63" t="n">
        <f aca="false">K13/K6</f>
        <v>0.00841713295507924</v>
      </c>
      <c r="L47" s="63" t="n">
        <f aca="false">L13/L6</f>
        <v>0.00790084132615255</v>
      </c>
      <c r="N47" s="14" t="n">
        <f aca="false">N13/N6</f>
        <v>0.0303546720172551</v>
      </c>
    </row>
    <row r="48" customFormat="false" ht="15" hidden="false" customHeight="false" outlineLevel="0" collapsed="false">
      <c r="A48" s="17" t="s">
        <v>559</v>
      </c>
      <c r="D48" s="14" t="n">
        <f aca="false">D29/AVERAGE(资产负债表!C56,资产负债表!D56)</f>
        <v>0.0340063839701753</v>
      </c>
      <c r="E48" s="14" t="n">
        <f aca="false">E29/AVERAGE(资产负债表!D56,资产负债表!E56)</f>
        <v>0.0399420096577436</v>
      </c>
      <c r="F48" s="14" t="n">
        <f aca="false">F29/AVERAGE(资产负债表!E56,资产负债表!F56)</f>
        <v>0.0518150797983164</v>
      </c>
      <c r="G48" s="14" t="n">
        <f aca="false">G29/AVERAGE(资产负债表!F56,资产负债表!G56)</f>
        <v>0.0276819142334688</v>
      </c>
      <c r="H48" s="63" t="n">
        <f aca="false">H29/AVERAGE(资产负债表!G56,资产负债表!H56)</f>
        <v>0.0421299140265802</v>
      </c>
      <c r="I48" s="63" t="n">
        <f aca="false">I29/AVERAGE(资产负债表!H56,资产负债表!I56)</f>
        <v>0.053729333782105</v>
      </c>
      <c r="J48" s="63" t="n">
        <f aca="false">J29/AVERAGE(资产负债表!I56,资产负债表!J56)</f>
        <v>0.0517083997428852</v>
      </c>
      <c r="K48" s="63" t="n">
        <f aca="false">K29/AVERAGE(资产负债表!J56,资产负债表!K56)</f>
        <v>0.0547684473202482</v>
      </c>
      <c r="L48" s="63" t="n">
        <f aca="false">L29/AVERAGE(资产负债表!K56,资产负债表!L56)</f>
        <v>0.0552249571160532</v>
      </c>
    </row>
    <row r="49" customFormat="false" ht="15" hidden="false" customHeight="false" outlineLevel="0" collapsed="false">
      <c r="A49" s="17" t="s">
        <v>560</v>
      </c>
      <c r="C49" s="14" t="n">
        <f aca="false">C37*(1-假设!$C$16)/(融资!C19+资产负债表!C58)</f>
        <v>0.0288737568992233</v>
      </c>
      <c r="D49" s="14" t="n">
        <f aca="false">D37*(1-假设!$C$16)/(融资!D19+资产负债表!D58)</f>
        <v>0.0298820688585343</v>
      </c>
      <c r="E49" s="14" t="n">
        <f aca="false">E37*(1-假设!$C$16)/(融资!E19+资产负债表!E58)</f>
        <v>0.0302538090488302</v>
      </c>
      <c r="F49" s="14" t="n">
        <f aca="false">F37*(1-假设!$C$16)/(融资!F19+资产负债表!F58)</f>
        <v>0.0437756957004104</v>
      </c>
      <c r="G49" s="14" t="n">
        <f aca="false">G37*(1-假设!$C$16)/(融资!G19+资产负债表!G58)</f>
        <v>0.0162047158461666</v>
      </c>
      <c r="H49" s="63" t="n">
        <f aca="false">H37*(1-假设!$C$16)/(融资!H19+资产负债表!H58)</f>
        <v>0.0255610920354962</v>
      </c>
      <c r="I49" s="63" t="n">
        <f aca="false">I37*(1-假设!$C$16)/(融资!I19+资产负债表!I58)</f>
        <v>0.0288662369729756</v>
      </c>
      <c r="J49" s="63" t="n">
        <f aca="false">J37*(1-假设!$C$16)/(融资!J19+资产负债表!J58)</f>
        <v>0.028297585526105</v>
      </c>
      <c r="K49" s="63" t="n">
        <f aca="false">K37*(1-假设!$C$16)/(融资!K19+资产负债表!K58)</f>
        <v>0.031197140421623</v>
      </c>
      <c r="L49" s="63" t="n">
        <f aca="false">L37*(1-假设!$C$16)/(融资!L19+资产负债表!L58)</f>
        <v>0.0320719867580206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561</v>
      </c>
    </row>
    <row r="2" customFormat="false" ht="15" hidden="false" customHeight="false" outlineLevel="0" collapsed="false">
      <c r="A2" s="2" t="s">
        <v>562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47" t="s">
        <v>563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customFormat="false" ht="15" hidden="false" customHeight="false" outlineLevel="0" collapsed="false">
      <c r="A7" s="5" t="s">
        <v>564</v>
      </c>
      <c r="C7" s="74" t="n">
        <f aca="false">融资!C9</f>
        <v>4722.3289</v>
      </c>
      <c r="D7" s="74" t="n">
        <f aca="false">融资!D9</f>
        <v>4388.9732</v>
      </c>
      <c r="E7" s="74" t="n">
        <f aca="false">融资!E9</f>
        <v>5207.7287</v>
      </c>
      <c r="F7" s="74" t="n">
        <f aca="false">融资!F9</f>
        <v>5243.7569</v>
      </c>
      <c r="G7" s="74" t="n">
        <f aca="false">融资!G9</f>
        <v>6486.4939</v>
      </c>
      <c r="H7" s="75" t="n">
        <f aca="false">融资!H9</f>
        <v>4622.0201</v>
      </c>
      <c r="I7" s="75" t="n">
        <f aca="false">融资!I9</f>
        <v>4747.05574179327</v>
      </c>
      <c r="J7" s="75" t="n">
        <f aca="false">融资!J9</f>
        <v>5123.43992920246</v>
      </c>
      <c r="K7" s="75" t="n">
        <f aca="false">融资!K9</f>
        <v>5772.29215201893</v>
      </c>
      <c r="L7" s="75" t="n">
        <f aca="false">融资!L9</f>
        <v>6510.13630294412</v>
      </c>
      <c r="N7" s="74" t="n">
        <f aca="false">融资!N9</f>
        <v>4965.1259</v>
      </c>
    </row>
    <row r="8" customFormat="false" ht="15" hidden="false" customHeight="false" outlineLevel="0" collapsed="false">
      <c r="A8" s="5" t="s">
        <v>440</v>
      </c>
      <c r="C8" s="74" t="n">
        <f aca="false">营运资本!C9</f>
        <v>791.3691</v>
      </c>
      <c r="D8" s="74" t="n">
        <f aca="false">营运资本!D9</f>
        <v>722.2022</v>
      </c>
      <c r="E8" s="74" t="n">
        <f aca="false">营运资本!E9</f>
        <v>1387.9972</v>
      </c>
      <c r="F8" s="74" t="n">
        <f aca="false">营运资本!F9</f>
        <v>1704.2001</v>
      </c>
      <c r="G8" s="74" t="n">
        <f aca="false">营运资本!G9</f>
        <v>967.2344</v>
      </c>
      <c r="H8" s="75" t="n">
        <f aca="false">营运资本!H9</f>
        <v>1102.54064968</v>
      </c>
      <c r="I8" s="75" t="n">
        <f aca="false">营运资本!I9</f>
        <v>1176.1852784192</v>
      </c>
      <c r="J8" s="75" t="n">
        <f aca="false">营运资本!J9</f>
        <v>1234.73076099528</v>
      </c>
      <c r="K8" s="75" t="n">
        <f aca="false">营运资本!K9</f>
        <v>1296.83141588448</v>
      </c>
      <c r="L8" s="75" t="n">
        <f aca="false">营运资本!L9</f>
        <v>1358.5798502122</v>
      </c>
      <c r="N8" s="74" t="n">
        <f aca="false">营运资本!N9</f>
        <v>1214.8501</v>
      </c>
    </row>
    <row r="9" customFormat="false" ht="15" hidden="false" customHeight="false" outlineLevel="0" collapsed="false">
      <c r="A9" s="5" t="s">
        <v>442</v>
      </c>
      <c r="C9" s="74" t="n">
        <f aca="false">营运资本!C11</f>
        <v>4219.3462</v>
      </c>
      <c r="D9" s="74" t="n">
        <f aca="false">营运资本!D11</f>
        <v>6830.3427</v>
      </c>
      <c r="E9" s="74" t="n">
        <f aca="false">营运资本!E11</f>
        <v>12411.7951</v>
      </c>
      <c r="F9" s="74" t="n">
        <f aca="false">营运资本!F11</f>
        <v>15260.8568</v>
      </c>
      <c r="G9" s="74" t="n">
        <f aca="false">营运资本!G11</f>
        <v>14811.0516</v>
      </c>
      <c r="H9" s="75" t="n">
        <f aca="false">营运资本!H11</f>
        <v>15103.2965709589</v>
      </c>
      <c r="I9" s="75" t="n">
        <f aca="false">营运资本!I11</f>
        <v>15306.5207465512</v>
      </c>
      <c r="J9" s="75" t="n">
        <f aca="false">营运资本!J11</f>
        <v>15222.7080122706</v>
      </c>
      <c r="K9" s="75" t="n">
        <f aca="false">营运资本!K11</f>
        <v>15544.2121766975</v>
      </c>
      <c r="L9" s="75" t="n">
        <f aca="false">营运资本!L11</f>
        <v>15819.0804476763</v>
      </c>
      <c r="N9" s="74" t="n">
        <f aca="false">营运资本!N11</f>
        <v>13100.2914</v>
      </c>
    </row>
    <row r="10" customFormat="false" ht="15" hidden="false" customHeight="false" outlineLevel="0" collapsed="false">
      <c r="A10" s="5" t="s">
        <v>445</v>
      </c>
      <c r="C10" s="74" t="n">
        <f aca="false">营运资本!C13</f>
        <v>345.0894</v>
      </c>
      <c r="D10" s="74" t="n">
        <f aca="false">营运资本!D13</f>
        <v>744.5724</v>
      </c>
      <c r="E10" s="74" t="n">
        <f aca="false">营运资本!E13</f>
        <v>1204.0073</v>
      </c>
      <c r="F10" s="74" t="n">
        <f aca="false">营运资本!F13</f>
        <v>659.2119</v>
      </c>
      <c r="G10" s="74" t="n">
        <f aca="false">营运资本!G13</f>
        <v>1461.3915</v>
      </c>
      <c r="H10" s="75" t="n">
        <f aca="false">营运资本!H13</f>
        <v>1632.1662083724</v>
      </c>
      <c r="I10" s="75" t="n">
        <f aca="false">营运资本!I13</f>
        <v>1630.9752120614</v>
      </c>
      <c r="J10" s="75" t="n">
        <f aca="false">营运资本!J13</f>
        <v>1600.80315418283</v>
      </c>
      <c r="K10" s="75" t="n">
        <f aca="false">营运资本!K13</f>
        <v>1681.06937710286</v>
      </c>
      <c r="L10" s="75" t="n">
        <f aca="false">营运资本!L13</f>
        <v>1765.87712270042</v>
      </c>
      <c r="N10" s="74" t="n">
        <f aca="false">营运资本!N13</f>
        <v>2516.0374</v>
      </c>
    </row>
    <row r="11" customFormat="false" ht="15" hidden="false" customHeight="false" outlineLevel="0" collapsed="false">
      <c r="A11" s="5" t="s">
        <v>446</v>
      </c>
      <c r="C11" s="74" t="n">
        <f aca="false">营运资本!C15</f>
        <v>680.7874</v>
      </c>
      <c r="D11" s="74" t="n">
        <f aca="false">营运资本!D15</f>
        <v>484.3906</v>
      </c>
      <c r="E11" s="74" t="n">
        <f aca="false">营运资本!E15</f>
        <v>646.0326</v>
      </c>
      <c r="F11" s="74" t="n">
        <f aca="false">营运资本!F15</f>
        <v>496.4689</v>
      </c>
      <c r="G11" s="74" t="n">
        <f aca="false">营运资本!G15</f>
        <v>367.0848</v>
      </c>
      <c r="H11" s="75" t="n">
        <f aca="false">营运资本!H15</f>
        <v>367.0848</v>
      </c>
      <c r="I11" s="75" t="n">
        <f aca="false">营运资本!I15</f>
        <v>367.0848</v>
      </c>
      <c r="J11" s="75" t="n">
        <f aca="false">营运资本!J15</f>
        <v>367.0848</v>
      </c>
      <c r="K11" s="75" t="n">
        <f aca="false">营运资本!K15</f>
        <v>367.0848</v>
      </c>
      <c r="L11" s="75" t="n">
        <f aca="false">营运资本!L15</f>
        <v>367.0848</v>
      </c>
      <c r="N11" s="74" t="n">
        <f aca="false">营运资本!N15</f>
        <v>315.1794</v>
      </c>
    </row>
    <row r="12" customFormat="false" ht="15" hidden="false" customHeight="false" outlineLevel="0" collapsed="false">
      <c r="A12" s="5" t="s">
        <v>447</v>
      </c>
      <c r="C12" s="74" t="n">
        <f aca="false">营运资本!C16</f>
        <v>14605.1278</v>
      </c>
      <c r="D12" s="74" t="n">
        <f aca="false">营运资本!D16</f>
        <v>14390.1617</v>
      </c>
      <c r="E12" s="74" t="n">
        <f aca="false">营运资本!E16</f>
        <v>9718.9319</v>
      </c>
      <c r="F12" s="74" t="n">
        <f aca="false">营运资本!F16</f>
        <v>9329.2257</v>
      </c>
      <c r="G12" s="74" t="n">
        <f aca="false">营运资本!G16</f>
        <v>10575.039</v>
      </c>
      <c r="H12" s="75" t="n">
        <f aca="false">营运资本!H16</f>
        <v>11030.1643305532</v>
      </c>
      <c r="I12" s="75" t="n">
        <f aca="false">营运资本!I16</f>
        <v>11490.2363276341</v>
      </c>
      <c r="J12" s="75" t="n">
        <f aca="false">营运资本!J16</f>
        <v>11807.8209476078</v>
      </c>
      <c r="K12" s="75" t="n">
        <f aca="false">营运资本!K16</f>
        <v>12045.5972226548</v>
      </c>
      <c r="L12" s="75" t="n">
        <f aca="false">营运资本!L16</f>
        <v>12653.281806494</v>
      </c>
      <c r="N12" s="74" t="n">
        <f aca="false">营运资本!N16</f>
        <v>13560.0929</v>
      </c>
    </row>
    <row r="13" customFormat="false" ht="15" hidden="false" customHeight="false" outlineLevel="0" collapsed="false">
      <c r="A13" s="5" t="s">
        <v>565</v>
      </c>
      <c r="C13" s="74" t="n">
        <f aca="false">营运资本!C18</f>
        <v>543.3164</v>
      </c>
      <c r="D13" s="74" t="n">
        <f aca="false">营运资本!D18</f>
        <v>633.532699999998</v>
      </c>
      <c r="E13" s="74" t="n">
        <f aca="false">营运资本!E18</f>
        <v>725.1378</v>
      </c>
      <c r="F13" s="74" t="n">
        <f aca="false">营运资本!F18</f>
        <v>917.712299999997</v>
      </c>
      <c r="G13" s="74" t="n">
        <f aca="false">营运资本!G18</f>
        <v>539.472499999993</v>
      </c>
      <c r="H13" s="75" t="n">
        <f aca="false">营运资本!H18</f>
        <v>606.397357324</v>
      </c>
      <c r="I13" s="75" t="n">
        <f aca="false">营运资本!I18</f>
        <v>646.90190313056</v>
      </c>
      <c r="J13" s="75" t="n">
        <f aca="false">营运资本!J18</f>
        <v>679.101918547406</v>
      </c>
      <c r="K13" s="75" t="n">
        <f aca="false">营运资本!K18</f>
        <v>713.257278736463</v>
      </c>
      <c r="L13" s="75" t="n">
        <f aca="false">营运资本!L18</f>
        <v>747.218917616711</v>
      </c>
      <c r="N13" s="74" t="n">
        <f aca="false">营运资本!N18</f>
        <v>706.3645</v>
      </c>
    </row>
    <row r="14" customFormat="false" ht="15" hidden="false" customHeight="false" outlineLevel="0" collapsed="false">
      <c r="A14" s="12" t="s">
        <v>566</v>
      </c>
      <c r="C14" s="68" t="n">
        <f aca="false">SUM(C7:C13)</f>
        <v>25907.3652</v>
      </c>
      <c r="D14" s="68" t="n">
        <f aca="false">SUM(D7:D13)</f>
        <v>28194.1755</v>
      </c>
      <c r="E14" s="68" t="n">
        <f aca="false">SUM(E7:E13)</f>
        <v>31301.6306</v>
      </c>
      <c r="F14" s="68" t="n">
        <f aca="false">SUM(F7:F13)</f>
        <v>33611.4326</v>
      </c>
      <c r="G14" s="68" t="n">
        <f aca="false">SUM(G7:G13)</f>
        <v>35207.7677</v>
      </c>
      <c r="H14" s="69" t="n">
        <f aca="false">SUM(H7:H13)</f>
        <v>34463.6700168885</v>
      </c>
      <c r="I14" s="69" t="n">
        <f aca="false">SUM(I7:I13)</f>
        <v>35364.9600095898</v>
      </c>
      <c r="J14" s="69" t="n">
        <f aca="false">SUM(J7:J13)</f>
        <v>36035.6895228064</v>
      </c>
      <c r="K14" s="69" t="n">
        <f aca="false">SUM(K7:K13)</f>
        <v>37420.3444230951</v>
      </c>
      <c r="L14" s="69" t="n">
        <f aca="false">SUM(L7:L13)</f>
        <v>39221.2592476438</v>
      </c>
      <c r="N14" s="68" t="n">
        <f aca="false">SUM(N7:N13)</f>
        <v>36377.9416</v>
      </c>
    </row>
    <row r="15" customFormat="false" ht="15" hidden="false" customHeight="false" outlineLevel="0" collapsed="false">
      <c r="A15" s="5" t="s">
        <v>567</v>
      </c>
      <c r="C15" s="74" t="n">
        <f aca="false">历史报表!E55</f>
        <v>2504.3889</v>
      </c>
      <c r="D15" s="74" t="n">
        <f aca="false">历史报表!F55</f>
        <v>2726.3613</v>
      </c>
      <c r="E15" s="74" t="n">
        <f aca="false">历史报表!G55</f>
        <v>2743.0593</v>
      </c>
      <c r="F15" s="74" t="n">
        <f aca="false">历史报表!H55</f>
        <v>2745.9269</v>
      </c>
      <c r="G15" s="74" t="n">
        <f aca="false">历史报表!I55</f>
        <v>2987.0148</v>
      </c>
      <c r="H15" s="64" t="n">
        <f aca="false">G15+费用!H35-费用!H32</f>
        <v>3529.744880945</v>
      </c>
      <c r="I15" s="64" t="n">
        <f aca="false">H15+费用!I35-费用!I32</f>
        <v>3993.61943355925</v>
      </c>
      <c r="J15" s="64" t="n">
        <f aca="false">I15+费用!J35-费用!J32</f>
        <v>4478.18771380421</v>
      </c>
      <c r="K15" s="64" t="n">
        <f aca="false">J15+费用!K35-费用!K32</f>
        <v>4984.48440806142</v>
      </c>
      <c r="L15" s="64" t="n">
        <f aca="false">K15+费用!L35-费用!L32</f>
        <v>5513.59593703149</v>
      </c>
      <c r="N15" s="74" t="n">
        <f aca="false">历史报表!K55</f>
        <v>3243.2863</v>
      </c>
      <c r="O15" s="22" t="s">
        <v>568</v>
      </c>
    </row>
    <row r="16" customFormat="false" ht="15" hidden="false" customHeight="false" outlineLevel="0" collapsed="false">
      <c r="A16" s="5" t="s">
        <v>569</v>
      </c>
      <c r="C16" s="8" t="n">
        <f aca="false">历史报表!E56+历史报表!E57</f>
        <v>296.1554</v>
      </c>
      <c r="D16" s="8" t="n">
        <f aca="false">历史报表!F56+历史报表!F57</f>
        <v>307.1575</v>
      </c>
      <c r="E16" s="8" t="n">
        <f aca="false">历史报表!G56+历史报表!G57</f>
        <v>244.3584</v>
      </c>
      <c r="F16" s="8" t="n">
        <f aca="false">历史报表!H56+历史报表!H57</f>
        <v>135.5233</v>
      </c>
      <c r="G16" s="8" t="n">
        <f aca="false">历史报表!I56+历史报表!I57</f>
        <v>132.1372</v>
      </c>
      <c r="H16" s="64" t="n">
        <f aca="false">G16</f>
        <v>132.1372</v>
      </c>
      <c r="I16" s="64" t="n">
        <f aca="false">H16</f>
        <v>132.1372</v>
      </c>
      <c r="J16" s="64" t="n">
        <f aca="false">I16</f>
        <v>132.1372</v>
      </c>
      <c r="K16" s="64" t="n">
        <f aca="false">J16</f>
        <v>132.1372</v>
      </c>
      <c r="L16" s="64" t="n">
        <f aca="false">K16</f>
        <v>132.1372</v>
      </c>
      <c r="N16" s="8" t="n">
        <f aca="false">历史报表!K56+历史报表!K57</f>
        <v>132.1372</v>
      </c>
    </row>
    <row r="17" customFormat="false" ht="15" hidden="false" customHeight="false" outlineLevel="0" collapsed="false">
      <c r="A17" s="5" t="s">
        <v>570</v>
      </c>
      <c r="C17" s="74" t="n">
        <f aca="false">历史报表!E58</f>
        <v>118.3596</v>
      </c>
      <c r="D17" s="74" t="n">
        <f aca="false">历史报表!F58</f>
        <v>113.6049</v>
      </c>
      <c r="E17" s="74" t="n">
        <f aca="false">历史报表!G58</f>
        <v>108.8725</v>
      </c>
      <c r="F17" s="74" t="n">
        <f aca="false">历史报表!H58</f>
        <v>104.0955</v>
      </c>
      <c r="G17" s="74" t="n">
        <f aca="false">历史报表!I58</f>
        <v>99.29</v>
      </c>
      <c r="H17" s="64" t="n">
        <f aca="false">G17</f>
        <v>99.29</v>
      </c>
      <c r="I17" s="64" t="n">
        <f aca="false">H17</f>
        <v>99.29</v>
      </c>
      <c r="J17" s="64" t="n">
        <f aca="false">I17</f>
        <v>99.29</v>
      </c>
      <c r="K17" s="64" t="n">
        <f aca="false">J17</f>
        <v>99.29</v>
      </c>
      <c r="L17" s="64" t="n">
        <f aca="false">K17</f>
        <v>99.29</v>
      </c>
      <c r="N17" s="74" t="n">
        <f aca="false">历史报表!K58</f>
        <v>96.9127</v>
      </c>
    </row>
    <row r="18" customFormat="false" ht="15" hidden="false" customHeight="false" outlineLevel="0" collapsed="false">
      <c r="A18" s="5" t="s">
        <v>571</v>
      </c>
      <c r="C18" s="74" t="n">
        <f aca="false">历史报表!E59</f>
        <v>3458.9686</v>
      </c>
      <c r="D18" s="74" t="n">
        <f aca="false">历史报表!F59</f>
        <v>3673.3317</v>
      </c>
      <c r="E18" s="74" t="n">
        <f aca="false">历史报表!G59</f>
        <v>4194.2529</v>
      </c>
      <c r="F18" s="74" t="n">
        <f aca="false">历史报表!H59</f>
        <v>3762.6742</v>
      </c>
      <c r="G18" s="74" t="n">
        <f aca="false">历史报表!I59</f>
        <v>3608.4412</v>
      </c>
      <c r="H18" s="75" t="n">
        <f aca="false">资本开支折旧!H20</f>
        <v>4021.99306470492</v>
      </c>
      <c r="I18" s="75" t="n">
        <f aca="false">资本开支折旧!I20</f>
        <v>4561.31518376771</v>
      </c>
      <c r="J18" s="75" t="n">
        <f aca="false">资本开支折旧!J20</f>
        <v>5068.52019804478</v>
      </c>
      <c r="K18" s="75" t="n">
        <f aca="false">资本开支折旧!K20</f>
        <v>5289.42812341144</v>
      </c>
      <c r="L18" s="75" t="n">
        <f aca="false">资本开支折旧!L20</f>
        <v>5233.74450686211</v>
      </c>
      <c r="N18" s="74" t="n">
        <f aca="false">历史报表!K59</f>
        <v>3972.7994</v>
      </c>
    </row>
    <row r="19" customFormat="false" ht="15" hidden="false" customHeight="false" outlineLevel="0" collapsed="false">
      <c r="A19" s="5" t="s">
        <v>390</v>
      </c>
      <c r="C19" s="74" t="n">
        <f aca="false">历史报表!E61</f>
        <v>1191.0416</v>
      </c>
      <c r="D19" s="74" t="n">
        <f aca="false">历史报表!F61</f>
        <v>916.072</v>
      </c>
      <c r="E19" s="74" t="n">
        <f aca="false">历史报表!G61</f>
        <v>429.2772</v>
      </c>
      <c r="F19" s="74" t="n">
        <f aca="false">历史报表!H61</f>
        <v>889.8926</v>
      </c>
      <c r="G19" s="74" t="n">
        <f aca="false">历史报表!I61</f>
        <v>1364.8068</v>
      </c>
      <c r="H19" s="75" t="n">
        <f aca="false">资本开支折旧!H30</f>
        <v>1465.64374</v>
      </c>
      <c r="I19" s="75" t="n">
        <f aca="false">资本开支折旧!I30</f>
        <v>1741.104057</v>
      </c>
      <c r="J19" s="75" t="n">
        <f aca="false">资本开支折旧!J30</f>
        <v>1837.60723135</v>
      </c>
      <c r="K19" s="75" t="n">
        <f aca="false">资本开支折旧!K30</f>
        <v>1615.6839772425</v>
      </c>
      <c r="L19" s="75" t="n">
        <f aca="false">资本开支折旧!L30</f>
        <v>1383.62618748338</v>
      </c>
      <c r="N19" s="74" t="n">
        <f aca="false">历史报表!K61</f>
        <v>1155.3614</v>
      </c>
    </row>
    <row r="20" customFormat="false" ht="15" hidden="false" customHeight="false" outlineLevel="0" collapsed="false">
      <c r="A20" s="5" t="s">
        <v>572</v>
      </c>
      <c r="C20" s="74" t="n">
        <f aca="false">历史报表!E63</f>
        <v>88.6436</v>
      </c>
      <c r="D20" s="74" t="n">
        <f aca="false">历史报表!F63</f>
        <v>147.4453</v>
      </c>
      <c r="E20" s="74" t="n">
        <f aca="false">历史报表!G63</f>
        <v>78.6099</v>
      </c>
      <c r="F20" s="74" t="n">
        <f aca="false">历史报表!H63</f>
        <v>160.5597</v>
      </c>
      <c r="G20" s="74" t="n">
        <f aca="false">历史报表!I63</f>
        <v>108.2493</v>
      </c>
      <c r="H20" s="75" t="n">
        <f aca="false">资本开支折旧!H56</f>
        <v>108.2493</v>
      </c>
      <c r="I20" s="75" t="n">
        <f aca="false">资本开支折旧!I56</f>
        <v>108.2493</v>
      </c>
      <c r="J20" s="75" t="n">
        <f aca="false">资本开支折旧!J56</f>
        <v>108.2493</v>
      </c>
      <c r="K20" s="75" t="n">
        <f aca="false">资本开支折旧!K56</f>
        <v>108.2493</v>
      </c>
      <c r="L20" s="75" t="n">
        <f aca="false">资本开支折旧!L56</f>
        <v>108.2493</v>
      </c>
      <c r="N20" s="74" t="n">
        <f aca="false">历史报表!K63</f>
        <v>79.9477</v>
      </c>
    </row>
    <row r="21" customFormat="false" ht="15" hidden="false" customHeight="false" outlineLevel="0" collapsed="false">
      <c r="A21" s="5" t="s">
        <v>398</v>
      </c>
      <c r="C21" s="74" t="n">
        <f aca="false">历史报表!E64</f>
        <v>956.8971</v>
      </c>
      <c r="D21" s="74" t="n">
        <f aca="false">历史报表!F64</f>
        <v>1202.1387</v>
      </c>
      <c r="E21" s="74" t="n">
        <f aca="false">历史报表!G64</f>
        <v>1553.3013</v>
      </c>
      <c r="F21" s="74" t="n">
        <f aca="false">历史报表!H64</f>
        <v>1741.9929</v>
      </c>
      <c r="G21" s="74" t="n">
        <f aca="false">历史报表!I64</f>
        <v>2407.8063</v>
      </c>
      <c r="H21" s="75" t="n">
        <f aca="false">资本开支折旧!H45</f>
        <v>2684.27968700831</v>
      </c>
      <c r="I21" s="75" t="n">
        <f aca="false">资本开支折旧!I45</f>
        <v>2875.23215671416</v>
      </c>
      <c r="J21" s="75" t="n">
        <f aca="false">资本开支折旧!J45</f>
        <v>2981.36860580339</v>
      </c>
      <c r="K21" s="75" t="n">
        <f aca="false">资本开支折旧!K45</f>
        <v>3005.42795611397</v>
      </c>
      <c r="L21" s="75" t="n">
        <f aca="false">资本开支折旧!L45</f>
        <v>2950.50692018107</v>
      </c>
      <c r="N21" s="74" t="n">
        <f aca="false">历史报表!K64</f>
        <v>2249.317</v>
      </c>
    </row>
    <row r="22" customFormat="false" ht="15" hidden="false" customHeight="false" outlineLevel="0" collapsed="false">
      <c r="A22" s="5" t="s">
        <v>573</v>
      </c>
      <c r="C22" s="74" t="n">
        <f aca="false">历史报表!E65</f>
        <v>1124.4628</v>
      </c>
      <c r="D22" s="74" t="n">
        <f aca="false">历史报表!F65</f>
        <v>1020.541</v>
      </c>
      <c r="E22" s="74" t="n">
        <f aca="false">历史报表!G65</f>
        <v>938.2379</v>
      </c>
      <c r="F22" s="74" t="n">
        <f aca="false">历史报表!H65</f>
        <v>1273.7418</v>
      </c>
      <c r="G22" s="74" t="n">
        <f aca="false">历史报表!I65</f>
        <v>953.7547</v>
      </c>
      <c r="H22" s="75" t="n">
        <f aca="false">资本开支折旧!H53</f>
        <v>924.183795377856</v>
      </c>
      <c r="I22" s="75" t="n">
        <f aca="false">资本开支折旧!I53</f>
        <v>897.485904413753</v>
      </c>
      <c r="J22" s="75" t="n">
        <f aca="false">资本开支折旧!J53</f>
        <v>869.090703904739</v>
      </c>
      <c r="K22" s="75" t="n">
        <f aca="false">资本开支折旧!K53</f>
        <v>842.031148349486</v>
      </c>
      <c r="L22" s="75" t="n">
        <f aca="false">资本开支折旧!L53</f>
        <v>817.012764633392</v>
      </c>
      <c r="N22" s="74" t="n">
        <f aca="false">历史报表!K65</f>
        <v>1229.9452</v>
      </c>
    </row>
    <row r="23" customFormat="false" ht="15" hidden="false" customHeight="false" outlineLevel="0" collapsed="false">
      <c r="A23" s="5" t="s">
        <v>574</v>
      </c>
      <c r="C23" s="74" t="n">
        <f aca="false">历史报表!E66</f>
        <v>2.1761</v>
      </c>
      <c r="D23" s="74" t="n">
        <f aca="false">历史报表!F66</f>
        <v>2.1761</v>
      </c>
      <c r="E23" s="74" t="n">
        <f aca="false">历史报表!G66</f>
        <v>86.3484</v>
      </c>
      <c r="F23" s="74" t="n">
        <f aca="false">历史报表!H66</f>
        <v>86.3484</v>
      </c>
      <c r="G23" s="74" t="n">
        <f aca="false">历史报表!I66</f>
        <v>86.3484</v>
      </c>
      <c r="H23" s="64" t="n">
        <f aca="false">G23</f>
        <v>86.3484</v>
      </c>
      <c r="I23" s="64" t="n">
        <f aca="false">H23</f>
        <v>86.3484</v>
      </c>
      <c r="J23" s="64" t="n">
        <f aca="false">I23</f>
        <v>86.3484</v>
      </c>
      <c r="K23" s="64" t="n">
        <f aca="false">J23</f>
        <v>86.3484</v>
      </c>
      <c r="L23" s="64" t="n">
        <f aca="false">K23</f>
        <v>86.3484</v>
      </c>
      <c r="N23" s="74" t="n">
        <f aca="false">历史报表!K66</f>
        <v>86.3484</v>
      </c>
    </row>
    <row r="24" customFormat="false" ht="15" hidden="false" customHeight="false" outlineLevel="0" collapsed="false">
      <c r="A24" s="5" t="s">
        <v>419</v>
      </c>
      <c r="C24" s="74" t="n">
        <f aca="false">历史报表!E67</f>
        <v>57.8415</v>
      </c>
      <c r="D24" s="74" t="n">
        <f aca="false">历史报表!F67</f>
        <v>50.8145</v>
      </c>
      <c r="E24" s="74" t="n">
        <f aca="false">历史报表!G67</f>
        <v>48.4462</v>
      </c>
      <c r="F24" s="74" t="n">
        <f aca="false">历史报表!H67</f>
        <v>39.0585</v>
      </c>
      <c r="G24" s="74" t="n">
        <f aca="false">历史报表!I67</f>
        <v>36.4732</v>
      </c>
      <c r="H24" s="75" t="n">
        <f aca="false">资本开支折旧!H58</f>
        <v>36.4732</v>
      </c>
      <c r="I24" s="75" t="n">
        <f aca="false">资本开支折旧!I58</f>
        <v>36.4732</v>
      </c>
      <c r="J24" s="75" t="n">
        <f aca="false">资本开支折旧!J58</f>
        <v>36.4732</v>
      </c>
      <c r="K24" s="75" t="n">
        <f aca="false">资本开支折旧!K58</f>
        <v>36.4732</v>
      </c>
      <c r="L24" s="75" t="n">
        <f aca="false">资本开支折旧!L58</f>
        <v>36.4732</v>
      </c>
      <c r="N24" s="74" t="n">
        <f aca="false">历史报表!K67</f>
        <v>39.016</v>
      </c>
    </row>
    <row r="25" customFormat="false" ht="15" hidden="false" customHeight="false" outlineLevel="0" collapsed="false">
      <c r="A25" s="5" t="s">
        <v>575</v>
      </c>
      <c r="C25" s="74" t="n">
        <f aca="false">历史报表!E68</f>
        <v>174.021</v>
      </c>
      <c r="D25" s="74" t="n">
        <f aca="false">历史报表!F68</f>
        <v>192.1203</v>
      </c>
      <c r="E25" s="74" t="n">
        <f aca="false">历史报表!G68</f>
        <v>207.1906</v>
      </c>
      <c r="F25" s="74" t="n">
        <f aca="false">历史报表!H68</f>
        <v>202.3741</v>
      </c>
      <c r="G25" s="74" t="n">
        <f aca="false">历史报表!I68</f>
        <v>186.1557</v>
      </c>
      <c r="H25" s="64" t="n">
        <f aca="false">G25</f>
        <v>186.1557</v>
      </c>
      <c r="I25" s="64" t="n">
        <f aca="false">H25</f>
        <v>186.1557</v>
      </c>
      <c r="J25" s="64" t="n">
        <f aca="false">I25</f>
        <v>186.1557</v>
      </c>
      <c r="K25" s="64" t="n">
        <f aca="false">J25</f>
        <v>186.1557</v>
      </c>
      <c r="L25" s="64" t="n">
        <f aca="false">K25</f>
        <v>186.1557</v>
      </c>
      <c r="N25" s="74" t="n">
        <f aca="false">历史报表!K68</f>
        <v>189.3518</v>
      </c>
    </row>
    <row r="26" customFormat="false" ht="15" hidden="false" customHeight="false" outlineLevel="0" collapsed="false">
      <c r="A26" s="5" t="s">
        <v>576</v>
      </c>
      <c r="C26" s="8" t="n">
        <f aca="false">历史报表!E70-C15-C16-C17-C18-C19-C20-C21-C22-C23-C24-C25</f>
        <v>-0.000199999999381362</v>
      </c>
      <c r="D26" s="8" t="n">
        <f aca="false">历史报表!F70-D15-D16-D17-D18-D19-D20-D21-D22-D23-D24-D25</f>
        <v>9.99999986390776E-005</v>
      </c>
      <c r="E26" s="8" t="n">
        <f aca="false">历史报表!G70-E15-E16-E17-E18-E19-E20-E21-E22-E23-E24-E25</f>
        <v>-1.62003743753303E-012</v>
      </c>
      <c r="F26" s="8" t="n">
        <f aca="false">历史报表!H70-F15-F16-F17-F18-F19-F20-F21-F22-F23-F24-F25</f>
        <v>3.81899999999854</v>
      </c>
      <c r="G26" s="8" t="n">
        <f aca="false">历史报表!I70-G15-G16-G17-G18-G19-G20-G21-G22-G23-G24-G25</f>
        <v>3.73739999999864</v>
      </c>
      <c r="H26" s="64" t="n">
        <f aca="false">G26</f>
        <v>3.73739999999864</v>
      </c>
      <c r="I26" s="64" t="n">
        <f aca="false">H26</f>
        <v>3.73739999999864</v>
      </c>
      <c r="J26" s="64" t="n">
        <f aca="false">I26</f>
        <v>3.73739999999864</v>
      </c>
      <c r="K26" s="64" t="n">
        <f aca="false">J26</f>
        <v>3.73739999999864</v>
      </c>
      <c r="L26" s="64" t="n">
        <f aca="false">K26</f>
        <v>3.73739999999864</v>
      </c>
      <c r="N26" s="8" t="n">
        <f aca="false">历史报表!K70-N15-N16-N17-N18-N19-N20-N21-N22-N23-N24-N25</f>
        <v>5.39990000000066</v>
      </c>
    </row>
    <row r="27" customFormat="false" ht="15" hidden="false" customHeight="false" outlineLevel="0" collapsed="false">
      <c r="A27" s="12" t="s">
        <v>577</v>
      </c>
      <c r="C27" s="68" t="n">
        <f aca="false">SUM(C15:C26)</f>
        <v>9972.956</v>
      </c>
      <c r="D27" s="68" t="n">
        <f aca="false">SUM(D15:D26)</f>
        <v>10351.7634</v>
      </c>
      <c r="E27" s="68" t="n">
        <f aca="false">SUM(E15:E26)</f>
        <v>10631.9546</v>
      </c>
      <c r="F27" s="68" t="n">
        <f aca="false">SUM(F15:F26)</f>
        <v>11146.0069</v>
      </c>
      <c r="G27" s="68" t="n">
        <f aca="false">SUM(G15:G26)</f>
        <v>11974.215</v>
      </c>
      <c r="H27" s="69" t="n">
        <f aca="false">SUM(H15:H26)</f>
        <v>13278.2363680361</v>
      </c>
      <c r="I27" s="69" t="n">
        <f aca="false">SUM(I15:I26)</f>
        <v>14721.1479354549</v>
      </c>
      <c r="J27" s="69" t="n">
        <f aca="false">SUM(J15:J26)</f>
        <v>15887.1656529071</v>
      </c>
      <c r="K27" s="69" t="n">
        <f aca="false">SUM(K15:K26)</f>
        <v>16389.4468131788</v>
      </c>
      <c r="L27" s="69" t="n">
        <f aca="false">SUM(L15:L26)</f>
        <v>16550.8775161914</v>
      </c>
      <c r="N27" s="68" t="n">
        <f aca="false">SUM(N15:N26)</f>
        <v>12479.823</v>
      </c>
    </row>
    <row r="28" customFormat="false" ht="15" hidden="false" customHeight="false" outlineLevel="0" collapsed="false">
      <c r="A28" s="12" t="s">
        <v>578</v>
      </c>
      <c r="C28" s="13" t="n">
        <f aca="false">C14+C27</f>
        <v>35880.3212</v>
      </c>
      <c r="D28" s="13" t="n">
        <f aca="false">D14+D27</f>
        <v>38545.9389</v>
      </c>
      <c r="E28" s="13" t="n">
        <f aca="false">E14+E27</f>
        <v>41933.5852</v>
      </c>
      <c r="F28" s="13" t="n">
        <f aca="false">F14+F27</f>
        <v>44757.4395</v>
      </c>
      <c r="G28" s="13" t="n">
        <f aca="false">G14+G27</f>
        <v>47181.9827</v>
      </c>
      <c r="H28" s="62" t="n">
        <f aca="false">H14+H27</f>
        <v>47741.9063849246</v>
      </c>
      <c r="I28" s="62" t="n">
        <f aca="false">I14+I27</f>
        <v>50086.1079450446</v>
      </c>
      <c r="J28" s="62" t="n">
        <f aca="false">J14+J27</f>
        <v>51922.8551757135</v>
      </c>
      <c r="K28" s="62" t="n">
        <f aca="false">K14+K27</f>
        <v>53809.7912362739</v>
      </c>
      <c r="L28" s="62" t="n">
        <f aca="false">L14+L27</f>
        <v>55772.1367638352</v>
      </c>
      <c r="N28" s="13" t="n">
        <f aca="false">N14+N27</f>
        <v>48857.7646</v>
      </c>
    </row>
    <row r="29" customFormat="false" ht="15" hidden="false" customHeight="false" outlineLevel="0" collapsed="false">
      <c r="A29" s="47" t="s">
        <v>579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</row>
    <row r="30" customFormat="false" ht="15" hidden="false" customHeight="false" outlineLevel="0" collapsed="false">
      <c r="A30" s="5" t="s">
        <v>580</v>
      </c>
      <c r="C30" s="74" t="n">
        <f aca="false">融资!C12</f>
        <v>288.5518</v>
      </c>
      <c r="D30" s="74" t="n">
        <f aca="false">融资!D12</f>
        <v>638.6606</v>
      </c>
      <c r="E30" s="74" t="n">
        <f aca="false">融资!E12</f>
        <v>2026.2359</v>
      </c>
      <c r="F30" s="74" t="n">
        <f aca="false">融资!F12</f>
        <v>5079.8579</v>
      </c>
      <c r="G30" s="74" t="n">
        <f aca="false">融资!G12</f>
        <v>6930.4263</v>
      </c>
      <c r="H30" s="75" t="n">
        <f aca="false">融资!H12</f>
        <v>5561.15208979165</v>
      </c>
      <c r="I30" s="75" t="n">
        <f aca="false">融资!I12</f>
        <v>3000</v>
      </c>
      <c r="J30" s="75" t="n">
        <f aca="false">融资!J12</f>
        <v>3000</v>
      </c>
      <c r="K30" s="75" t="n">
        <f aca="false">融资!K12</f>
        <v>3000</v>
      </c>
      <c r="L30" s="75" t="n">
        <f aca="false">融资!L12</f>
        <v>3000</v>
      </c>
      <c r="N30" s="74" t="n">
        <f aca="false">融资!N12</f>
        <v>7776.7969</v>
      </c>
    </row>
    <row r="31" customFormat="false" ht="15" hidden="false" customHeight="false" outlineLevel="0" collapsed="false">
      <c r="A31" s="5" t="s">
        <v>461</v>
      </c>
      <c r="C31" s="74" t="n">
        <f aca="false">营运资本!C37</f>
        <v>0</v>
      </c>
      <c r="D31" s="74" t="n">
        <f aca="false">营运资本!D37</f>
        <v>0</v>
      </c>
      <c r="E31" s="74" t="n">
        <f aca="false">营运资本!E37</f>
        <v>0</v>
      </c>
      <c r="F31" s="74" t="n">
        <f aca="false">营运资本!F37</f>
        <v>0</v>
      </c>
      <c r="G31" s="74" t="n">
        <f aca="false">营运资本!G37</f>
        <v>18.9335</v>
      </c>
      <c r="H31" s="75" t="n">
        <f aca="false">营运资本!H37</f>
        <v>18.9335</v>
      </c>
      <c r="I31" s="75" t="n">
        <f aca="false">营运资本!I37</f>
        <v>18.9335</v>
      </c>
      <c r="J31" s="75" t="n">
        <f aca="false">营运资本!J37</f>
        <v>18.9335</v>
      </c>
      <c r="K31" s="75" t="n">
        <f aca="false">营运资本!K37</f>
        <v>18.9335</v>
      </c>
      <c r="L31" s="75" t="n">
        <f aca="false">营运资本!L37</f>
        <v>18.9335</v>
      </c>
      <c r="N31" s="74" t="n">
        <f aca="false">营运资本!N37</f>
        <v>18.9335</v>
      </c>
    </row>
    <row r="32" customFormat="false" ht="15" hidden="false" customHeight="false" outlineLevel="0" collapsed="false">
      <c r="A32" s="5" t="s">
        <v>581</v>
      </c>
      <c r="C32" s="74" t="n">
        <f aca="false">营运资本!C24</f>
        <v>5945.8226</v>
      </c>
      <c r="D32" s="74" t="n">
        <f aca="false">营运资本!D24</f>
        <v>7526.9418</v>
      </c>
      <c r="E32" s="74" t="n">
        <f aca="false">营运资本!E24</f>
        <v>7752.2333</v>
      </c>
      <c r="F32" s="74" t="n">
        <f aca="false">营运资本!F24</f>
        <v>8512.7803</v>
      </c>
      <c r="G32" s="74" t="n">
        <f aca="false">营运资本!G24</f>
        <v>6071.3562</v>
      </c>
      <c r="H32" s="75" t="n">
        <f aca="false">营运资本!H24</f>
        <v>6582.32509239499</v>
      </c>
      <c r="I32" s="75" t="n">
        <f aca="false">营运资本!I24</f>
        <v>7047.34494761558</v>
      </c>
      <c r="J32" s="75" t="n">
        <f aca="false">营运资本!J24</f>
        <v>7449.04818637659</v>
      </c>
      <c r="K32" s="75" t="n">
        <f aca="false">营运资本!K24</f>
        <v>7822.55254930055</v>
      </c>
      <c r="L32" s="75" t="n">
        <f aca="false">营运资本!L24</f>
        <v>8217.19006727612</v>
      </c>
      <c r="N32" s="74" t="n">
        <f aca="false">营运资本!N24</f>
        <v>7293.6379</v>
      </c>
    </row>
    <row r="33" customFormat="false" ht="15" hidden="false" customHeight="false" outlineLevel="0" collapsed="false">
      <c r="A33" s="5" t="s">
        <v>582</v>
      </c>
      <c r="C33" s="74" t="n">
        <f aca="false">营运资本!C25</f>
        <v>5655.6024</v>
      </c>
      <c r="D33" s="74" t="n">
        <f aca="false">营运资本!D25</f>
        <v>6492.2746</v>
      </c>
      <c r="E33" s="74" t="n">
        <f aca="false">营运资本!E25</f>
        <v>6814.2548</v>
      </c>
      <c r="F33" s="74" t="n">
        <f aca="false">营运资本!F25</f>
        <v>5993.2517</v>
      </c>
      <c r="G33" s="74" t="n">
        <f aca="false">营运资本!G25</f>
        <v>6556.1394</v>
      </c>
      <c r="H33" s="75" t="n">
        <f aca="false">营运资本!H25</f>
        <v>7130.85218342791</v>
      </c>
      <c r="I33" s="75" t="n">
        <f aca="false">营运资本!I25</f>
        <v>7634.62369325021</v>
      </c>
      <c r="J33" s="75" t="n">
        <f aca="false">营运资本!J25</f>
        <v>8069.80220190798</v>
      </c>
      <c r="K33" s="75" t="n">
        <f aca="false">营运资本!K25</f>
        <v>8474.43192840893</v>
      </c>
      <c r="L33" s="75" t="n">
        <f aca="false">营运资本!L25</f>
        <v>8901.9559062158</v>
      </c>
      <c r="N33" s="74" t="n">
        <f aca="false">营运资本!N25</f>
        <v>6255.2128</v>
      </c>
    </row>
    <row r="34" customFormat="false" ht="15" hidden="false" customHeight="false" outlineLevel="0" collapsed="false">
      <c r="A34" s="5" t="s">
        <v>455</v>
      </c>
      <c r="C34" s="74" t="n">
        <f aca="false">营运资本!C27</f>
        <v>3168.6748</v>
      </c>
      <c r="D34" s="74" t="n">
        <f aca="false">营运资本!D27</f>
        <v>1320.7421</v>
      </c>
      <c r="E34" s="74" t="n">
        <f aca="false">营运资本!E27</f>
        <v>1337.322</v>
      </c>
      <c r="F34" s="74" t="n">
        <f aca="false">营运资本!F27</f>
        <v>776.1394</v>
      </c>
      <c r="G34" s="74" t="n">
        <f aca="false">营运资本!G27</f>
        <v>977.6682</v>
      </c>
      <c r="H34" s="75" t="n">
        <f aca="false">营运资本!H27</f>
        <v>1074.977133438</v>
      </c>
      <c r="I34" s="75" t="n">
        <f aca="false">营运资本!I27</f>
        <v>1146.78064645872</v>
      </c>
      <c r="J34" s="75" t="n">
        <f aca="false">营运资本!J27</f>
        <v>1203.8624919704</v>
      </c>
      <c r="K34" s="75" t="n">
        <f aca="false">营运资本!K27</f>
        <v>1264.41063048737</v>
      </c>
      <c r="L34" s="75" t="n">
        <f aca="false">营运资本!L27</f>
        <v>1324.6153539569</v>
      </c>
      <c r="N34" s="74" t="n">
        <f aca="false">营运资本!N27</f>
        <v>1107.5807</v>
      </c>
    </row>
    <row r="35" customFormat="false" ht="15" hidden="false" customHeight="false" outlineLevel="0" collapsed="false">
      <c r="A35" s="5" t="s">
        <v>457</v>
      </c>
      <c r="C35" s="74" t="n">
        <f aca="false">营运资本!C29</f>
        <v>235.4881</v>
      </c>
      <c r="D35" s="74" t="n">
        <f aca="false">营运资本!D29</f>
        <v>231.3288</v>
      </c>
      <c r="E35" s="74" t="n">
        <f aca="false">营运资本!E29</f>
        <v>283.6855</v>
      </c>
      <c r="F35" s="74" t="n">
        <f aca="false">营运资本!F29</f>
        <v>256.2975</v>
      </c>
      <c r="G35" s="74" t="n">
        <f aca="false">营运资本!G29</f>
        <v>270.1812</v>
      </c>
      <c r="H35" s="75" t="n">
        <f aca="false">营运资本!H29</f>
        <v>303.198678662</v>
      </c>
      <c r="I35" s="75" t="n">
        <f aca="false">营运资本!I29</f>
        <v>323.45095156528</v>
      </c>
      <c r="J35" s="75" t="n">
        <f aca="false">营运资本!J29</f>
        <v>339.550959273703</v>
      </c>
      <c r="K35" s="75" t="n">
        <f aca="false">营运资本!K29</f>
        <v>356.628639368231</v>
      </c>
      <c r="L35" s="75" t="n">
        <f aca="false">营运资本!L29</f>
        <v>373.609458808356</v>
      </c>
      <c r="N35" s="74" t="n">
        <f aca="false">营运资本!N29</f>
        <v>183.8769</v>
      </c>
    </row>
    <row r="36" customFormat="false" ht="15" hidden="false" customHeight="false" outlineLevel="0" collapsed="false">
      <c r="A36" s="5" t="s">
        <v>458</v>
      </c>
      <c r="C36" s="74" t="n">
        <f aca="false">营运资本!C31</f>
        <v>244.7092</v>
      </c>
      <c r="D36" s="74" t="n">
        <f aca="false">营运资本!D31</f>
        <v>524.5033</v>
      </c>
      <c r="E36" s="74" t="n">
        <f aca="false">营运资本!E31</f>
        <v>905.9197</v>
      </c>
      <c r="F36" s="74" t="n">
        <f aca="false">营运资本!F31</f>
        <v>754.1246</v>
      </c>
      <c r="G36" s="74" t="n">
        <f aca="false">营运资本!G31</f>
        <v>402.134</v>
      </c>
      <c r="H36" s="75" t="n">
        <f aca="false">营运资本!H31</f>
        <v>441.016259872</v>
      </c>
      <c r="I36" s="75" t="n">
        <f aca="false">营运资本!I31</f>
        <v>470.47411136768</v>
      </c>
      <c r="J36" s="75" t="n">
        <f aca="false">营运资本!J31</f>
        <v>493.892304398113</v>
      </c>
      <c r="K36" s="75" t="n">
        <f aca="false">营运资本!K31</f>
        <v>518.732566353791</v>
      </c>
      <c r="L36" s="75" t="n">
        <f aca="false">营运资本!L31</f>
        <v>543.431940084881</v>
      </c>
      <c r="N36" s="74" t="n">
        <f aca="false">营运资本!N31</f>
        <v>248.2249</v>
      </c>
    </row>
    <row r="37" customFormat="false" ht="15" hidden="false" customHeight="false" outlineLevel="0" collapsed="false">
      <c r="A37" s="5" t="s">
        <v>583</v>
      </c>
      <c r="C37" s="74" t="n">
        <f aca="false">营运资本!C33</f>
        <v>1700.9199</v>
      </c>
      <c r="D37" s="74" t="n">
        <f aca="false">营运资本!D33</f>
        <v>2131.7705</v>
      </c>
      <c r="E37" s="74" t="n">
        <f aca="false">营运资本!E33</f>
        <v>2036.3337</v>
      </c>
      <c r="F37" s="74" t="n">
        <f aca="false">营运资本!F33</f>
        <v>1765.2361</v>
      </c>
      <c r="G37" s="74" t="n">
        <f aca="false">营运资本!G33</f>
        <v>1304.7764</v>
      </c>
      <c r="H37" s="75" t="n">
        <f aca="false">营运资本!H33</f>
        <v>1378.1758121</v>
      </c>
      <c r="I37" s="75" t="n">
        <f aca="false">营运资本!I33</f>
        <v>1470.231598024</v>
      </c>
      <c r="J37" s="75" t="n">
        <f aca="false">营运资本!J33</f>
        <v>1543.4134512441</v>
      </c>
      <c r="K37" s="75" t="n">
        <f aca="false">营运资本!K33</f>
        <v>1621.0392698556</v>
      </c>
      <c r="L37" s="75" t="n">
        <f aca="false">营运资本!L33</f>
        <v>1698.22481276525</v>
      </c>
      <c r="N37" s="74" t="n">
        <f aca="false">营运资本!N33</f>
        <v>1579.4903</v>
      </c>
    </row>
    <row r="38" customFormat="false" ht="15" hidden="false" customHeight="false" outlineLevel="0" collapsed="false">
      <c r="A38" s="5" t="s">
        <v>584</v>
      </c>
      <c r="C38" s="74" t="n">
        <f aca="false">融资!C15</f>
        <v>16.1005</v>
      </c>
      <c r="D38" s="74" t="n">
        <f aca="false">融资!D15</f>
        <v>897.2013</v>
      </c>
      <c r="E38" s="74" t="n">
        <f aca="false">融资!E15</f>
        <v>1361.8444</v>
      </c>
      <c r="F38" s="74" t="n">
        <f aca="false">融资!F15</f>
        <v>3162.1433</v>
      </c>
      <c r="G38" s="74" t="n">
        <f aca="false">融资!G15</f>
        <v>524.3707</v>
      </c>
      <c r="H38" s="75" t="n">
        <f aca="false">融资!H15</f>
        <v>529.958738</v>
      </c>
      <c r="I38" s="75" t="n">
        <f aca="false">融资!I15</f>
        <v>529.958738</v>
      </c>
      <c r="J38" s="75" t="n">
        <f aca="false">融资!J15</f>
        <v>529.958738</v>
      </c>
      <c r="K38" s="75" t="n">
        <f aca="false">融资!K15</f>
        <v>529.958738</v>
      </c>
      <c r="L38" s="75" t="n">
        <f aca="false">融资!L15</f>
        <v>529.958738</v>
      </c>
      <c r="N38" s="74" t="n">
        <f aca="false">融资!N15</f>
        <v>2996.6449</v>
      </c>
    </row>
    <row r="39" customFormat="false" ht="15" hidden="false" customHeight="false" outlineLevel="0" collapsed="false">
      <c r="A39" s="5" t="s">
        <v>585</v>
      </c>
      <c r="C39" s="74" t="n">
        <f aca="false">营运资本!C35</f>
        <v>458.729099999999</v>
      </c>
      <c r="D39" s="74" t="n">
        <f aca="false">营运资本!D35</f>
        <v>269.373400000001</v>
      </c>
      <c r="E39" s="74" t="n">
        <f aca="false">营运资本!E35</f>
        <v>246.475900000001</v>
      </c>
      <c r="F39" s="74" t="n">
        <f aca="false">营运资本!F35</f>
        <v>186.524900000002</v>
      </c>
      <c r="G39" s="74" t="n">
        <f aca="false">营运资本!G35</f>
        <v>159.7008</v>
      </c>
      <c r="H39" s="75" t="n">
        <f aca="false">营运资本!H35</f>
        <v>179.162855573</v>
      </c>
      <c r="I39" s="75" t="n">
        <f aca="false">营运资本!I35</f>
        <v>191.13010774312</v>
      </c>
      <c r="J39" s="75" t="n">
        <f aca="false">营运资本!J35</f>
        <v>200.643748661734</v>
      </c>
      <c r="K39" s="75" t="n">
        <f aca="false">营运资本!K35</f>
        <v>210.735105081228</v>
      </c>
      <c r="L39" s="75" t="n">
        <f aca="false">营运资本!L35</f>
        <v>220.769225659483</v>
      </c>
      <c r="N39" s="74" t="n">
        <f aca="false">营运资本!N35</f>
        <v>142.541199999999</v>
      </c>
    </row>
    <row r="40" customFormat="false" ht="15" hidden="false" customHeight="false" outlineLevel="0" collapsed="false">
      <c r="A40" s="12" t="s">
        <v>586</v>
      </c>
      <c r="C40" s="68" t="n">
        <f aca="false">SUM(C30:C39)</f>
        <v>17714.5984</v>
      </c>
      <c r="D40" s="68" t="n">
        <f aca="false">SUM(D30:D39)</f>
        <v>20032.7964</v>
      </c>
      <c r="E40" s="68" t="n">
        <f aca="false">SUM(E30:E39)</f>
        <v>22764.3052</v>
      </c>
      <c r="F40" s="68" t="n">
        <f aca="false">SUM(F30:F39)</f>
        <v>26486.3557</v>
      </c>
      <c r="G40" s="68" t="n">
        <f aca="false">SUM(G30:G39)</f>
        <v>23215.6867</v>
      </c>
      <c r="H40" s="69" t="n">
        <f aca="false">SUM(H30:H39)</f>
        <v>23199.7523432596</v>
      </c>
      <c r="I40" s="69" t="n">
        <f aca="false">SUM(I30:I39)</f>
        <v>21832.9282940246</v>
      </c>
      <c r="J40" s="69" t="n">
        <f aca="false">SUM(J30:J39)</f>
        <v>22849.1055818326</v>
      </c>
      <c r="K40" s="69" t="n">
        <f aca="false">SUM(K30:K39)</f>
        <v>23817.4229268557</v>
      </c>
      <c r="L40" s="69" t="n">
        <f aca="false">SUM(L30:L39)</f>
        <v>24828.6890027668</v>
      </c>
      <c r="N40" s="68" t="n">
        <f aca="false">SUM(N30:N39)</f>
        <v>27602.94</v>
      </c>
    </row>
    <row r="41" customFormat="false" ht="15" hidden="false" customHeight="false" outlineLevel="0" collapsed="false">
      <c r="A41" s="5" t="s">
        <v>587</v>
      </c>
      <c r="C41" s="74" t="n">
        <f aca="false">融资!C14</f>
        <v>2455.8</v>
      </c>
      <c r="D41" s="74" t="n">
        <f aca="false">融资!D14</f>
        <v>1672.1</v>
      </c>
      <c r="E41" s="74" t="n">
        <f aca="false">融资!E14</f>
        <v>717.2</v>
      </c>
      <c r="F41" s="74" t="n">
        <f aca="false">融资!F14</f>
        <v>1937.29</v>
      </c>
      <c r="G41" s="74" t="n">
        <f aca="false">融资!G14</f>
        <v>4239.3389</v>
      </c>
      <c r="H41" s="75" t="n">
        <f aca="false">融资!H14</f>
        <v>4230</v>
      </c>
      <c r="I41" s="75" t="n">
        <f aca="false">融资!I14</f>
        <v>4230</v>
      </c>
      <c r="J41" s="75" t="n">
        <f aca="false">融资!J14</f>
        <v>4230</v>
      </c>
      <c r="K41" s="75" t="n">
        <f aca="false">融资!K14</f>
        <v>4230</v>
      </c>
      <c r="L41" s="75" t="n">
        <f aca="false">融资!L14</f>
        <v>4230</v>
      </c>
      <c r="N41" s="74" t="n">
        <f aca="false">融资!N14</f>
        <v>1781.3981</v>
      </c>
    </row>
    <row r="42" customFormat="false" ht="15" hidden="false" customHeight="false" outlineLevel="0" collapsed="false">
      <c r="A42" s="5" t="s">
        <v>588</v>
      </c>
      <c r="C42" s="74" t="n">
        <f aca="false">融资!C16</f>
        <v>2598.1583</v>
      </c>
      <c r="D42" s="74" t="n">
        <f aca="false">融资!D16</f>
        <v>2722.4942</v>
      </c>
      <c r="E42" s="74" t="n">
        <f aca="false">融资!E16</f>
        <v>2843.957</v>
      </c>
      <c r="F42" s="74" t="n">
        <f aca="false">融资!F16</f>
        <v>0</v>
      </c>
      <c r="G42" s="74" t="n">
        <f aca="false">融资!G16</f>
        <v>0</v>
      </c>
      <c r="H42" s="75" t="n">
        <f aca="false">融资!H16</f>
        <v>0</v>
      </c>
      <c r="I42" s="75" t="n">
        <f aca="false">融资!I16</f>
        <v>0</v>
      </c>
      <c r="J42" s="75" t="n">
        <f aca="false">融资!J16</f>
        <v>0</v>
      </c>
      <c r="K42" s="75" t="n">
        <f aca="false">融资!K16</f>
        <v>0</v>
      </c>
      <c r="L42" s="75" t="n">
        <f aca="false">融资!L16</f>
        <v>0</v>
      </c>
      <c r="N42" s="74" t="n">
        <f aca="false">融资!N16</f>
        <v>0</v>
      </c>
    </row>
    <row r="43" customFormat="false" ht="15" hidden="false" customHeight="false" outlineLevel="0" collapsed="false">
      <c r="A43" s="5" t="s">
        <v>589</v>
      </c>
      <c r="C43" s="74" t="n">
        <f aca="false">融资!C17</f>
        <v>72.0342</v>
      </c>
      <c r="D43" s="74" t="n">
        <f aca="false">融资!D17</f>
        <v>84.52</v>
      </c>
      <c r="E43" s="74" t="n">
        <f aca="false">融资!E17</f>
        <v>49.6756</v>
      </c>
      <c r="F43" s="74" t="n">
        <f aca="false">融资!F17</f>
        <v>99.1721</v>
      </c>
      <c r="G43" s="74" t="n">
        <f aca="false">融资!G17</f>
        <v>39.9403</v>
      </c>
      <c r="H43" s="75" t="n">
        <f aca="false">融资!H17</f>
        <v>39.9403</v>
      </c>
      <c r="I43" s="75" t="n">
        <f aca="false">融资!I17</f>
        <v>39.9403</v>
      </c>
      <c r="J43" s="75" t="n">
        <f aca="false">融资!J17</f>
        <v>39.9403</v>
      </c>
      <c r="K43" s="75" t="n">
        <f aca="false">融资!K17</f>
        <v>39.9403</v>
      </c>
      <c r="L43" s="75" t="n">
        <f aca="false">融资!L17</f>
        <v>39.9403</v>
      </c>
      <c r="N43" s="74" t="n">
        <f aca="false">融资!N17</f>
        <v>16.7409</v>
      </c>
    </row>
    <row r="44" customFormat="false" ht="15" hidden="false" customHeight="false" outlineLevel="0" collapsed="false">
      <c r="A44" s="5" t="s">
        <v>590</v>
      </c>
      <c r="C44" s="74" t="n">
        <f aca="false">历史报表!E94</f>
        <v>413.1172</v>
      </c>
      <c r="D44" s="74" t="n">
        <f aca="false">历史报表!F94</f>
        <v>466.6561</v>
      </c>
      <c r="E44" s="74" t="n">
        <f aca="false">历史报表!G94</f>
        <v>592.4055</v>
      </c>
      <c r="F44" s="74" t="n">
        <f aca="false">历史报表!H94</f>
        <v>516.1313</v>
      </c>
      <c r="G44" s="74" t="n">
        <f aca="false">历史报表!I94</f>
        <v>537.9914</v>
      </c>
      <c r="H44" s="64" t="n">
        <f aca="false">G44</f>
        <v>537.9914</v>
      </c>
      <c r="I44" s="64" t="n">
        <f aca="false">H44</f>
        <v>537.9914</v>
      </c>
      <c r="J44" s="64" t="n">
        <f aca="false">I44</f>
        <v>537.9914</v>
      </c>
      <c r="K44" s="64" t="n">
        <f aca="false">J44</f>
        <v>537.9914</v>
      </c>
      <c r="L44" s="64" t="n">
        <f aca="false">K44</f>
        <v>537.9914</v>
      </c>
      <c r="N44" s="74" t="n">
        <f aca="false">历史报表!K94</f>
        <v>501.1296</v>
      </c>
    </row>
    <row r="45" customFormat="false" ht="15" hidden="false" customHeight="false" outlineLevel="0" collapsed="false">
      <c r="A45" s="5" t="s">
        <v>591</v>
      </c>
      <c r="C45" s="8" t="n">
        <f aca="false">历史报表!E95-C41-C42-C43-C44</f>
        <v>34.519</v>
      </c>
      <c r="D45" s="8" t="n">
        <f aca="false">历史报表!F95-D41-D42-D43-D44</f>
        <v>45.6287999999997</v>
      </c>
      <c r="E45" s="8" t="n">
        <f aca="false">历史报表!G95-E41-E42-E43-E44</f>
        <v>51.3364</v>
      </c>
      <c r="F45" s="8" t="n">
        <f aca="false">历史报表!H95-F41-F42-F43-F44</f>
        <v>48.1279000000002</v>
      </c>
      <c r="G45" s="8" t="n">
        <f aca="false">历史报表!I95-G41-G42-G43-G44</f>
        <v>37.7089000000007</v>
      </c>
      <c r="H45" s="64" t="n">
        <f aca="false">G45</f>
        <v>37.7089000000007</v>
      </c>
      <c r="I45" s="64" t="n">
        <f aca="false">H45</f>
        <v>37.7089000000007</v>
      </c>
      <c r="J45" s="64" t="n">
        <f aca="false">I45</f>
        <v>37.7089000000007</v>
      </c>
      <c r="K45" s="64" t="n">
        <f aca="false">J45</f>
        <v>37.7089000000007</v>
      </c>
      <c r="L45" s="64" t="n">
        <f aca="false">K45</f>
        <v>37.7089000000007</v>
      </c>
      <c r="N45" s="8" t="n">
        <f aca="false">历史报表!K95-N41-N42-N43-N44</f>
        <v>35.7360000000001</v>
      </c>
    </row>
    <row r="46" customFormat="false" ht="15" hidden="false" customHeight="false" outlineLevel="0" collapsed="false">
      <c r="A46" s="12" t="s">
        <v>592</v>
      </c>
      <c r="C46" s="68" t="n">
        <f aca="false">SUM(C41:C45)</f>
        <v>5573.6287</v>
      </c>
      <c r="D46" s="68" t="n">
        <f aca="false">SUM(D41:D45)</f>
        <v>4991.3991</v>
      </c>
      <c r="E46" s="68" t="n">
        <f aca="false">SUM(E41:E45)</f>
        <v>4254.5745</v>
      </c>
      <c r="F46" s="68" t="n">
        <f aca="false">SUM(F41:F45)</f>
        <v>2600.7213</v>
      </c>
      <c r="G46" s="68" t="n">
        <f aca="false">SUM(G41:G45)</f>
        <v>4854.9795</v>
      </c>
      <c r="H46" s="69" t="n">
        <f aca="false">SUM(H41:H45)</f>
        <v>4845.6406</v>
      </c>
      <c r="I46" s="69" t="n">
        <f aca="false">SUM(I41:I45)</f>
        <v>4845.6406</v>
      </c>
      <c r="J46" s="69" t="n">
        <f aca="false">SUM(J41:J45)</f>
        <v>4845.6406</v>
      </c>
      <c r="K46" s="69" t="n">
        <f aca="false">SUM(K41:K45)</f>
        <v>4845.6406</v>
      </c>
      <c r="L46" s="69" t="n">
        <f aca="false">SUM(L41:L45)</f>
        <v>4845.6406</v>
      </c>
      <c r="N46" s="68" t="n">
        <f aca="false">SUM(N41:N45)</f>
        <v>2335.0046</v>
      </c>
    </row>
    <row r="47" customFormat="false" ht="15" hidden="false" customHeight="false" outlineLevel="0" collapsed="false">
      <c r="A47" s="12" t="s">
        <v>593</v>
      </c>
      <c r="C47" s="13" t="n">
        <f aca="false">C40+C46</f>
        <v>23288.2271</v>
      </c>
      <c r="D47" s="13" t="n">
        <f aca="false">D40+D46</f>
        <v>25024.1955</v>
      </c>
      <c r="E47" s="13" t="n">
        <f aca="false">E40+E46</f>
        <v>27018.8797</v>
      </c>
      <c r="F47" s="13" t="n">
        <f aca="false">F40+F46</f>
        <v>29087.077</v>
      </c>
      <c r="G47" s="13" t="n">
        <f aca="false">G40+G46</f>
        <v>28070.6662</v>
      </c>
      <c r="H47" s="62" t="n">
        <f aca="false">H40+H46</f>
        <v>28045.3929432596</v>
      </c>
      <c r="I47" s="62" t="n">
        <f aca="false">I40+I46</f>
        <v>26678.5688940246</v>
      </c>
      <c r="J47" s="62" t="n">
        <f aca="false">J40+J46</f>
        <v>27694.7461818326</v>
      </c>
      <c r="K47" s="62" t="n">
        <f aca="false">K40+K46</f>
        <v>28663.0635268557</v>
      </c>
      <c r="L47" s="62" t="n">
        <f aca="false">L40+L46</f>
        <v>29674.3296027668</v>
      </c>
      <c r="N47" s="13" t="n">
        <f aca="false">N40+N46</f>
        <v>29937.9446</v>
      </c>
    </row>
    <row r="48" customFormat="false" ht="15" hidden="false" customHeight="false" outlineLevel="0" collapsed="false">
      <c r="A48" s="47" t="s">
        <v>594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customFormat="false" ht="15" hidden="false" customHeight="false" outlineLevel="0" collapsed="false">
      <c r="A49" s="5" t="s">
        <v>595</v>
      </c>
      <c r="C49" s="74" t="n">
        <f aca="false">历史报表!E97</f>
        <v>1187.8277</v>
      </c>
      <c r="D49" s="74" t="n">
        <f aca="false">历史报表!F97</f>
        <v>1186.5645</v>
      </c>
      <c r="E49" s="74" t="n">
        <f aca="false">历史报表!G97</f>
        <v>1185.4913</v>
      </c>
      <c r="F49" s="74" t="n">
        <f aca="false">历史报表!H97</f>
        <v>1184.4645</v>
      </c>
      <c r="G49" s="74" t="n">
        <f aca="false">历史报表!I97</f>
        <v>1358.1675</v>
      </c>
      <c r="H49" s="75" t="n">
        <f aca="false">融资!H35</f>
        <v>1358.1675</v>
      </c>
      <c r="I49" s="75" t="n">
        <f aca="false">融资!I35</f>
        <v>1455.2605</v>
      </c>
      <c r="J49" s="75" t="n">
        <f aca="false">融资!J35</f>
        <v>1455.2605</v>
      </c>
      <c r="K49" s="75" t="n">
        <f aca="false">融资!K35</f>
        <v>1455.2605</v>
      </c>
      <c r="L49" s="75" t="n">
        <f aca="false">融资!L35</f>
        <v>1455.2605</v>
      </c>
      <c r="N49" s="74" t="n">
        <f aca="false">历史报表!K97</f>
        <v>1358.1675</v>
      </c>
    </row>
    <row r="50" customFormat="false" ht="15" hidden="false" customHeight="false" outlineLevel="0" collapsed="false">
      <c r="A50" s="5" t="s">
        <v>596</v>
      </c>
      <c r="C50" s="74" t="n">
        <f aca="false">历史报表!E98</f>
        <v>736.4456</v>
      </c>
      <c r="D50" s="74" t="n">
        <f aca="false">历史报表!F98</f>
        <v>736.4411</v>
      </c>
      <c r="E50" s="74" t="n">
        <f aca="false">历史报表!G98</f>
        <v>736.4387</v>
      </c>
      <c r="F50" s="74" t="n">
        <f aca="false">历史报表!H98</f>
        <v>736.4344</v>
      </c>
      <c r="G50" s="74" t="n">
        <f aca="false">历史报表!I98</f>
        <v>0</v>
      </c>
      <c r="H50" s="64" t="n">
        <f aca="false">G50</f>
        <v>0</v>
      </c>
      <c r="I50" s="64" t="n">
        <f aca="false">H50</f>
        <v>0</v>
      </c>
      <c r="J50" s="64" t="n">
        <f aca="false">I50</f>
        <v>0</v>
      </c>
      <c r="K50" s="64" t="n">
        <f aca="false">J50</f>
        <v>0</v>
      </c>
      <c r="L50" s="64" t="n">
        <f aca="false">K50</f>
        <v>0</v>
      </c>
      <c r="N50" s="74" t="n">
        <f aca="false">历史报表!K98</f>
        <v>0</v>
      </c>
    </row>
    <row r="51" customFormat="false" ht="15" hidden="false" customHeight="false" outlineLevel="0" collapsed="false">
      <c r="A51" s="5" t="s">
        <v>597</v>
      </c>
      <c r="C51" s="74" t="n">
        <f aca="false">历史报表!E99</f>
        <v>5849.0049</v>
      </c>
      <c r="D51" s="74" t="n">
        <f aca="false">历史报表!F99</f>
        <v>5876.0603</v>
      </c>
      <c r="E51" s="74" t="n">
        <f aca="false">历史报表!G99</f>
        <v>6232.649</v>
      </c>
      <c r="F51" s="74" t="n">
        <f aca="false">历史报表!H99</f>
        <v>6284.7788</v>
      </c>
      <c r="G51" s="74" t="n">
        <f aca="false">历史报表!I99</f>
        <v>9829.9698</v>
      </c>
      <c r="H51" s="64" t="n">
        <f aca="false">G51+融资!H31-融资!H32</f>
        <v>9829.9698</v>
      </c>
      <c r="I51" s="64" t="n">
        <f aca="false">H51+融资!I31-融资!I32</f>
        <v>12613.62611</v>
      </c>
      <c r="J51" s="64" t="n">
        <f aca="false">I51+融资!J31-融资!J32</f>
        <v>12613.62611</v>
      </c>
      <c r="K51" s="64" t="n">
        <f aca="false">J51+融资!K31-融资!K32</f>
        <v>12613.62611</v>
      </c>
      <c r="L51" s="64" t="n">
        <f aca="false">K51+融资!L31-融资!L32</f>
        <v>12613.62611</v>
      </c>
      <c r="N51" s="74" t="n">
        <f aca="false">历史报表!K99</f>
        <v>9874.2939</v>
      </c>
    </row>
    <row r="52" customFormat="false" ht="15" hidden="false" customHeight="false" outlineLevel="0" collapsed="false">
      <c r="A52" s="5" t="s">
        <v>598</v>
      </c>
      <c r="C52" s="74" t="n">
        <f aca="false">历史报表!E100</f>
        <v>660.7624</v>
      </c>
      <c r="D52" s="74" t="n">
        <f aca="false">历史报表!F100</f>
        <v>641.6411</v>
      </c>
      <c r="E52" s="74" t="n">
        <f aca="false">历史报表!G100</f>
        <v>424.6667</v>
      </c>
      <c r="F52" s="74" t="n">
        <f aca="false">历史报表!H100</f>
        <v>209.9661</v>
      </c>
      <c r="G52" s="74" t="n">
        <f aca="false">历史报表!I100</f>
        <v>0</v>
      </c>
      <c r="H52" s="64" t="n">
        <f aca="false">G52+融资!H33-融资!H34</f>
        <v>0</v>
      </c>
      <c r="I52" s="64" t="n">
        <f aca="false">H52+融资!I33-融资!I34</f>
        <v>0</v>
      </c>
      <c r="J52" s="64" t="n">
        <f aca="false">I52+融资!J33-融资!J34</f>
        <v>0</v>
      </c>
      <c r="K52" s="64" t="n">
        <f aca="false">J52+融资!K33-融资!K34</f>
        <v>0</v>
      </c>
      <c r="L52" s="64" t="n">
        <f aca="false">K52+融资!L33-融资!L34</f>
        <v>0</v>
      </c>
      <c r="N52" s="74" t="n">
        <f aca="false">历史报表!K100</f>
        <v>0</v>
      </c>
      <c r="O52" s="22" t="s">
        <v>599</v>
      </c>
    </row>
    <row r="53" customFormat="false" ht="15" hidden="false" customHeight="false" outlineLevel="0" collapsed="false">
      <c r="A53" s="5" t="s">
        <v>600</v>
      </c>
      <c r="C53" s="8" t="n">
        <f aca="false">历史报表!E101+历史报表!E102</f>
        <v>-57.7561</v>
      </c>
      <c r="D53" s="8" t="n">
        <f aca="false">历史报表!F101+历史报表!F102</f>
        <v>-15.4933</v>
      </c>
      <c r="E53" s="8" t="n">
        <f aca="false">历史报表!G101+历史报表!G102</f>
        <v>55.8051</v>
      </c>
      <c r="F53" s="8" t="n">
        <f aca="false">历史报表!H101+历史报表!H102</f>
        <v>20.209</v>
      </c>
      <c r="G53" s="8" t="n">
        <f aca="false">历史报表!I101+历史报表!I102</f>
        <v>191.1034</v>
      </c>
      <c r="H53" s="64" t="n">
        <f aca="false">G53</f>
        <v>191.1034</v>
      </c>
      <c r="I53" s="64" t="n">
        <f aca="false">H53</f>
        <v>191.1034</v>
      </c>
      <c r="J53" s="64" t="n">
        <f aca="false">I53</f>
        <v>191.1034</v>
      </c>
      <c r="K53" s="64" t="n">
        <f aca="false">J53</f>
        <v>191.1034</v>
      </c>
      <c r="L53" s="64" t="n">
        <f aca="false">K53</f>
        <v>191.1034</v>
      </c>
      <c r="N53" s="8" t="n">
        <f aca="false">历史报表!K101+历史报表!K102</f>
        <v>148.7154</v>
      </c>
    </row>
    <row r="54" customFormat="false" ht="15" hidden="false" customHeight="false" outlineLevel="0" collapsed="false">
      <c r="A54" s="5" t="s">
        <v>601</v>
      </c>
      <c r="C54" s="74" t="n">
        <f aca="false">历史报表!E103</f>
        <v>423.8983</v>
      </c>
      <c r="D54" s="74" t="n">
        <f aca="false">历史报表!F103</f>
        <v>438.563</v>
      </c>
      <c r="E54" s="74" t="n">
        <f aca="false">历史报表!G103</f>
        <v>467.7518</v>
      </c>
      <c r="F54" s="74" t="n">
        <f aca="false">历史报表!H103</f>
        <v>518.7715</v>
      </c>
      <c r="G54" s="74" t="n">
        <f aca="false">历史报表!I103</f>
        <v>550.7272</v>
      </c>
      <c r="H54" s="64" t="n">
        <f aca="false">G54</f>
        <v>550.7272</v>
      </c>
      <c r="I54" s="64" t="n">
        <f aca="false">H54</f>
        <v>550.7272</v>
      </c>
      <c r="J54" s="64" t="n">
        <f aca="false">I54</f>
        <v>550.7272</v>
      </c>
      <c r="K54" s="64" t="n">
        <f aca="false">J54</f>
        <v>550.7272</v>
      </c>
      <c r="L54" s="64" t="n">
        <f aca="false">K54</f>
        <v>550.7272</v>
      </c>
      <c r="N54" s="74" t="n">
        <f aca="false">历史报表!K103</f>
        <v>550.7272</v>
      </c>
    </row>
    <row r="55" customFormat="false" ht="15" hidden="false" customHeight="false" outlineLevel="0" collapsed="false">
      <c r="A55" s="5" t="s">
        <v>602</v>
      </c>
      <c r="C55" s="74" t="n">
        <f aca="false">历史报表!E104</f>
        <v>4254.8281</v>
      </c>
      <c r="D55" s="74" t="n">
        <f aca="false">历史报表!F104</f>
        <v>4551.7324</v>
      </c>
      <c r="E55" s="74" t="n">
        <f aca="false">历史报表!G104</f>
        <v>4919.3451</v>
      </c>
      <c r="F55" s="74" t="n">
        <f aca="false">历史报表!H104</f>
        <v>5416.111</v>
      </c>
      <c r="G55" s="74" t="n">
        <f aca="false">历史报表!I104</f>
        <v>5607.969</v>
      </c>
      <c r="H55" s="64" t="n">
        <f aca="false">G55+利润表!H29-融资!H41</f>
        <v>6228.16517966504</v>
      </c>
      <c r="I55" s="64" t="n">
        <f aca="false">H55+利润表!I29-融资!I41</f>
        <v>7078.44147902004</v>
      </c>
      <c r="J55" s="64" t="n">
        <f aca="false">I55+利润表!J29-融资!J41</f>
        <v>7909.01142188092</v>
      </c>
      <c r="K55" s="64" t="n">
        <f aca="false">J55+利润表!K29-融资!K41</f>
        <v>8832.63013741821</v>
      </c>
      <c r="L55" s="64" t="n">
        <f aca="false">K55+利润表!L29-融资!L41</f>
        <v>9783.70958906846</v>
      </c>
      <c r="N55" s="74" t="n">
        <f aca="false">历史报表!K104</f>
        <v>5669.0265</v>
      </c>
    </row>
    <row r="56" customFormat="false" ht="15" hidden="false" customHeight="false" outlineLevel="0" collapsed="false">
      <c r="A56" s="12" t="s">
        <v>603</v>
      </c>
      <c r="C56" s="68" t="n">
        <f aca="false">C49+C50+C51-C52+C53+C54+C55</f>
        <v>11733.4861</v>
      </c>
      <c r="D56" s="68" t="n">
        <f aca="false">D49+D50+D51-D52+D53+D54+D55</f>
        <v>12132.2269</v>
      </c>
      <c r="E56" s="68" t="n">
        <f aca="false">E49+E50+E51-E52+E53+E54+E55</f>
        <v>13172.8143</v>
      </c>
      <c r="F56" s="68" t="n">
        <f aca="false">F49+F50+F51-F52+F53+F54+F55</f>
        <v>13950.8031</v>
      </c>
      <c r="G56" s="68" t="n">
        <f aca="false">G49+G50+G51-G52+G53+G54+G55</f>
        <v>17537.9369</v>
      </c>
      <c r="H56" s="69" t="n">
        <f aca="false">H49+H50+H51-H52+H53+H54+H55</f>
        <v>18158.133079665</v>
      </c>
      <c r="I56" s="69" t="n">
        <f aca="false">I49+I50+I51-I52+I53+I54+I55</f>
        <v>21889.15868902</v>
      </c>
      <c r="J56" s="69" t="n">
        <f aca="false">J49+J50+J51-J52+J53+J54+J55</f>
        <v>22719.7286318809</v>
      </c>
      <c r="K56" s="69" t="n">
        <f aca="false">K49+K50+K51-K52+K53+K54+K55</f>
        <v>23643.3473474182</v>
      </c>
      <c r="L56" s="69" t="n">
        <f aca="false">L49+L50+L51-L52+L53+L54+L55</f>
        <v>24594.4267990685</v>
      </c>
      <c r="N56" s="68" t="n">
        <f aca="false">N49+N50+N51-N52+N53+N54+N55</f>
        <v>17600.9305</v>
      </c>
    </row>
    <row r="57" customFormat="false" ht="15" hidden="false" customHeight="false" outlineLevel="0" collapsed="false">
      <c r="A57" s="5" t="s">
        <v>515</v>
      </c>
      <c r="C57" s="74" t="n">
        <f aca="false">融资!C47</f>
        <v>858.608</v>
      </c>
      <c r="D57" s="74" t="n">
        <f aca="false">融资!D47</f>
        <v>1389.5164</v>
      </c>
      <c r="E57" s="74" t="n">
        <f aca="false">融资!E47</f>
        <v>1741.8913</v>
      </c>
      <c r="F57" s="74" t="n">
        <f aca="false">融资!F47</f>
        <v>1719.5595</v>
      </c>
      <c r="G57" s="74" t="n">
        <f aca="false">融资!G47</f>
        <v>1573.3797</v>
      </c>
      <c r="H57" s="75" t="n">
        <f aca="false">融资!H47</f>
        <v>1538.3797</v>
      </c>
      <c r="I57" s="75" t="n">
        <f aca="false">融资!I47</f>
        <v>1518.3797</v>
      </c>
      <c r="J57" s="75" t="n">
        <f aca="false">融资!J47</f>
        <v>1508.3797</v>
      </c>
      <c r="K57" s="75" t="n">
        <f aca="false">融资!K47</f>
        <v>1503.3797</v>
      </c>
      <c r="L57" s="75" t="n">
        <f aca="false">融资!L47</f>
        <v>1503.3797</v>
      </c>
      <c r="N57" s="74" t="n">
        <f aca="false">历史报表!K106</f>
        <v>1318.8897</v>
      </c>
    </row>
    <row r="58" customFormat="false" ht="15" hidden="false" customHeight="false" outlineLevel="0" collapsed="false">
      <c r="A58" s="12" t="s">
        <v>604</v>
      </c>
      <c r="C58" s="13" t="n">
        <f aca="false">C56+C57</f>
        <v>12592.0941</v>
      </c>
      <c r="D58" s="13" t="n">
        <f aca="false">D56+D57</f>
        <v>13521.7433</v>
      </c>
      <c r="E58" s="13" t="n">
        <f aca="false">E56+E57</f>
        <v>14914.7056</v>
      </c>
      <c r="F58" s="13" t="n">
        <f aca="false">F56+F57</f>
        <v>15670.3626</v>
      </c>
      <c r="G58" s="13" t="n">
        <f aca="false">G56+G57</f>
        <v>19111.3166</v>
      </c>
      <c r="H58" s="62" t="n">
        <f aca="false">H56+H57</f>
        <v>19696.512779665</v>
      </c>
      <c r="I58" s="62" t="n">
        <f aca="false">I56+I57</f>
        <v>23407.53838902</v>
      </c>
      <c r="J58" s="62" t="n">
        <f aca="false">J56+J57</f>
        <v>24228.1083318809</v>
      </c>
      <c r="K58" s="62" t="n">
        <f aca="false">K56+K57</f>
        <v>25146.7270474182</v>
      </c>
      <c r="L58" s="62" t="n">
        <f aca="false">L56+L57</f>
        <v>26097.8064990685</v>
      </c>
      <c r="N58" s="13" t="n">
        <f aca="false">N56+N57</f>
        <v>18919.8202</v>
      </c>
    </row>
    <row r="59" customFormat="false" ht="15" hidden="false" customHeight="false" outlineLevel="0" collapsed="false">
      <c r="A59" s="12" t="s">
        <v>605</v>
      </c>
      <c r="C59" s="13" t="n">
        <f aca="false">C47+C58</f>
        <v>35880.3212</v>
      </c>
      <c r="D59" s="13" t="n">
        <f aca="false">D47+D58</f>
        <v>38545.9388</v>
      </c>
      <c r="E59" s="13" t="n">
        <f aca="false">E47+E58</f>
        <v>41933.5853</v>
      </c>
      <c r="F59" s="13" t="n">
        <f aca="false">F47+F58</f>
        <v>44757.4396</v>
      </c>
      <c r="G59" s="13" t="n">
        <f aca="false">G47+G58</f>
        <v>47181.9828</v>
      </c>
      <c r="H59" s="62" t="n">
        <f aca="false">H47+H58</f>
        <v>47741.9057229246</v>
      </c>
      <c r="I59" s="62" t="n">
        <f aca="false">I47+I58</f>
        <v>50086.1072830446</v>
      </c>
      <c r="J59" s="62" t="n">
        <f aca="false">J47+J58</f>
        <v>51922.8545137136</v>
      </c>
      <c r="K59" s="62" t="n">
        <f aca="false">K47+K58</f>
        <v>53809.7905742739</v>
      </c>
      <c r="L59" s="62" t="n">
        <f aca="false">L47+L58</f>
        <v>55772.1361018353</v>
      </c>
      <c r="N59" s="13" t="n">
        <f aca="false">N47+N58</f>
        <v>48857.7648</v>
      </c>
    </row>
    <row r="60" customFormat="false" ht="15" hidden="false" customHeight="false" outlineLevel="0" collapsed="false">
      <c r="A60" s="12" t="s">
        <v>606</v>
      </c>
      <c r="C60" s="96" t="n">
        <f aca="false">C28-C59</f>
        <v>0</v>
      </c>
      <c r="D60" s="96" t="n">
        <f aca="false">D28-D59</f>
        <v>9.99999974737875E-005</v>
      </c>
      <c r="E60" s="96" t="n">
        <f aca="false">E28-E59</f>
        <v>-9.99999901978299E-005</v>
      </c>
      <c r="F60" s="96" t="n">
        <f aca="false">F28-F59</f>
        <v>-0.000100000004749745</v>
      </c>
      <c r="G60" s="96" t="n">
        <f aca="false">G28-G59</f>
        <v>-0.000100000004749745</v>
      </c>
      <c r="H60" s="90" t="n">
        <f aca="false">H28-H59</f>
        <v>0.000661999991280027</v>
      </c>
      <c r="I60" s="90" t="n">
        <f aca="false">I28-I59</f>
        <v>0.000661999991280027</v>
      </c>
      <c r="J60" s="90" t="n">
        <f aca="false">J28-J59</f>
        <v>0.000661999991280027</v>
      </c>
      <c r="K60" s="90" t="n">
        <f aca="false">K28-K59</f>
        <v>0.000661999984004069</v>
      </c>
      <c r="L60" s="90" t="n">
        <f aca="false">L28-L59</f>
        <v>0.000661999984004069</v>
      </c>
      <c r="N60" s="96" t="n">
        <f aca="false">N28-N59</f>
        <v>-0.000199999987671617</v>
      </c>
      <c r="O60" s="22" t="s">
        <v>278</v>
      </c>
    </row>
    <row r="61" customFormat="false" ht="15" hidden="false" customHeight="false" outlineLevel="0" collapsed="false">
      <c r="A61" s="5" t="s">
        <v>607</v>
      </c>
      <c r="C61" s="7" t="n">
        <f aca="false">C28-历史报表!E72</f>
        <v>-9.99999974737875E-005</v>
      </c>
      <c r="D61" s="7" t="n">
        <f aca="false">D28-历史报表!F72</f>
        <v>0</v>
      </c>
      <c r="E61" s="7" t="n">
        <f aca="false">E28-历史报表!G72</f>
        <v>0</v>
      </c>
      <c r="F61" s="7" t="n">
        <f aca="false">F28-历史报表!H72</f>
        <v>0</v>
      </c>
      <c r="G61" s="7" t="n">
        <f aca="false">G28-历史报表!I72</f>
        <v>0</v>
      </c>
      <c r="N61" s="7" t="n">
        <f aca="false">N28-历史报表!K72</f>
        <v>0</v>
      </c>
    </row>
    <row r="62" customFormat="false" ht="15" hidden="false" customHeight="false" outlineLevel="0" collapsed="false">
      <c r="A62" s="5" t="s">
        <v>608</v>
      </c>
      <c r="C62" s="7" t="n">
        <f aca="false">C56-历史报表!E105</f>
        <v>-9.99999992927769E-005</v>
      </c>
      <c r="D62" s="7" t="n">
        <f aca="false">D56-历史报表!F105</f>
        <v>-0.000100000001111766</v>
      </c>
      <c r="E62" s="7" t="n">
        <f aca="false">E56-历史报表!G105</f>
        <v>0</v>
      </c>
      <c r="F62" s="7" t="n">
        <f aca="false">F56-历史报表!H105</f>
        <v>0.000100000001111766</v>
      </c>
      <c r="G62" s="7" t="n">
        <f aca="false">G56-历史报表!I105</f>
        <v>0.000100000001111766</v>
      </c>
      <c r="N62" s="7" t="n">
        <f aca="false">N56-历史报表!K105</f>
        <v>0.000199999998585554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609</v>
      </c>
    </row>
    <row r="2" customFormat="false" ht="15" hidden="false" customHeight="false" outlineLevel="0" collapsed="false">
      <c r="A2" s="2" t="s">
        <v>610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5" t="s">
        <v>244</v>
      </c>
      <c r="O5" s="10" t="s">
        <v>155</v>
      </c>
    </row>
    <row r="6" customFormat="false" ht="15" hidden="false" customHeight="false" outlineLevel="0" collapsed="false">
      <c r="A6" s="47" t="s">
        <v>611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customFormat="false" ht="15" hidden="false" customHeight="false" outlineLevel="0" collapsed="false">
      <c r="A7" s="5" t="s">
        <v>538</v>
      </c>
      <c r="C7" s="74" t="n">
        <f aca="false">利润表!C27</f>
        <v>355.633199999999</v>
      </c>
      <c r="D7" s="74" t="n">
        <f aca="false">利润表!D27</f>
        <v>409.223900000002</v>
      </c>
      <c r="E7" s="74" t="n">
        <f aca="false">利润表!E27</f>
        <v>488.7864</v>
      </c>
      <c r="F7" s="74" t="n">
        <f aca="false">利润表!F27</f>
        <v>710.200100000002</v>
      </c>
      <c r="G7" s="74" t="n">
        <f aca="false">利润表!G27</f>
        <v>376.049299999999</v>
      </c>
      <c r="H7" s="75" t="n">
        <f aca="false">利润表!H27</f>
        <v>736.93617966504</v>
      </c>
      <c r="I7" s="75" t="n">
        <f aca="false">利润表!I27</f>
        <v>1075.85715325451</v>
      </c>
      <c r="J7" s="75" t="n">
        <f aca="false">利润表!J27</f>
        <v>1163.32708883724</v>
      </c>
      <c r="K7" s="75" t="n">
        <f aca="false">利润表!K27</f>
        <v>1284.61684218845</v>
      </c>
      <c r="L7" s="75" t="n">
        <f aca="false">利润表!L27</f>
        <v>1351.96450430679</v>
      </c>
      <c r="N7" s="74" t="n">
        <f aca="false">利润表!N27</f>
        <v>185.264799999999</v>
      </c>
    </row>
    <row r="8" customFormat="false" ht="15" hidden="false" customHeight="false" outlineLevel="0" collapsed="false">
      <c r="A8" s="5" t="s">
        <v>612</v>
      </c>
      <c r="C8" s="74" t="n">
        <f aca="false">资本开支折旧!C65</f>
        <v>689.9124</v>
      </c>
      <c r="D8" s="74" t="n">
        <f aca="false">资本开支折旧!D65</f>
        <v>816.4404</v>
      </c>
      <c r="E8" s="74" t="n">
        <f aca="false">资本开支折旧!E65</f>
        <v>968.2687</v>
      </c>
      <c r="F8" s="74" t="n">
        <f aca="false">资本开支折旧!F65</f>
        <v>1030.6364</v>
      </c>
      <c r="G8" s="74" t="n">
        <f aca="false">资本开支折旧!G65</f>
        <v>1090.7876</v>
      </c>
      <c r="H8" s="75" t="n">
        <f aca="false">资本开支折旧!H65</f>
        <v>1263.26033853868</v>
      </c>
      <c r="I8" s="75" t="n">
        <f aca="false">资本开支折旧!I65</f>
        <v>1430.58903050719</v>
      </c>
      <c r="J8" s="75" t="n">
        <f aca="false">资本开支折旧!J65</f>
        <v>1607.54916488686</v>
      </c>
      <c r="K8" s="75" t="n">
        <f aca="false">资本开支折旧!K65</f>
        <v>1776.31007732992</v>
      </c>
      <c r="L8" s="75" t="n">
        <f aca="false">资本开支折旧!L65</f>
        <v>1925.33761866362</v>
      </c>
      <c r="N8" s="74" t="n">
        <f aca="false">资本开支折旧!N65</f>
        <v>619.9144</v>
      </c>
    </row>
    <row r="9" customFormat="false" ht="15" hidden="false" customHeight="false" outlineLevel="0" collapsed="false">
      <c r="A9" s="5" t="s">
        <v>613</v>
      </c>
      <c r="C9" s="8" t="n">
        <f aca="false">历史报表!E147+历史报表!E148</f>
        <v>257.2296</v>
      </c>
      <c r="D9" s="8" t="n">
        <f aca="false">历史报表!F147+历史报表!F148</f>
        <v>355.2399</v>
      </c>
      <c r="E9" s="8" t="n">
        <f aca="false">历史报表!G147+历史报表!G148</f>
        <v>439.5556</v>
      </c>
      <c r="F9" s="8" t="n">
        <f aca="false">历史报表!H147+历史报表!H148</f>
        <v>452.6691</v>
      </c>
      <c r="G9" s="8" t="n">
        <f aca="false">历史报表!I147+历史报表!I148</f>
        <v>375.5998</v>
      </c>
      <c r="H9" s="57" t="n">
        <v>0</v>
      </c>
      <c r="I9" s="57" t="n">
        <v>0</v>
      </c>
      <c r="J9" s="57" t="n">
        <v>0</v>
      </c>
      <c r="K9" s="57" t="n">
        <v>0</v>
      </c>
      <c r="L9" s="57" t="n">
        <v>0</v>
      </c>
      <c r="N9" s="8" t="n">
        <f aca="false">历史报表!K147+历史报表!K148</f>
        <v>39.9055</v>
      </c>
      <c r="O9" s="22" t="s">
        <v>614</v>
      </c>
    </row>
    <row r="10" customFormat="false" ht="15" hidden="false" customHeight="false" outlineLevel="0" collapsed="false">
      <c r="A10" s="5" t="s">
        <v>615</v>
      </c>
      <c r="C10" s="74" t="n">
        <f aca="false">历史报表!E156</f>
        <v>124.8007</v>
      </c>
      <c r="D10" s="74" t="n">
        <f aca="false">历史报表!F156</f>
        <v>317.6675</v>
      </c>
      <c r="E10" s="74" t="n">
        <f aca="false">历史报表!G156</f>
        <v>338.3448</v>
      </c>
      <c r="F10" s="74" t="n">
        <f aca="false">历史报表!H156</f>
        <v>550.1596</v>
      </c>
      <c r="G10" s="74" t="n">
        <f aca="false">历史报表!I156</f>
        <v>347.1598</v>
      </c>
      <c r="H10" s="75" t="n">
        <f aca="false">融资!H22</f>
        <v>314.1227601</v>
      </c>
      <c r="I10" s="75" t="n">
        <f aca="false">融资!I22</f>
        <v>277.051106424375</v>
      </c>
      <c r="J10" s="75" t="n">
        <f aca="false">融资!J22</f>
        <v>207.9</v>
      </c>
      <c r="K10" s="75" t="n">
        <f aca="false">融资!K22</f>
        <v>207.9</v>
      </c>
      <c r="L10" s="75" t="n">
        <f aca="false">融资!L22</f>
        <v>207.9</v>
      </c>
      <c r="N10" s="74" t="n">
        <f aca="false">历史报表!K156</f>
        <v>149.8608</v>
      </c>
    </row>
    <row r="11" customFormat="false" ht="15" hidden="false" customHeight="false" outlineLevel="0" collapsed="false">
      <c r="A11" s="5" t="s">
        <v>616</v>
      </c>
      <c r="C11" s="74" t="n">
        <f aca="false">历史报表!E157</f>
        <v>-402.5676</v>
      </c>
      <c r="D11" s="74" t="n">
        <f aca="false">历史报表!F157</f>
        <v>-389.6458</v>
      </c>
      <c r="E11" s="74" t="n">
        <f aca="false">历史报表!G157</f>
        <v>-301.8478</v>
      </c>
      <c r="F11" s="74" t="n">
        <f aca="false">历史报表!H157</f>
        <v>-287.7853</v>
      </c>
      <c r="G11" s="74" t="n">
        <f aca="false">历史报表!I157</f>
        <v>-465.8928</v>
      </c>
      <c r="H11" s="75" t="n">
        <f aca="false">-费用!H35</f>
        <v>-686.730080945</v>
      </c>
      <c r="I11" s="75" t="n">
        <f aca="false">-费用!I35</f>
        <v>-718.56658499225</v>
      </c>
      <c r="J11" s="75" t="n">
        <f aca="false">-费用!J35</f>
        <v>-751.994914241863</v>
      </c>
      <c r="K11" s="75" t="n">
        <f aca="false">-费用!K35</f>
        <v>-787.094659953956</v>
      </c>
      <c r="L11" s="75" t="n">
        <f aca="false">-费用!L35</f>
        <v>-823.949392951654</v>
      </c>
      <c r="N11" s="74" t="n">
        <f aca="false">历史报表!K157</f>
        <v>-388.9358</v>
      </c>
    </row>
    <row r="12" customFormat="false" ht="15" hidden="false" customHeight="false" outlineLevel="0" collapsed="false">
      <c r="A12" s="5" t="s">
        <v>617</v>
      </c>
      <c r="C12" s="8" t="n">
        <f aca="false">历史报表!E160+历史报表!E161+历史报表!E162</f>
        <v>-970.2809</v>
      </c>
      <c r="D12" s="8" t="n">
        <f aca="false">历史报表!F160+历史报表!F161+历史报表!F162</f>
        <v>-1442.3351</v>
      </c>
      <c r="E12" s="8" t="n">
        <f aca="false">历史报表!G160+历史报表!G161+历史报表!G162</f>
        <v>-1876.5092</v>
      </c>
      <c r="F12" s="8" t="n">
        <f aca="false">历史报表!H160+历史报表!H161+历史报表!H162</f>
        <v>2185.9284</v>
      </c>
      <c r="G12" s="8" t="n">
        <f aca="false">历史报表!I160+历史报表!I161+历史报表!I162</f>
        <v>3015.6536</v>
      </c>
      <c r="H12" s="75" t="n">
        <f aca="false">-营运资本!H41</f>
        <v>227.37569857939</v>
      </c>
      <c r="I12" s="75" t="n">
        <f aca="false">-营运资本!I41</f>
        <v>418.073689648711</v>
      </c>
      <c r="J12" s="75" t="n">
        <f aca="false">-营运资本!J41</f>
        <v>721.83196200055</v>
      </c>
      <c r="K12" s="75" t="n">
        <f aca="false">-营运资本!K41</f>
        <v>232.514667550895</v>
      </c>
      <c r="L12" s="75" t="n">
        <f aca="false">-营运资本!L41</f>
        <v>-51.8045977124493</v>
      </c>
      <c r="N12" s="8" t="n">
        <f aca="false">历史报表!K160+历史报表!K161+历史报表!K162</f>
        <v>-93.9803000000002</v>
      </c>
    </row>
    <row r="13" customFormat="false" ht="15" hidden="false" customHeight="false" outlineLevel="0" collapsed="false">
      <c r="A13" s="5" t="s">
        <v>618</v>
      </c>
      <c r="C13" s="8" t="n">
        <f aca="false">历史报表!E120-C7-C8-C9-C10-C11-C12</f>
        <v>-2.29849999999885</v>
      </c>
      <c r="D13" s="8" t="n">
        <f aca="false">历史报表!F120-D7-D8-D9-D10-D11-D12</f>
        <v>-19.5570000000021</v>
      </c>
      <c r="E13" s="8" t="n">
        <f aca="false">历史报表!G120-E7-E8-E9-E10-E11-E12</f>
        <v>2.56699999999978</v>
      </c>
      <c r="F13" s="8" t="n">
        <f aca="false">历史报表!H120-F7-F8-F9-F10-F11-F12</f>
        <v>-3.63240000000224</v>
      </c>
      <c r="G13" s="8" t="n">
        <f aca="false">历史报表!I120-G7-G8-G9-G10-G11-G12</f>
        <v>33.1985000000009</v>
      </c>
      <c r="H13" s="57" t="n">
        <v>0</v>
      </c>
      <c r="I13" s="57" t="n">
        <v>0</v>
      </c>
      <c r="J13" s="57" t="n">
        <v>0</v>
      </c>
      <c r="K13" s="57" t="n">
        <v>0</v>
      </c>
      <c r="L13" s="57" t="n">
        <v>0</v>
      </c>
      <c r="N13" s="8" t="n">
        <f aca="false">历史报表!K120-N7-N8-N9-N10-N11-N12</f>
        <v>-2.90099999999916</v>
      </c>
    </row>
    <row r="14" customFormat="false" ht="15" hidden="false" customHeight="false" outlineLevel="0" collapsed="false">
      <c r="A14" s="12" t="s">
        <v>619</v>
      </c>
      <c r="C14" s="68" t="n">
        <f aca="false">SUM(C7:C13)</f>
        <v>52.4288999999999</v>
      </c>
      <c r="D14" s="68" t="n">
        <f aca="false">SUM(D7:D13)</f>
        <v>47.0338</v>
      </c>
      <c r="E14" s="68" t="n">
        <f aca="false">SUM(E7:E13)</f>
        <v>59.1655000000001</v>
      </c>
      <c r="F14" s="68" t="n">
        <f aca="false">SUM(F7:F13)</f>
        <v>4638.1759</v>
      </c>
      <c r="G14" s="68" t="n">
        <f aca="false">SUM(G7:G13)</f>
        <v>4772.5558</v>
      </c>
      <c r="H14" s="69" t="n">
        <f aca="false">SUM(H7:H13)</f>
        <v>1854.96489593811</v>
      </c>
      <c r="I14" s="69" t="n">
        <f aca="false">SUM(I7:I13)</f>
        <v>2483.00439484254</v>
      </c>
      <c r="J14" s="69" t="n">
        <f aca="false">SUM(J7:J13)</f>
        <v>2948.61330148279</v>
      </c>
      <c r="K14" s="69" t="n">
        <f aca="false">SUM(K7:K13)</f>
        <v>2714.24692711531</v>
      </c>
      <c r="L14" s="69" t="n">
        <f aca="false">SUM(L7:L13)</f>
        <v>2609.44813230631</v>
      </c>
      <c r="N14" s="68" t="n">
        <f aca="false">SUM(N7:N13)</f>
        <v>509.1284</v>
      </c>
    </row>
    <row r="15" customFormat="false" ht="15" hidden="false" customHeight="false" outlineLevel="0" collapsed="false">
      <c r="A15" s="47" t="s">
        <v>620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</row>
    <row r="16" customFormat="false" ht="15" hidden="false" customHeight="false" outlineLevel="0" collapsed="false">
      <c r="A16" s="5" t="s">
        <v>621</v>
      </c>
      <c r="C16" s="74" t="n">
        <f aca="false">-历史报表!E126</f>
        <v>-700.5675</v>
      </c>
      <c r="D16" s="74" t="n">
        <f aca="false">-历史报表!F126</f>
        <v>-732.8186</v>
      </c>
      <c r="E16" s="74" t="n">
        <f aca="false">-历史报表!G126</f>
        <v>-749.8998</v>
      </c>
      <c r="F16" s="74" t="n">
        <f aca="false">-历史报表!H126</f>
        <v>-1368.6518</v>
      </c>
      <c r="G16" s="74" t="n">
        <f aca="false">-历史报表!I126</f>
        <v>-1436.5548</v>
      </c>
      <c r="H16" s="75" t="n">
        <f aca="false">-资本开支折旧!H72</f>
        <v>-1964.55162562976</v>
      </c>
      <c r="I16" s="75" t="n">
        <f aca="false">-资本开支折旧!I72</f>
        <v>-2349.62604531173</v>
      </c>
      <c r="J16" s="75" t="n">
        <f aca="false">-资本开支折旧!J72</f>
        <v>-2228.99860209415</v>
      </c>
      <c r="K16" s="75" t="n">
        <f aca="false">-资本开支折旧!K72</f>
        <v>-1712.2945433444</v>
      </c>
      <c r="L16" s="75" t="n">
        <f aca="false">-资本开支折旧!L72</f>
        <v>-1497.65679270617</v>
      </c>
      <c r="N16" s="74" t="n">
        <f aca="false">-历史报表!K126</f>
        <v>-648.24</v>
      </c>
      <c r="O16" s="22" t="s">
        <v>622</v>
      </c>
    </row>
    <row r="17" customFormat="false" ht="15" hidden="false" customHeight="false" outlineLevel="0" collapsed="false">
      <c r="A17" s="5" t="s">
        <v>623</v>
      </c>
      <c r="C17" s="74" t="n">
        <f aca="false">历史报表!E122</f>
        <v>321.0687</v>
      </c>
      <c r="D17" s="74" t="n">
        <f aca="false">历史报表!F122</f>
        <v>166.8766</v>
      </c>
      <c r="E17" s="74" t="n">
        <f aca="false">历史报表!G122</f>
        <v>310.737</v>
      </c>
      <c r="F17" s="74" t="n">
        <f aca="false">历史报表!H122</f>
        <v>325.2183</v>
      </c>
      <c r="G17" s="74" t="n">
        <f aca="false">历史报表!I122</f>
        <v>328.6511</v>
      </c>
      <c r="H17" s="75" t="n">
        <f aca="false">费用!H32</f>
        <v>144</v>
      </c>
      <c r="I17" s="75" t="n">
        <f aca="false">费用!I32</f>
        <v>254.692032378</v>
      </c>
      <c r="J17" s="75" t="n">
        <f aca="false">费用!J32</f>
        <v>267.4266339969</v>
      </c>
      <c r="K17" s="75" t="n">
        <f aca="false">费用!K32</f>
        <v>280.797965696745</v>
      </c>
      <c r="L17" s="75" t="n">
        <f aca="false">费用!L32</f>
        <v>294.837863981582</v>
      </c>
      <c r="N17" s="74" t="n">
        <f aca="false">历史报表!K122</f>
        <v>4.5138</v>
      </c>
    </row>
    <row r="18" customFormat="false" ht="15" hidden="false" customHeight="false" outlineLevel="0" collapsed="false">
      <c r="A18" s="5" t="s">
        <v>624</v>
      </c>
      <c r="C18" s="8" t="n">
        <f aca="false">历史报表!E131-C16-C17</f>
        <v>-202.0769</v>
      </c>
      <c r="D18" s="8" t="n">
        <f aca="false">历史报表!F131-D16-D17</f>
        <v>-132.301</v>
      </c>
      <c r="E18" s="8" t="n">
        <f aca="false">历史报表!G131-E16-E17</f>
        <v>83.3883</v>
      </c>
      <c r="F18" s="8" t="n">
        <f aca="false">历史报表!H131-F16-F17</f>
        <v>40.0592000000001</v>
      </c>
      <c r="G18" s="8" t="n">
        <f aca="false">历史报表!I131-G16-G17</f>
        <v>8.84919999999994</v>
      </c>
      <c r="H18" s="57" t="n">
        <v>0</v>
      </c>
      <c r="I18" s="57" t="n">
        <v>0</v>
      </c>
      <c r="J18" s="57" t="n">
        <v>0</v>
      </c>
      <c r="K18" s="57" t="n">
        <v>0</v>
      </c>
      <c r="L18" s="57" t="n">
        <v>0</v>
      </c>
      <c r="N18" s="8" t="n">
        <f aca="false">历史报表!K131-N16-N17</f>
        <v>-113.162</v>
      </c>
    </row>
    <row r="19" customFormat="false" ht="15" hidden="false" customHeight="false" outlineLevel="0" collapsed="false">
      <c r="A19" s="12" t="s">
        <v>625</v>
      </c>
      <c r="C19" s="68" t="n">
        <f aca="false">SUM(C16:C18)</f>
        <v>-581.5757</v>
      </c>
      <c r="D19" s="68" t="n">
        <f aca="false">SUM(D16:D18)</f>
        <v>-698.243</v>
      </c>
      <c r="E19" s="68" t="n">
        <f aca="false">SUM(E16:E18)</f>
        <v>-355.7745</v>
      </c>
      <c r="F19" s="68" t="n">
        <f aca="false">SUM(F16:F18)</f>
        <v>-1003.3743</v>
      </c>
      <c r="G19" s="68" t="n">
        <f aca="false">SUM(G16:G18)</f>
        <v>-1099.0545</v>
      </c>
      <c r="H19" s="69" t="n">
        <f aca="false">SUM(H16:H18)</f>
        <v>-1820.55162562976</v>
      </c>
      <c r="I19" s="69" t="n">
        <f aca="false">SUM(I16:I18)</f>
        <v>-2094.93401293373</v>
      </c>
      <c r="J19" s="69" t="n">
        <f aca="false">SUM(J16:J18)</f>
        <v>-1961.57196809725</v>
      </c>
      <c r="K19" s="69" t="n">
        <f aca="false">SUM(K16:K18)</f>
        <v>-1431.49657764766</v>
      </c>
      <c r="L19" s="69" t="n">
        <f aca="false">SUM(L16:L18)</f>
        <v>-1202.81892872458</v>
      </c>
      <c r="N19" s="68" t="n">
        <f aca="false">SUM(N16:N18)</f>
        <v>-756.8882</v>
      </c>
    </row>
    <row r="20" customFormat="false" ht="15" hidden="false" customHeight="false" outlineLevel="0" collapsed="false">
      <c r="A20" s="47" t="s">
        <v>626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</row>
    <row r="21" customFormat="false" ht="15" hidden="false" customHeight="false" outlineLevel="0" collapsed="false">
      <c r="A21" s="5" t="s">
        <v>627</v>
      </c>
      <c r="H21" s="64" t="n">
        <f aca="false">融资!H13-融资!G13+融资!H16-融资!G16</f>
        <v>-3.75</v>
      </c>
      <c r="I21" s="64" t="n">
        <f aca="false">融资!I13-融资!H13+融资!I16-融资!H16</f>
        <v>0</v>
      </c>
      <c r="J21" s="64" t="n">
        <f aca="false">融资!J13-融资!I13+融资!J16-融资!I16</f>
        <v>0</v>
      </c>
      <c r="K21" s="64" t="n">
        <f aca="false">融资!K13-融资!J13+融资!K16-融资!J16</f>
        <v>0</v>
      </c>
      <c r="L21" s="64" t="n">
        <f aca="false">融资!L13-融资!K13+融资!L16-融资!K16</f>
        <v>0</v>
      </c>
    </row>
    <row r="22" customFormat="false" ht="15" hidden="false" customHeight="false" outlineLevel="0" collapsed="false">
      <c r="A22" s="5" t="s">
        <v>628</v>
      </c>
      <c r="C22" s="74" t="n">
        <f aca="false">历史报表!E132</f>
        <v>892.7624</v>
      </c>
      <c r="D22" s="74" t="n">
        <f aca="false">历史报表!F132</f>
        <v>547.8</v>
      </c>
      <c r="E22" s="74" t="n">
        <f aca="false">历史报表!G132</f>
        <v>601.8952</v>
      </c>
      <c r="F22" s="74" t="n">
        <f aca="false">历史报表!H132</f>
        <v>0</v>
      </c>
      <c r="G22" s="74" t="n">
        <f aca="false">历史报表!I132</f>
        <v>1094.15</v>
      </c>
      <c r="H22" s="75" t="n">
        <f aca="false">融资!H31</f>
        <v>0</v>
      </c>
      <c r="I22" s="75" t="n">
        <f aca="false">融资!I31</f>
        <v>2880.74931</v>
      </c>
      <c r="J22" s="75" t="n">
        <f aca="false">融资!J31</f>
        <v>0</v>
      </c>
      <c r="K22" s="75" t="n">
        <f aca="false">融资!K31</f>
        <v>0</v>
      </c>
      <c r="L22" s="75" t="n">
        <f aca="false">融资!L31</f>
        <v>0</v>
      </c>
      <c r="N22" s="74" t="n">
        <f aca="false">历史报表!K132</f>
        <v>0</v>
      </c>
    </row>
    <row r="23" customFormat="false" ht="15" hidden="false" customHeight="false" outlineLevel="0" collapsed="false">
      <c r="A23" s="5" t="s">
        <v>629</v>
      </c>
      <c r="C23" s="74" t="n">
        <f aca="false">-历史报表!E137</f>
        <v>-227.3401</v>
      </c>
      <c r="D23" s="74" t="n">
        <f aca="false">-历史报表!F137</f>
        <v>-289.026</v>
      </c>
      <c r="E23" s="74" t="n">
        <f aca="false">-历史报表!G137</f>
        <v>-373.8762</v>
      </c>
      <c r="F23" s="74" t="n">
        <f aca="false">-历史报表!H137</f>
        <v>-472.7796</v>
      </c>
      <c r="G23" s="74" t="n">
        <f aca="false">-历史报表!I137</f>
        <v>-444.0674</v>
      </c>
      <c r="H23" s="64" t="n">
        <f aca="false">-(融资!H41+融资!H45+融资!H22)</f>
        <v>-465.8627601</v>
      </c>
      <c r="I23" s="64" t="n">
        <f aca="false">-(融资!I41+融资!I45+融资!I22)</f>
        <v>-522.631960323887</v>
      </c>
      <c r="J23" s="64" t="n">
        <f aca="false">-(融资!J41+融资!J45+融资!J22)</f>
        <v>-550.657145976354</v>
      </c>
      <c r="K23" s="64" t="n">
        <f aca="false">-(融资!K41+融资!K45+融资!K22)</f>
        <v>-573.898126651171</v>
      </c>
      <c r="L23" s="64" t="n">
        <f aca="false">-(融资!L41+融资!L45+融资!L22)</f>
        <v>-608.785052656536</v>
      </c>
      <c r="N23" s="74" t="n">
        <f aca="false">-历史报表!K137</f>
        <v>-124.1461</v>
      </c>
    </row>
    <row r="24" customFormat="false" ht="15" hidden="false" customHeight="false" outlineLevel="0" collapsed="false">
      <c r="A24" s="5" t="s">
        <v>630</v>
      </c>
      <c r="H24" s="75" t="n">
        <f aca="false">-融资!H33</f>
        <v>-0</v>
      </c>
      <c r="I24" s="75" t="n">
        <f aca="false">-融资!I33</f>
        <v>-0</v>
      </c>
      <c r="J24" s="75" t="n">
        <f aca="false">-融资!J33</f>
        <v>-0</v>
      </c>
      <c r="K24" s="75" t="n">
        <f aca="false">-融资!K33</f>
        <v>-0</v>
      </c>
      <c r="L24" s="75" t="n">
        <f aca="false">-融资!L33</f>
        <v>-0</v>
      </c>
    </row>
    <row r="25" customFormat="false" ht="15" hidden="false" customHeight="false" outlineLevel="0" collapsed="false">
      <c r="A25" s="5" t="s">
        <v>631</v>
      </c>
      <c r="H25" s="75" t="n">
        <f aca="false">-资本开支折旧!H57</f>
        <v>-60</v>
      </c>
      <c r="I25" s="75" t="n">
        <f aca="false">-资本开支折旧!I57</f>
        <v>-60</v>
      </c>
      <c r="J25" s="75" t="n">
        <f aca="false">-资本开支折旧!J57</f>
        <v>-60</v>
      </c>
      <c r="K25" s="75" t="n">
        <f aca="false">-资本开支折旧!K57</f>
        <v>-60</v>
      </c>
      <c r="L25" s="75" t="n">
        <f aca="false">-资本开支折旧!L57</f>
        <v>-60</v>
      </c>
    </row>
    <row r="26" customFormat="false" ht="15" hidden="false" customHeight="false" outlineLevel="0" collapsed="false">
      <c r="A26" s="5" t="s">
        <v>632</v>
      </c>
      <c r="H26" s="64" t="n">
        <f aca="false">SUM(H21:H25)</f>
        <v>-529.6127601</v>
      </c>
      <c r="I26" s="64" t="n">
        <f aca="false">SUM(I21:I25)</f>
        <v>2298.11734967611</v>
      </c>
      <c r="J26" s="64" t="n">
        <f aca="false">SUM(J21:J25)</f>
        <v>-610.657145976354</v>
      </c>
      <c r="K26" s="64" t="n">
        <f aca="false">SUM(K21:K25)</f>
        <v>-633.898126651171</v>
      </c>
      <c r="L26" s="64" t="n">
        <f aca="false">SUM(L21:L25)</f>
        <v>-668.785052656536</v>
      </c>
    </row>
    <row r="27" customFormat="false" ht="15" hidden="false" customHeight="false" outlineLevel="0" collapsed="false">
      <c r="A27" s="5" t="s">
        <v>633</v>
      </c>
      <c r="H27" s="64" t="n">
        <f aca="false">G36+H14+H19+H26+H33</f>
        <v>5869.27421020835</v>
      </c>
      <c r="I27" s="64" t="n">
        <f aca="false">H36+I14+I19+I26+I33</f>
        <v>7186.18773158492</v>
      </c>
      <c r="J27" s="64" t="n">
        <f aca="false">I36+J14+J19+J26+J33</f>
        <v>5001.41982920245</v>
      </c>
      <c r="K27" s="64" t="n">
        <f aca="false">J36+K14+K19+K26+K33</f>
        <v>5650.27205201893</v>
      </c>
      <c r="L27" s="64" t="n">
        <f aca="false">K36+L14+L19+L26+L33</f>
        <v>6388.11620294412</v>
      </c>
      <c r="O27" s="22" t="s">
        <v>634</v>
      </c>
    </row>
    <row r="28" customFormat="false" ht="15" hidden="false" customHeight="false" outlineLevel="0" collapsed="false">
      <c r="A28" s="5" t="s">
        <v>635</v>
      </c>
      <c r="H28" s="64" t="n">
        <f aca="false">融资!H12-融资!H11</f>
        <v>-1369.27421020835</v>
      </c>
      <c r="I28" s="64" t="n">
        <f aca="false">融资!I12-融资!I11</f>
        <v>-2561.15208979165</v>
      </c>
      <c r="J28" s="64" t="n">
        <f aca="false">融资!J12-融资!J11</f>
        <v>0</v>
      </c>
      <c r="K28" s="64" t="n">
        <f aca="false">融资!K12-融资!K11</f>
        <v>0</v>
      </c>
      <c r="L28" s="64" t="n">
        <f aca="false">融资!L12-融资!L11</f>
        <v>0</v>
      </c>
    </row>
    <row r="29" customFormat="false" ht="15" hidden="false" customHeight="false" outlineLevel="0" collapsed="false">
      <c r="A29" s="5" t="s">
        <v>636</v>
      </c>
      <c r="C29" s="8" t="n">
        <f aca="false">历史报表!E134-历史报表!E136</f>
        <v>1147.9244</v>
      </c>
      <c r="D29" s="8" t="n">
        <f aca="false">历史报表!F134-历史报表!F136</f>
        <v>-88.0874000000003</v>
      </c>
      <c r="E29" s="8" t="n">
        <f aca="false">历史报表!G134-历史报表!G136</f>
        <v>860.6168</v>
      </c>
      <c r="F29" s="8" t="n">
        <f aca="false">历史报表!H134-历史报表!H136</f>
        <v>-3094.2253</v>
      </c>
      <c r="G29" s="8" t="n">
        <f aca="false">历史报表!I134-历史报表!I136</f>
        <v>-2575.0947</v>
      </c>
      <c r="N29" s="8" t="n">
        <f aca="false">历史报表!K134-历史报表!K136</f>
        <v>-1073.3382</v>
      </c>
    </row>
    <row r="30" customFormat="false" ht="15" hidden="false" customHeight="false" outlineLevel="0" collapsed="false">
      <c r="A30" s="5" t="s">
        <v>637</v>
      </c>
      <c r="C30" s="8" t="n">
        <f aca="false">历史报表!E141-C22-C23-C29</f>
        <v>-536.6673</v>
      </c>
      <c r="D30" s="8" t="n">
        <f aca="false">历史报表!F141-D22-D23-D29</f>
        <v>-113.3778</v>
      </c>
      <c r="E30" s="8" t="n">
        <f aca="false">历史报表!G141-E22-E23-E29</f>
        <v>-74.7242999999999</v>
      </c>
      <c r="F30" s="8" t="n">
        <f aca="false">历史报表!H141-F22-F23-F29</f>
        <v>-84.4664000000003</v>
      </c>
      <c r="G30" s="8" t="n">
        <f aca="false">历史报表!I141-G22-G23-G29</f>
        <v>-188.366399999999</v>
      </c>
      <c r="N30" s="8" t="n">
        <f aca="false">历史报表!K141-N22-N23-N29</f>
        <v>-31.6205</v>
      </c>
    </row>
    <row r="31" customFormat="false" ht="15" hidden="false" customHeight="false" outlineLevel="0" collapsed="false">
      <c r="A31" s="12" t="s">
        <v>638</v>
      </c>
      <c r="C31" s="68" t="n">
        <f aca="false">C22+C23+C29+C30</f>
        <v>1276.6794</v>
      </c>
      <c r="D31" s="68" t="n">
        <f aca="false">D22+D23+D29+D30</f>
        <v>57.3088</v>
      </c>
      <c r="E31" s="68" t="n">
        <f aca="false">E22+E23+E29+E30</f>
        <v>1013.9115</v>
      </c>
      <c r="F31" s="68" t="n">
        <f aca="false">F22+F23+F29+F30</f>
        <v>-3651.4713</v>
      </c>
      <c r="G31" s="68" t="n">
        <f aca="false">G22+G23+G29+G30</f>
        <v>-2113.3785</v>
      </c>
      <c r="H31" s="69" t="n">
        <f aca="false">H26+H28</f>
        <v>-1898.88697030835</v>
      </c>
      <c r="I31" s="69" t="n">
        <f aca="false">I26+I28</f>
        <v>-263.03474011554</v>
      </c>
      <c r="J31" s="69" t="n">
        <f aca="false">J26+J28</f>
        <v>-610.657145976354</v>
      </c>
      <c r="K31" s="69" t="n">
        <f aca="false">K26+K28</f>
        <v>-633.898126651171</v>
      </c>
      <c r="L31" s="69" t="n">
        <f aca="false">L26+L28</f>
        <v>-668.785052656536</v>
      </c>
      <c r="N31" s="68" t="n">
        <f aca="false">N22+N23+N29+N30</f>
        <v>-1229.1048</v>
      </c>
    </row>
    <row r="32" customFormat="false" ht="15" hidden="false" customHeight="false" outlineLevel="0" collapsed="false">
      <c r="A32" s="47" t="s">
        <v>639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customFormat="false" ht="15" hidden="false" customHeight="false" outlineLevel="0" collapsed="false">
      <c r="A33" s="5" t="s">
        <v>640</v>
      </c>
      <c r="C33" s="74" t="n">
        <f aca="false">历史报表!E142</f>
        <v>-65.6549</v>
      </c>
      <c r="D33" s="74" t="n">
        <f aca="false">历史报表!F142</f>
        <v>6.6898</v>
      </c>
      <c r="E33" s="74" t="n">
        <f aca="false">历史报表!G142</f>
        <v>45.8685</v>
      </c>
      <c r="F33" s="74" t="n">
        <f aca="false">历史报表!H142</f>
        <v>-21.394</v>
      </c>
      <c r="G33" s="74" t="n">
        <f aca="false">历史报表!I142</f>
        <v>-5.9159</v>
      </c>
      <c r="H33" s="57" t="n">
        <v>0</v>
      </c>
      <c r="I33" s="57" t="n">
        <v>0</v>
      </c>
      <c r="J33" s="57" t="n">
        <v>0</v>
      </c>
      <c r="K33" s="57" t="n">
        <v>0</v>
      </c>
      <c r="L33" s="57" t="n">
        <v>0</v>
      </c>
      <c r="N33" s="74" t="n">
        <f aca="false">历史报表!K142</f>
        <v>-71.0937</v>
      </c>
    </row>
    <row r="34" customFormat="false" ht="15" hidden="false" customHeight="false" outlineLevel="0" collapsed="false">
      <c r="A34" s="12" t="s">
        <v>641</v>
      </c>
      <c r="C34" s="13" t="n">
        <f aca="false">C14+C19+C31+C33</f>
        <v>681.8777</v>
      </c>
      <c r="D34" s="13" t="n">
        <f aca="false">D14+D19+D31+D33</f>
        <v>-587.2106</v>
      </c>
      <c r="E34" s="13" t="n">
        <f aca="false">E14+E19+E31+E33</f>
        <v>763.171</v>
      </c>
      <c r="F34" s="13" t="n">
        <f aca="false">F14+F19+F31+F33</f>
        <v>-38.0637000000008</v>
      </c>
      <c r="G34" s="13" t="n">
        <f aca="false">G14+G19+G31+G33</f>
        <v>1554.2069</v>
      </c>
      <c r="H34" s="62" t="n">
        <f aca="false">H14+H19+H31+H33</f>
        <v>-1864.4737</v>
      </c>
      <c r="I34" s="62" t="n">
        <f aca="false">I14+I19+I31+I33</f>
        <v>125.035641793268</v>
      </c>
      <c r="J34" s="62" t="n">
        <f aca="false">J14+J19+J31+J33</f>
        <v>376.384187409186</v>
      </c>
      <c r="K34" s="62" t="n">
        <f aca="false">K14+K19+K31+K33</f>
        <v>648.852222816479</v>
      </c>
      <c r="L34" s="62" t="n">
        <f aca="false">L14+L19+L31+L33</f>
        <v>737.84415092519</v>
      </c>
      <c r="N34" s="13" t="n">
        <f aca="false">N14+N19+N31+N33</f>
        <v>-1547.9583</v>
      </c>
    </row>
    <row r="35" customFormat="false" ht="15" hidden="false" customHeight="false" outlineLevel="0" collapsed="false">
      <c r="A35" s="5" t="s">
        <v>642</v>
      </c>
      <c r="C35" s="74" t="n">
        <f aca="false">历史报表!E144</f>
        <v>3851.7037</v>
      </c>
      <c r="D35" s="74" t="n">
        <f aca="false">历史报表!F144</f>
        <v>4672.3702</v>
      </c>
      <c r="E35" s="74" t="n">
        <f aca="false">历史报表!G144</f>
        <v>4085.1596</v>
      </c>
      <c r="F35" s="74" t="n">
        <f aca="false">历史报表!H144</f>
        <v>4848.3305</v>
      </c>
      <c r="G35" s="74" t="n">
        <f aca="false">历史报表!I144</f>
        <v>4810.2668</v>
      </c>
      <c r="H35" s="64" t="n">
        <f aca="false">G36</f>
        <v>6364.4737</v>
      </c>
      <c r="I35" s="64" t="n">
        <f aca="false">H36</f>
        <v>4500</v>
      </c>
      <c r="J35" s="64" t="n">
        <f aca="false">I36</f>
        <v>4625.03564179327</v>
      </c>
      <c r="K35" s="64" t="n">
        <f aca="false">J36</f>
        <v>5001.41982920245</v>
      </c>
      <c r="L35" s="64" t="n">
        <f aca="false">K36</f>
        <v>5650.27205201893</v>
      </c>
      <c r="N35" s="74" t="n">
        <f aca="false">历史报表!K144</f>
        <v>6364.4738</v>
      </c>
    </row>
    <row r="36" customFormat="false" ht="15" hidden="false" customHeight="false" outlineLevel="0" collapsed="false">
      <c r="A36" s="12" t="s">
        <v>643</v>
      </c>
      <c r="C36" s="13" t="n">
        <f aca="false">C35+C34</f>
        <v>4533.5814</v>
      </c>
      <c r="D36" s="13" t="n">
        <f aca="false">D35+D34</f>
        <v>4085.1596</v>
      </c>
      <c r="E36" s="13" t="n">
        <f aca="false">E35+E34</f>
        <v>4848.3306</v>
      </c>
      <c r="F36" s="13" t="n">
        <f aca="false">F35+F34</f>
        <v>4810.2668</v>
      </c>
      <c r="G36" s="13" t="n">
        <f aca="false">G35+G34</f>
        <v>6364.4737</v>
      </c>
      <c r="H36" s="62" t="n">
        <f aca="false">H35+H34</f>
        <v>4500</v>
      </c>
      <c r="I36" s="62" t="n">
        <f aca="false">I35+I34</f>
        <v>4625.03564179327</v>
      </c>
      <c r="J36" s="62" t="n">
        <f aca="false">J35+J34</f>
        <v>5001.41982920245</v>
      </c>
      <c r="K36" s="62" t="n">
        <f aca="false">K35+K34</f>
        <v>5650.27205201893</v>
      </c>
      <c r="L36" s="62" t="n">
        <f aca="false">L35+L34</f>
        <v>6388.11620294412</v>
      </c>
      <c r="N36" s="13" t="n">
        <f aca="false">N35+N34</f>
        <v>4816.5155</v>
      </c>
    </row>
    <row r="37" customFormat="false" ht="15" hidden="false" customHeight="false" outlineLevel="0" collapsed="false">
      <c r="A37" s="5" t="s">
        <v>644</v>
      </c>
      <c r="C37" s="7" t="n">
        <f aca="false">C36-历史报表!E145</f>
        <v>0</v>
      </c>
      <c r="D37" s="7" t="n">
        <f aca="false">D36-历史报表!F145</f>
        <v>0</v>
      </c>
      <c r="E37" s="7" t="n">
        <f aca="false">E36-历史报表!G145</f>
        <v>0.000100000000202272</v>
      </c>
      <c r="F37" s="7" t="n">
        <f aca="false">F36-历史报表!H145</f>
        <v>0</v>
      </c>
      <c r="G37" s="7" t="n">
        <f aca="false">G36-历史报表!I145</f>
        <v>-9.99999992927769E-005</v>
      </c>
      <c r="N37" s="7" t="n">
        <f aca="false">N36-历史报表!K145</f>
        <v>0</v>
      </c>
    </row>
    <row r="38" customFormat="false" ht="15" hidden="false" customHeight="false" outlineLevel="0" collapsed="false">
      <c r="A38" s="47" t="s">
        <v>645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</row>
    <row r="39" customFormat="false" ht="15" hidden="false" customHeight="false" outlineLevel="0" collapsed="false">
      <c r="A39" s="15" t="s">
        <v>646</v>
      </c>
      <c r="D39" s="13" t="n">
        <f aca="false">利润表!D37*(1-费用!D42)+资本开支折旧!D65-资本开支折旧!D72-营运资本!D41</f>
        <v>-1436.45391232449</v>
      </c>
      <c r="E39" s="13" t="n">
        <f aca="false">利润表!E37*(1-费用!E42)+资本开支折旧!E65-资本开支折旧!E72-营运资本!E41</f>
        <v>-1144.03084676253</v>
      </c>
      <c r="F39" s="13" t="n">
        <f aca="false">利润表!F37*(1-费用!F42)+资本开支折旧!F65-资本开支折旧!F72-营运资本!F41</f>
        <v>-3019.90113365575</v>
      </c>
      <c r="G39" s="13" t="n">
        <f aca="false">利润表!G37*(1-费用!G42)+资本开支折旧!G65-资本开支折旧!G72-营运资本!G41</f>
        <v>-3078.87204524968</v>
      </c>
      <c r="H39" s="62" t="n">
        <f aca="false">利润表!H37*(1-费用!H42)+资本开支折旧!H65-资本开支折旧!H72-营运资本!H41</f>
        <v>191.542576576195</v>
      </c>
      <c r="I39" s="62" t="n">
        <f aca="false">利润表!I37*(1-费用!I42)+资本开支折旧!I65-资本开支折旧!I72-营运资本!I41</f>
        <v>280.820361744632</v>
      </c>
      <c r="J39" s="62" t="n">
        <f aca="false">利润表!J37*(1-费用!J42)+资本开支折旧!J65-资本开支折旧!J72-营运资本!J41</f>
        <v>879.630571181562</v>
      </c>
      <c r="K39" s="62" t="n">
        <f aca="false">利润表!K37*(1-费用!K42)+资本开支折旧!K65-资本开支折旧!K72-营运资本!K41</f>
        <v>1164.23904280508</v>
      </c>
      <c r="L39" s="62" t="n">
        <f aca="false">利润表!L37*(1-费用!L42)+资本开支折旧!L65-资本开支折旧!L72-营运资本!L41</f>
        <v>1274.91760388706</v>
      </c>
    </row>
    <row r="40" customFormat="false" ht="15" hidden="false" customHeight="false" outlineLevel="0" collapsed="false">
      <c r="A40" s="17" t="s">
        <v>647</v>
      </c>
      <c r="C40" s="8" t="n">
        <f aca="false">C14+C19+C29</f>
        <v>618.7776</v>
      </c>
      <c r="D40" s="8" t="n">
        <f aca="false">D14+D19+D29</f>
        <v>-739.296600000001</v>
      </c>
      <c r="E40" s="8" t="n">
        <f aca="false">E14+E19+E29</f>
        <v>564.0078</v>
      </c>
      <c r="F40" s="8" t="n">
        <f aca="false">F14+F19+F29</f>
        <v>540.576299999999</v>
      </c>
      <c r="G40" s="8" t="n">
        <f aca="false">G14+G19+G29</f>
        <v>1098.4066</v>
      </c>
      <c r="H40" s="64" t="n">
        <f aca="false">H14+H19+H21+H28+H25</f>
        <v>-1398.6109399</v>
      </c>
      <c r="I40" s="64" t="n">
        <f aca="false">I14+I19+I21+I28+I25</f>
        <v>-2233.08170788285</v>
      </c>
      <c r="J40" s="64" t="n">
        <f aca="false">J14+J19+J21+J28+J25</f>
        <v>927.04133338554</v>
      </c>
      <c r="K40" s="64" t="n">
        <f aca="false">K14+K19+K21+K28+K25</f>
        <v>1222.75034946765</v>
      </c>
      <c r="L40" s="64" t="n">
        <f aca="false">L14+L19+L21+L28+L25</f>
        <v>1346.62920358173</v>
      </c>
      <c r="N40" s="8" t="n">
        <f aca="false">N14+N19+N29</f>
        <v>-1321.098</v>
      </c>
    </row>
    <row r="41" customFormat="false" ht="15" hidden="false" customHeight="false" outlineLevel="0" collapsed="false">
      <c r="A41" s="5" t="s">
        <v>648</v>
      </c>
      <c r="C41" s="18" t="n">
        <f aca="false">C14/C7</f>
        <v>0.147424087514889</v>
      </c>
      <c r="D41" s="18" t="n">
        <f aca="false">D14/D7</f>
        <v>0.11493414729687</v>
      </c>
      <c r="E41" s="18" t="n">
        <f aca="false">E14/E7</f>
        <v>0.12104571649293</v>
      </c>
      <c r="F41" s="18" t="n">
        <f aca="false">F14/F7</f>
        <v>6.5308015304419</v>
      </c>
      <c r="G41" s="18" t="n">
        <f aca="false">G14/G7</f>
        <v>12.6913035072795</v>
      </c>
      <c r="H41" s="85" t="n">
        <f aca="false">H14/H7</f>
        <v>2.51713099061203</v>
      </c>
      <c r="I41" s="85" t="n">
        <f aca="false">I14/I7</f>
        <v>2.30793129676309</v>
      </c>
      <c r="J41" s="85" t="n">
        <f aca="false">J14/J7</f>
        <v>2.53463821978905</v>
      </c>
      <c r="K41" s="85" t="n">
        <f aca="false">K14/K7</f>
        <v>2.11288443213259</v>
      </c>
      <c r="L41" s="85" t="n">
        <f aca="false">L14/L7</f>
        <v>1.93011586028605</v>
      </c>
    </row>
    <row r="42" customFormat="false" ht="15" hidden="false" customHeight="false" outlineLevel="0" collapsed="false">
      <c r="A42" s="47" t="s">
        <v>649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customFormat="false" ht="15" hidden="false" customHeight="false" outlineLevel="0" collapsed="false">
      <c r="A43" s="5" t="s">
        <v>650</v>
      </c>
      <c r="E43" s="42" t="n">
        <v>406.386973</v>
      </c>
      <c r="F43" s="42" t="n">
        <v>6852.868431</v>
      </c>
      <c r="G43" s="42" t="n">
        <v>5998.235489</v>
      </c>
      <c r="N43" s="42" t="n">
        <v>1974.508832</v>
      </c>
      <c r="O43" s="22" t="s">
        <v>651</v>
      </c>
    </row>
    <row r="44" customFormat="false" ht="15" hidden="false" customHeight="false" outlineLevel="0" collapsed="false">
      <c r="A44" s="12" t="s">
        <v>652</v>
      </c>
      <c r="E44" s="13" t="n">
        <f aca="false">E14-E43</f>
        <v>-347.221473</v>
      </c>
      <c r="F44" s="13" t="n">
        <f aca="false">F14-F43</f>
        <v>-2214.692531</v>
      </c>
      <c r="G44" s="13" t="n">
        <f aca="false">G14-G43</f>
        <v>-1225.679689</v>
      </c>
      <c r="N44" s="13" t="n">
        <f aca="false">N14-N43</f>
        <v>-1465.380432</v>
      </c>
      <c r="O44" s="22" t="s">
        <v>653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9.4" hidden="false" customHeight="false" outlineLevel="0" collapsed="false">
      <c r="A1" s="97" t="s">
        <v>654</v>
      </c>
    </row>
    <row r="2" customFormat="false" ht="15" hidden="false" customHeight="false" outlineLevel="0" collapsed="false">
      <c r="A2" s="2" t="s">
        <v>655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6"/>
      <c r="O5" s="10" t="s">
        <v>155</v>
      </c>
    </row>
    <row r="6" customFormat="false" ht="15" hidden="false" customHeight="false" outlineLevel="0" collapsed="false">
      <c r="A6" s="17" t="s">
        <v>656</v>
      </c>
      <c r="C6" s="74" t="n">
        <f aca="false">利润表!C37</f>
        <v>451.803299999999</v>
      </c>
      <c r="D6" s="74" t="n">
        <f aca="false">利润表!D37</f>
        <v>532.524700000002</v>
      </c>
      <c r="E6" s="74" t="n">
        <f aca="false">利润表!E37</f>
        <v>594.608</v>
      </c>
      <c r="F6" s="74" t="n">
        <f aca="false">利润表!F37</f>
        <v>1066.328</v>
      </c>
      <c r="G6" s="74" t="n">
        <f aca="false">利润表!G37</f>
        <v>464.3871</v>
      </c>
      <c r="H6" s="75" t="n">
        <f aca="false">利润表!H37</f>
        <v>764.894442629759</v>
      </c>
      <c r="I6" s="75" t="n">
        <f aca="false">利润表!I37</f>
        <v>898.601938966048</v>
      </c>
      <c r="J6" s="75" t="n">
        <f aca="false">利润表!J37</f>
        <v>895.687409641718</v>
      </c>
      <c r="K6" s="75" t="n">
        <f aca="false">利润表!K37</f>
        <v>997.366484216861</v>
      </c>
      <c r="L6" s="75" t="n">
        <f aca="false">利润表!L37</f>
        <v>1033.3808915426</v>
      </c>
    </row>
    <row r="7" customFormat="false" ht="15" hidden="false" customHeight="false" outlineLevel="0" collapsed="false">
      <c r="A7" s="5" t="s">
        <v>657</v>
      </c>
      <c r="H7" s="66" t="n">
        <f aca="false">假设!$C$16</f>
        <v>0.15</v>
      </c>
      <c r="I7" s="66" t="n">
        <f aca="false">假设!$C$16</f>
        <v>0.15</v>
      </c>
      <c r="J7" s="66" t="n">
        <f aca="false">假设!$C$16</f>
        <v>0.15</v>
      </c>
      <c r="K7" s="66" t="n">
        <f aca="false">假设!$C$16</f>
        <v>0.15</v>
      </c>
      <c r="L7" s="66" t="n">
        <f aca="false">假设!$C$16</f>
        <v>0.15</v>
      </c>
    </row>
    <row r="8" customFormat="false" ht="15" hidden="false" customHeight="false" outlineLevel="0" collapsed="false">
      <c r="A8" s="17" t="s">
        <v>658</v>
      </c>
      <c r="H8" s="64" t="n">
        <f aca="false">H6*(1-H7)</f>
        <v>650.160276235295</v>
      </c>
      <c r="I8" s="64" t="n">
        <f aca="false">I6*(1-I7)</f>
        <v>763.811648121141</v>
      </c>
      <c r="J8" s="64" t="n">
        <f aca="false">J6*(1-J7)</f>
        <v>761.33429819546</v>
      </c>
      <c r="K8" s="64" t="n">
        <f aca="false">K6*(1-K7)</f>
        <v>847.761511584332</v>
      </c>
      <c r="L8" s="64" t="n">
        <f aca="false">L6*(1-L7)</f>
        <v>878.373757811207</v>
      </c>
    </row>
    <row r="9" customFormat="false" ht="15" hidden="false" customHeight="false" outlineLevel="0" collapsed="false">
      <c r="A9" s="5" t="s">
        <v>659</v>
      </c>
      <c r="C9" s="74" t="n">
        <f aca="false">资本开支折旧!C65</f>
        <v>689.9124</v>
      </c>
      <c r="D9" s="74" t="n">
        <f aca="false">资本开支折旧!D65</f>
        <v>816.4404</v>
      </c>
      <c r="E9" s="74" t="n">
        <f aca="false">资本开支折旧!E65</f>
        <v>968.2687</v>
      </c>
      <c r="F9" s="74" t="n">
        <f aca="false">资本开支折旧!F65</f>
        <v>1030.6364</v>
      </c>
      <c r="G9" s="74" t="n">
        <f aca="false">资本开支折旧!G65</f>
        <v>1090.7876</v>
      </c>
      <c r="H9" s="75" t="n">
        <f aca="false">资本开支折旧!H65</f>
        <v>1263.26033853868</v>
      </c>
      <c r="I9" s="75" t="n">
        <f aca="false">资本开支折旧!I65</f>
        <v>1430.58903050719</v>
      </c>
      <c r="J9" s="75" t="n">
        <f aca="false">资本开支折旧!J65</f>
        <v>1607.54916488686</v>
      </c>
      <c r="K9" s="75" t="n">
        <f aca="false">资本开支折旧!K65</f>
        <v>1776.31007732992</v>
      </c>
      <c r="L9" s="75" t="n">
        <f aca="false">资本开支折旧!L65</f>
        <v>1925.33761866362</v>
      </c>
    </row>
    <row r="10" customFormat="false" ht="15" hidden="false" customHeight="false" outlineLevel="0" collapsed="false">
      <c r="A10" s="5" t="s">
        <v>660</v>
      </c>
      <c r="C10" s="74" t="n">
        <f aca="false">资本开支折旧!C72</f>
        <v>1288.61421538</v>
      </c>
      <c r="D10" s="74" t="n">
        <f aca="false">资本开支折旧!D72</f>
        <v>1122.97874491</v>
      </c>
      <c r="E10" s="74" t="n">
        <f aca="false">资本开支折旧!E72</f>
        <v>1202.92144021</v>
      </c>
      <c r="F10" s="74" t="n">
        <f aca="false">资本开支折旧!F72</f>
        <v>1600.92124668</v>
      </c>
      <c r="G10" s="74" t="n">
        <f aca="false">资本开支折旧!G72</f>
        <v>1710.56069724</v>
      </c>
      <c r="H10" s="75" t="n">
        <f aca="false">资本开支折旧!H72</f>
        <v>1964.55162562976</v>
      </c>
      <c r="I10" s="75" t="n">
        <f aca="false">资本开支折旧!I72</f>
        <v>2349.62604531173</v>
      </c>
      <c r="J10" s="75" t="n">
        <f aca="false">资本开支折旧!J72</f>
        <v>2228.99860209415</v>
      </c>
      <c r="K10" s="75" t="n">
        <f aca="false">资本开支折旧!K72</f>
        <v>1712.2945433444</v>
      </c>
      <c r="L10" s="75" t="n">
        <f aca="false">资本开支折旧!L72</f>
        <v>1497.65679270617</v>
      </c>
    </row>
    <row r="11" customFormat="false" ht="15" hidden="false" customHeight="false" outlineLevel="0" collapsed="false">
      <c r="A11" s="5" t="s">
        <v>661</v>
      </c>
      <c r="C11" s="74" t="n">
        <f aca="false">营运资本!C41</f>
        <v>0</v>
      </c>
      <c r="D11" s="74" t="n">
        <f aca="false">营运资本!D41</f>
        <v>1533.1776</v>
      </c>
      <c r="E11" s="74" t="n">
        <f aca="false">营运资本!E41</f>
        <v>1409.40920000001</v>
      </c>
      <c r="F11" s="74" t="n">
        <f aca="false">营运资本!F41</f>
        <v>3405.6442</v>
      </c>
      <c r="G11" s="74" t="n">
        <f aca="false">营运资本!G41</f>
        <v>2837.06289999999</v>
      </c>
      <c r="H11" s="75" t="n">
        <f aca="false">营运资本!H41</f>
        <v>-227.37569857939</v>
      </c>
      <c r="I11" s="75" t="n">
        <f aca="false">营运资本!I41</f>
        <v>-418.073689648711</v>
      </c>
      <c r="J11" s="75" t="n">
        <f aca="false">营运资本!J41</f>
        <v>-721.83196200055</v>
      </c>
      <c r="K11" s="75" t="n">
        <f aca="false">营运资本!K41</f>
        <v>-232.514667550895</v>
      </c>
      <c r="L11" s="75" t="n">
        <f aca="false">营运资本!L41</f>
        <v>51.8045977124493</v>
      </c>
    </row>
    <row r="12" customFormat="false" ht="15" hidden="false" customHeight="false" outlineLevel="0" collapsed="false">
      <c r="A12" s="15" t="s">
        <v>662</v>
      </c>
      <c r="H12" s="69" t="n">
        <f aca="false">H8+H9-H10-H11</f>
        <v>176.2446877236</v>
      </c>
      <c r="I12" s="69" t="n">
        <f aca="false">I8+I9-I10-I11</f>
        <v>262.848322965311</v>
      </c>
      <c r="J12" s="69" t="n">
        <f aca="false">J8+J9-J10-J11</f>
        <v>861.716822988727</v>
      </c>
      <c r="K12" s="69" t="n">
        <f aca="false">K8+K9-K10-K11</f>
        <v>1144.29171312074</v>
      </c>
      <c r="L12" s="69" t="n">
        <f aca="false">L8+L9-L10-L11</f>
        <v>1254.24998605621</v>
      </c>
    </row>
    <row r="13" customFormat="false" ht="15" hidden="false" customHeight="false" outlineLevel="0" collapsed="false">
      <c r="A13" s="5" t="s">
        <v>663</v>
      </c>
      <c r="I13" s="98" t="n">
        <v>0.5</v>
      </c>
      <c r="J13" s="98" t="n">
        <v>1.5</v>
      </c>
      <c r="K13" s="98" t="n">
        <v>2.5</v>
      </c>
      <c r="L13" s="98" t="n">
        <v>3.5</v>
      </c>
    </row>
    <row r="14" customFormat="false" ht="15" hidden="false" customHeight="false" outlineLevel="0" collapsed="false">
      <c r="A14" s="5" t="s">
        <v>664</v>
      </c>
      <c r="I14" s="88" t="n">
        <f aca="false">1/(1+估值_DCF!$D$20)^I13</f>
        <v>0.96104988617482</v>
      </c>
      <c r="J14" s="88" t="n">
        <f aca="false">1/(1+估值_DCF!$D$20)^J13</f>
        <v>0.887641900965013</v>
      </c>
      <c r="K14" s="88" t="n">
        <f aca="false">1/(1+估值_DCF!$D$20)^K13</f>
        <v>0.819841046425615</v>
      </c>
      <c r="L14" s="88" t="n">
        <f aca="false">1/(1+估值_DCF!$D$20)^L13</f>
        <v>0.757219032442611</v>
      </c>
    </row>
    <row r="15" customFormat="false" ht="15" hidden="false" customHeight="false" outlineLevel="0" collapsed="false">
      <c r="A15" s="17" t="s">
        <v>665</v>
      </c>
      <c r="I15" s="64" t="n">
        <f aca="false">I12*I14</f>
        <v>252.610350867055</v>
      </c>
      <c r="J15" s="64" t="n">
        <f aca="false">J12*J14</f>
        <v>764.895958851246</v>
      </c>
      <c r="K15" s="64" t="n">
        <f aca="false">K12*K14</f>
        <v>938.137315501067</v>
      </c>
      <c r="L15" s="64" t="n">
        <f aca="false">L12*L14</f>
        <v>949.741960882643</v>
      </c>
    </row>
    <row r="17" customFormat="false" ht="15" hidden="false" customHeight="false" outlineLevel="0" collapsed="false">
      <c r="A17" s="99" t="s">
        <v>666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customFormat="false" ht="15" hidden="false" customHeight="false" outlineLevel="0" collapsed="false">
      <c r="A18" s="5" t="s">
        <v>667</v>
      </c>
      <c r="D18" s="76" t="n">
        <f aca="false">假设!$C$11+假设!$C$13*假设!$C$12</f>
        <v>0.097</v>
      </c>
      <c r="O18" s="21"/>
    </row>
    <row r="19" customFormat="false" ht="15" hidden="false" customHeight="false" outlineLevel="0" collapsed="false">
      <c r="A19" s="5" t="s">
        <v>668</v>
      </c>
      <c r="D19" s="76" t="n">
        <f aca="false">假设!$C$14*(1-假设!$C$16)</f>
        <v>0.0255</v>
      </c>
      <c r="O19" s="21"/>
    </row>
    <row r="20" customFormat="false" ht="15" hidden="false" customHeight="false" outlineLevel="0" collapsed="false">
      <c r="A20" s="15" t="s">
        <v>666</v>
      </c>
      <c r="D20" s="53" t="n">
        <f aca="false">(1-假设!$C$15)*估值_DCF!$D$18+假设!$C$15*估值_DCF!$D$19</f>
        <v>0.0827</v>
      </c>
      <c r="O20" s="21"/>
    </row>
    <row r="21" customFormat="false" ht="15" hidden="false" customHeight="false" outlineLevel="0" collapsed="false">
      <c r="A21" s="5" t="s">
        <v>107</v>
      </c>
      <c r="D21" s="76" t="n">
        <f aca="false">假设!$C$17</f>
        <v>0.02</v>
      </c>
      <c r="O21" s="21"/>
    </row>
    <row r="22" customFormat="false" ht="15" hidden="false" customHeight="false" outlineLevel="0" collapsed="false">
      <c r="A22" s="3" t="s">
        <v>669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customFormat="false" ht="15" hidden="false" customHeight="false" outlineLevel="0" collapsed="false">
      <c r="A23" s="17" t="s">
        <v>670</v>
      </c>
      <c r="D23" s="8" t="n">
        <f aca="false">SUM(I15:L15)</f>
        <v>2905.38558610201</v>
      </c>
      <c r="O23" s="21"/>
    </row>
    <row r="24" customFormat="false" ht="15" hidden="false" customHeight="false" outlineLevel="0" collapsed="false">
      <c r="A24" s="5" t="s">
        <v>671</v>
      </c>
      <c r="D24" s="8" t="n">
        <f aca="false">L12*(1+估值_DCF!$D$21)/(估值_DCF!$D$20-估值_DCF!$D$21)</f>
        <v>20404.0667588092</v>
      </c>
      <c r="O24" s="21"/>
    </row>
    <row r="25" customFormat="false" ht="15" hidden="false" customHeight="false" outlineLevel="0" collapsed="false">
      <c r="A25" s="5" t="s">
        <v>672</v>
      </c>
      <c r="D25" s="8" t="n">
        <f aca="false">估值_DCF!$D$24/(1+估值_DCF!$D$20)^4</f>
        <v>14848.5548878748</v>
      </c>
      <c r="O25" s="21"/>
    </row>
    <row r="26" customFormat="false" ht="15" hidden="false" customHeight="false" outlineLevel="0" collapsed="false">
      <c r="A26" s="12" t="s">
        <v>673</v>
      </c>
      <c r="D26" s="13" t="n">
        <f aca="false">估值_DCF!$D$23+估值_DCF!$D$25</f>
        <v>17753.9404739768</v>
      </c>
      <c r="O26" s="21"/>
    </row>
    <row r="27" customFormat="false" ht="15" hidden="false" customHeight="false" outlineLevel="0" collapsed="false">
      <c r="A27" s="5" t="s">
        <v>674</v>
      </c>
      <c r="D27" s="14" t="n">
        <f aca="false">估值_DCF!$D$25/估值_DCF!$D$26</f>
        <v>0.836352634483559</v>
      </c>
      <c r="O27" s="21"/>
    </row>
    <row r="28" customFormat="false" ht="15" hidden="false" customHeight="false" outlineLevel="0" collapsed="false">
      <c r="A28" s="5" t="s">
        <v>675</v>
      </c>
      <c r="D28" s="8" t="n">
        <f aca="false">费用!I29*假设!$C$18*假设!$C$19</f>
        <v>10028.4987748838</v>
      </c>
      <c r="O28" s="22" t="s">
        <v>676</v>
      </c>
    </row>
    <row r="29" customFormat="false" ht="15" hidden="false" customHeight="false" outlineLevel="0" collapsed="false">
      <c r="A29" s="5" t="s">
        <v>677</v>
      </c>
      <c r="D29" s="8" t="n">
        <f aca="false">资产负债表!H15-费用!H33</f>
        <v>1083.2548</v>
      </c>
      <c r="O29" s="21"/>
    </row>
    <row r="30" customFormat="false" ht="15" hidden="false" customHeight="false" outlineLevel="0" collapsed="false">
      <c r="A30" s="5" t="s">
        <v>678</v>
      </c>
      <c r="D30" s="8" t="n">
        <f aca="false">资产负债表!H16</f>
        <v>132.1372</v>
      </c>
      <c r="O30" s="21"/>
    </row>
    <row r="31" customFormat="false" ht="15" hidden="false" customHeight="false" outlineLevel="0" collapsed="false">
      <c r="A31" s="5" t="s">
        <v>679</v>
      </c>
      <c r="D31" s="8" t="n">
        <f aca="false">融资!H19</f>
        <v>5739.03102779165</v>
      </c>
      <c r="O31" s="21"/>
    </row>
    <row r="32" customFormat="false" ht="15" hidden="false" customHeight="false" outlineLevel="0" collapsed="false">
      <c r="A32" s="5" t="s">
        <v>680</v>
      </c>
      <c r="D32" s="8" t="n">
        <f aca="false">融资!H47*假设!$C$32</f>
        <v>1538.3797</v>
      </c>
      <c r="O32" s="21"/>
    </row>
    <row r="33" customFormat="false" ht="15" hidden="false" customHeight="false" outlineLevel="0" collapsed="false">
      <c r="A33" s="12" t="s">
        <v>681</v>
      </c>
      <c r="D33" s="13" t="n">
        <f aca="false">估值_DCF!$D$26+估值_DCF!$D$28+估值_DCF!$D$29+估值_DCF!$D$30-估值_DCF!$D$31-估值_DCF!$D$32</f>
        <v>21720.4205210689</v>
      </c>
      <c r="O33" s="21"/>
    </row>
    <row r="34" customFormat="false" ht="15" hidden="false" customHeight="false" outlineLevel="0" collapsed="false">
      <c r="A34" s="5" t="s">
        <v>682</v>
      </c>
      <c r="D34" s="7" t="n">
        <f aca="false">(假设!$C$10-假设!$C$9)/365</f>
        <v>0.235616438356164</v>
      </c>
      <c r="O34" s="21"/>
    </row>
    <row r="35" customFormat="false" ht="15" hidden="false" customHeight="false" outlineLevel="0" collapsed="false">
      <c r="A35" s="12" t="s">
        <v>683</v>
      </c>
      <c r="D35" s="13" t="n">
        <f aca="false">估值_DCF!$D$33/(1+估值_DCF!$D$18)^估值_DCF!$D$34</f>
        <v>21251.7592233077</v>
      </c>
      <c r="O35" s="21"/>
    </row>
    <row r="36" customFormat="false" ht="15" hidden="false" customHeight="false" outlineLevel="0" collapsed="false">
      <c r="A36" s="5" t="s">
        <v>684</v>
      </c>
      <c r="D36" s="7" t="n">
        <f aca="false">融资!H35</f>
        <v>1358.1675</v>
      </c>
      <c r="O36" s="21"/>
    </row>
    <row r="37" customFormat="false" ht="15" hidden="false" customHeight="false" outlineLevel="0" collapsed="false">
      <c r="A37" s="12" t="s">
        <v>685</v>
      </c>
      <c r="D37" s="23" t="n">
        <f aca="false">估值_DCF!$D$35/估值_DCF!$D$36</f>
        <v>15.647377236834</v>
      </c>
      <c r="O37" s="21"/>
    </row>
    <row r="38" customFormat="false" ht="15" hidden="false" customHeight="false" outlineLevel="0" collapsed="false">
      <c r="A38" s="5" t="s">
        <v>686</v>
      </c>
      <c r="D38" s="6" t="n">
        <f aca="false">(估值_DCF!$D$26-估值_DCF!$D$31-估值_DCF!$D$32)/(1+估值_DCF!$D$18)^估值_DCF!$D$34/估值_DCF!$D$36</f>
        <v>7.54728541799909</v>
      </c>
      <c r="O38" s="21"/>
    </row>
    <row r="39" customFormat="false" ht="15" hidden="false" customHeight="false" outlineLevel="0" collapsed="false">
      <c r="A39" s="5" t="s">
        <v>687</v>
      </c>
      <c r="D39" s="6" t="n">
        <f aca="false">估值_DCF!$D$28/(1+估值_DCF!$D$18)^估值_DCF!$D$34/估值_DCF!$D$36</f>
        <v>7.22452418900089</v>
      </c>
      <c r="O39" s="21"/>
    </row>
    <row r="40" customFormat="false" ht="15" hidden="false" customHeight="false" outlineLevel="0" collapsed="false">
      <c r="A40" s="12" t="s">
        <v>688</v>
      </c>
      <c r="D40" s="24" t="n">
        <f aca="false">估值_DCF!$D$37/假设!$C$8-1</f>
        <v>-0.561698116615295</v>
      </c>
      <c r="O40" s="21"/>
    </row>
    <row r="41" customFormat="false" ht="15" hidden="false" customHeight="false" outlineLevel="0" collapsed="false">
      <c r="A41" s="5" t="s">
        <v>689</v>
      </c>
      <c r="D41" s="18" t="n">
        <f aca="false">估值_DCF!$D$26/利润表!I38</f>
        <v>7.62236360464336</v>
      </c>
      <c r="O41" s="21"/>
    </row>
    <row r="42" customFormat="false" ht="15" hidden="false" customHeight="false" outlineLevel="0" collapsed="false">
      <c r="A42" s="5" t="s">
        <v>690</v>
      </c>
      <c r="D42" s="18" t="n">
        <f aca="false">估值_DCF!$D$33/利润表!I29</f>
        <v>20.1889446525161</v>
      </c>
      <c r="O42" s="21"/>
    </row>
    <row r="44" customFormat="false" ht="15" hidden="false" customHeight="false" outlineLevel="0" collapsed="false">
      <c r="A44" s="3" t="s">
        <v>691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customFormat="false" ht="15" hidden="false" customHeight="false" outlineLevel="0" collapsed="false">
      <c r="A45" s="15" t="s">
        <v>692</v>
      </c>
      <c r="C45" s="17"/>
      <c r="D45" s="100" t="n">
        <v>0.01</v>
      </c>
      <c r="E45" s="100" t="n">
        <v>0.015</v>
      </c>
      <c r="F45" s="100" t="n">
        <v>0.02</v>
      </c>
      <c r="G45" s="100" t="n">
        <v>0.025</v>
      </c>
      <c r="H45" s="100" t="n">
        <v>0.03</v>
      </c>
    </row>
    <row r="46" customFormat="false" ht="15" hidden="false" customHeight="false" outlineLevel="0" collapsed="false">
      <c r="A46" s="17"/>
      <c r="C46" s="100" t="n">
        <v>0.07</v>
      </c>
      <c r="D46" s="6" t="n">
        <f aca="false">((SUMPRODUCT($I$12:$L$12,1/(1+$C46)^$I$13:$L$13)+$L$12*(1+D$45)/($C46-D$45)/(1+$C46)^4)+(估值_DCF!$D$28+估值_DCF!$D$29+估值_DCF!$D$30-估值_DCF!$D$31-估值_DCF!$D$32))/(1+估值_DCF!$D$18)^估值_DCF!$D$34/估值_DCF!$D$36</f>
        <v>16.6140754954263</v>
      </c>
      <c r="E46" s="6" t="n">
        <f aca="false">((SUMPRODUCT($I$12:$L$12,1/(1+$C46)^$I$13:$L$13)+$L$12*(1+E$45)/($C46-E$45)/(1+$C46)^4)+(估值_DCF!$D$28+估值_DCF!$D$29+估值_DCF!$D$30-估值_DCF!$D$31-估值_DCF!$D$32))/(1+估值_DCF!$D$18)^估值_DCF!$D$34/估值_DCF!$D$36</f>
        <v>17.7316131364275</v>
      </c>
      <c r="F46" s="6" t="n">
        <f aca="false">((SUMPRODUCT($I$12:$L$12,1/(1+$C46)^$I$13:$L$13)+$L$12*(1+F$45)/($C46-F$45)/(1+$C46)^4)+(估值_DCF!$D$28+估值_DCF!$D$29+估值_DCF!$D$30-估值_DCF!$D$31-估值_DCF!$D$32))/(1+估值_DCF!$D$18)^估值_DCF!$D$34/估值_DCF!$D$36</f>
        <v>19.0726583056291</v>
      </c>
      <c r="G46" s="6" t="n">
        <f aca="false">((SUMPRODUCT($I$12:$L$12,1/(1+$C46)^$I$13:$L$13)+$L$12*(1+G$45)/($C46-G$45)/(1+$C46)^4)+(估值_DCF!$D$28+估值_DCF!$D$29+估值_DCF!$D$30-估值_DCF!$D$31-估值_DCF!$D$32))/(1+估值_DCF!$D$18)^估值_DCF!$D$34/估值_DCF!$D$36</f>
        <v>20.711713512431</v>
      </c>
      <c r="H46" s="6" t="n">
        <f aca="false">((SUMPRODUCT($I$12:$L$12,1/(1+$C46)^$I$13:$L$13)+$L$12*(1+H$45)/($C46-H$45)/(1+$C46)^4)+(估值_DCF!$D$28+估值_DCF!$D$29+估值_DCF!$D$30-估值_DCF!$D$31-估值_DCF!$D$32))/(1+估值_DCF!$D$18)^估值_DCF!$D$34/估值_DCF!$D$36</f>
        <v>22.7605325209333</v>
      </c>
    </row>
    <row r="47" customFormat="false" ht="15" hidden="false" customHeight="false" outlineLevel="0" collapsed="false">
      <c r="A47" s="17"/>
      <c r="C47" s="100" t="n">
        <v>0.075</v>
      </c>
      <c r="D47" s="6" t="n">
        <f aca="false">((SUMPRODUCT($I$12:$L$12,1/(1+$C47)^$I$13:$L$13)+$L$12*(1+D$45)/($C47-D$45)/(1+$C47)^4)+(估值_DCF!$D$28+估值_DCF!$D$29+估值_DCF!$D$30-估值_DCF!$D$31-估值_DCF!$D$32))/(1+估值_DCF!$D$18)^估值_DCF!$D$34/估值_DCF!$D$36</f>
        <v>15.4996623387761</v>
      </c>
      <c r="E47" s="6" t="n">
        <f aca="false">((SUMPRODUCT($I$12:$L$12,1/(1+$C47)^$I$13:$L$13)+$L$12*(1+E$45)/($C47-E$45)/(1+$C47)^4)+(估值_DCF!$D$28+估值_DCF!$D$29+估值_DCF!$D$30-估值_DCF!$D$31-估值_DCF!$D$32))/(1+估值_DCF!$D$18)^估值_DCF!$D$34/估值_DCF!$D$36</f>
        <v>16.4321378457213</v>
      </c>
      <c r="F47" s="6" t="n">
        <f aca="false">((SUMPRODUCT($I$12:$L$12,1/(1+$C47)^$I$13:$L$13)+$L$12*(1+F$45)/($C47-F$45)/(1+$C47)^4)+(估值_DCF!$D$28+估值_DCF!$D$29+估值_DCF!$D$30-估值_DCF!$D$31-估值_DCF!$D$32))/(1+估值_DCF!$D$18)^估值_DCF!$D$34/估值_DCF!$D$36</f>
        <v>17.5341543539293</v>
      </c>
      <c r="G47" s="6" t="n">
        <f aca="false">((SUMPRODUCT($I$12:$L$12,1/(1+$C47)^$I$13:$L$13)+$L$12*(1+G$45)/($C47-G$45)/(1+$C47)^4)+(估值_DCF!$D$28+估值_DCF!$D$29+估值_DCF!$D$30-估值_DCF!$D$31-估值_DCF!$D$32))/(1+估值_DCF!$D$18)^估值_DCF!$D$34/估值_DCF!$D$36</f>
        <v>18.8565741637788</v>
      </c>
      <c r="H47" s="6" t="n">
        <f aca="false">((SUMPRODUCT($I$12:$L$12,1/(1+$C47)^$I$13:$L$13)+$L$12*(1+H$45)/($C47-H$45)/(1+$C47)^4)+(估值_DCF!$D$28+估值_DCF!$D$29+估值_DCF!$D$30-估值_DCF!$D$31-估值_DCF!$D$32))/(1+估值_DCF!$D$18)^估值_DCF!$D$34/估值_DCF!$D$36</f>
        <v>20.4728650424838</v>
      </c>
    </row>
    <row r="48" customFormat="false" ht="15" hidden="false" customHeight="false" outlineLevel="0" collapsed="false">
      <c r="A48" s="17"/>
      <c r="C48" s="100" t="n">
        <v>0.08</v>
      </c>
      <c r="D48" s="6" t="n">
        <f aca="false">((SUMPRODUCT($I$12:$L$12,1/(1+$C48)^$I$13:$L$13)+$L$12*(1+D$45)/($C48-D$45)/(1+$C48)^4)+(估值_DCF!$D$28+估值_DCF!$D$29+估值_DCF!$D$30-估值_DCF!$D$31-估值_DCF!$D$32))/(1+估值_DCF!$D$18)^估值_DCF!$D$34/估值_DCF!$D$36</f>
        <v>14.5456724844276</v>
      </c>
      <c r="E48" s="6" t="n">
        <f aca="false">((SUMPRODUCT($I$12:$L$12,1/(1+$C48)^$I$13:$L$13)+$L$12*(1+E$45)/($C48-E$45)/(1+$C48)^4)+(估值_DCF!$D$28+估值_DCF!$D$29+估值_DCF!$D$30-估值_DCF!$D$31-估值_DCF!$D$32))/(1+估值_DCF!$D$18)^估值_DCF!$D$34/估值_DCF!$D$36</f>
        <v>15.3338876195143</v>
      </c>
      <c r="F48" s="6" t="n">
        <f aca="false">((SUMPRODUCT($I$12:$L$12,1/(1+$C48)^$I$13:$L$13)+$L$12*(1+F$45)/($C48-F$45)/(1+$C48)^4)+(估值_DCF!$D$28+估值_DCF!$D$29+估值_DCF!$D$30-估值_DCF!$D$31-估值_DCF!$D$32))/(1+估值_DCF!$D$18)^估值_DCF!$D$34/估值_DCF!$D$36</f>
        <v>16.2534719437821</v>
      </c>
      <c r="G48" s="6" t="n">
        <f aca="false">((SUMPRODUCT($I$12:$L$12,1/(1+$C48)^$I$13:$L$13)+$L$12*(1+G$45)/($C48-G$45)/(1+$C48)^4)+(估值_DCF!$D$28+估值_DCF!$D$29+估值_DCF!$D$30-估值_DCF!$D$31-估值_DCF!$D$32))/(1+估值_DCF!$D$18)^估值_DCF!$D$34/估值_DCF!$D$36</f>
        <v>17.3402534179168</v>
      </c>
      <c r="H48" s="6" t="n">
        <f aca="false">((SUMPRODUCT($I$12:$L$12,1/(1+$C48)^$I$13:$L$13)+$L$12*(1+H$45)/($C48-H$45)/(1+$C48)^4)+(估值_DCF!$D$28+估值_DCF!$D$29+估值_DCF!$D$30-估值_DCF!$D$31-估值_DCF!$D$32))/(1+估值_DCF!$D$18)^估值_DCF!$D$34/估值_DCF!$D$36</f>
        <v>18.6443911868784</v>
      </c>
    </row>
    <row r="49" customFormat="false" ht="15" hidden="false" customHeight="false" outlineLevel="0" collapsed="false">
      <c r="A49" s="17"/>
      <c r="C49" s="100" t="n">
        <v>0.085</v>
      </c>
      <c r="D49" s="6" t="n">
        <f aca="false">((SUMPRODUCT($I$12:$L$12,1/(1+$C49)^$I$13:$L$13)+$L$12*(1+D$45)/($C49-D$45)/(1+$C49)^4)+(估值_DCF!$D$28+估值_DCF!$D$29+估值_DCF!$D$30-估值_DCF!$D$31-估值_DCF!$D$32))/(1+估值_DCF!$D$18)^估值_DCF!$D$34/估值_DCF!$D$36</f>
        <v>13.7199870224902</v>
      </c>
      <c r="E49" s="6" t="n">
        <f aca="false">((SUMPRODUCT($I$12:$L$12,1/(1+$C49)^$I$13:$L$13)+$L$12*(1+E$45)/($C49-E$45)/(1+$C49)^4)+(估值_DCF!$D$28+估值_DCF!$D$29+估值_DCF!$D$30-估值_DCF!$D$31-估值_DCF!$D$32))/(1+估值_DCF!$D$18)^估值_DCF!$D$34/估值_DCF!$D$36</f>
        <v>14.3937062080481</v>
      </c>
      <c r="F49" s="6" t="n">
        <f aca="false">((SUMPRODUCT($I$12:$L$12,1/(1+$C49)^$I$13:$L$13)+$L$12*(1+F$45)/($C49-F$45)/(1+$C49)^4)+(估值_DCF!$D$28+估值_DCF!$D$29+估值_DCF!$D$30-估值_DCF!$D$31-估值_DCF!$D$32))/(1+估值_DCF!$D$18)^估值_DCF!$D$34/估值_DCF!$D$36</f>
        <v>15.1710744990764</v>
      </c>
      <c r="G49" s="6" t="n">
        <f aca="false">((SUMPRODUCT($I$12:$L$12,1/(1+$C49)^$I$13:$L$13)+$L$12*(1+G$45)/($C49-G$45)/(1+$C49)^4)+(估值_DCF!$D$28+估值_DCF!$D$29+估值_DCF!$D$30-估值_DCF!$D$31-估值_DCF!$D$32))/(1+估值_DCF!$D$18)^估值_DCF!$D$34/估值_DCF!$D$36</f>
        <v>16.0780041719428</v>
      </c>
      <c r="H49" s="6" t="n">
        <f aca="false">((SUMPRODUCT($I$12:$L$12,1/(1+$C49)^$I$13:$L$13)+$L$12*(1+H$45)/($C49-H$45)/(1+$C49)^4)+(估值_DCF!$D$28+估值_DCF!$D$29+估值_DCF!$D$30-估值_DCF!$D$31-估值_DCF!$D$32))/(1+估值_DCF!$D$18)^估值_DCF!$D$34/估值_DCF!$D$36</f>
        <v>17.1498301489667</v>
      </c>
    </row>
    <row r="50" customFormat="false" ht="15" hidden="false" customHeight="false" outlineLevel="0" collapsed="false">
      <c r="A50" s="17"/>
      <c r="C50" s="100" t="n">
        <v>0.09</v>
      </c>
      <c r="D50" s="6" t="n">
        <f aca="false">((SUMPRODUCT($I$12:$L$12,1/(1+$C50)^$I$13:$L$13)+$L$12*(1+D$45)/($C50-D$45)/(1+$C50)^4)+(估值_DCF!$D$28+估值_DCF!$D$29+估值_DCF!$D$30-估值_DCF!$D$31-估值_DCF!$D$32))/(1+估值_DCF!$D$18)^估值_DCF!$D$34/估值_DCF!$D$36</f>
        <v>12.9985178995112</v>
      </c>
      <c r="E50" s="6" t="n">
        <f aca="false">((SUMPRODUCT($I$12:$L$12,1/(1+$C50)^$I$13:$L$13)+$L$12*(1+E$45)/($C50-E$45)/(1+$C50)^4)+(估值_DCF!$D$28+估值_DCF!$D$29+估值_DCF!$D$30-估值_DCF!$D$31-估值_DCF!$D$32))/(1+估值_DCF!$D$18)^估值_DCF!$D$34/估值_DCF!$D$36</f>
        <v>13.5799468986995</v>
      </c>
      <c r="F50" s="6" t="n">
        <f aca="false">((SUMPRODUCT($I$12:$L$12,1/(1+$C50)^$I$13:$L$13)+$L$12*(1+F$45)/($C50-F$45)/(1+$C50)^4)+(估值_DCF!$D$28+估值_DCF!$D$29+估值_DCF!$D$30-估值_DCF!$D$31-估值_DCF!$D$32))/(1+估值_DCF!$D$18)^估值_DCF!$D$34/估值_DCF!$D$36</f>
        <v>14.2444371834861</v>
      </c>
      <c r="G50" s="6" t="n">
        <f aca="false">((SUMPRODUCT($I$12:$L$12,1/(1+$C50)^$I$13:$L$13)+$L$12*(1+G$45)/($C50-G$45)/(1+$C50)^4)+(估值_DCF!$D$28+估值_DCF!$D$29+估值_DCF!$D$30-估值_DCF!$D$31-估值_DCF!$D$32))/(1+估值_DCF!$D$18)^估值_DCF!$D$34/估值_DCF!$D$36</f>
        <v>15.0111567428553</v>
      </c>
      <c r="H50" s="6" t="n">
        <f aca="false">((SUMPRODUCT($I$12:$L$12,1/(1+$C50)^$I$13:$L$13)+$L$12*(1+H$45)/($C50-H$45)/(1+$C50)^4)+(估值_DCF!$D$28+估值_DCF!$D$29+估值_DCF!$D$30-估值_DCF!$D$31-估值_DCF!$D$32))/(1+估值_DCF!$D$18)^估值_DCF!$D$34/估值_DCF!$D$36</f>
        <v>15.9056628954527</v>
      </c>
    </row>
    <row r="51" customFormat="false" ht="15" hidden="false" customHeight="false" outlineLevel="0" collapsed="false">
      <c r="A51" s="17"/>
      <c r="C51" s="100" t="n">
        <v>0.095</v>
      </c>
      <c r="D51" s="6" t="n">
        <f aca="false">((SUMPRODUCT($I$12:$L$12,1/(1+$C51)^$I$13:$L$13)+$L$12*(1+D$45)/($C51-D$45)/(1+$C51)^4)+(估值_DCF!$D$28+估值_DCF!$D$29+估值_DCF!$D$30-估值_DCF!$D$31-估值_DCF!$D$32))/(1+估值_DCF!$D$18)^估值_DCF!$D$34/估值_DCF!$D$36</f>
        <v>12.3628458598964</v>
      </c>
      <c r="E51" s="6" t="n">
        <f aca="false">((SUMPRODUCT($I$12:$L$12,1/(1+$C51)^$I$13:$L$13)+$L$12*(1+E$45)/($C51-E$45)/(1+$C51)^4)+(估值_DCF!$D$28+估值_DCF!$D$29+估值_DCF!$D$30-估值_DCF!$D$31-估值_DCF!$D$32))/(1+估值_DCF!$D$18)^估值_DCF!$D$34/估值_DCF!$D$36</f>
        <v>12.8688757409702</v>
      </c>
      <c r="F51" s="6" t="n">
        <f aca="false">((SUMPRODUCT($I$12:$L$12,1/(1+$C51)^$I$13:$L$13)+$L$12*(1+F$45)/($C51-F$45)/(1+$C51)^4)+(估值_DCF!$D$28+估值_DCF!$D$29+估值_DCF!$D$30-估值_DCF!$D$31-估值_DCF!$D$32))/(1+估值_DCF!$D$18)^估值_DCF!$D$34/估值_DCF!$D$36</f>
        <v>13.4423762728539</v>
      </c>
      <c r="G51" s="6" t="n">
        <f aca="false">((SUMPRODUCT($I$12:$L$12,1/(1+$C51)^$I$13:$L$13)+$L$12*(1+G$45)/($C51-G$45)/(1+$C51)^4)+(估值_DCF!$D$28+估值_DCF!$D$29+估值_DCF!$D$30-估值_DCF!$D$31-估值_DCF!$D$32))/(1+估值_DCF!$D$18)^估值_DCF!$D$34/估值_DCF!$D$36</f>
        <v>14.0978054521496</v>
      </c>
      <c r="H51" s="6" t="n">
        <f aca="false">((SUMPRODUCT($I$12:$L$12,1/(1+$C51)^$I$13:$L$13)+$L$12*(1+H$45)/($C51-H$45)/(1+$C51)^4)+(估值_DCF!$D$28+估值_DCF!$D$29+估值_DCF!$D$30-估值_DCF!$D$31-估值_DCF!$D$32))/(1+估值_DCF!$D$18)^估值_DCF!$D$34/估值_DCF!$D$36</f>
        <v>14.8540698897984</v>
      </c>
    </row>
    <row r="52" customFormat="false" ht="15" hidden="false" customHeight="false" outlineLevel="0" collapsed="false">
      <c r="A52" s="17"/>
      <c r="C52" s="100" t="n">
        <v>0.1</v>
      </c>
      <c r="D52" s="6" t="n">
        <f aca="false">((SUMPRODUCT($I$12:$L$12,1/(1+$C52)^$I$13:$L$13)+$L$12*(1+D$45)/($C52-D$45)/(1+$C52)^4)+(估值_DCF!$D$28+估值_DCF!$D$29+估值_DCF!$D$30-估值_DCF!$D$31-估值_DCF!$D$32))/(1+估值_DCF!$D$18)^估值_DCF!$D$34/估值_DCF!$D$36</f>
        <v>11.7986457419211</v>
      </c>
      <c r="E52" s="6" t="n">
        <f aca="false">((SUMPRODUCT($I$12:$L$12,1/(1+$C52)^$I$13:$L$13)+$L$12*(1+E$45)/($C52-E$45)/(1+$C52)^4)+(估值_DCF!$D$28+估值_DCF!$D$29+估值_DCF!$D$30-估值_DCF!$D$31-估值_DCF!$D$32))/(1+估值_DCF!$D$18)^估值_DCF!$D$34/估值_DCF!$D$36</f>
        <v>12.2423442233164</v>
      </c>
      <c r="F52" s="6" t="n">
        <f aca="false">((SUMPRODUCT($I$12:$L$12,1/(1+$C52)^$I$13:$L$13)+$L$12*(1+F$45)/($C52-F$45)/(1+$C52)^4)+(估值_DCF!$D$28+估值_DCF!$D$29+估值_DCF!$D$30-估值_DCF!$D$31-估值_DCF!$D$32))/(1+估值_DCF!$D$18)^估值_DCF!$D$34/估值_DCF!$D$36</f>
        <v>12.7415050148861</v>
      </c>
      <c r="G52" s="6" t="n">
        <f aca="false">((SUMPRODUCT($I$12:$L$12,1/(1+$C52)^$I$13:$L$13)+$L$12*(1+G$45)/($C52-G$45)/(1+$C52)^4)+(估值_DCF!$D$28+估值_DCF!$D$29+估值_DCF!$D$30-估值_DCF!$D$31-估值_DCF!$D$32))/(1+估值_DCF!$D$18)^估值_DCF!$D$34/估值_DCF!$D$36</f>
        <v>13.307220578665</v>
      </c>
      <c r="H52" s="6" t="n">
        <f aca="false">((SUMPRODUCT($I$12:$L$12,1/(1+$C52)^$I$13:$L$13)+$L$12*(1+H$45)/($C52-H$45)/(1+$C52)^4)+(估值_DCF!$D$28+估值_DCF!$D$29+估值_DCF!$D$30-估值_DCF!$D$31-估值_DCF!$D$32))/(1+估值_DCF!$D$18)^估值_DCF!$D$34/估值_DCF!$D$36</f>
        <v>13.9537526515553</v>
      </c>
    </row>
    <row r="53" customFormat="false" ht="15" hidden="false" customHeight="false" outlineLevel="0" collapsed="false">
      <c r="A53" s="2" t="s">
        <v>693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9.4" hidden="false" customHeight="false" outlineLevel="0" collapsed="false">
      <c r="A1" s="1" t="s">
        <v>694</v>
      </c>
    </row>
    <row r="2" customFormat="false" ht="15" hidden="false" customHeight="false" outlineLevel="0" collapsed="false">
      <c r="A2" s="2" t="s">
        <v>695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6"/>
      <c r="O5" s="10" t="s">
        <v>155</v>
      </c>
    </row>
    <row r="6" customFormat="false" ht="15" hidden="false" customHeight="false" outlineLevel="0" collapsed="false">
      <c r="A6" s="5" t="s">
        <v>696</v>
      </c>
      <c r="C6" s="8" t="n">
        <f aca="false">利润表!C8-(利润表!C25-费用!C35)</f>
        <v>5621.0651</v>
      </c>
      <c r="D6" s="8" t="n">
        <f aca="false">利润表!D8-(利润表!D25-费用!D35)</f>
        <v>6629.6637</v>
      </c>
      <c r="E6" s="8" t="n">
        <f aca="false">利润表!E8-(利润表!E25-费用!E35)</f>
        <v>6146.1328</v>
      </c>
      <c r="F6" s="8" t="n">
        <f aca="false">利润表!F8-(利润表!F25-费用!F35)</f>
        <v>5559.6553</v>
      </c>
      <c r="G6" s="8" t="n">
        <f aca="false">利润表!G8-(利润表!G25-费用!G35)</f>
        <v>5237.5915</v>
      </c>
      <c r="H6" s="64" t="n">
        <f aca="false">利润表!H8-(利润表!H25-费用!H35)</f>
        <v>5640.97713123824</v>
      </c>
      <c r="I6" s="64" t="n">
        <f aca="false">利润表!I8-(利润表!I25-费用!I35)</f>
        <v>5586.93524134697</v>
      </c>
      <c r="J6" s="64" t="n">
        <f aca="false">利润表!J8-(利润表!J25-费用!J35)</f>
        <v>5655.36553216578</v>
      </c>
      <c r="K6" s="64" t="n">
        <f aca="false">利润表!K8-(利润表!K25-费用!K35)</f>
        <v>5868.70317250822</v>
      </c>
      <c r="L6" s="64" t="n">
        <f aca="false">利润表!L8-(利润表!L25-费用!L35)</f>
        <v>6067.12311016113</v>
      </c>
    </row>
    <row r="7" customFormat="false" ht="15" hidden="false" customHeight="false" outlineLevel="0" collapsed="false">
      <c r="A7" s="5" t="s">
        <v>697</v>
      </c>
      <c r="C7" s="8" t="n">
        <f aca="false">分业务!C7*假设!$C$24+分业务!C17*假设!$C$25+分业务!C23*假设!$C$26+分业务!C29*假设!$C$27</f>
        <v>26390.719175</v>
      </c>
      <c r="D7" s="8" t="n">
        <f aca="false">分业务!D7*假设!$C$24+分业务!D17*假设!$C$25+分业务!D23*假设!$C$26+分业务!D29*假设!$C$27</f>
        <v>31245.88164</v>
      </c>
      <c r="E7" s="8" t="n">
        <f aca="false">分业务!E7*假设!$C$24+分业务!E17*假设!$C$25+分业务!E23*假设!$C$26+分业务!E29*假设!$C$27</f>
        <v>32129.17406</v>
      </c>
      <c r="F7" s="8" t="n">
        <f aca="false">分业务!F7*假设!$C$24+分业务!F17*假设!$C$25+分业务!F23*假设!$C$26+分业务!F29*假设!$C$27</f>
        <v>29579.200275</v>
      </c>
      <c r="G7" s="8" t="n">
        <f aca="false">分业务!G7*假设!$C$24+分业务!G17*假设!$C$25+分业务!G23*假设!$C$26+分业务!G29*假设!$C$27</f>
        <v>25578.60941</v>
      </c>
      <c r="H7" s="64" t="n">
        <f aca="false">分业务!H7*假设!$C$24+分业务!H17*假设!$C$25+分业务!H23*假设!$C$26+分业务!H29*假设!$C$27</f>
        <v>27465.6128474</v>
      </c>
      <c r="I7" s="64" t="n">
        <f aca="false">分业务!I7*假设!$C$24+分业务!I17*假设!$C$25+分业务!I23*假设!$C$26+分业务!I29*假设!$C$27</f>
        <v>29480.879084752</v>
      </c>
      <c r="J7" s="64" t="n">
        <f aca="false">分业务!J7*假设!$C$24+分业务!J17*假设!$C$25+分业务!J23*假设!$C$26+分业务!J29*假设!$C$27</f>
        <v>31235.6061290577</v>
      </c>
      <c r="K7" s="64" t="n">
        <f aca="false">分业务!K7*假设!$C$24+分业务!K17*假设!$C$25+分业务!K23*假设!$C$26+分业务!K29*假设!$C$27</f>
        <v>32947.6662526457</v>
      </c>
      <c r="L7" s="64" t="n">
        <f aca="false">分业务!L7*假设!$C$24+分业务!L17*假设!$C$25+分业务!L23*假设!$C$26+分业务!L29*假设!$C$27</f>
        <v>34556.3853594468</v>
      </c>
    </row>
    <row r="8" customFormat="false" ht="15" hidden="false" customHeight="false" outlineLevel="0" collapsed="false">
      <c r="A8" s="47" t="s">
        <v>245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customFormat="false" ht="15" hidden="false" customHeight="false" outlineLevel="0" collapsed="false">
      <c r="A9" s="5" t="s">
        <v>528</v>
      </c>
      <c r="C9" s="74" t="n">
        <f aca="false">分业务!C10</f>
        <v>3288.1865</v>
      </c>
      <c r="D9" s="74" t="n">
        <f aca="false">分业务!D10</f>
        <v>4280.115</v>
      </c>
      <c r="E9" s="74" t="n">
        <f aca="false">分业务!E10</f>
        <v>4576.4835</v>
      </c>
      <c r="F9" s="74" t="n">
        <f aca="false">分业务!F10</f>
        <v>4341.1922</v>
      </c>
      <c r="G9" s="74" t="n">
        <f aca="false">分业务!G10</f>
        <v>3509.6293</v>
      </c>
      <c r="H9" s="75" t="n">
        <f aca="false">分业务!H10</f>
        <v>2677.332217248</v>
      </c>
      <c r="I9" s="75" t="n">
        <f aca="false">分业务!I10</f>
        <v>3101.04914206464</v>
      </c>
      <c r="J9" s="75" t="n">
        <f aca="false">分业务!J10</f>
        <v>3542.32005376654</v>
      </c>
      <c r="K9" s="75" t="n">
        <f aca="false">分业务!K10</f>
        <v>3921.21378103651</v>
      </c>
      <c r="L9" s="75" t="n">
        <f aca="false">分业务!L10</f>
        <v>4117.27447008833</v>
      </c>
    </row>
    <row r="10" customFormat="false" ht="15" hidden="false" customHeight="false" outlineLevel="0" collapsed="false">
      <c r="A10" s="5" t="s">
        <v>698</v>
      </c>
      <c r="C10" s="8" t="n">
        <f aca="false">C6*分业务!C7*假设!$C$24/C7</f>
        <v>4185.15514543764</v>
      </c>
      <c r="D10" s="8" t="n">
        <f aca="false">D6*分业务!D7*假设!$C$24/D7</f>
        <v>5103.53208269753</v>
      </c>
      <c r="E10" s="8" t="n">
        <f aca="false">E6*分业务!E7*假设!$C$24/E7</f>
        <v>5232.46535888775</v>
      </c>
      <c r="F10" s="8" t="n">
        <f aca="false">F6*分业务!F7*假设!$C$24/F7</f>
        <v>4823.08814148709</v>
      </c>
      <c r="G10" s="8" t="n">
        <f aca="false">G6*分业务!G7*假设!$C$24/G7</f>
        <v>4392.80951684952</v>
      </c>
      <c r="H10" s="64" t="n">
        <f aca="false">H6*分业务!H7*假设!$C$24/H7</f>
        <v>4582.32684573461</v>
      </c>
      <c r="I10" s="64" t="n">
        <f aca="false">I6*分业务!I7*假设!$C$24/I7</f>
        <v>4566.44237334352</v>
      </c>
      <c r="J10" s="64" t="n">
        <f aca="false">J6*分业务!J7*假设!$C$24/J7</f>
        <v>4668.09078804859</v>
      </c>
      <c r="K10" s="64" t="n">
        <f aca="false">K6*分业务!K7*假设!$C$24/K7</f>
        <v>4868.01494250857</v>
      </c>
      <c r="L10" s="64" t="n">
        <f aca="false">L6*分业务!L7*假设!$C$24/L7</f>
        <v>5038.23260953045</v>
      </c>
    </row>
    <row r="11" customFormat="false" ht="15" hidden="false" customHeight="false" outlineLevel="0" collapsed="false">
      <c r="A11" s="5" t="s">
        <v>699</v>
      </c>
      <c r="C11" s="8" t="n">
        <f aca="false">C9-C10</f>
        <v>-896.96864543764</v>
      </c>
      <c r="D11" s="8" t="n">
        <f aca="false">D9-D10</f>
        <v>-823.417082697528</v>
      </c>
      <c r="E11" s="8" t="n">
        <f aca="false">E9-E10</f>
        <v>-655.981858887755</v>
      </c>
      <c r="F11" s="8" t="n">
        <f aca="false">F9-F10</f>
        <v>-481.895941487092</v>
      </c>
      <c r="G11" s="8" t="n">
        <f aca="false">G9-G10</f>
        <v>-883.18021684952</v>
      </c>
      <c r="H11" s="64" t="n">
        <f aca="false">H9-H10</f>
        <v>-1904.99462848661</v>
      </c>
      <c r="I11" s="64" t="n">
        <f aca="false">I9-I10</f>
        <v>-1465.39323127888</v>
      </c>
      <c r="J11" s="64" t="n">
        <f aca="false">J9-J10</f>
        <v>-1125.77073428204</v>
      </c>
      <c r="K11" s="64" t="n">
        <f aca="false">K9-K10</f>
        <v>-946.801161472063</v>
      </c>
      <c r="L11" s="64" t="n">
        <f aca="false">L9-L10</f>
        <v>-920.958139442111</v>
      </c>
    </row>
    <row r="12" customFormat="false" ht="15" hidden="false" customHeight="false" outlineLevel="0" collapsed="false">
      <c r="A12" s="12" t="s">
        <v>700</v>
      </c>
      <c r="C12" s="13" t="n">
        <f aca="false">C11*(1-假设!$C$16)-利润表!C28*分业务!C7/分业务!C35</f>
        <v>-806.353278948957</v>
      </c>
      <c r="D12" s="13" t="n">
        <f aca="false">D11*(1-假设!$C$16)-利润表!D28*分业务!D7/分业务!D35</f>
        <v>-702.225305470532</v>
      </c>
      <c r="E12" s="13" t="n">
        <f aca="false">E11*(1-假设!$C$16)-利润表!E28*分业务!E7/分业务!E35</f>
        <v>-544.915770016627</v>
      </c>
      <c r="F12" s="13" t="n">
        <f aca="false">F11*(1-假设!$C$16)-利润表!F28*分业务!F7/分业务!F35</f>
        <v>-415.468688674647</v>
      </c>
      <c r="G12" s="13" t="n">
        <f aca="false">G11*(1-假设!$C$16)-利润表!G28*分业务!G7/分业务!G35</f>
        <v>-705.946364076627</v>
      </c>
      <c r="H12" s="62" t="n">
        <f aca="false">H11*(1-假设!$C$16)-利润表!H28*分业务!H7/分业务!H35</f>
        <v>-1608.68747894823</v>
      </c>
      <c r="I12" s="62" t="n">
        <f aca="false">I11*(1-假设!$C$16)-利润表!I28*分业务!I7/分业务!I35</f>
        <v>-1245.58424658705</v>
      </c>
      <c r="J12" s="62" t="n">
        <f aca="false">J11*(1-假设!$C$16)-利润表!J28*分业务!J7/分业务!J35</f>
        <v>-964.168164110545</v>
      </c>
      <c r="K12" s="62" t="n">
        <f aca="false">K11*(1-假设!$C$16)-利润表!K28*分业务!K7/分业务!K35</f>
        <v>-815.776216877183</v>
      </c>
      <c r="L12" s="62" t="n">
        <f aca="false">L11*(1-假设!$C$16)-利润表!L28*分业务!L7/分业务!L35</f>
        <v>-797.50810243562</v>
      </c>
    </row>
    <row r="13" customFormat="false" ht="15" hidden="false" customHeight="false" outlineLevel="0" collapsed="false">
      <c r="A13" s="5" t="s">
        <v>701</v>
      </c>
      <c r="C13" s="14" t="n">
        <f aca="false">C12/分业务!C7</f>
        <v>-0.0471931563142683</v>
      </c>
      <c r="D13" s="14" t="n">
        <f aca="false">D12/分业务!D7</f>
        <v>-0.0335739301215303</v>
      </c>
      <c r="E13" s="14" t="n">
        <f aca="false">E12/分业务!E7</f>
        <v>-0.0229099021213639</v>
      </c>
      <c r="F13" s="14" t="n">
        <f aca="false">F12/分业务!F7</f>
        <v>-0.0186196871244799</v>
      </c>
      <c r="G13" s="14" t="n">
        <f aca="false">G12/分业务!G7</f>
        <v>-0.0378426784392191</v>
      </c>
      <c r="H13" s="63" t="n">
        <f aca="false">H12/分业务!H7</f>
        <v>-0.0829179399794641</v>
      </c>
      <c r="I13" s="63" t="n">
        <f aca="false">I12/分业务!I7</f>
        <v>-0.0594464840928471</v>
      </c>
      <c r="J13" s="63" t="n">
        <f aca="false">J12/分业务!J7</f>
        <v>-0.043005309406609</v>
      </c>
      <c r="K13" s="63" t="n">
        <f aca="false">K12/分业务!K7</f>
        <v>-0.034326890422474</v>
      </c>
      <c r="L13" s="63" t="n">
        <f aca="false">L12/分业务!L7</f>
        <v>-0.0319601809055626</v>
      </c>
    </row>
    <row r="14" customFormat="false" ht="15" hidden="false" customHeight="false" outlineLevel="0" collapsed="false">
      <c r="A14" s="47" t="s">
        <v>253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</row>
    <row r="15" customFormat="false" ht="15" hidden="false" customHeight="false" outlineLevel="0" collapsed="false">
      <c r="A15" s="5" t="s">
        <v>528</v>
      </c>
      <c r="C15" s="74" t="n">
        <f aca="false">分业务!C20</f>
        <v>1035.2895</v>
      </c>
      <c r="D15" s="74" t="n">
        <f aca="false">分业务!D20</f>
        <v>1134.6603</v>
      </c>
      <c r="E15" s="74" t="n">
        <f aca="false">分业务!E20</f>
        <v>1144.0746</v>
      </c>
      <c r="F15" s="74" t="n">
        <f aca="false">分业务!F20</f>
        <v>1191.1576</v>
      </c>
      <c r="G15" s="74" t="n">
        <f aca="false">分业务!G20</f>
        <v>1171.2275</v>
      </c>
      <c r="H15" s="75" t="n">
        <f aca="false">分业务!H20</f>
        <v>2559.75368</v>
      </c>
      <c r="I15" s="75" t="n">
        <f aca="false">分业务!I20</f>
        <v>2363.676548112</v>
      </c>
      <c r="J15" s="75" t="n">
        <f aca="false">分业务!J20</f>
        <v>2003.63608368903</v>
      </c>
      <c r="K15" s="75" t="n">
        <f aca="false">分业务!K20</f>
        <v>1909.04507051229</v>
      </c>
      <c r="L15" s="75" t="n">
        <f aca="false">分业务!L20</f>
        <v>1916.94456735579</v>
      </c>
    </row>
    <row r="16" customFormat="false" ht="15" hidden="false" customHeight="false" outlineLevel="0" collapsed="false">
      <c r="A16" s="5" t="s">
        <v>698</v>
      </c>
      <c r="C16" s="8" t="n">
        <f aca="false">C6*分业务!C17*假设!$C$25/C7</f>
        <v>623.00104640229</v>
      </c>
      <c r="D16" s="8" t="n">
        <f aca="false">D6*分业务!D17*假设!$C$25/D7</f>
        <v>690.484264720823</v>
      </c>
      <c r="E16" s="8" t="n">
        <f aca="false">E6*分业务!E17*假设!$C$25/E7</f>
        <v>515.222295196106</v>
      </c>
      <c r="F16" s="8" t="n">
        <f aca="false">F6*分业务!F17*假设!$C$25/F7</f>
        <v>441.573614461985</v>
      </c>
      <c r="G16" s="8" t="n">
        <f aca="false">G6*分业务!G17*假设!$C$25/G7</f>
        <v>476.497014345128</v>
      </c>
      <c r="H16" s="64" t="n">
        <f aca="false">H6*分业务!H17*假设!$C$25/H7</f>
        <v>657.163197609562</v>
      </c>
      <c r="I16" s="64" t="n">
        <f aca="false">I6*分业务!I17*假设!$C$25/I7</f>
        <v>622.140906607652</v>
      </c>
      <c r="J16" s="64" t="n">
        <f aca="false">J6*分业务!J17*假设!$C$25/J7</f>
        <v>585.110507864962</v>
      </c>
      <c r="K16" s="64" t="n">
        <f aca="false">K6*分业务!K17*假设!$C$25/K7</f>
        <v>586.280803511884</v>
      </c>
      <c r="L16" s="64" t="n">
        <f aca="false">L6*分业务!L17*假设!$C$25/L7</f>
        <v>601.002151190537</v>
      </c>
    </row>
    <row r="17" customFormat="false" ht="15" hidden="false" customHeight="false" outlineLevel="0" collapsed="false">
      <c r="A17" s="5" t="s">
        <v>699</v>
      </c>
      <c r="C17" s="8" t="n">
        <f aca="false">C15-C16</f>
        <v>412.28845359771</v>
      </c>
      <c r="D17" s="8" t="n">
        <f aca="false">D15-D16</f>
        <v>444.176035279178</v>
      </c>
      <c r="E17" s="8" t="n">
        <f aca="false">E15-E16</f>
        <v>628.852304803893</v>
      </c>
      <c r="F17" s="8" t="n">
        <f aca="false">F15-F16</f>
        <v>749.583985538015</v>
      </c>
      <c r="G17" s="8" t="n">
        <f aca="false">G15-G16</f>
        <v>694.730485654872</v>
      </c>
      <c r="H17" s="64" t="n">
        <f aca="false">H15-H16</f>
        <v>1902.59048239044</v>
      </c>
      <c r="I17" s="64" t="n">
        <f aca="false">I15-I16</f>
        <v>1741.53564150435</v>
      </c>
      <c r="J17" s="64" t="n">
        <f aca="false">J15-J16</f>
        <v>1418.52557582407</v>
      </c>
      <c r="K17" s="64" t="n">
        <f aca="false">K15-K16</f>
        <v>1322.76426700041</v>
      </c>
      <c r="L17" s="64" t="n">
        <f aca="false">L15-L16</f>
        <v>1315.94241616525</v>
      </c>
    </row>
    <row r="18" customFormat="false" ht="15" hidden="false" customHeight="false" outlineLevel="0" collapsed="false">
      <c r="A18" s="12" t="s">
        <v>700</v>
      </c>
      <c r="C18" s="13" t="n">
        <f aca="false">C17*(1-假设!$C$16)-利润表!C28*分业务!C17/分业务!C35</f>
        <v>335.40457160103</v>
      </c>
      <c r="D18" s="13" t="n">
        <f aca="false">D17*(1-假设!$C$16)-利润表!D28*分业务!D17/分业务!D35</f>
        <v>376.827449558479</v>
      </c>
      <c r="E18" s="13" t="n">
        <f aca="false">E17*(1-假设!$C$16)-利润表!E28*分业务!E17/分业务!E35</f>
        <v>537.393600445206</v>
      </c>
      <c r="F18" s="13" t="n">
        <f aca="false">F17*(1-假设!$C$16)-利润表!F28*分业务!F17/分业务!F35</f>
        <v>635.913023788643</v>
      </c>
      <c r="G18" s="13" t="n">
        <f aca="false">G17*(1-假设!$C$16)-利润表!G28*分业务!G17/分业务!G35</f>
        <v>601.687099187933</v>
      </c>
      <c r="H18" s="62" t="n">
        <f aca="false">H17*(1-假设!$C$16)-利润表!H28*分业务!H17/分业务!H35</f>
        <v>1620.68443969744</v>
      </c>
      <c r="I18" s="62" t="n">
        <f aca="false">I17*(1-假设!$C$16)-利润表!I28*分业务!I17/分业务!I35</f>
        <v>1480.3052952787</v>
      </c>
      <c r="J18" s="62" t="n">
        <f aca="false">J17*(1-假设!$C$16)-利润表!J28*分业务!J17/分业务!J35</f>
        <v>1203.65289278862</v>
      </c>
      <c r="K18" s="62" t="n">
        <f aca="false">K17*(1-假设!$C$16)-利润表!K28*分业务!K17/分业务!K35</f>
        <v>1121.30393544922</v>
      </c>
      <c r="L18" s="62" t="n">
        <f aca="false">L17*(1-假设!$C$16)-利润表!L28*分业务!L17/分业务!L35</f>
        <v>1114.51964956698</v>
      </c>
    </row>
    <row r="19" customFormat="false" ht="15" hidden="false" customHeight="false" outlineLevel="0" collapsed="false">
      <c r="A19" s="5" t="s">
        <v>701</v>
      </c>
      <c r="C19" s="14" t="n">
        <f aca="false">C18/分业务!C17</f>
        <v>0.0573347067721912</v>
      </c>
      <c r="D19" s="14" t="n">
        <f aca="false">D18/分业务!D17</f>
        <v>0.0578971871496842</v>
      </c>
      <c r="E19" s="14" t="n">
        <f aca="false">E18/分业务!E17</f>
        <v>0.0997631664851927</v>
      </c>
      <c r="F19" s="14" t="n">
        <f aca="false">F18/分业务!F17</f>
        <v>0.13533996105776</v>
      </c>
      <c r="G19" s="14" t="n">
        <f aca="false">G18/分业务!G17</f>
        <v>0.129281151987</v>
      </c>
      <c r="H19" s="63" t="n">
        <f aca="false">H18/分业务!H17</f>
        <v>0.253256311708467</v>
      </c>
      <c r="I19" s="63" t="n">
        <f aca="false">I18/分业务!I17</f>
        <v>0.225458050394414</v>
      </c>
      <c r="J19" s="63" t="n">
        <f aca="false">J18/分业务!J17</f>
        <v>0.186227628760545</v>
      </c>
      <c r="K19" s="63" t="n">
        <f aca="false">K18/分业务!K17</f>
        <v>0.170335497209091</v>
      </c>
      <c r="L19" s="63" t="n">
        <f aca="false">L18/分业务!L17</f>
        <v>0.162793179934886</v>
      </c>
    </row>
    <row r="20" customFormat="false" ht="15" hidden="false" customHeight="false" outlineLevel="0" collapsed="false">
      <c r="A20" s="47" t="s">
        <v>262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</row>
    <row r="21" customFormat="false" ht="15" hidden="false" customHeight="false" outlineLevel="0" collapsed="false">
      <c r="A21" s="5" t="s">
        <v>528</v>
      </c>
      <c r="C21" s="74" t="n">
        <f aca="false">分业务!C26</f>
        <v>1314.2888</v>
      </c>
      <c r="D21" s="74" t="n">
        <f aca="false">分业务!D26</f>
        <v>1302.7849</v>
      </c>
      <c r="E21" s="74" t="n">
        <f aca="false">分业务!E26</f>
        <v>652.2357</v>
      </c>
      <c r="F21" s="74" t="n">
        <f aca="false">分业务!F26</f>
        <v>502.5818</v>
      </c>
      <c r="G21" s="74" t="n">
        <f aca="false">分业务!G26</f>
        <v>557.6938</v>
      </c>
      <c r="H21" s="75" t="n">
        <f aca="false">分业务!H26</f>
        <v>536.615982</v>
      </c>
      <c r="I21" s="75" t="n">
        <f aca="false">分业务!I26</f>
        <v>612.662132592</v>
      </c>
      <c r="J21" s="75" t="n">
        <f aca="false">分业务!J26</f>
        <v>666.97380272448</v>
      </c>
      <c r="K21" s="75" t="n">
        <f aca="false">分业务!K26</f>
        <v>700.322492860704</v>
      </c>
      <c r="L21" s="75" t="n">
        <f aca="false">分业务!L26</f>
        <v>735.338617503739</v>
      </c>
    </row>
    <row r="22" customFormat="false" ht="15" hidden="false" customHeight="false" outlineLevel="0" collapsed="false">
      <c r="A22" s="5" t="s">
        <v>698</v>
      </c>
      <c r="C22" s="8" t="n">
        <f aca="false">C6*分业务!C23*假设!$C$26/C7</f>
        <v>776.701800832269</v>
      </c>
      <c r="D22" s="8" t="n">
        <f aca="false">D6*分业务!D23*假设!$C$26/D7</f>
        <v>797.18751908532</v>
      </c>
      <c r="E22" s="8" t="n">
        <f aca="false">E6*分业务!E23*假设!$C$26/E7</f>
        <v>362.048458857164</v>
      </c>
      <c r="F22" s="8" t="n">
        <f aca="false">F6*分业务!F23*假设!$C$26/F7</f>
        <v>258.115859014855</v>
      </c>
      <c r="G22" s="8" t="n">
        <f aca="false">G6*分业务!G23*假设!$C$26/G7</f>
        <v>348.825111879536</v>
      </c>
      <c r="H22" s="64" t="n">
        <f aca="false">H6*分业务!H23*假设!$C$26/H7</f>
        <v>377.86950950992</v>
      </c>
      <c r="I22" s="64" t="n">
        <f aca="false">I6*分业务!I23*假设!$C$26/I7</f>
        <v>376.559638347667</v>
      </c>
      <c r="J22" s="64" t="n">
        <f aca="false">J6*分业务!J23*假设!$C$26/J7</f>
        <v>381.34422005458</v>
      </c>
      <c r="K22" s="64" t="n">
        <f aca="false">K6*分业务!K23*假设!$C$26/K7</f>
        <v>393.924698077702</v>
      </c>
      <c r="L22" s="64" t="n">
        <f aca="false">L6*分业务!L23*假设!$C$26/L7</f>
        <v>407.698884040765</v>
      </c>
    </row>
    <row r="23" customFormat="false" ht="15" hidden="false" customHeight="false" outlineLevel="0" collapsed="false">
      <c r="A23" s="5" t="s">
        <v>699</v>
      </c>
      <c r="C23" s="8" t="n">
        <f aca="false">C21-C22</f>
        <v>537.586999167731</v>
      </c>
      <c r="D23" s="8" t="n">
        <f aca="false">D21-D22</f>
        <v>505.59738091468</v>
      </c>
      <c r="E23" s="8" t="n">
        <f aca="false">E21-E22</f>
        <v>290.187241142836</v>
      </c>
      <c r="F23" s="8" t="n">
        <f aca="false">F21-F22</f>
        <v>244.465940985145</v>
      </c>
      <c r="G23" s="8" t="n">
        <f aca="false">G21-G22</f>
        <v>208.868688120464</v>
      </c>
      <c r="H23" s="64" t="n">
        <f aca="false">H21-H22</f>
        <v>158.74647249008</v>
      </c>
      <c r="I23" s="64" t="n">
        <f aca="false">I21-I22</f>
        <v>236.102494244333</v>
      </c>
      <c r="J23" s="64" t="n">
        <f aca="false">J21-J22</f>
        <v>285.6295826699</v>
      </c>
      <c r="K23" s="64" t="n">
        <f aca="false">K21-K22</f>
        <v>306.397794783002</v>
      </c>
      <c r="L23" s="64" t="n">
        <f aca="false">L21-L22</f>
        <v>327.639733462974</v>
      </c>
    </row>
    <row r="24" customFormat="false" ht="15" hidden="false" customHeight="false" outlineLevel="0" collapsed="false">
      <c r="A24" s="12" t="s">
        <v>700</v>
      </c>
      <c r="C24" s="13" t="n">
        <f aca="false">C23*(1-假设!$C$16)-利润表!C28*分业务!C23/分业务!C35</f>
        <v>449.135912692349</v>
      </c>
      <c r="D24" s="13" t="n">
        <f aca="false">D23*(1-假设!$C$16)-利润表!D28*分业务!D23/分业务!D35</f>
        <v>429.410364687341</v>
      </c>
      <c r="E24" s="13" t="n">
        <f aca="false">E23*(1-假设!$C$16)-利润表!E28*分业务!E23/分业务!E35</f>
        <v>247.499219717899</v>
      </c>
      <c r="F24" s="13" t="n">
        <f aca="false">F23*(1-假设!$C$16)-利润表!F28*分业务!F23/分业务!F35</f>
        <v>207.495655617588</v>
      </c>
      <c r="G24" s="13" t="n">
        <f aca="false">G23*(1-假设!$C$16)-利润表!G28*分业务!G23/分业务!G35</f>
        <v>180.944357812035</v>
      </c>
      <c r="H24" s="62" t="n">
        <f aca="false">H23*(1-假设!$C$16)-利润表!H28*分业务!H23/分业务!H35</f>
        <v>135.768859163627</v>
      </c>
      <c r="I24" s="62" t="n">
        <f aca="false">I23*(1-假设!$C$16)-利润表!I28*分业务!I23/分业务!I35</f>
        <v>200.687120107683</v>
      </c>
      <c r="J24" s="62" t="n">
        <f aca="false">J23*(1-假设!$C$16)-利润表!J28*分业务!J23/分业务!J35</f>
        <v>242.216537351594</v>
      </c>
      <c r="K24" s="62" t="n">
        <f aca="false">K23*(1-假设!$C$16)-利润表!K28*分业务!K23/分业务!K35</f>
        <v>259.585453164495</v>
      </c>
      <c r="L24" s="62" t="n">
        <f aca="false">L23*(1-假设!$C$16)-利润表!L28*分业务!L23/分业务!L35</f>
        <v>277.354288488142</v>
      </c>
    </row>
    <row r="25" customFormat="false" ht="15" hidden="false" customHeight="false" outlineLevel="0" collapsed="false">
      <c r="A25" s="5" t="s">
        <v>701</v>
      </c>
      <c r="C25" s="14" t="n">
        <f aca="false">C24/分业务!C23</f>
        <v>0.147799207743871</v>
      </c>
      <c r="D25" s="14" t="n">
        <f aca="false">D24/分业务!D23</f>
        <v>0.137148794158504</v>
      </c>
      <c r="E25" s="14" t="n">
        <f aca="false">E24/分业务!E23</f>
        <v>0.156924500701375</v>
      </c>
      <c r="F25" s="14" t="n">
        <f aca="false">F24/分业务!F23</f>
        <v>0.181316364810911</v>
      </c>
      <c r="G25" s="14" t="n">
        <f aca="false">G24/分业务!G23</f>
        <v>0.127459802814723</v>
      </c>
      <c r="H25" s="63" t="n">
        <f aca="false">H24/分业务!H23</f>
        <v>0.0885532714291566</v>
      </c>
      <c r="I25" s="63" t="n">
        <f aca="false">I24/分业务!I23</f>
        <v>0.121199320946594</v>
      </c>
      <c r="J25" s="63" t="n">
        <f aca="false">J24/分业务!J23</f>
        <v>0.137999849195917</v>
      </c>
      <c r="K25" s="63" t="n">
        <f aca="false">K24/分业务!K23</f>
        <v>0.140852925913559</v>
      </c>
      <c r="L25" s="63" t="n">
        <f aca="false">L24/分业务!L23</f>
        <v>0.143328022106711</v>
      </c>
    </row>
    <row r="26" customFormat="false" ht="15" hidden="false" customHeight="false" outlineLevel="0" collapsed="false">
      <c r="A26" s="47" t="s">
        <v>267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customFormat="false" ht="15" hidden="false" customHeight="false" outlineLevel="0" collapsed="false">
      <c r="A27" s="5" t="s">
        <v>528</v>
      </c>
      <c r="C27" s="74" t="n">
        <f aca="false">分业务!C32</f>
        <v>72.1698</v>
      </c>
      <c r="D27" s="74" t="n">
        <f aca="false">分业务!D32</f>
        <v>73.6198</v>
      </c>
      <c r="E27" s="74" t="n">
        <f aca="false">分业务!E32</f>
        <v>28.655</v>
      </c>
      <c r="F27" s="74" t="n">
        <f aca="false">分业务!F32</f>
        <v>31.2353</v>
      </c>
      <c r="G27" s="74" t="n">
        <f aca="false">分业务!G32</f>
        <v>18.7758</v>
      </c>
      <c r="H27" s="75" t="n">
        <f aca="false">分业务!H32</f>
        <v>27.59825112</v>
      </c>
      <c r="I27" s="75" t="n">
        <f aca="false">分业务!I32</f>
        <v>27.59825112</v>
      </c>
      <c r="J27" s="75" t="n">
        <f aca="false">分业务!J32</f>
        <v>27.59825112</v>
      </c>
      <c r="K27" s="75" t="n">
        <f aca="false">分业务!K32</f>
        <v>27.59825112</v>
      </c>
      <c r="L27" s="75" t="n">
        <f aca="false">分业务!L32</f>
        <v>27.59825112</v>
      </c>
    </row>
    <row r="28" customFormat="false" ht="15" hidden="false" customHeight="false" outlineLevel="0" collapsed="false">
      <c r="A28" s="5" t="s">
        <v>698</v>
      </c>
      <c r="C28" s="8" t="n">
        <f aca="false">C6*分业务!C29*假设!$C$27/C7</f>
        <v>36.2071073278025</v>
      </c>
      <c r="D28" s="8" t="n">
        <f aca="false">D6*分业务!D29*假设!$C$27/D7</f>
        <v>38.4598334963276</v>
      </c>
      <c r="E28" s="8" t="n">
        <f aca="false">E6*分业务!E29*假设!$C$27/E7</f>
        <v>36.3966870589763</v>
      </c>
      <c r="F28" s="8" t="n">
        <f aca="false">F6*分业务!F29*假设!$C$27/F7</f>
        <v>36.8776850360666</v>
      </c>
      <c r="G28" s="8" t="n">
        <f aca="false">G6*分业务!G29*假设!$C$27/G7</f>
        <v>19.4598569258168</v>
      </c>
      <c r="H28" s="64" t="n">
        <f aca="false">H6*分业务!H29*假设!$C$27/H7</f>
        <v>23.6175783841447</v>
      </c>
      <c r="I28" s="64" t="n">
        <f aca="false">I6*分业务!I29*假设!$C$27/I7</f>
        <v>21.7923230481308</v>
      </c>
      <c r="J28" s="64" t="n">
        <f aca="false">J6*分业务!J29*假设!$C$27/J7</f>
        <v>20.8200161976511</v>
      </c>
      <c r="K28" s="64" t="n">
        <f aca="false">K6*分业务!K29*假设!$C$27/K7</f>
        <v>20.4827284100656</v>
      </c>
      <c r="L28" s="64" t="n">
        <f aca="false">L6*分业务!L29*假设!$C$27/L7</f>
        <v>20.1894653993868</v>
      </c>
    </row>
    <row r="29" customFormat="false" ht="15" hidden="false" customHeight="false" outlineLevel="0" collapsed="false">
      <c r="A29" s="5" t="s">
        <v>699</v>
      </c>
      <c r="C29" s="8" t="n">
        <f aca="false">C27-C28</f>
        <v>35.9626926721975</v>
      </c>
      <c r="D29" s="8" t="n">
        <f aca="false">D27-D28</f>
        <v>35.1599665036724</v>
      </c>
      <c r="E29" s="8" t="n">
        <f aca="false">E27-E28</f>
        <v>-7.7416870589763</v>
      </c>
      <c r="F29" s="8" t="n">
        <f aca="false">F27-F28</f>
        <v>-5.64238503606662</v>
      </c>
      <c r="G29" s="8" t="n">
        <f aca="false">G27-G28</f>
        <v>-0.684056925816751</v>
      </c>
      <c r="H29" s="64" t="n">
        <f aca="false">H27-H28</f>
        <v>3.98067273585527</v>
      </c>
      <c r="I29" s="64" t="n">
        <f aca="false">I27-I28</f>
        <v>5.80592807186925</v>
      </c>
      <c r="J29" s="64" t="n">
        <f aca="false">J27-J28</f>
        <v>6.77823492234888</v>
      </c>
      <c r="K29" s="64" t="n">
        <f aca="false">K27-K28</f>
        <v>7.11552270993438</v>
      </c>
      <c r="L29" s="64" t="n">
        <f aca="false">L27-L28</f>
        <v>7.40878572061324</v>
      </c>
    </row>
    <row r="30" customFormat="false" ht="15" hidden="false" customHeight="false" outlineLevel="0" collapsed="false">
      <c r="A30" s="12" t="s">
        <v>700</v>
      </c>
      <c r="C30" s="13" t="n">
        <f aca="false">C29*(1-假设!$C$16)-利润表!C28*分业务!C29/分业务!C35</f>
        <v>29.694169655577</v>
      </c>
      <c r="D30" s="13" t="n">
        <f aca="false">D29*(1-假设!$C$16)-利润表!D28*分业务!D29/分业务!D35</f>
        <v>29.8457462247136</v>
      </c>
      <c r="E30" s="13" t="n">
        <f aca="false">E29*(1-假设!$C$16)-利润表!E28*分业务!E29/分业务!E35</f>
        <v>-6.37775014647952</v>
      </c>
      <c r="F30" s="13" t="n">
        <f aca="false">F29*(1-假设!$C$16)-利润表!F28*分业务!F29/分业务!F35</f>
        <v>-4.89903073158289</v>
      </c>
      <c r="G30" s="13" t="n">
        <f aca="false">G29*(1-假设!$C$16)-利润表!G28*分业务!G29/分业务!G35</f>
        <v>-0.125427923341586</v>
      </c>
      <c r="H30" s="62" t="n">
        <f aca="false">H29*(1-假设!$C$16)-利润表!H28*分业务!H29/分业务!H35</f>
        <v>3.50872934746045</v>
      </c>
      <c r="I30" s="62" t="n">
        <f aca="false">I29*(1-假设!$C$16)-利润表!I28*分业务!I29/分业务!I35</f>
        <v>4.93503886108886</v>
      </c>
      <c r="J30" s="62" t="n">
        <f aca="false">J29*(1-假设!$C$16)-利润表!J28*分业务!J29/分业务!J35</f>
        <v>5.68699423446369</v>
      </c>
      <c r="K30" s="62" t="n">
        <f aca="false">K29*(1-假设!$C$16)-利润表!K28*分业务!K29/分业务!K35</f>
        <v>5.94178783155452</v>
      </c>
      <c r="L30" s="62" t="n">
        <f aca="false">L29*(1-假设!$C$16)-利润表!L28*分业务!L29/分业务!L35</f>
        <v>6.16204090121952</v>
      </c>
    </row>
    <row r="31" customFormat="false" ht="15" hidden="false" customHeight="false" outlineLevel="0" collapsed="false">
      <c r="A31" s="5" t="s">
        <v>701</v>
      </c>
      <c r="C31" s="14" t="n">
        <f aca="false">C30/分业务!C29</f>
        <v>0.0873403142503169</v>
      </c>
      <c r="D31" s="14" t="n">
        <f aca="false">D30/分业务!D29</f>
        <v>0.0823272790244705</v>
      </c>
      <c r="E31" s="14" t="n">
        <f aca="false">E30/分业务!E29</f>
        <v>-0.0167601549586157</v>
      </c>
      <c r="F31" s="14" t="n">
        <f aca="false">F30/分业务!F29</f>
        <v>-0.0124846955299843</v>
      </c>
      <c r="G31" s="14" t="n">
        <f aca="false">G30/分业务!G29</f>
        <v>-0.00065990175935461</v>
      </c>
      <c r="H31" s="63" t="n">
        <f aca="false">H30/分业务!H29</f>
        <v>0.0152563117084665</v>
      </c>
      <c r="I31" s="63" t="n">
        <f aca="false">I30/分业务!I29</f>
        <v>0.0214580503944144</v>
      </c>
      <c r="J31" s="63" t="n">
        <f aca="false">J30/分业务!J29</f>
        <v>0.0247276287605446</v>
      </c>
      <c r="K31" s="63" t="n">
        <f aca="false">K30/分业务!K29</f>
        <v>0.0258354972090906</v>
      </c>
      <c r="L31" s="63" t="n">
        <f aca="false">L30/分业务!L29</f>
        <v>0.0267931799348865</v>
      </c>
    </row>
    <row r="32" customFormat="false" ht="15" hidden="false" customHeight="false" outlineLevel="0" collapsed="false">
      <c r="A32" s="5" t="s">
        <v>702</v>
      </c>
      <c r="C32" s="73" t="n">
        <f aca="false">C12+C18+C24+C30+费用!C35-利润表!C29</f>
        <v>122.078075</v>
      </c>
      <c r="D32" s="73" t="n">
        <f aca="false">D12+D18+D24+D30+费用!D35-利润表!D29</f>
        <v>106.946155</v>
      </c>
      <c r="E32" s="73" t="n">
        <f aca="false">E12+E18+E24+E30+费用!E35-利润表!E29</f>
        <v>54.1524999999973</v>
      </c>
      <c r="F32" s="73" t="n">
        <f aca="false">F12+F18+F24+F30+费用!F35-利润表!F29</f>
        <v>5.96125999999993</v>
      </c>
      <c r="G32" s="73" t="n">
        <f aca="false">G12+G18+G24+G30+费用!G35-利润表!G29</f>
        <v>83.0253649999999</v>
      </c>
      <c r="H32" s="67" t="n">
        <f aca="false">H12+H18+H24+H30+费用!H35-利润表!H29</f>
        <v>86.068450540256</v>
      </c>
      <c r="I32" s="67" t="n">
        <f aca="false">I12+I18+I24+I30+费用!I35-利润表!I29</f>
        <v>83.0526393981597</v>
      </c>
      <c r="J32" s="67" t="n">
        <f aca="false">J12+J18+J24+J30+费用!J35-利润表!J29</f>
        <v>86.0560856687596</v>
      </c>
      <c r="K32" s="67" t="n">
        <f aca="false">K12+K18+K24+K30+费用!K35-利润表!K29</f>
        <v>88.532777333591</v>
      </c>
      <c r="L32" s="67" t="n">
        <f aca="false">L12+L18+L24+L30+费用!L35-利润表!L29</f>
        <v>92.5127651655812</v>
      </c>
    </row>
    <row r="34" customFormat="false" ht="15" hidden="false" customHeight="false" outlineLevel="0" collapsed="false">
      <c r="A34" s="99" t="s">
        <v>703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customFormat="false" ht="15" hidden="false" customHeight="false" outlineLevel="0" collapsed="false">
      <c r="A35" s="12" t="s">
        <v>704</v>
      </c>
      <c r="C35" s="101" t="s">
        <v>705</v>
      </c>
      <c r="D35" s="101" t="s">
        <v>706</v>
      </c>
      <c r="E35" s="20" t="s">
        <v>707</v>
      </c>
      <c r="F35" s="20" t="s">
        <v>708</v>
      </c>
      <c r="G35" s="20" t="s">
        <v>709</v>
      </c>
      <c r="H35" s="101" t="s">
        <v>710</v>
      </c>
    </row>
    <row r="36" customFormat="false" ht="15" hidden="false" customHeight="false" outlineLevel="0" collapsed="false">
      <c r="A36" s="5" t="s">
        <v>245</v>
      </c>
      <c r="C36" s="8" t="n">
        <f aca="false">估值_SOTP!I12</f>
        <v>-1245.58424658705</v>
      </c>
      <c r="D36" s="18" t="n">
        <f aca="false">假设!$C$20</f>
        <v>25</v>
      </c>
      <c r="E36" s="8" t="n">
        <f aca="false">MAX(C36*D36,H36)</f>
        <v>8381.213897472</v>
      </c>
      <c r="F36" s="6" t="n">
        <f aca="false">E36/估值_SOTP!$E$43</f>
        <v>6.17097220885642</v>
      </c>
      <c r="G36" s="14" t="n">
        <f aca="false">E36/估值_SOTP!$E$42</f>
        <v>0.163258331000716</v>
      </c>
      <c r="H36" s="8" t="n">
        <f aca="false">分业务!I7*假设!$C$28</f>
        <v>8381.213897472</v>
      </c>
    </row>
    <row r="37" customFormat="false" ht="15" hidden="false" customHeight="false" outlineLevel="0" collapsed="false">
      <c r="A37" s="5" t="s">
        <v>253</v>
      </c>
      <c r="C37" s="8" t="n">
        <f aca="false">估值_SOTP!I18</f>
        <v>1480.3052952787</v>
      </c>
      <c r="D37" s="18" t="n">
        <f aca="false">假设!$C$21</f>
        <v>18</v>
      </c>
      <c r="E37" s="8" t="n">
        <f aca="false">MAX(C37*D37,H37)</f>
        <v>26645.4953150165</v>
      </c>
      <c r="F37" s="6" t="n">
        <f aca="false">E37/估值_SOTP!$E$43</f>
        <v>19.6187107370899</v>
      </c>
      <c r="G37" s="14" t="n">
        <f aca="false">E37/估值_SOTP!$E$42</f>
        <v>0.519029718968167</v>
      </c>
      <c r="H37" s="8" t="n">
        <f aca="false">分业务!I17*假设!$C$29</f>
        <v>6565.7681892</v>
      </c>
    </row>
    <row r="38" customFormat="false" ht="15" hidden="false" customHeight="false" outlineLevel="0" collapsed="false">
      <c r="A38" s="5" t="s">
        <v>262</v>
      </c>
      <c r="C38" s="8" t="n">
        <f aca="false">估值_SOTP!I24</f>
        <v>200.687120107683</v>
      </c>
      <c r="D38" s="18" t="n">
        <f aca="false">假设!$C$22</f>
        <v>25</v>
      </c>
      <c r="E38" s="8" t="n">
        <f aca="false">MAX(C38*D38,H38)</f>
        <v>5017.17800269208</v>
      </c>
      <c r="F38" s="6" t="n">
        <f aca="false">E38/估值_SOTP!$E$43</f>
        <v>3.69407897235951</v>
      </c>
      <c r="G38" s="14" t="n">
        <f aca="false">E38/估值_SOTP!$E$42</f>
        <v>0.0977300086924252</v>
      </c>
      <c r="H38" s="8" t="n">
        <f aca="false">分业务!I23*假设!$C$30</f>
        <v>1655.8436016</v>
      </c>
    </row>
    <row r="39" customFormat="false" ht="15" hidden="false" customHeight="false" outlineLevel="0" collapsed="false">
      <c r="A39" s="5" t="s">
        <v>267</v>
      </c>
      <c r="C39" s="8" t="n">
        <f aca="false">估值_SOTP!I30</f>
        <v>4.93503886108886</v>
      </c>
      <c r="D39" s="18" t="n">
        <f aca="false">假设!$C$23</f>
        <v>10</v>
      </c>
      <c r="E39" s="8" t="n">
        <f aca="false">MAX(C39*D39,H39)</f>
        <v>49.3503886108886</v>
      </c>
      <c r="F39" s="6" t="n">
        <f aca="false">E39/估值_SOTP!$E$43</f>
        <v>0.0363360105516356</v>
      </c>
      <c r="G39" s="14" t="n">
        <f aca="false">E39/估值_SOTP!$E$42</f>
        <v>0.000961300138310581</v>
      </c>
      <c r="H39" s="8" t="n">
        <f aca="false">分业务!I29*假设!$C$31</f>
        <v>45.9970852</v>
      </c>
    </row>
    <row r="40" customFormat="false" ht="15" hidden="false" customHeight="false" outlineLevel="0" collapsed="false">
      <c r="A40" s="5" t="s">
        <v>711</v>
      </c>
      <c r="C40" s="8" t="n">
        <f aca="false">费用!I31</f>
        <v>668.56658499225</v>
      </c>
      <c r="D40" s="18" t="n">
        <f aca="false">假设!$C$19</f>
        <v>15</v>
      </c>
      <c r="E40" s="8" t="n">
        <f aca="false">MAX(0,C40*D40)</f>
        <v>10028.4987748838</v>
      </c>
      <c r="F40" s="6" t="n">
        <f aca="false">E40/估值_SOTP!$E$43</f>
        <v>7.3838453466776</v>
      </c>
      <c r="G40" s="14" t="n">
        <f aca="false">E40/估值_SOTP!$E$42</f>
        <v>0.195345923926852</v>
      </c>
    </row>
    <row r="41" customFormat="false" ht="15" hidden="false" customHeight="false" outlineLevel="0" collapsed="false">
      <c r="A41" s="5" t="s">
        <v>712</v>
      </c>
      <c r="E41" s="8" t="n">
        <f aca="false">资产负债表!H15-费用!H33+资产负债表!H16</f>
        <v>1215.392</v>
      </c>
      <c r="F41" s="6" t="n">
        <f aca="false">E41/估值_SOTP!$E$43</f>
        <v>0.894876368341902</v>
      </c>
      <c r="G41" s="14" t="n">
        <f aca="false">E41/估值_SOTP!$E$42</f>
        <v>0.023674717273529</v>
      </c>
    </row>
    <row r="42" customFormat="false" ht="15" hidden="false" customHeight="false" outlineLevel="0" collapsed="false">
      <c r="A42" s="12" t="s">
        <v>713</v>
      </c>
      <c r="E42" s="13" t="n">
        <f aca="false">E36+E37+E38+E39+E40+E41</f>
        <v>51337.1283786753</v>
      </c>
    </row>
    <row r="43" customFormat="false" ht="15" hidden="false" customHeight="false" outlineLevel="0" collapsed="false">
      <c r="A43" s="5" t="s">
        <v>684</v>
      </c>
      <c r="E43" s="7" t="n">
        <f aca="false">融资!H35</f>
        <v>1358.1675</v>
      </c>
    </row>
    <row r="44" customFormat="false" ht="15" hidden="false" customHeight="false" outlineLevel="0" collapsed="false">
      <c r="A44" s="15" t="s">
        <v>714</v>
      </c>
      <c r="E44" s="23" t="n">
        <f aca="false">E42/E43</f>
        <v>37.798819643877</v>
      </c>
    </row>
    <row r="45" customFormat="false" ht="15" hidden="false" customHeight="false" outlineLevel="0" collapsed="false">
      <c r="A45" s="5" t="s">
        <v>688</v>
      </c>
      <c r="E45" s="24" t="n">
        <f aca="false">E44/假设!$C$8-1</f>
        <v>0.0587904662150407</v>
      </c>
    </row>
    <row r="46" customFormat="false" ht="15" hidden="false" customHeight="false" outlineLevel="0" collapsed="false">
      <c r="A46" s="2" t="s">
        <v>715</v>
      </c>
    </row>
    <row r="48" customFormat="false" ht="15" hidden="false" customHeight="false" outlineLevel="0" collapsed="false">
      <c r="A48" s="99" t="s">
        <v>716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customFormat="false" ht="15" hidden="false" customHeight="false" outlineLevel="0" collapsed="false">
      <c r="A49" s="5" t="s">
        <v>717</v>
      </c>
      <c r="E49" s="42" t="n">
        <v>348.8</v>
      </c>
      <c r="H49" s="21" t="s">
        <v>718</v>
      </c>
    </row>
    <row r="50" customFormat="false" ht="15" hidden="false" customHeight="false" outlineLevel="0" collapsed="false">
      <c r="A50" s="5" t="s">
        <v>719</v>
      </c>
      <c r="E50" s="42" t="n">
        <v>51.29</v>
      </c>
      <c r="H50" s="22" t="s">
        <v>720</v>
      </c>
    </row>
    <row r="51" customFormat="false" ht="15" hidden="false" customHeight="false" outlineLevel="0" collapsed="false">
      <c r="A51" s="5" t="s">
        <v>721</v>
      </c>
      <c r="E51" s="42" t="n">
        <v>452</v>
      </c>
      <c r="H51" s="22" t="s">
        <v>722</v>
      </c>
    </row>
    <row r="52" customFormat="false" ht="15" hidden="false" customHeight="false" outlineLevel="0" collapsed="false">
      <c r="A52" s="12" t="s">
        <v>723</v>
      </c>
      <c r="E52" s="13" t="n">
        <f aca="false">历史报表!K34</f>
        <v>192.7997</v>
      </c>
    </row>
    <row r="53" customFormat="false" ht="15" hidden="false" customHeight="false" outlineLevel="0" collapsed="false">
      <c r="A53" s="12" t="s">
        <v>724</v>
      </c>
      <c r="E53" s="56" t="n">
        <f aca="false">E52-E49-E50-E51</f>
        <v>-659.2903</v>
      </c>
      <c r="H53" s="22" t="s">
        <v>725</v>
      </c>
    </row>
    <row r="55" customFormat="false" ht="15" hidden="false" customHeight="false" outlineLevel="0" collapsed="false">
      <c r="A55" s="3" t="s">
        <v>726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customFormat="false" ht="15" hidden="false" customHeight="false" outlineLevel="0" collapsed="false">
      <c r="A56" s="5" t="s">
        <v>727</v>
      </c>
      <c r="E56" s="8" t="n">
        <f aca="false">假设!$C$8*融资!G35</f>
        <v>48486.57975</v>
      </c>
    </row>
    <row r="57" customFormat="false" ht="15" hidden="false" customHeight="false" outlineLevel="0" collapsed="false">
      <c r="A57" s="5" t="s">
        <v>728</v>
      </c>
      <c r="E57" s="8" t="n">
        <f aca="false">E40</f>
        <v>10028.4987748838</v>
      </c>
    </row>
    <row r="58" customFormat="false" ht="15" hidden="false" customHeight="false" outlineLevel="0" collapsed="false">
      <c r="A58" s="5" t="s">
        <v>729</v>
      </c>
      <c r="E58" s="8" t="n">
        <f aca="false">E41</f>
        <v>1215.392</v>
      </c>
    </row>
    <row r="59" customFormat="false" ht="15" hidden="false" customHeight="false" outlineLevel="0" collapsed="false">
      <c r="A59" s="12" t="s">
        <v>730</v>
      </c>
      <c r="E59" s="13" t="n">
        <f aca="false">E56-E57-E58</f>
        <v>37242.6889751163</v>
      </c>
    </row>
    <row r="60" customFormat="false" ht="15" hidden="false" customHeight="false" outlineLevel="0" collapsed="false">
      <c r="A60" s="5" t="s">
        <v>731</v>
      </c>
      <c r="E60" s="8" t="n">
        <f aca="false">利润表!I29-费用!I35</f>
        <v>357.290568262263</v>
      </c>
    </row>
    <row r="61" customFormat="false" ht="15" hidden="false" customHeight="false" outlineLevel="0" collapsed="false">
      <c r="A61" s="12" t="s">
        <v>732</v>
      </c>
      <c r="E61" s="102" t="n">
        <f aca="false">IF(E60&lt;=0,"n.m.",E59/E60)</f>
        <v>104.236417872019</v>
      </c>
    </row>
    <row r="62" customFormat="false" ht="15" hidden="false" customHeight="false" outlineLevel="0" collapsed="false">
      <c r="A62" s="5" t="s">
        <v>733</v>
      </c>
      <c r="E62" s="7" t="n">
        <f aca="false">E59/利润表!I6</f>
        <v>1.26655858251076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  <col collapsed="false" customWidth="true" hidden="false" outlineLevel="0" max="9" min="9" style="0" width="50"/>
    <col collapsed="false" customWidth="true" hidden="false" outlineLevel="0" max="12" min="10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734</v>
      </c>
    </row>
    <row r="2" customFormat="false" ht="15" hidden="false" customHeight="false" outlineLevel="0" collapsed="false">
      <c r="A2" s="2" t="s">
        <v>735</v>
      </c>
    </row>
    <row r="5" customFormat="false" ht="15" hidden="false" customHeight="false" outlineLevel="0" collapsed="false">
      <c r="A5" s="3" t="s">
        <v>736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false" outlineLevel="0" collapsed="false">
      <c r="A6" s="10" t="s">
        <v>737</v>
      </c>
      <c r="B6" s="10" t="s">
        <v>738</v>
      </c>
      <c r="C6" s="103" t="s">
        <v>739</v>
      </c>
      <c r="D6" s="10" t="s">
        <v>740</v>
      </c>
      <c r="I6" s="10" t="s">
        <v>741</v>
      </c>
    </row>
    <row r="7" customFormat="false" ht="15" hidden="false" customHeight="false" outlineLevel="0" collapsed="false">
      <c r="A7" s="5" t="s">
        <v>742</v>
      </c>
      <c r="B7" s="17" t="s">
        <v>743</v>
      </c>
      <c r="C7" s="41" t="n">
        <v>109.42</v>
      </c>
      <c r="D7" s="104" t="s">
        <v>744</v>
      </c>
      <c r="I7" s="22" t="s">
        <v>745</v>
      </c>
    </row>
    <row r="8" customFormat="false" ht="15" hidden="false" customHeight="false" outlineLevel="0" collapsed="false">
      <c r="A8" s="5" t="s">
        <v>746</v>
      </c>
      <c r="B8" s="17" t="s">
        <v>747</v>
      </c>
      <c r="C8" s="41" t="n">
        <v>43</v>
      </c>
      <c r="D8" s="104" t="s">
        <v>748</v>
      </c>
      <c r="I8" s="21" t="s">
        <v>749</v>
      </c>
    </row>
    <row r="9" customFormat="false" ht="15" hidden="false" customHeight="false" outlineLevel="0" collapsed="false">
      <c r="A9" s="5" t="s">
        <v>750</v>
      </c>
      <c r="B9" s="17" t="s">
        <v>751</v>
      </c>
      <c r="C9" s="41" t="n">
        <v>33.82</v>
      </c>
      <c r="D9" s="104" t="s">
        <v>748</v>
      </c>
      <c r="I9" s="21" t="s">
        <v>752</v>
      </c>
    </row>
    <row r="10" customFormat="false" ht="15" hidden="false" customHeight="false" outlineLevel="0" collapsed="false">
      <c r="A10" s="5" t="s">
        <v>753</v>
      </c>
      <c r="B10" s="17" t="s">
        <v>754</v>
      </c>
      <c r="C10" s="41" t="n">
        <v>36.66</v>
      </c>
      <c r="D10" s="104" t="s">
        <v>755</v>
      </c>
      <c r="I10" s="21" t="s">
        <v>756</v>
      </c>
    </row>
    <row r="11" customFormat="false" ht="15" hidden="false" customHeight="false" outlineLevel="0" collapsed="false">
      <c r="A11" s="12" t="s">
        <v>757</v>
      </c>
      <c r="C11" s="102" t="n">
        <f aca="false">MEDIAN(C7:C10)</f>
        <v>39.83</v>
      </c>
    </row>
    <row r="12" customFormat="false" ht="15" hidden="false" customHeight="false" outlineLevel="0" collapsed="false">
      <c r="A12" s="5" t="s">
        <v>758</v>
      </c>
      <c r="C12" s="18" t="n">
        <f aca="false">MEDIAN(C8:C10)</f>
        <v>36.66</v>
      </c>
    </row>
    <row r="14" customFormat="false" ht="15" hidden="false" customHeight="false" outlineLevel="0" collapsed="false">
      <c r="A14" s="3" t="s">
        <v>759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15" hidden="false" customHeight="false" outlineLevel="0" collapsed="false">
      <c r="A15" s="10" t="s">
        <v>760</v>
      </c>
      <c r="C15" s="11" t="s">
        <v>13</v>
      </c>
      <c r="D15" s="11" t="s">
        <v>14</v>
      </c>
      <c r="E15" s="11" t="s">
        <v>15</v>
      </c>
      <c r="F15" s="11" t="s">
        <v>16</v>
      </c>
    </row>
    <row r="16" customFormat="false" ht="15" hidden="false" customHeight="false" outlineLevel="0" collapsed="false">
      <c r="A16" s="5" t="s">
        <v>761</v>
      </c>
      <c r="C16" s="8" t="n">
        <f aca="false">利润表!G29</f>
        <v>435.834299999999</v>
      </c>
      <c r="D16" s="8" t="n">
        <f aca="false">利润表!H29</f>
        <v>751.93617966504</v>
      </c>
      <c r="E16" s="8" t="n">
        <f aca="false">利润表!I29</f>
        <v>1075.85715325451</v>
      </c>
      <c r="F16" s="8" t="n">
        <f aca="false">利润表!J29</f>
        <v>1153.32708883724</v>
      </c>
    </row>
    <row r="17" customFormat="false" ht="15" hidden="false" customHeight="false" outlineLevel="0" collapsed="false">
      <c r="A17" s="17" t="s">
        <v>762</v>
      </c>
      <c r="C17" s="6" t="n">
        <f aca="false">利润表!G33</f>
        <v>0.32089878457554</v>
      </c>
      <c r="D17" s="6" t="n">
        <f aca="false">利润表!H33</f>
        <v>0.553640239267278</v>
      </c>
      <c r="E17" s="6" t="n">
        <f aca="false">利润表!I33</f>
        <v>0.73928836332362</v>
      </c>
      <c r="F17" s="6" t="n">
        <f aca="false">利润表!J33</f>
        <v>0.792522774333005</v>
      </c>
    </row>
    <row r="18" customFormat="false" ht="15" hidden="false" customHeight="false" outlineLevel="0" collapsed="false">
      <c r="A18" s="17" t="s">
        <v>26</v>
      </c>
      <c r="C18" s="18" t="n">
        <f aca="false">假设!$C$8/利润表!G33</f>
        <v>111.250031835494</v>
      </c>
      <c r="D18" s="18" t="n">
        <f aca="false">假设!$C$8/利润表!H33</f>
        <v>64.4823072239974</v>
      </c>
      <c r="E18" s="18" t="n">
        <f aca="false">假设!$C$8/利润表!I33</f>
        <v>48.289682038959</v>
      </c>
      <c r="F18" s="18" t="n">
        <f aca="false">假设!$C$8/利润表!J33</f>
        <v>45.0460241095854</v>
      </c>
    </row>
    <row r="19" customFormat="false" ht="15" hidden="false" customHeight="false" outlineLevel="0" collapsed="false">
      <c r="A19" s="17" t="s">
        <v>763</v>
      </c>
      <c r="C19" s="18" t="n">
        <f aca="false">IF(利润表!G29-费用!G31&lt;=0,"n.m.",(假设!$C$8*融资!G35-估值_SOTP!$E$40)/(利润表!G29-费用!G31))</f>
        <v>850.798293701857</v>
      </c>
      <c r="D19" s="18" t="n">
        <f aca="false">IF(利润表!H29-费用!H31&lt;=0,"n.m.",(假设!$C$8*融资!H35-估值_SOTP!$E$40)/(利润表!H29-费用!H31))</f>
        <v>333.819835949591</v>
      </c>
      <c r="E19" s="18" t="n">
        <f aca="false">IF(利润表!I29-费用!I31&lt;=0,"n.m.",(假设!$C$8*融资!I35-估值_SOTP!$E$40)/(利润表!I29-费用!I31))</f>
        <v>102.934622949875</v>
      </c>
      <c r="F19" s="18" t="n">
        <f aca="false">IF(利润表!J29-费用!J31&lt;=0,"n.m.",(假设!$C$8*融资!J35-估值_SOTP!$E$40)/(利润表!J29-费用!J31))</f>
        <v>92.8901226966637</v>
      </c>
    </row>
    <row r="20" customFormat="false" ht="15" hidden="false" customHeight="false" outlineLevel="0" collapsed="false">
      <c r="A20" s="17" t="s">
        <v>764</v>
      </c>
      <c r="C20" s="18" t="n">
        <f aca="false">假设!$C$8/利润表!G35</f>
        <v>2.76466838867461</v>
      </c>
      <c r="D20" s="18" t="n">
        <f aca="false">假设!$C$8/利润表!H35</f>
        <v>2.67024035660909</v>
      </c>
      <c r="E20" s="18" t="n">
        <f aca="false">假设!$C$8/利润表!I35</f>
        <v>2.3734489108556</v>
      </c>
      <c r="F20" s="18" t="n">
        <f aca="false">假设!$C$8/利润表!J35</f>
        <v>2.28668223515216</v>
      </c>
    </row>
    <row r="21" customFormat="false" ht="15" hidden="false" customHeight="false" outlineLevel="0" collapsed="false">
      <c r="A21" s="5" t="s">
        <v>765</v>
      </c>
      <c r="C21" s="76" t="n">
        <f aca="false">利润表!G34/假设!$C$8</f>
        <v>0.00271708683473389</v>
      </c>
      <c r="D21" s="76" t="n">
        <f aca="false">利润表!H34/假设!$C$8</f>
        <v>0.00465243898543931</v>
      </c>
      <c r="E21" s="76" t="n">
        <f aca="false">利润表!I34/假设!$C$8</f>
        <v>0.00621250725482034</v>
      </c>
      <c r="F21" s="76" t="n">
        <f aca="false">利润表!J34/假设!$C$8</f>
        <v>0.00665985524649584</v>
      </c>
    </row>
    <row r="22" customFormat="false" ht="15" hidden="false" customHeight="false" outlineLevel="0" collapsed="false">
      <c r="A22" s="17" t="s">
        <v>766</v>
      </c>
      <c r="C22" s="18" t="n">
        <f aca="false">假设!$C$8*融资!G35/(利润表!G29-历史报表!J34+历史报表!K34)</f>
        <v>141.746601963603</v>
      </c>
    </row>
    <row r="24" customFormat="false" ht="15" hidden="false" customHeight="false" outlineLevel="0" collapsed="false">
      <c r="A24" s="3" t="s">
        <v>767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customFormat="false" ht="15" hidden="false" customHeight="false" outlineLevel="0" collapsed="false">
      <c r="A25" s="10" t="s">
        <v>149</v>
      </c>
      <c r="D25" s="11" t="s">
        <v>14</v>
      </c>
      <c r="E25" s="11" t="s">
        <v>15</v>
      </c>
      <c r="F25" s="11" t="s">
        <v>16</v>
      </c>
    </row>
    <row r="26" customFormat="false" ht="15" hidden="false" customHeight="false" outlineLevel="0" collapsed="false">
      <c r="A26" s="5" t="s">
        <v>768</v>
      </c>
      <c r="D26" s="42" t="n">
        <v>27985.3</v>
      </c>
      <c r="E26" s="42" t="n">
        <v>31094.94</v>
      </c>
      <c r="F26" s="42" t="n">
        <v>34918.24</v>
      </c>
    </row>
    <row r="27" customFormat="false" ht="15" hidden="false" customHeight="false" outlineLevel="0" collapsed="false">
      <c r="A27" s="5" t="s">
        <v>769</v>
      </c>
      <c r="D27" s="8" t="n">
        <f aca="false">利润表!H6</f>
        <v>27563.516242</v>
      </c>
      <c r="E27" s="8" t="n">
        <f aca="false">利润表!I6</f>
        <v>29404.63196048</v>
      </c>
      <c r="F27" s="8" t="n">
        <f aca="false">利润表!J6</f>
        <v>30868.2690248821</v>
      </c>
    </row>
    <row r="28" customFormat="false" ht="15" hidden="false" customHeight="false" outlineLevel="0" collapsed="false">
      <c r="A28" s="5" t="s">
        <v>770</v>
      </c>
      <c r="D28" s="14" t="n">
        <f aca="false">D27/D26-1</f>
        <v>-0.0150716182424343</v>
      </c>
      <c r="E28" s="14" t="n">
        <f aca="false">E27/E26-1</f>
        <v>-0.0543595851775238</v>
      </c>
      <c r="F28" s="14" t="n">
        <f aca="false">F27/F26-1</f>
        <v>-0.115984395980952</v>
      </c>
    </row>
    <row r="29" customFormat="false" ht="15" hidden="false" customHeight="false" outlineLevel="0" collapsed="false">
      <c r="A29" s="5" t="s">
        <v>771</v>
      </c>
      <c r="D29" s="42" t="n">
        <v>1292.81</v>
      </c>
      <c r="E29" s="42" t="n">
        <v>1631.12</v>
      </c>
      <c r="F29" s="42" t="n">
        <v>2156.96</v>
      </c>
    </row>
    <row r="30" customFormat="false" ht="15" hidden="false" customHeight="false" outlineLevel="0" collapsed="false">
      <c r="A30" s="5" t="s">
        <v>772</v>
      </c>
      <c r="D30" s="42" t="n">
        <v>1949</v>
      </c>
      <c r="E30" s="42" t="n">
        <v>2731</v>
      </c>
      <c r="F30" s="42" t="n">
        <v>4957</v>
      </c>
    </row>
    <row r="31" customFormat="false" ht="15" hidden="false" customHeight="false" outlineLevel="0" collapsed="false">
      <c r="A31" s="5" t="s">
        <v>773</v>
      </c>
      <c r="D31" s="42" t="n">
        <v>609</v>
      </c>
      <c r="E31" s="42" t="n">
        <v>721</v>
      </c>
      <c r="F31" s="42" t="n">
        <v>856</v>
      </c>
    </row>
    <row r="32" customFormat="false" ht="15" hidden="false" customHeight="false" outlineLevel="0" collapsed="false">
      <c r="A32" s="5" t="s">
        <v>774</v>
      </c>
      <c r="D32" s="8" t="n">
        <f aca="false">利润表!H29</f>
        <v>751.93617966504</v>
      </c>
      <c r="E32" s="8" t="n">
        <f aca="false">利润表!I29</f>
        <v>1075.85715325451</v>
      </c>
      <c r="F32" s="8" t="n">
        <f aca="false">利润表!J29</f>
        <v>1153.32708883724</v>
      </c>
    </row>
    <row r="33" customFormat="false" ht="15" hidden="false" customHeight="false" outlineLevel="0" collapsed="false">
      <c r="A33" s="5" t="s">
        <v>770</v>
      </c>
      <c r="D33" s="14" t="n">
        <f aca="false">D32/D29-1</f>
        <v>-0.418370696649129</v>
      </c>
      <c r="E33" s="14" t="n">
        <f aca="false">E32/E29-1</f>
        <v>-0.340418146270959</v>
      </c>
      <c r="F33" s="14" t="n">
        <f aca="false">F32/F29-1</f>
        <v>-0.46529973256934</v>
      </c>
    </row>
    <row r="34" customFormat="false" ht="15" hidden="false" customHeight="false" outlineLevel="0" collapsed="false">
      <c r="A34" s="5" t="s">
        <v>775</v>
      </c>
      <c r="D34" s="8" t="n">
        <f aca="false">费用!H31</f>
        <v>636.730080945</v>
      </c>
      <c r="E34" s="8" t="n">
        <f aca="false">费用!I31</f>
        <v>668.56658499225</v>
      </c>
      <c r="F34" s="8" t="n">
        <f aca="false">费用!J31</f>
        <v>701.994914241863</v>
      </c>
    </row>
    <row r="35" customFormat="false" ht="15" hidden="false" customHeight="false" outlineLevel="0" collapsed="false">
      <c r="A35" s="2" t="s">
        <v>776</v>
      </c>
    </row>
    <row r="37" customFormat="false" ht="15" hidden="false" customHeight="false" outlineLevel="0" collapsed="false">
      <c r="A37" s="3" t="s">
        <v>777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customFormat="false" ht="15" hidden="false" customHeight="false" outlineLevel="0" collapsed="false">
      <c r="A38" s="5" t="s">
        <v>40</v>
      </c>
      <c r="C38" s="18" t="n">
        <f aca="false">假设!$C$33</f>
        <v>30</v>
      </c>
    </row>
    <row r="39" customFormat="false" ht="15" hidden="false" customHeight="false" outlineLevel="0" collapsed="false">
      <c r="A39" s="12" t="s">
        <v>778</v>
      </c>
      <c r="C39" s="23" t="n">
        <f aca="false">IF(利润表!I33&lt;=0,"n.m.",假设!$C$33*利润表!I33)</f>
        <v>22.1786508997086</v>
      </c>
    </row>
    <row r="40" customFormat="false" ht="15" hidden="false" customHeight="false" outlineLevel="0" collapsed="false">
      <c r="A40" s="5" t="s">
        <v>688</v>
      </c>
      <c r="C40" s="14" t="n">
        <f aca="false">IF(ISNUMBER(C39),C39/假设!$C$8-1,"n.m.")</f>
        <v>-0.378749274517966</v>
      </c>
    </row>
    <row r="42" customFormat="false" ht="15" hidden="false" customHeight="false" outlineLevel="0" collapsed="false">
      <c r="A42" s="99" t="s">
        <v>779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customFormat="false" ht="15" hidden="false" customHeight="false" outlineLevel="0" collapsed="false">
      <c r="A43" s="15" t="s">
        <v>780</v>
      </c>
      <c r="D43" s="101" t="s">
        <v>14</v>
      </c>
      <c r="E43" s="101" t="s">
        <v>15</v>
      </c>
      <c r="F43" s="101" t="s">
        <v>16</v>
      </c>
    </row>
    <row r="44" customFormat="false" ht="15" hidden="false" customHeight="false" outlineLevel="0" collapsed="false">
      <c r="A44" s="105" t="n">
        <v>20</v>
      </c>
      <c r="D44" s="6" t="n">
        <f aca="false">$A44*利润表!H33</f>
        <v>11.0728047853456</v>
      </c>
      <c r="E44" s="6" t="n">
        <f aca="false">$A44*利润表!I33</f>
        <v>14.7857672664724</v>
      </c>
      <c r="F44" s="6" t="n">
        <f aca="false">$A44*利润表!J33</f>
        <v>15.8504554866601</v>
      </c>
    </row>
    <row r="45" customFormat="false" ht="15" hidden="false" customHeight="false" outlineLevel="0" collapsed="false">
      <c r="A45" s="105" t="n">
        <v>25</v>
      </c>
      <c r="D45" s="6" t="n">
        <f aca="false">$A45*利润表!H33</f>
        <v>13.8410059816819</v>
      </c>
      <c r="E45" s="6" t="n">
        <f aca="false">$A45*利润表!I33</f>
        <v>18.4822090830905</v>
      </c>
      <c r="F45" s="6" t="n">
        <f aca="false">$A45*利润表!J33</f>
        <v>19.8130693583251</v>
      </c>
    </row>
    <row r="46" customFormat="false" ht="15" hidden="false" customHeight="false" outlineLevel="0" collapsed="false">
      <c r="A46" s="105" t="n">
        <v>30</v>
      </c>
      <c r="D46" s="6" t="n">
        <f aca="false">$A46*利润表!H33</f>
        <v>16.6092071780183</v>
      </c>
      <c r="E46" s="6" t="n">
        <f aca="false">$A46*利润表!I33</f>
        <v>22.1786508997086</v>
      </c>
      <c r="F46" s="6" t="n">
        <f aca="false">$A46*利润表!J33</f>
        <v>23.7756832299901</v>
      </c>
    </row>
    <row r="47" customFormat="false" ht="15" hidden="false" customHeight="false" outlineLevel="0" collapsed="false">
      <c r="A47" s="105" t="n">
        <v>35</v>
      </c>
      <c r="D47" s="6" t="n">
        <f aca="false">$A47*利润表!H33</f>
        <v>19.3774083743547</v>
      </c>
      <c r="E47" s="6" t="n">
        <f aca="false">$A47*利润表!I33</f>
        <v>25.8750927163267</v>
      </c>
      <c r="F47" s="6" t="n">
        <f aca="false">$A47*利润表!J33</f>
        <v>27.7382971016552</v>
      </c>
    </row>
    <row r="48" customFormat="false" ht="15" hidden="false" customHeight="false" outlineLevel="0" collapsed="false">
      <c r="A48" s="105" t="n">
        <v>40</v>
      </c>
      <c r="D48" s="6" t="n">
        <f aca="false">$A48*利润表!H33</f>
        <v>22.1456095706911</v>
      </c>
      <c r="E48" s="6" t="n">
        <f aca="false">$A48*利润表!I33</f>
        <v>29.5715345329448</v>
      </c>
      <c r="F48" s="6" t="n">
        <f aca="false">$A48*利润表!J33</f>
        <v>31.7009109733202</v>
      </c>
    </row>
    <row r="49" customFormat="false" ht="15" hidden="false" customHeight="false" outlineLevel="0" collapsed="false">
      <c r="A49" s="105" t="n">
        <v>45</v>
      </c>
      <c r="D49" s="6" t="n">
        <f aca="false">$A49*利润表!H33</f>
        <v>24.9138107670275</v>
      </c>
      <c r="E49" s="6" t="n">
        <f aca="false">$A49*利润表!I33</f>
        <v>33.2679763495629</v>
      </c>
      <c r="F49" s="6" t="n">
        <f aca="false">$A49*利润表!J33</f>
        <v>35.6635248449852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50"/>
    <col collapsed="false" customWidth="true" hidden="false" outlineLevel="0" max="12" min="8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781</v>
      </c>
    </row>
    <row r="5" customFormat="false" ht="15" hidden="false" customHeight="false" outlineLevel="0" collapsed="false">
      <c r="A5" s="106" t="s">
        <v>760</v>
      </c>
      <c r="C5" s="107" t="s">
        <v>7</v>
      </c>
      <c r="D5" s="107" t="s">
        <v>782</v>
      </c>
      <c r="E5" s="107" t="s">
        <v>783</v>
      </c>
      <c r="F5" s="107" t="s">
        <v>784</v>
      </c>
    </row>
    <row r="6" customFormat="false" ht="15" hidden="false" customHeight="false" outlineLevel="0" collapsed="false">
      <c r="A6" s="5" t="s">
        <v>785</v>
      </c>
      <c r="C6" s="15" t="str">
        <f aca="false">假设!$D$5</f>
        <v>基准</v>
      </c>
      <c r="D6" s="27" t="s">
        <v>782</v>
      </c>
      <c r="E6" s="27" t="s">
        <v>783</v>
      </c>
      <c r="F6" s="27" t="s">
        <v>784</v>
      </c>
    </row>
    <row r="7" customFormat="false" ht="15" hidden="false" customHeight="false" outlineLevel="0" collapsed="false">
      <c r="A7" s="5" t="s">
        <v>786</v>
      </c>
      <c r="C7" s="8" t="n">
        <f aca="false">利润表!H6</f>
        <v>27563.516242</v>
      </c>
      <c r="D7" s="42" t="n">
        <v>27563.516242</v>
      </c>
      <c r="E7" s="42" t="n">
        <v>28786.0621736</v>
      </c>
      <c r="F7" s="42" t="n">
        <v>26336.0823156</v>
      </c>
    </row>
    <row r="8" customFormat="false" ht="15" hidden="false" customHeight="false" outlineLevel="0" collapsed="false">
      <c r="A8" s="5" t="s">
        <v>787</v>
      </c>
      <c r="C8" s="8" t="n">
        <f aca="false">利润表!I6</f>
        <v>29404.63196048</v>
      </c>
      <c r="D8" s="42" t="n">
        <v>29404.63196048</v>
      </c>
      <c r="E8" s="42" t="n">
        <v>32819.9537863738</v>
      </c>
      <c r="F8" s="42" t="n">
        <v>25322.7549533472</v>
      </c>
    </row>
    <row r="9" customFormat="false" ht="15" hidden="false" customHeight="false" outlineLevel="0" collapsed="false">
      <c r="A9" s="5" t="s">
        <v>788</v>
      </c>
      <c r="C9" s="8" t="n">
        <f aca="false">利润表!J6</f>
        <v>30868.2690248821</v>
      </c>
      <c r="D9" s="42" t="n">
        <v>30868.2690248821</v>
      </c>
      <c r="E9" s="42" t="n">
        <v>35808.4597718471</v>
      </c>
      <c r="F9" s="42" t="n">
        <v>25374.673781197</v>
      </c>
    </row>
    <row r="10" customFormat="false" ht="15" hidden="false" customHeight="false" outlineLevel="0" collapsed="false">
      <c r="A10" s="5" t="s">
        <v>789</v>
      </c>
      <c r="C10" s="8" t="n">
        <f aca="false">利润表!H29</f>
        <v>751.93617966504</v>
      </c>
      <c r="D10" s="42" t="n">
        <v>751.93617966504</v>
      </c>
      <c r="E10" s="42" t="n">
        <v>1681.2057856529</v>
      </c>
      <c r="F10" s="42" t="n">
        <v>-30.0348684236069</v>
      </c>
    </row>
    <row r="11" customFormat="false" ht="15" hidden="false" customHeight="false" outlineLevel="0" collapsed="false">
      <c r="A11" s="5" t="s">
        <v>790</v>
      </c>
      <c r="C11" s="8" t="n">
        <f aca="false">利润表!I29</f>
        <v>1075.85715325451</v>
      </c>
      <c r="D11" s="42" t="n">
        <v>1075.85715325451</v>
      </c>
      <c r="E11" s="42" t="n">
        <v>2779.11059664942</v>
      </c>
      <c r="F11" s="42" t="n">
        <v>-575.920339510144</v>
      </c>
    </row>
    <row r="12" customFormat="false" ht="15" hidden="false" customHeight="false" outlineLevel="0" collapsed="false">
      <c r="A12" s="5" t="s">
        <v>791</v>
      </c>
      <c r="C12" s="8" t="n">
        <f aca="false">利润表!J29</f>
        <v>1153.32708883724</v>
      </c>
      <c r="D12" s="42" t="n">
        <v>1153.32708883724</v>
      </c>
      <c r="E12" s="42" t="n">
        <v>3171.38134972615</v>
      </c>
      <c r="F12" s="42" t="n">
        <v>-779.779029387199</v>
      </c>
    </row>
    <row r="13" customFormat="false" ht="15" hidden="false" customHeight="false" outlineLevel="0" collapsed="false">
      <c r="A13" s="17" t="s">
        <v>792</v>
      </c>
      <c r="C13" s="6" t="n">
        <f aca="false">利润表!H33</f>
        <v>0.553640239267278</v>
      </c>
      <c r="D13" s="44" t="n">
        <v>0.553640239267278</v>
      </c>
      <c r="E13" s="44" t="n">
        <v>1.23784863476184</v>
      </c>
      <c r="F13" s="44" t="n">
        <v>-0.0221142594146943</v>
      </c>
    </row>
    <row r="14" customFormat="false" ht="15" hidden="false" customHeight="false" outlineLevel="0" collapsed="false">
      <c r="A14" s="17" t="s">
        <v>793</v>
      </c>
      <c r="C14" s="6" t="n">
        <f aca="false">利润表!I33</f>
        <v>0.73928836332362</v>
      </c>
      <c r="D14" s="44" t="n">
        <v>0.73928836332362</v>
      </c>
      <c r="E14" s="44" t="n">
        <v>1.90969973874054</v>
      </c>
      <c r="F14" s="44" t="n">
        <v>-0.424042203564836</v>
      </c>
    </row>
    <row r="15" customFormat="false" ht="15" hidden="false" customHeight="false" outlineLevel="0" collapsed="false">
      <c r="A15" s="5" t="s">
        <v>794</v>
      </c>
      <c r="C15" s="8" t="n">
        <f aca="false">费用!I47</f>
        <v>407.290568262263</v>
      </c>
      <c r="D15" s="42" t="n">
        <v>407.290568262263</v>
      </c>
      <c r="E15" s="42" t="n">
        <v>1991.59658242542</v>
      </c>
      <c r="F15" s="42" t="n">
        <v>-1057.37421973389</v>
      </c>
    </row>
    <row r="16" customFormat="false" ht="15" hidden="false" customHeight="false" outlineLevel="0" collapsed="false">
      <c r="A16" s="5" t="s">
        <v>795</v>
      </c>
      <c r="C16" s="8" t="n">
        <f aca="false">分业务!I20</f>
        <v>2363.676548112</v>
      </c>
      <c r="D16" s="42" t="n">
        <v>2363.676548112</v>
      </c>
      <c r="E16" s="42" t="n">
        <v>3524.57774977352</v>
      </c>
      <c r="F16" s="42" t="n">
        <v>1405.14727565722</v>
      </c>
    </row>
    <row r="17" customFormat="false" ht="15" hidden="false" customHeight="false" outlineLevel="0" collapsed="false">
      <c r="A17" s="17" t="s">
        <v>796</v>
      </c>
      <c r="C17" s="8" t="n">
        <f aca="false">估值_DCF!I12</f>
        <v>262.848322965311</v>
      </c>
      <c r="D17" s="42" t="n">
        <v>262.848322965311</v>
      </c>
      <c r="E17" s="42" t="n">
        <v>1591.20453622394</v>
      </c>
      <c r="F17" s="42" t="n">
        <v>-319.119756479215</v>
      </c>
    </row>
    <row r="18" customFormat="false" ht="15" hidden="false" customHeight="false" outlineLevel="0" collapsed="false">
      <c r="A18" s="5" t="s">
        <v>797</v>
      </c>
      <c r="C18" s="8" t="n">
        <f aca="false">融资!H19</f>
        <v>5739.03102779165</v>
      </c>
      <c r="D18" s="42" t="n">
        <v>5739.03102779165</v>
      </c>
      <c r="E18" s="42" t="n">
        <v>3775.36927531374</v>
      </c>
      <c r="F18" s="42" t="n">
        <v>8122.23345102533</v>
      </c>
    </row>
    <row r="19" customFormat="false" ht="15" hidden="false" customHeight="false" outlineLevel="0" collapsed="false">
      <c r="A19" s="17" t="s">
        <v>798</v>
      </c>
      <c r="C19" s="6" t="n">
        <f aca="false">估值_DCF!$D$37</f>
        <v>15.647377236834</v>
      </c>
      <c r="D19" s="44" t="n">
        <v>15.647377236834</v>
      </c>
      <c r="E19" s="44" t="n">
        <v>41.1231794308221</v>
      </c>
      <c r="F19" s="44" t="n">
        <v>-8.89706217173719</v>
      </c>
    </row>
    <row r="20" customFormat="false" ht="15" hidden="false" customHeight="false" outlineLevel="0" collapsed="false">
      <c r="A20" s="17" t="s">
        <v>799</v>
      </c>
      <c r="C20" s="6" t="n">
        <f aca="false">估值_SOTP!$E$44</f>
        <v>37.798819643877</v>
      </c>
      <c r="D20" s="44" t="n">
        <v>37.798819643877</v>
      </c>
      <c r="E20" s="44" t="n">
        <v>53.0970848813412</v>
      </c>
      <c r="F20" s="44" t="n">
        <v>22.5337013504279</v>
      </c>
    </row>
    <row r="21" customFormat="false" ht="15" hidden="false" customHeight="false" outlineLevel="0" collapsed="false">
      <c r="A21" s="5" t="s">
        <v>800</v>
      </c>
      <c r="C21" s="6" t="n">
        <f aca="false">估值_相对!$C$39</f>
        <v>22.1786508997086</v>
      </c>
      <c r="D21" s="44" t="n">
        <v>22.1786508997086</v>
      </c>
      <c r="E21" s="44" t="n">
        <v>57.2909921622161</v>
      </c>
      <c r="F21" s="44" t="s">
        <v>801</v>
      </c>
    </row>
    <row r="23" customFormat="false" ht="15" hidden="false" customHeight="false" outlineLevel="0" collapsed="false">
      <c r="A23" s="3" t="s">
        <v>802</v>
      </c>
    </row>
    <row r="24" customFormat="false" ht="48" hidden="false" customHeight="true" outlineLevel="0" collapsed="false">
      <c r="A24" s="108" t="s">
        <v>803</v>
      </c>
      <c r="B24" s="108"/>
      <c r="C24" s="108"/>
      <c r="D24" s="108"/>
      <c r="E24" s="108"/>
      <c r="F24" s="108"/>
      <c r="G24" s="108"/>
    </row>
    <row r="25" customFormat="false" ht="48" hidden="false" customHeight="true" outlineLevel="0" collapsed="false">
      <c r="A25" s="108" t="s">
        <v>804</v>
      </c>
      <c r="B25" s="108"/>
      <c r="C25" s="108"/>
      <c r="D25" s="108"/>
      <c r="E25" s="108"/>
      <c r="F25" s="108"/>
      <c r="G25" s="108"/>
    </row>
    <row r="26" customFormat="false" ht="48" hidden="false" customHeight="true" outlineLevel="0" collapsed="false">
      <c r="A26" s="108" t="s">
        <v>805</v>
      </c>
      <c r="B26" s="108"/>
      <c r="C26" s="108"/>
      <c r="D26" s="108"/>
      <c r="E26" s="108"/>
      <c r="F26" s="108"/>
      <c r="G26" s="108"/>
    </row>
  </sheetData>
  <mergeCells count="3">
    <mergeCell ref="A24:G24"/>
    <mergeCell ref="A25:G25"/>
    <mergeCell ref="A26:G2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W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3" min="2" style="0" width="9"/>
  </cols>
  <sheetData>
    <row r="1" customFormat="false" ht="17.35" hidden="false" customHeight="false" outlineLevel="0" collapsed="false">
      <c r="A1" s="1" t="s">
        <v>806</v>
      </c>
    </row>
    <row r="2" customFormat="false" ht="15" hidden="false" customHeight="false" outlineLevel="0" collapsed="false">
      <c r="A2" s="2" t="s">
        <v>807</v>
      </c>
    </row>
    <row r="5" customFormat="false" ht="15" hidden="false" customHeight="false" outlineLevel="0" collapsed="false">
      <c r="A5" s="10" t="s">
        <v>149</v>
      </c>
      <c r="B5" s="11" t="s">
        <v>808</v>
      </c>
      <c r="C5" s="11" t="s">
        <v>809</v>
      </c>
      <c r="D5" s="11" t="s">
        <v>810</v>
      </c>
      <c r="E5" s="11" t="s">
        <v>811</v>
      </c>
      <c r="F5" s="11" t="s">
        <v>812</v>
      </c>
      <c r="G5" s="11" t="s">
        <v>813</v>
      </c>
      <c r="H5" s="11" t="s">
        <v>814</v>
      </c>
      <c r="I5" s="11" t="s">
        <v>815</v>
      </c>
      <c r="J5" s="11" t="s">
        <v>816</v>
      </c>
      <c r="K5" s="11" t="s">
        <v>817</v>
      </c>
      <c r="L5" s="11" t="s">
        <v>818</v>
      </c>
      <c r="M5" s="11" t="s">
        <v>819</v>
      </c>
      <c r="N5" s="11" t="s">
        <v>820</v>
      </c>
      <c r="O5" s="11" t="s">
        <v>821</v>
      </c>
      <c r="P5" s="11" t="s">
        <v>822</v>
      </c>
      <c r="Q5" s="11" t="s">
        <v>823</v>
      </c>
      <c r="R5" s="11" t="s">
        <v>824</v>
      </c>
      <c r="S5" s="11" t="s">
        <v>825</v>
      </c>
      <c r="T5" s="11" t="s">
        <v>826</v>
      </c>
      <c r="U5" s="11" t="s">
        <v>827</v>
      </c>
      <c r="V5" s="11" t="s">
        <v>828</v>
      </c>
      <c r="W5" s="11" t="s">
        <v>829</v>
      </c>
    </row>
    <row r="6" customFormat="false" ht="15" hidden="false" customHeight="false" outlineLevel="0" collapsed="false">
      <c r="A6" s="5" t="s">
        <v>17</v>
      </c>
      <c r="B6" s="42" t="n">
        <v>4029.5657</v>
      </c>
      <c r="C6" s="42" t="n">
        <v>7979.0636</v>
      </c>
      <c r="D6" s="42" t="n">
        <v>6531.067</v>
      </c>
      <c r="E6" s="42" t="n">
        <v>7775.2841</v>
      </c>
      <c r="F6" s="42" t="n">
        <v>4538.7189</v>
      </c>
      <c r="G6" s="42" t="n">
        <v>9465.4281</v>
      </c>
      <c r="H6" s="42" t="n">
        <v>7523.6788</v>
      </c>
      <c r="I6" s="42" t="n">
        <v>9390.0347</v>
      </c>
      <c r="J6" s="42" t="n">
        <v>5016.2508</v>
      </c>
      <c r="K6" s="42" t="n">
        <v>9878.2522</v>
      </c>
      <c r="L6" s="42" t="n">
        <v>7664.7455</v>
      </c>
      <c r="M6" s="42" t="n">
        <v>8570.3259</v>
      </c>
      <c r="N6" s="42" t="n">
        <v>5058.8093</v>
      </c>
      <c r="O6" s="42" t="n">
        <v>8790.629</v>
      </c>
      <c r="P6" s="42" t="n">
        <v>7304.4004</v>
      </c>
      <c r="Q6" s="42" t="n">
        <v>7394.9922</v>
      </c>
      <c r="R6" s="42" t="n">
        <v>4048.5401</v>
      </c>
      <c r="S6" s="42" t="n">
        <v>7068.2808</v>
      </c>
      <c r="T6" s="42" t="n">
        <v>5954.8119</v>
      </c>
      <c r="U6" s="42" t="n">
        <v>7846.9217</v>
      </c>
      <c r="V6" s="42" t="n">
        <v>4510.1774</v>
      </c>
      <c r="W6" s="42" t="n">
        <v>7866.181</v>
      </c>
    </row>
    <row r="7" customFormat="false" ht="15" hidden="false" customHeight="false" outlineLevel="0" collapsed="false">
      <c r="A7" s="5" t="s">
        <v>438</v>
      </c>
      <c r="B7" s="42" t="n">
        <v>3075.4809</v>
      </c>
      <c r="C7" s="42" t="n">
        <v>6508.7154</v>
      </c>
      <c r="D7" s="42" t="n">
        <v>4931.1539</v>
      </c>
      <c r="E7" s="42" t="n">
        <v>6089.6953</v>
      </c>
      <c r="F7" s="42" t="n">
        <v>3462.4554</v>
      </c>
      <c r="G7" s="42" t="n">
        <v>7586.4888</v>
      </c>
      <c r="H7" s="42" t="n">
        <v>5788.3543</v>
      </c>
      <c r="I7" s="42" t="n">
        <v>7289.382</v>
      </c>
      <c r="J7" s="42" t="n">
        <v>3832.7275</v>
      </c>
      <c r="K7" s="42" t="n">
        <v>7951.6826</v>
      </c>
      <c r="L7" s="42" t="n">
        <v>5818.6131</v>
      </c>
      <c r="M7" s="42" t="n">
        <v>7125.1022</v>
      </c>
      <c r="N7" s="42" t="n">
        <v>3802.5821</v>
      </c>
      <c r="O7" s="42" t="n">
        <v>7092.2537</v>
      </c>
      <c r="P7" s="42" t="n">
        <v>5577.8108</v>
      </c>
      <c r="Q7" s="42" t="n">
        <v>6010.0173</v>
      </c>
      <c r="R7" s="42" t="n">
        <v>2998.6181</v>
      </c>
      <c r="S7" s="42" t="n">
        <v>5647.9801</v>
      </c>
      <c r="T7" s="42" t="n">
        <v>4597.927</v>
      </c>
      <c r="U7" s="42" t="n">
        <v>6416.7031</v>
      </c>
      <c r="V7" s="42" t="n">
        <v>3317.4836</v>
      </c>
      <c r="W7" s="42" t="n">
        <v>6410.3778</v>
      </c>
    </row>
    <row r="8" customFormat="false" ht="15" hidden="false" customHeight="false" outlineLevel="0" collapsed="false">
      <c r="A8" s="5" t="s">
        <v>321</v>
      </c>
      <c r="B8" s="42" t="n">
        <v>310.6839</v>
      </c>
      <c r="C8" s="42" t="n">
        <v>450.6548</v>
      </c>
      <c r="D8" s="42" t="n">
        <v>506.8671</v>
      </c>
      <c r="E8" s="42" t="n">
        <v>149.7396</v>
      </c>
      <c r="F8" s="42" t="n">
        <v>349.1421</v>
      </c>
      <c r="G8" s="42" t="n">
        <v>536.8722</v>
      </c>
      <c r="H8" s="42" t="n">
        <v>584.3303</v>
      </c>
      <c r="I8" s="42" t="n">
        <v>175.5904</v>
      </c>
      <c r="J8" s="42" t="n">
        <v>379.6342</v>
      </c>
      <c r="K8" s="42" t="n">
        <v>582.7553</v>
      </c>
      <c r="L8" s="42" t="n">
        <v>593.0662</v>
      </c>
      <c r="M8" s="42" t="n">
        <v>231.2181</v>
      </c>
      <c r="N8" s="42" t="n">
        <v>380.3841</v>
      </c>
      <c r="O8" s="42" t="n">
        <v>603.7779</v>
      </c>
      <c r="P8" s="42" t="n">
        <v>461.4869</v>
      </c>
      <c r="Q8" s="42" t="n">
        <v>435.7093</v>
      </c>
      <c r="R8" s="42" t="n">
        <v>369.6816</v>
      </c>
      <c r="S8" s="42" t="n">
        <v>593.6688</v>
      </c>
      <c r="T8" s="42" t="n">
        <v>517.5002</v>
      </c>
      <c r="U8" s="42" t="n">
        <v>494.808</v>
      </c>
      <c r="V8" s="42" t="n">
        <v>390.4067</v>
      </c>
      <c r="W8" s="42" t="n">
        <v>671.1109</v>
      </c>
    </row>
    <row r="9" customFormat="false" ht="15" hidden="false" customHeight="false" outlineLevel="0" collapsed="false">
      <c r="A9" s="5" t="s">
        <v>322</v>
      </c>
      <c r="B9" s="42" t="n">
        <v>80.3105</v>
      </c>
      <c r="C9" s="42" t="n">
        <v>60.6217</v>
      </c>
      <c r="D9" s="42" t="n">
        <v>85.7817</v>
      </c>
      <c r="E9" s="42" t="n">
        <v>67.6887</v>
      </c>
      <c r="F9" s="42" t="n">
        <v>88.243</v>
      </c>
      <c r="G9" s="42" t="n">
        <v>72.1725</v>
      </c>
      <c r="H9" s="42" t="n">
        <v>82.3589</v>
      </c>
      <c r="I9" s="42" t="n">
        <v>85.8579</v>
      </c>
      <c r="J9" s="42" t="n">
        <v>93.7648</v>
      </c>
      <c r="K9" s="42" t="n">
        <v>75.4461</v>
      </c>
      <c r="L9" s="42" t="n">
        <v>76.5619</v>
      </c>
      <c r="M9" s="42" t="n">
        <v>95.2401</v>
      </c>
      <c r="N9" s="42" t="n">
        <v>94.1008</v>
      </c>
      <c r="O9" s="42" t="n">
        <v>73.809</v>
      </c>
      <c r="P9" s="42" t="n">
        <v>75.8956</v>
      </c>
      <c r="Q9" s="42" t="n">
        <v>195.7484</v>
      </c>
      <c r="R9" s="42" t="n">
        <v>85.5122</v>
      </c>
      <c r="S9" s="42" t="n">
        <v>86.0402</v>
      </c>
      <c r="T9" s="42" t="n">
        <v>79.6612</v>
      </c>
      <c r="U9" s="42" t="n">
        <v>233.1763</v>
      </c>
      <c r="V9" s="42" t="n">
        <v>92.2349</v>
      </c>
      <c r="W9" s="42" t="n">
        <v>97.8856</v>
      </c>
    </row>
    <row r="10" customFormat="false" ht="15" hidden="false" customHeight="false" outlineLevel="0" collapsed="false">
      <c r="A10" s="5" t="s">
        <v>529</v>
      </c>
      <c r="B10" s="42" t="n">
        <v>555.4353</v>
      </c>
      <c r="C10" s="42" t="n">
        <v>838.0294</v>
      </c>
      <c r="D10" s="42" t="n">
        <v>877.3268</v>
      </c>
      <c r="E10" s="42" t="n">
        <v>1189.6395</v>
      </c>
      <c r="F10" s="42" t="n">
        <v>649.1345</v>
      </c>
      <c r="G10" s="42" t="n">
        <v>1071.8439</v>
      </c>
      <c r="H10" s="42" t="n">
        <v>1002.6944</v>
      </c>
      <c r="I10" s="42" t="n">
        <v>1378.1092</v>
      </c>
      <c r="J10" s="42" t="n">
        <v>712.4591</v>
      </c>
      <c r="K10" s="42" t="n">
        <v>1185.8138</v>
      </c>
      <c r="L10" s="42" t="n">
        <v>1018.2695</v>
      </c>
      <c r="M10" s="42" t="n">
        <v>661.7888</v>
      </c>
      <c r="N10" s="42" t="n">
        <v>728.6759</v>
      </c>
      <c r="O10" s="42" t="n">
        <v>861.2194</v>
      </c>
      <c r="P10" s="42" t="n">
        <v>1224.8669</v>
      </c>
      <c r="Q10" s="42" t="n">
        <v>66.4882</v>
      </c>
      <c r="R10" s="42" t="n">
        <v>691.6827</v>
      </c>
      <c r="S10" s="42" t="n">
        <v>747.4744</v>
      </c>
      <c r="T10" s="42" t="n">
        <v>934.6398</v>
      </c>
      <c r="U10" s="42" t="n">
        <v>196.3013</v>
      </c>
      <c r="V10" s="42" t="n">
        <v>632.6666</v>
      </c>
      <c r="W10" s="42" t="n">
        <v>637.3018</v>
      </c>
    </row>
    <row r="11" customFormat="false" ht="15" hidden="false" customHeight="false" outlineLevel="0" collapsed="false">
      <c r="A11" s="5" t="s">
        <v>487</v>
      </c>
      <c r="B11" s="42" t="n">
        <v>45.8105</v>
      </c>
      <c r="C11" s="42" t="n">
        <v>81.8479</v>
      </c>
      <c r="D11" s="42" t="n">
        <v>119.6178</v>
      </c>
      <c r="E11" s="42" t="n">
        <v>117.9983</v>
      </c>
      <c r="F11" s="42" t="n">
        <v>35.9651</v>
      </c>
      <c r="G11" s="42" t="n">
        <v>113.0079</v>
      </c>
      <c r="H11" s="42" t="n">
        <v>64.45</v>
      </c>
      <c r="I11" s="42" t="n">
        <v>169.1114</v>
      </c>
      <c r="J11" s="42" t="n">
        <v>12.3105</v>
      </c>
      <c r="K11" s="42" t="n">
        <v>104.5833</v>
      </c>
      <c r="L11" s="42" t="n">
        <v>98.8119</v>
      </c>
      <c r="M11" s="42" t="n">
        <v>99.8871</v>
      </c>
      <c r="N11" s="42" t="n">
        <v>93.6555</v>
      </c>
      <c r="O11" s="42" t="n">
        <v>169.9363</v>
      </c>
      <c r="P11" s="42" t="n">
        <v>41.006</v>
      </c>
      <c r="Q11" s="42" t="n">
        <v>253.0467</v>
      </c>
      <c r="R11" s="42" t="n">
        <v>102.6094</v>
      </c>
      <c r="S11" s="42" t="n">
        <v>16.2669</v>
      </c>
      <c r="T11" s="42" t="n">
        <v>88.93</v>
      </c>
      <c r="U11" s="42" t="n">
        <v>216.3949</v>
      </c>
      <c r="V11" s="42" t="n">
        <v>183.7154</v>
      </c>
      <c r="W11" s="42" t="n">
        <v>191.9649</v>
      </c>
    </row>
    <row r="12" customFormat="false" ht="15" hidden="false" customHeight="false" outlineLevel="0" collapsed="false">
      <c r="A12" s="5" t="s">
        <v>830</v>
      </c>
      <c r="B12" s="42" t="n">
        <v>54.27</v>
      </c>
      <c r="C12" s="42" t="n">
        <v>100.8695</v>
      </c>
      <c r="D12" s="42" t="n">
        <v>94.7707</v>
      </c>
      <c r="E12" s="42" t="n">
        <v>152.6574</v>
      </c>
      <c r="F12" s="42" t="n">
        <v>47.6243</v>
      </c>
      <c r="G12" s="42" t="n">
        <v>94.521</v>
      </c>
      <c r="H12" s="42" t="n">
        <v>105.6035</v>
      </c>
      <c r="I12" s="42" t="n">
        <v>141.8969</v>
      </c>
      <c r="J12" s="42" t="n">
        <v>64.4272</v>
      </c>
      <c r="K12" s="42" t="n">
        <v>136.4804</v>
      </c>
      <c r="L12" s="42" t="n">
        <v>66.3472</v>
      </c>
      <c r="M12" s="42" t="n">
        <v>34.5931</v>
      </c>
      <c r="N12" s="42" t="n">
        <v>38.1126</v>
      </c>
      <c r="O12" s="42" t="n">
        <v>75.1205</v>
      </c>
      <c r="P12" s="42" t="n">
        <v>117.9204</v>
      </c>
      <c r="Q12" s="42" t="n">
        <v>56.6318</v>
      </c>
      <c r="R12" s="42" t="n">
        <v>95.8146</v>
      </c>
      <c r="S12" s="42" t="n">
        <v>114.9307</v>
      </c>
      <c r="T12" s="42" t="n">
        <v>135.8313</v>
      </c>
      <c r="U12" s="42" t="n">
        <v>98.576</v>
      </c>
      <c r="V12" s="42" t="n">
        <v>142.1435</v>
      </c>
      <c r="W12" s="42" t="n">
        <v>246.7923</v>
      </c>
    </row>
    <row r="13" customFormat="false" ht="15" hidden="false" customHeight="false" outlineLevel="0" collapsed="false">
      <c r="A13" s="5" t="s">
        <v>831</v>
      </c>
      <c r="B13" s="42" t="n">
        <v>62.006</v>
      </c>
      <c r="C13" s="42" t="n">
        <v>99.976</v>
      </c>
      <c r="D13" s="42" t="n">
        <v>87.4589</v>
      </c>
      <c r="E13" s="42" t="n">
        <v>152.7313</v>
      </c>
      <c r="F13" s="42" t="n">
        <v>47.6243</v>
      </c>
      <c r="G13" s="42" t="n">
        <v>94.521</v>
      </c>
      <c r="H13" s="42" t="n">
        <v>67.2871</v>
      </c>
      <c r="I13" s="42" t="n">
        <v>169.4487</v>
      </c>
      <c r="J13" s="42" t="n">
        <v>93.9719</v>
      </c>
      <c r="K13" s="42" t="n">
        <v>101.219</v>
      </c>
      <c r="L13" s="42" t="n">
        <v>66.3472</v>
      </c>
      <c r="M13" s="42" t="n">
        <v>64.3822</v>
      </c>
      <c r="N13" s="42" t="n">
        <v>41.6377</v>
      </c>
      <c r="O13" s="42" t="n">
        <v>71.5954</v>
      </c>
      <c r="P13" s="42" t="n">
        <v>117.7004</v>
      </c>
      <c r="Q13" s="42" t="n">
        <v>54.693</v>
      </c>
      <c r="R13" s="42" t="n">
        <v>79.9825</v>
      </c>
      <c r="S13" s="42" t="n">
        <v>114.9307</v>
      </c>
      <c r="T13" s="42" t="n">
        <v>139.1696</v>
      </c>
      <c r="U13" s="42" t="n">
        <v>108.2172</v>
      </c>
      <c r="V13" s="42" t="n">
        <v>142.1435</v>
      </c>
      <c r="W13" s="42" t="n">
        <v>257.9451</v>
      </c>
    </row>
    <row r="14" customFormat="false" ht="15" hidden="false" customHeight="false" outlineLevel="0" collapsed="false">
      <c r="A14" s="5" t="s">
        <v>337</v>
      </c>
      <c r="B14" s="42" t="n">
        <v>1.1215</v>
      </c>
      <c r="C14" s="42" t="n">
        <v>-8.8003</v>
      </c>
      <c r="D14" s="42" t="n">
        <v>-1.8119</v>
      </c>
      <c r="E14" s="42" t="n">
        <v>-230.3102</v>
      </c>
      <c r="F14" s="42"/>
      <c r="G14" s="42" t="n">
        <v>-6.0618</v>
      </c>
      <c r="H14" s="42" t="n">
        <v>-5.8879</v>
      </c>
      <c r="I14" s="42" t="n">
        <v>-110.399</v>
      </c>
      <c r="J14" s="42" t="n">
        <v>-5.0789</v>
      </c>
      <c r="K14" s="42" t="n">
        <v>-0.9238</v>
      </c>
      <c r="L14" s="42" t="n">
        <v>-7.8922</v>
      </c>
      <c r="M14" s="42" t="n">
        <v>-133.9805</v>
      </c>
      <c r="N14" s="42" t="n">
        <v>0.8942</v>
      </c>
      <c r="O14" s="42" t="n">
        <v>24.5733</v>
      </c>
      <c r="P14" s="42" t="n">
        <v>-17.8803</v>
      </c>
      <c r="Q14" s="42" t="n">
        <v>-114.8114</v>
      </c>
      <c r="R14" s="42" t="n">
        <v>-6.9144</v>
      </c>
      <c r="S14" s="42" t="n">
        <v>24.7391</v>
      </c>
      <c r="T14" s="42" t="n">
        <v>16.5309</v>
      </c>
      <c r="U14" s="42" t="n">
        <v>-328.5167</v>
      </c>
      <c r="V14" s="42" t="n">
        <v>-4.2613</v>
      </c>
      <c r="W14" s="42" t="n">
        <v>-39.7837</v>
      </c>
    </row>
    <row r="15" customFormat="false" ht="15" hidden="false" customHeight="false" outlineLevel="0" collapsed="false">
      <c r="A15" s="5" t="s">
        <v>336</v>
      </c>
      <c r="B15" s="42"/>
      <c r="C15" s="42" t="n">
        <v>-34.227</v>
      </c>
      <c r="D15" s="42" t="n">
        <v>-2.441</v>
      </c>
      <c r="E15" s="42" t="n">
        <v>19.2394</v>
      </c>
      <c r="F15" s="42" t="n">
        <v>-0.6077</v>
      </c>
      <c r="G15" s="42" t="n">
        <v>-39.5626</v>
      </c>
      <c r="H15" s="42" t="n">
        <v>-0.4815</v>
      </c>
      <c r="I15" s="42" t="n">
        <v>-192.2394</v>
      </c>
      <c r="J15" s="42" t="n">
        <v>-0.9026</v>
      </c>
      <c r="K15" s="42" t="n">
        <v>-43.4398</v>
      </c>
      <c r="L15" s="42" t="n">
        <v>-15.3989</v>
      </c>
      <c r="M15" s="42" t="n">
        <v>-231.9389</v>
      </c>
      <c r="N15" s="42" t="n">
        <v>15.9791</v>
      </c>
      <c r="O15" s="42" t="n">
        <v>-73.6348</v>
      </c>
      <c r="P15" s="42" t="n">
        <v>1.3234</v>
      </c>
      <c r="Q15" s="42" t="n">
        <v>-289.1126</v>
      </c>
      <c r="R15" s="42" t="n">
        <v>19.9282</v>
      </c>
      <c r="S15" s="42" t="n">
        <v>-35.0099</v>
      </c>
      <c r="T15" s="42" t="n">
        <v>22.7857</v>
      </c>
      <c r="U15" s="42" t="n">
        <v>-89.1426</v>
      </c>
      <c r="V15" s="42" t="n">
        <v>-10.6306</v>
      </c>
      <c r="W15" s="42" t="n">
        <v>14.7701</v>
      </c>
    </row>
    <row r="16" customFormat="false" ht="15" hidden="false" customHeight="false" outlineLevel="0" collapsed="false">
      <c r="A16" s="5" t="s">
        <v>535</v>
      </c>
      <c r="B16" s="42" t="n">
        <v>33.4888</v>
      </c>
      <c r="C16" s="42" t="n">
        <v>132.4708</v>
      </c>
      <c r="D16" s="42" t="n">
        <v>138.5864</v>
      </c>
      <c r="E16" s="42" t="n">
        <v>189.1236</v>
      </c>
      <c r="F16" s="42" t="n">
        <v>37.0882</v>
      </c>
      <c r="G16" s="42" t="n">
        <v>168.3005</v>
      </c>
      <c r="H16" s="42" t="n">
        <v>119.1032</v>
      </c>
      <c r="I16" s="42" t="n">
        <v>216.8594</v>
      </c>
      <c r="J16" s="42" t="n">
        <v>44.1095</v>
      </c>
      <c r="K16" s="42" t="n">
        <v>162.8467</v>
      </c>
      <c r="L16" s="42" t="n">
        <v>137.0521</v>
      </c>
      <c r="M16" s="42" t="n">
        <v>222.2123</v>
      </c>
      <c r="N16" s="42" t="n">
        <v>48.9095</v>
      </c>
      <c r="O16" s="42" t="n">
        <v>168.4214</v>
      </c>
      <c r="P16" s="42" t="n">
        <v>176.843</v>
      </c>
      <c r="Q16" s="42" t="n">
        <v>409.1806</v>
      </c>
      <c r="R16" s="42" t="n">
        <v>68.1205</v>
      </c>
      <c r="S16" s="42" t="n">
        <v>226.4461</v>
      </c>
      <c r="T16" s="42" t="n">
        <v>227.1039</v>
      </c>
      <c r="U16" s="42" t="n">
        <v>-48.5118</v>
      </c>
      <c r="V16" s="42" t="n">
        <v>43.1271</v>
      </c>
      <c r="W16" s="42" t="n">
        <v>196.8236</v>
      </c>
    </row>
    <row r="17" customFormat="false" ht="15" hidden="false" customHeight="false" outlineLevel="0" collapsed="false">
      <c r="A17" s="5" t="s">
        <v>832</v>
      </c>
      <c r="B17" s="42" t="n">
        <v>30.1002</v>
      </c>
      <c r="C17" s="42" t="n">
        <v>120.103</v>
      </c>
      <c r="D17" s="42" t="n">
        <v>133.6946</v>
      </c>
      <c r="E17" s="42" t="n">
        <v>4.0776</v>
      </c>
      <c r="F17" s="42" t="n">
        <v>33.122</v>
      </c>
      <c r="G17" s="42" t="n">
        <v>142.8649</v>
      </c>
      <c r="H17" s="42" t="n">
        <v>125.5869</v>
      </c>
      <c r="I17" s="42" t="n">
        <v>104.2195</v>
      </c>
      <c r="J17" s="42" t="n">
        <v>37.3904</v>
      </c>
      <c r="K17" s="42" t="n">
        <v>162.3349</v>
      </c>
      <c r="L17" s="42" t="n">
        <v>128.0062</v>
      </c>
      <c r="M17" s="42" t="n">
        <v>177.6358</v>
      </c>
      <c r="N17" s="42" t="n">
        <v>41.4765</v>
      </c>
      <c r="O17" s="42" t="n">
        <v>175.5842</v>
      </c>
      <c r="P17" s="42" t="n">
        <v>176.4537</v>
      </c>
      <c r="Q17" s="42" t="n">
        <v>309.1916</v>
      </c>
      <c r="R17" s="42" t="n">
        <v>55.1969</v>
      </c>
      <c r="S17" s="42" t="n">
        <v>231.3719</v>
      </c>
      <c r="T17" s="42" t="n">
        <v>226.1162</v>
      </c>
      <c r="U17" s="42" t="n">
        <v>-76.8505</v>
      </c>
      <c r="V17" s="42" t="n">
        <v>38.3925</v>
      </c>
      <c r="W17" s="42" t="n">
        <v>154.4072</v>
      </c>
    </row>
    <row r="18" customFormat="false" ht="15" hidden="false" customHeight="false" outlineLevel="0" collapsed="false">
      <c r="A18" s="5" t="s">
        <v>528</v>
      </c>
      <c r="B18" s="8" t="n">
        <f aca="false">B6-B7</f>
        <v>954.0848</v>
      </c>
      <c r="C18" s="8" t="n">
        <f aca="false">C6-C7</f>
        <v>1470.3482</v>
      </c>
      <c r="D18" s="8" t="n">
        <f aca="false">D6-D7</f>
        <v>1599.9131</v>
      </c>
      <c r="E18" s="8" t="n">
        <f aca="false">E6-E7</f>
        <v>1685.5888</v>
      </c>
      <c r="F18" s="8" t="n">
        <f aca="false">F6-F7</f>
        <v>1076.2635</v>
      </c>
      <c r="G18" s="8" t="n">
        <f aca="false">G6-G7</f>
        <v>1878.9393</v>
      </c>
      <c r="H18" s="8" t="n">
        <f aca="false">H6-H7</f>
        <v>1735.3245</v>
      </c>
      <c r="I18" s="8" t="n">
        <f aca="false">I6-I7</f>
        <v>2100.6527</v>
      </c>
      <c r="J18" s="8" t="n">
        <f aca="false">J6-J7</f>
        <v>1183.5233</v>
      </c>
      <c r="K18" s="8" t="n">
        <f aca="false">K6-K7</f>
        <v>1926.5696</v>
      </c>
      <c r="L18" s="8" t="n">
        <f aca="false">L6-L7</f>
        <v>1846.1324</v>
      </c>
      <c r="M18" s="8" t="n">
        <f aca="false">M6-M7</f>
        <v>1445.2237</v>
      </c>
      <c r="N18" s="8" t="n">
        <f aca="false">N6-N7</f>
        <v>1256.2272</v>
      </c>
      <c r="O18" s="8" t="n">
        <f aca="false">O6-O7</f>
        <v>1698.3753</v>
      </c>
      <c r="P18" s="8" t="n">
        <f aca="false">P6-P7</f>
        <v>1726.5896</v>
      </c>
      <c r="Q18" s="8" t="n">
        <f aca="false">Q6-Q7</f>
        <v>1384.9749</v>
      </c>
      <c r="R18" s="8" t="n">
        <f aca="false">R6-R7</f>
        <v>1049.922</v>
      </c>
      <c r="S18" s="8" t="n">
        <f aca="false">S6-S7</f>
        <v>1420.3007</v>
      </c>
      <c r="T18" s="8" t="n">
        <f aca="false">T6-T7</f>
        <v>1356.8849</v>
      </c>
      <c r="U18" s="8" t="n">
        <f aca="false">U6-U7</f>
        <v>1430.2186</v>
      </c>
      <c r="V18" s="8" t="n">
        <f aca="false">V6-V7</f>
        <v>1192.6938</v>
      </c>
      <c r="W18" s="8" t="n">
        <f aca="false">W6-W7</f>
        <v>1455.8032</v>
      </c>
    </row>
    <row r="19" customFormat="false" ht="15" hidden="false" customHeight="false" outlineLevel="0" collapsed="false">
      <c r="A19" s="12" t="s">
        <v>19</v>
      </c>
      <c r="B19" s="14" t="n">
        <f aca="false">IF(B6=0,0,B18/B6)</f>
        <v>0.236771123994827</v>
      </c>
      <c r="C19" s="14" t="n">
        <f aca="false">IF(C6=0,0,C18/C6)</f>
        <v>0.184275783940361</v>
      </c>
      <c r="D19" s="14" t="n">
        <f aca="false">IF(D6=0,0,D18/D6)</f>
        <v>0.244969635130064</v>
      </c>
      <c r="E19" s="14" t="n">
        <f aca="false">IF(E6=0,0,E18/E6)</f>
        <v>0.21678806566052</v>
      </c>
      <c r="F19" s="14" t="n">
        <f aca="false">IF(F6=0,0,F18/F6)</f>
        <v>0.237129358242477</v>
      </c>
      <c r="G19" s="14" t="n">
        <f aca="false">IF(G6=0,0,G18/G6)</f>
        <v>0.198505474887079</v>
      </c>
      <c r="H19" s="14" t="n">
        <f aca="false">IF(H6=0,0,H18/H6)</f>
        <v>0.230648403012633</v>
      </c>
      <c r="I19" s="14" t="n">
        <f aca="false">IF(I6=0,0,I18/I6)</f>
        <v>0.223710855935389</v>
      </c>
      <c r="J19" s="14" t="n">
        <f aca="false">IF(J6=0,0,J18/J6)</f>
        <v>0.235937824320905</v>
      </c>
      <c r="K19" s="14" t="n">
        <f aca="false">IF(K6=0,0,K18/K6)</f>
        <v>0.195031424688671</v>
      </c>
      <c r="L19" s="14" t="n">
        <f aca="false">IF(L6=0,0,L18/L6)</f>
        <v>0.240860234694029</v>
      </c>
      <c r="M19" s="14" t="n">
        <f aca="false">IF(M6=0,0,M18/M6)</f>
        <v>0.16863112521777</v>
      </c>
      <c r="N19" s="14" t="n">
        <f aca="false">IF(N6=0,0,N18/N6)</f>
        <v>0.248324679880698</v>
      </c>
      <c r="O19" s="14" t="n">
        <f aca="false">IF(O6=0,0,O18/O6)</f>
        <v>0.193202932349892</v>
      </c>
      <c r="P19" s="14" t="n">
        <f aca="false">IF(P6=0,0,P18/P6)</f>
        <v>0.236376636746255</v>
      </c>
      <c r="Q19" s="14" t="n">
        <f aca="false">IF(Q6=0,0,Q18/Q6)</f>
        <v>0.18728551194415</v>
      </c>
      <c r="R19" s="14" t="n">
        <f aca="false">IF(R6=0,0,R18/R6)</f>
        <v>0.259333481716039</v>
      </c>
      <c r="S19" s="14" t="n">
        <f aca="false">IF(S6=0,0,S18/S6)</f>
        <v>0.200940050372645</v>
      </c>
      <c r="T19" s="14" t="n">
        <f aca="false">IF(T6=0,0,T18/T6)</f>
        <v>0.227863603886464</v>
      </c>
      <c r="U19" s="14" t="n">
        <f aca="false">IF(U6=0,0,U18/U6)</f>
        <v>0.182264925620451</v>
      </c>
      <c r="V19" s="14" t="n">
        <f aca="false">IF(V6=0,0,V18/V6)</f>
        <v>0.264444986132918</v>
      </c>
      <c r="W19" s="14" t="n">
        <f aca="false">IF(W6=0,0,W18/W6)</f>
        <v>0.185071154604757</v>
      </c>
    </row>
    <row r="20" customFormat="false" ht="15" hidden="false" customHeight="false" outlineLevel="0" collapsed="false">
      <c r="A20" s="5" t="s">
        <v>833</v>
      </c>
      <c r="B20" s="14" t="n">
        <f aca="false">(B8+B9+B10+B11)/B6</f>
        <v>0.246239985614331</v>
      </c>
      <c r="C20" s="14" t="n">
        <f aca="false">(C8+C9+C10+C11)/C6</f>
        <v>0.179363628584186</v>
      </c>
      <c r="D20" s="14" t="n">
        <f aca="false">(D8+D9+D10+D11)/D6</f>
        <v>0.243389541096424</v>
      </c>
      <c r="E20" s="14" t="n">
        <f aca="false">(E8+E9+E10+E11)/E6</f>
        <v>0.196142813611145</v>
      </c>
      <c r="F20" s="14" t="n">
        <f aca="false">(F8+F9+F10+F11)/F6</f>
        <v>0.247313112957932</v>
      </c>
      <c r="G20" s="14" t="n">
        <f aca="false">(G8+G9+G10+G11)/G6</f>
        <v>0.189520905029113</v>
      </c>
      <c r="H20" s="14" t="n">
        <f aca="false">(H8+H9+H10+H11)/H6</f>
        <v>0.230450241974711</v>
      </c>
      <c r="I20" s="14" t="n">
        <f aca="false">(I8+I9+I10+I11)/I6</f>
        <v>0.192615784476281</v>
      </c>
      <c r="J20" s="14" t="n">
        <f aca="false">(J8+J9+J10+J11)/J6</f>
        <v>0.23885739524826</v>
      </c>
      <c r="K20" s="14" t="n">
        <f aca="false">(K8+K9+K10+K11)/K6</f>
        <v>0.197261464938099</v>
      </c>
      <c r="L20" s="14" t="n">
        <f aca="false">(L8+L9+L10+L11)/L6</f>
        <v>0.233107478911074</v>
      </c>
      <c r="M20" s="14" t="n">
        <f aca="false">(M8+M9+M10+M11)/M6</f>
        <v>0.126965311785868</v>
      </c>
      <c r="N20" s="14" t="n">
        <f aca="false">(N8+N9+N10+N11)/N6</f>
        <v>0.256348129193168</v>
      </c>
      <c r="O20" s="14" t="n">
        <f aca="false">(O8+O9+O10+O11)/O6</f>
        <v>0.194382290505037</v>
      </c>
      <c r="P20" s="14" t="n">
        <f aca="false">(P8+P9+P10+P11)/P6</f>
        <v>0.246872474296453</v>
      </c>
      <c r="Q20" s="14" t="n">
        <f aca="false">(Q8+Q9+Q10+Q11)/Q6</f>
        <v>0.128599540645898</v>
      </c>
      <c r="R20" s="14" t="n">
        <f aca="false">(R8+R9+R10+R11)/R6</f>
        <v>0.308626287288102</v>
      </c>
      <c r="S20" s="14" t="n">
        <f aca="false">(S8+S9+S10+S11)/S6</f>
        <v>0.204215189073982</v>
      </c>
      <c r="T20" s="14" t="n">
        <f aca="false">(T8+T9+T10+T11)/T6</f>
        <v>0.272171686900807</v>
      </c>
      <c r="U20" s="14" t="n">
        <f aca="false">(U8+U9+U10+U11)/U6</f>
        <v>0.145366621920033</v>
      </c>
      <c r="V20" s="14" t="n">
        <f aca="false">(V8+V9+V10+V11)/V6</f>
        <v>0.288020511122245</v>
      </c>
      <c r="W20" s="14" t="n">
        <f aca="false">(W8+W9+W10+W11)/W6</f>
        <v>0.203181594728115</v>
      </c>
    </row>
    <row r="21" customFormat="false" ht="15" hidden="false" customHeight="false" outlineLevel="0" collapsed="false">
      <c r="A21" s="5" t="s">
        <v>834</v>
      </c>
      <c r="B21" s="8" t="n">
        <f aca="false">B16-B12</f>
        <v>-20.7812</v>
      </c>
      <c r="C21" s="8" t="n">
        <f aca="false">C16-C12</f>
        <v>31.6013</v>
      </c>
      <c r="D21" s="8" t="n">
        <f aca="false">D16-D12</f>
        <v>43.8157</v>
      </c>
      <c r="E21" s="8" t="n">
        <f aca="false">E16-E12</f>
        <v>36.4662</v>
      </c>
      <c r="F21" s="8" t="n">
        <f aca="false">F16-F12</f>
        <v>-10.5361</v>
      </c>
      <c r="G21" s="8" t="n">
        <f aca="false">G16-G12</f>
        <v>73.7795</v>
      </c>
      <c r="H21" s="8" t="n">
        <f aca="false">H16-H12</f>
        <v>13.4997</v>
      </c>
      <c r="I21" s="8" t="n">
        <f aca="false">I16-I12</f>
        <v>74.9625</v>
      </c>
      <c r="J21" s="8" t="n">
        <f aca="false">J16-J12</f>
        <v>-20.3177</v>
      </c>
      <c r="K21" s="8" t="n">
        <f aca="false">K16-K12</f>
        <v>26.3663</v>
      </c>
      <c r="L21" s="8" t="n">
        <f aca="false">L16-L12</f>
        <v>70.7049</v>
      </c>
      <c r="M21" s="8" t="n">
        <f aca="false">M16-M12</f>
        <v>187.6192</v>
      </c>
      <c r="N21" s="8" t="n">
        <f aca="false">N16-N12</f>
        <v>10.7969</v>
      </c>
      <c r="O21" s="8" t="n">
        <f aca="false">O16-O12</f>
        <v>93.3009</v>
      </c>
      <c r="P21" s="8" t="n">
        <f aca="false">P16-P12</f>
        <v>58.9226</v>
      </c>
      <c r="Q21" s="8" t="n">
        <f aca="false">Q16-Q12</f>
        <v>352.5488</v>
      </c>
      <c r="R21" s="8" t="n">
        <f aca="false">R16-R12</f>
        <v>-27.6941</v>
      </c>
      <c r="S21" s="8" t="n">
        <f aca="false">S16-S12</f>
        <v>111.5154</v>
      </c>
      <c r="T21" s="8" t="n">
        <f aca="false">T16-T12</f>
        <v>91.2726</v>
      </c>
      <c r="U21" s="8" t="n">
        <f aca="false">U16-U12</f>
        <v>-147.0878</v>
      </c>
      <c r="V21" s="8" t="n">
        <f aca="false">V16-V12</f>
        <v>-99.0164</v>
      </c>
      <c r="W21" s="8" t="n">
        <f aca="false">W16-W12</f>
        <v>-49.9687</v>
      </c>
    </row>
    <row r="22" customFormat="false" ht="15" hidden="false" customHeight="false" outlineLevel="0" collapsed="false">
      <c r="A22" s="5" t="s">
        <v>835</v>
      </c>
      <c r="B22" s="14"/>
      <c r="C22" s="14"/>
      <c r="D22" s="14"/>
      <c r="E22" s="14"/>
      <c r="F22" s="14" t="n">
        <f aca="false">F6/B6-1</f>
        <v>0.126354361215651</v>
      </c>
      <c r="G22" s="14" t="n">
        <f aca="false">G6/C6-1</f>
        <v>0.186283074620435</v>
      </c>
      <c r="H22" s="14" t="n">
        <f aca="false">H6/D6-1</f>
        <v>0.151983098626916</v>
      </c>
      <c r="I22" s="14" t="n">
        <f aca="false">I6/E6-1</f>
        <v>0.207677376058838</v>
      </c>
      <c r="J22" s="14" t="n">
        <f aca="false">J6/F6-1</f>
        <v>0.105212926934074</v>
      </c>
      <c r="K22" s="14" t="n">
        <f aca="false">K6/G6-1</f>
        <v>0.043613885778711</v>
      </c>
      <c r="L22" s="14" t="n">
        <f aca="false">L6/H6-1</f>
        <v>0.0187496972890444</v>
      </c>
      <c r="M22" s="14" t="n">
        <f aca="false">M6/I6-1</f>
        <v>-0.0872956092483875</v>
      </c>
      <c r="N22" s="14" t="n">
        <f aca="false">N6/J6-1</f>
        <v>0.00848412523552455</v>
      </c>
      <c r="O22" s="14" t="n">
        <f aca="false">O6/K6-1</f>
        <v>-0.110102797334937</v>
      </c>
      <c r="P22" s="14" t="n">
        <f aca="false">P6/L6-1</f>
        <v>-0.0470133157063075</v>
      </c>
      <c r="Q22" s="14" t="n">
        <f aca="false">Q6/M6-1</f>
        <v>-0.137139907363383</v>
      </c>
      <c r="R22" s="14" t="n">
        <f aca="false">R6/N6-1</f>
        <v>-0.199704938472379</v>
      </c>
      <c r="S22" s="14" t="n">
        <f aca="false">S6/O6-1</f>
        <v>-0.195930029580363</v>
      </c>
      <c r="T22" s="14" t="n">
        <f aca="false">T6/P6-1</f>
        <v>-0.184763762402729</v>
      </c>
      <c r="U22" s="14" t="n">
        <f aca="false">U6/Q6-1</f>
        <v>0.061112910977783</v>
      </c>
      <c r="V22" s="14" t="n">
        <f aca="false">V6/R6-1</f>
        <v>0.114025621235665</v>
      </c>
      <c r="W22" s="14" t="n">
        <f aca="false">W6/S6-1</f>
        <v>0.112884621108997</v>
      </c>
    </row>
    <row r="23" customFormat="false" ht="15" hidden="false" customHeight="false" outlineLevel="0" collapsed="false">
      <c r="A23" s="12" t="s">
        <v>836</v>
      </c>
      <c r="B23" s="14"/>
      <c r="C23" s="14"/>
      <c r="D23" s="14"/>
      <c r="E23" s="14"/>
      <c r="F23" s="14" t="n">
        <f aca="false">IF(B17&lt;=0,"n.m.",F17/B17-1)</f>
        <v>0.10039135952585</v>
      </c>
      <c r="G23" s="14" t="n">
        <f aca="false">IF(C17&lt;=0,"n.m.",G17/C17-1)</f>
        <v>0.189519828813602</v>
      </c>
      <c r="H23" s="14" t="n">
        <f aca="false">IF(D17&lt;=0,"n.m.",H17/D17-1)</f>
        <v>-0.0606434366085094</v>
      </c>
      <c r="I23" s="14" t="n">
        <f aca="false">IF(E17&lt;=0,"n.m.",I17/E17-1)</f>
        <v>24.5590298214636</v>
      </c>
      <c r="J23" s="14" t="n">
        <f aca="false">IF(F17&lt;=0,"n.m.",J17/F17-1)</f>
        <v>0.128869029647968</v>
      </c>
      <c r="K23" s="14" t="n">
        <f aca="false">IF(G17&lt;=0,"n.m.",K17/G17-1)</f>
        <v>0.136282599854828</v>
      </c>
      <c r="L23" s="14" t="n">
        <f aca="false">IF(H17&lt;=0,"n.m.",L17/H17-1)</f>
        <v>0.0192639518930717</v>
      </c>
      <c r="M23" s="14" t="n">
        <f aca="false">IF(I17&lt;=0,"n.m.",M17/I17-1)</f>
        <v>0.704439188443621</v>
      </c>
      <c r="N23" s="14" t="n">
        <f aca="false">IF(J17&lt;=0,"n.m.",N17/J17-1)</f>
        <v>0.109282061705678</v>
      </c>
      <c r="O23" s="14" t="n">
        <f aca="false">IF(K17&lt;=0,"n.m.",O17/K17-1)</f>
        <v>0.0816170767961788</v>
      </c>
      <c r="P23" s="14" t="n">
        <f aca="false">IF(L17&lt;=0,"n.m.",P17/L17-1)</f>
        <v>0.37847776123344</v>
      </c>
      <c r="Q23" s="14" t="n">
        <f aca="false">IF(M17&lt;=0,"n.m.",Q17/M17-1)</f>
        <v>0.740592830949617</v>
      </c>
      <c r="R23" s="14" t="n">
        <f aca="false">IF(N17&lt;=0,"n.m.",R17/N17-1)</f>
        <v>0.330799368316999</v>
      </c>
      <c r="S23" s="14" t="n">
        <f aca="false">IF(O17&lt;=0,"n.m.",S17/O17-1)</f>
        <v>0.317726196320626</v>
      </c>
      <c r="T23" s="14" t="n">
        <f aca="false">IF(P17&lt;=0,"n.m.",T17/P17-1)</f>
        <v>0.28144776788472</v>
      </c>
      <c r="U23" s="14" t="n">
        <f aca="false">IF(Q17&lt;=0,"n.m.",U17/Q17-1)</f>
        <v>-1.24855300079304</v>
      </c>
      <c r="V23" s="14" t="n">
        <f aca="false">IF(R17&lt;=0,"n.m.",V17/R17-1)</f>
        <v>-0.304444633666021</v>
      </c>
      <c r="W23" s="14" t="n">
        <f aca="false">IF(S17&lt;=0,"n.m.",W17/S17-1)</f>
        <v>-0.332644975470228</v>
      </c>
    </row>
    <row r="24" customFormat="false" ht="15" hidden="false" customHeight="false" outlineLevel="0" collapsed="false">
      <c r="A24" s="99" t="s">
        <v>837</v>
      </c>
      <c r="B24" s="71" t="s">
        <v>838</v>
      </c>
      <c r="C24" s="71" t="s">
        <v>839</v>
      </c>
      <c r="D24" s="71" t="s">
        <v>244</v>
      </c>
      <c r="E24" s="71" t="s">
        <v>840</v>
      </c>
      <c r="F24" s="71" t="s">
        <v>841</v>
      </c>
      <c r="G24" s="71" t="s">
        <v>842</v>
      </c>
    </row>
    <row r="25" customFormat="false" ht="15" hidden="false" customHeight="false" outlineLevel="0" collapsed="false">
      <c r="A25" s="5" t="s">
        <v>17</v>
      </c>
      <c r="B25" s="8" t="n">
        <f aca="false">历史报表!J8</f>
        <v>11116.821</v>
      </c>
      <c r="C25" s="8" t="n">
        <f aca="false">历史报表!I8-历史报表!J8</f>
        <v>13801.7335</v>
      </c>
      <c r="D25" s="8" t="n">
        <f aca="false">历史报表!K8</f>
        <v>12376.3584</v>
      </c>
      <c r="E25" s="13" t="n">
        <f aca="false">利润表!H6-D25</f>
        <v>15187.157842</v>
      </c>
      <c r="F25" s="14" t="n">
        <f aca="false">E25/C25-1</f>
        <v>0.100380458874967</v>
      </c>
      <c r="G25" s="8" t="n">
        <f aca="false">利润表!H6</f>
        <v>27563.516242</v>
      </c>
    </row>
    <row r="26" customFormat="false" ht="15" hidden="false" customHeight="false" outlineLevel="0" collapsed="false">
      <c r="A26" s="5" t="s">
        <v>528</v>
      </c>
      <c r="B26" s="8" t="n">
        <f aca="false">(历史报表!J8-历史报表!J10)</f>
        <v>2470.2228</v>
      </c>
      <c r="C26" s="8" t="n">
        <f aca="false">(历史报表!I8-历史报表!I10)-(历史报表!J8-历史报表!J10)</f>
        <v>2787.1034</v>
      </c>
      <c r="D26" s="8" t="n">
        <f aca="false">(历史报表!K8-历史报表!K10)</f>
        <v>2648.497</v>
      </c>
      <c r="E26" s="13" t="n">
        <f aca="false">利润表!H8-D26</f>
        <v>3152.803130368</v>
      </c>
      <c r="F26" s="14" t="n">
        <f aca="false">E26/C26-1</f>
        <v>0.131211396881795</v>
      </c>
      <c r="G26" s="8" t="n">
        <f aca="false">利润表!H8</f>
        <v>5801.300130368</v>
      </c>
    </row>
    <row r="27" customFormat="false" ht="15" hidden="false" customHeight="false" outlineLevel="0" collapsed="false">
      <c r="A27" s="5" t="s">
        <v>22</v>
      </c>
      <c r="B27" s="8" t="n">
        <f aca="false">历史报表!J34</f>
        <v>286.5688</v>
      </c>
      <c r="C27" s="8" t="n">
        <f aca="false">历史报表!I34-历史报表!J34</f>
        <v>149.2657</v>
      </c>
      <c r="D27" s="8" t="n">
        <f aca="false">历史报表!K34</f>
        <v>192.7997</v>
      </c>
      <c r="E27" s="13" t="n">
        <f aca="false">利润表!H29-D27</f>
        <v>559.13647966504</v>
      </c>
      <c r="F27" s="14" t="n">
        <f aca="false">E27/C27-1</f>
        <v>2.74591402890979</v>
      </c>
      <c r="G27" s="8" t="n">
        <f aca="false">利润表!H29</f>
        <v>751.93617966504</v>
      </c>
    </row>
    <row r="28" customFormat="false" ht="15" hidden="false" customHeight="false" outlineLevel="0" collapsed="false">
      <c r="A28" s="2" t="s">
        <v>843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K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844</v>
      </c>
    </row>
    <row r="2" customFormat="false" ht="15" hidden="false" customHeight="false" outlineLevel="0" collapsed="false">
      <c r="A2" s="2" t="s">
        <v>845</v>
      </c>
    </row>
    <row r="5" customFormat="false" ht="15" hidden="false" customHeight="false" outlineLevel="0" collapsed="false">
      <c r="A5" s="10" t="s">
        <v>149</v>
      </c>
      <c r="C5" s="11" t="s">
        <v>846</v>
      </c>
      <c r="D5" s="11" t="s">
        <v>847</v>
      </c>
      <c r="E5" s="11" t="s">
        <v>151</v>
      </c>
      <c r="F5" s="11" t="s">
        <v>152</v>
      </c>
      <c r="G5" s="11" t="s">
        <v>11</v>
      </c>
      <c r="H5" s="11" t="s">
        <v>12</v>
      </c>
      <c r="I5" s="11" t="s">
        <v>13</v>
      </c>
      <c r="J5" s="11" t="s">
        <v>838</v>
      </c>
      <c r="K5" s="11" t="s">
        <v>244</v>
      </c>
    </row>
    <row r="6" customFormat="false" ht="15" hidden="false" customHeight="false" outlineLevel="0" collapsed="false">
      <c r="A6" s="3" t="s">
        <v>848</v>
      </c>
      <c r="C6" s="4"/>
      <c r="D6" s="4"/>
      <c r="E6" s="4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5" t="s">
        <v>849</v>
      </c>
      <c r="C7" s="43" t="n">
        <v>24661.9768</v>
      </c>
      <c r="D7" s="43" t="n">
        <v>21074.4373</v>
      </c>
      <c r="E7" s="43" t="n">
        <v>26314.9803</v>
      </c>
      <c r="F7" s="43" t="n">
        <v>30917.8606</v>
      </c>
      <c r="G7" s="43" t="n">
        <v>31129.5743</v>
      </c>
      <c r="H7" s="43" t="n">
        <v>28548.8309</v>
      </c>
      <c r="I7" s="43" t="n">
        <v>24918.5545</v>
      </c>
      <c r="J7" s="43" t="n">
        <v>11116.821</v>
      </c>
      <c r="K7" s="43" t="n">
        <v>12376.3584</v>
      </c>
    </row>
    <row r="8" customFormat="false" ht="15" hidden="false" customHeight="false" outlineLevel="0" collapsed="false">
      <c r="A8" s="5" t="s">
        <v>17</v>
      </c>
      <c r="C8" s="43" t="n">
        <v>24661.9768</v>
      </c>
      <c r="D8" s="43" t="n">
        <v>21074.4373</v>
      </c>
      <c r="E8" s="43" t="n">
        <v>26314.9803</v>
      </c>
      <c r="F8" s="43" t="n">
        <v>30917.8606</v>
      </c>
      <c r="G8" s="43" t="n">
        <v>31129.5743</v>
      </c>
      <c r="H8" s="43" t="n">
        <v>28548.8309</v>
      </c>
      <c r="I8" s="43" t="n">
        <v>24918.5545</v>
      </c>
      <c r="J8" s="43" t="n">
        <v>11116.821</v>
      </c>
      <c r="K8" s="43" t="n">
        <v>12376.3584</v>
      </c>
    </row>
    <row r="9" customFormat="false" ht="15" hidden="false" customHeight="false" outlineLevel="0" collapsed="false">
      <c r="A9" s="5" t="s">
        <v>850</v>
      </c>
      <c r="C9" s="43" t="n">
        <v>23861.6619</v>
      </c>
      <c r="D9" s="43" t="n">
        <v>21012.3883</v>
      </c>
      <c r="E9" s="43" t="n">
        <v>26231.3067</v>
      </c>
      <c r="F9" s="43" t="n">
        <v>30687.6465</v>
      </c>
      <c r="G9" s="43" t="n">
        <v>30858.9913</v>
      </c>
      <c r="H9" s="43" t="n">
        <v>28358.6976</v>
      </c>
      <c r="I9" s="43" t="n">
        <v>25225.4192</v>
      </c>
      <c r="J9" s="43" t="n">
        <v>11383.2486</v>
      </c>
      <c r="K9" s="43" t="n">
        <v>12704.1566</v>
      </c>
    </row>
    <row r="10" customFormat="false" ht="15" hidden="false" customHeight="false" outlineLevel="0" collapsed="false">
      <c r="A10" s="5" t="s">
        <v>438</v>
      </c>
      <c r="C10" s="43" t="n">
        <v>19284.9721</v>
      </c>
      <c r="D10" s="43" t="n">
        <v>16489.8581</v>
      </c>
      <c r="E10" s="43" t="n">
        <v>20605.0455</v>
      </c>
      <c r="F10" s="43" t="n">
        <v>24126.6805</v>
      </c>
      <c r="G10" s="43" t="n">
        <v>24728.1253</v>
      </c>
      <c r="H10" s="43" t="n">
        <v>22482.6639</v>
      </c>
      <c r="I10" s="43" t="n">
        <v>19661.2283</v>
      </c>
      <c r="J10" s="43" t="n">
        <v>8646.5982</v>
      </c>
      <c r="K10" s="43" t="n">
        <v>9727.8614</v>
      </c>
    </row>
    <row r="11" customFormat="false" ht="15" hidden="false" customHeight="false" outlineLevel="0" collapsed="false">
      <c r="A11" s="5" t="s">
        <v>319</v>
      </c>
      <c r="C11" s="43" t="n">
        <v>91.4066</v>
      </c>
      <c r="D11" s="43" t="n">
        <v>79.8805</v>
      </c>
      <c r="E11" s="43" t="n">
        <v>88.2078</v>
      </c>
      <c r="F11" s="43" t="n">
        <v>102.0822</v>
      </c>
      <c r="G11" s="43" t="n">
        <v>109.2552</v>
      </c>
      <c r="H11" s="43" t="n">
        <v>116.2267</v>
      </c>
      <c r="I11" s="43" t="n">
        <v>109.8429</v>
      </c>
      <c r="J11" s="43" t="n">
        <v>43.7141</v>
      </c>
      <c r="K11" s="43" t="n">
        <v>79.0084</v>
      </c>
    </row>
    <row r="12" customFormat="false" ht="15" hidden="false" customHeight="false" outlineLevel="0" collapsed="false">
      <c r="A12" s="5" t="s">
        <v>321</v>
      </c>
      <c r="C12" s="43" t="n">
        <v>1641.58</v>
      </c>
      <c r="D12" s="43" t="n">
        <v>1360.2349</v>
      </c>
      <c r="E12" s="43" t="n">
        <v>1417.9454</v>
      </c>
      <c r="F12" s="43" t="n">
        <v>1645.9351</v>
      </c>
      <c r="G12" s="43" t="n">
        <v>1786.6738</v>
      </c>
      <c r="H12" s="43" t="n">
        <v>1881.3582</v>
      </c>
      <c r="I12" s="43" t="n">
        <v>1975.6587</v>
      </c>
      <c r="J12" s="43" t="n">
        <v>963.3505</v>
      </c>
      <c r="K12" s="43" t="n">
        <v>1061.5176</v>
      </c>
    </row>
    <row r="13" customFormat="false" ht="15" hidden="false" customHeight="false" outlineLevel="0" collapsed="false">
      <c r="A13" s="5" t="s">
        <v>322</v>
      </c>
      <c r="C13" s="43" t="n">
        <v>282.9862</v>
      </c>
      <c r="D13" s="43" t="n">
        <v>270.0334</v>
      </c>
      <c r="E13" s="43" t="n">
        <v>294.4026</v>
      </c>
      <c r="F13" s="43" t="n">
        <v>328.6322</v>
      </c>
      <c r="G13" s="43" t="n">
        <v>341.013</v>
      </c>
      <c r="H13" s="43" t="n">
        <v>439.5538</v>
      </c>
      <c r="I13" s="43" t="n">
        <v>484.3899</v>
      </c>
      <c r="J13" s="43" t="n">
        <v>171.5524</v>
      </c>
      <c r="K13" s="43" t="n">
        <v>190.1205</v>
      </c>
    </row>
    <row r="14" customFormat="false" ht="15" hidden="false" customHeight="false" outlineLevel="0" collapsed="false">
      <c r="A14" s="5" t="s">
        <v>529</v>
      </c>
      <c r="C14" s="43" t="n">
        <v>2332.4556</v>
      </c>
      <c r="D14" s="43" t="n">
        <v>2578.5058</v>
      </c>
      <c r="E14" s="43" t="n">
        <v>3460.4309</v>
      </c>
      <c r="F14" s="43" t="n">
        <v>4101.782</v>
      </c>
      <c r="G14" s="43" t="n">
        <v>3578.3312</v>
      </c>
      <c r="H14" s="43" t="n">
        <v>2881.2504</v>
      </c>
      <c r="I14" s="43" t="n">
        <v>2570.0983</v>
      </c>
      <c r="J14" s="43" t="n">
        <v>1439.1572</v>
      </c>
      <c r="K14" s="43" t="n">
        <v>1269.9684</v>
      </c>
    </row>
    <row r="15" customFormat="false" ht="15" hidden="false" customHeight="false" outlineLevel="0" collapsed="false">
      <c r="A15" s="5" t="s">
        <v>487</v>
      </c>
      <c r="C15" s="43" t="n">
        <v>228.2615</v>
      </c>
      <c r="D15" s="43" t="n">
        <v>233.8754</v>
      </c>
      <c r="E15" s="43" t="n">
        <v>365.2745</v>
      </c>
      <c r="F15" s="43" t="n">
        <v>382.5345</v>
      </c>
      <c r="G15" s="43" t="n">
        <v>315.5928</v>
      </c>
      <c r="H15" s="43" t="n">
        <v>557.6445</v>
      </c>
      <c r="I15" s="43" t="n">
        <v>424.2011</v>
      </c>
      <c r="J15" s="43" t="n">
        <v>118.8763</v>
      </c>
      <c r="K15" s="43" t="n">
        <v>375.6803</v>
      </c>
    </row>
    <row r="16" customFormat="false" ht="15" hidden="false" customHeight="false" outlineLevel="0" collapsed="false">
      <c r="A16" s="5" t="s">
        <v>851</v>
      </c>
      <c r="C16" s="43" t="n">
        <v>243.5235</v>
      </c>
      <c r="D16" s="43" t="n">
        <v>190.9962</v>
      </c>
      <c r="E16" s="43" t="n">
        <v>215.601</v>
      </c>
      <c r="F16" s="43" t="n">
        <v>313.6005</v>
      </c>
      <c r="G16" s="43" t="n">
        <v>338.3448</v>
      </c>
      <c r="H16" s="43" t="n">
        <v>460.6155</v>
      </c>
      <c r="I16" s="43" t="n">
        <v>327.7565</v>
      </c>
      <c r="J16" s="43" t="n">
        <v>132.9425</v>
      </c>
      <c r="K16" s="43" t="n">
        <v>149.8608</v>
      </c>
    </row>
    <row r="17" customFormat="false" ht="15" hidden="false" customHeight="false" outlineLevel="0" collapsed="false">
      <c r="A17" s="5" t="s">
        <v>852</v>
      </c>
      <c r="C17" s="43" t="n">
        <v>33.7161</v>
      </c>
      <c r="D17" s="43" t="n">
        <v>39.0508</v>
      </c>
      <c r="E17" s="43" t="n">
        <v>31.8052</v>
      </c>
      <c r="F17" s="43" t="n">
        <v>45.4798</v>
      </c>
      <c r="G17" s="43" t="n">
        <v>42.8973</v>
      </c>
      <c r="H17" s="43" t="n">
        <v>46.4411</v>
      </c>
      <c r="I17" s="43" t="n">
        <v>41.9207</v>
      </c>
      <c r="J17" s="43" t="n">
        <v>21.9787</v>
      </c>
      <c r="K17" s="43" t="n">
        <v>17.8741</v>
      </c>
    </row>
    <row r="18" customFormat="false" ht="15" hidden="false" customHeight="false" outlineLevel="0" collapsed="false">
      <c r="A18" s="5" t="s">
        <v>532</v>
      </c>
      <c r="C18" s="43" t="n">
        <v>284.4784</v>
      </c>
      <c r="D18" s="43" t="n">
        <v>281.3287</v>
      </c>
      <c r="E18" s="43" t="n">
        <v>260.0848</v>
      </c>
      <c r="F18" s="43" t="n">
        <v>275.016</v>
      </c>
      <c r="G18" s="43" t="n">
        <v>447.9878</v>
      </c>
      <c r="H18" s="43" t="n">
        <v>771.2192</v>
      </c>
      <c r="I18" s="43" t="n">
        <v>722.6505</v>
      </c>
      <c r="J18" s="43" t="n">
        <v>347.4784</v>
      </c>
      <c r="K18" s="43" t="n">
        <v>219.0644</v>
      </c>
    </row>
    <row r="19" customFormat="false" ht="15" hidden="false" customHeight="false" outlineLevel="0" collapsed="false">
      <c r="A19" s="5" t="s">
        <v>830</v>
      </c>
      <c r="C19" s="43" t="n">
        <v>288.4003</v>
      </c>
      <c r="D19" s="43" t="n">
        <v>208.2973</v>
      </c>
      <c r="E19" s="43" t="n">
        <v>402.5676</v>
      </c>
      <c r="F19" s="43" t="n">
        <v>389.6458</v>
      </c>
      <c r="G19" s="43" t="n">
        <v>301.8478</v>
      </c>
      <c r="H19" s="43" t="n">
        <v>287.7853</v>
      </c>
      <c r="I19" s="43" t="n">
        <v>445.1525</v>
      </c>
      <c r="J19" s="43" t="n">
        <v>210.7453</v>
      </c>
      <c r="K19" s="43" t="n">
        <v>388.9358</v>
      </c>
    </row>
    <row r="20" customFormat="false" ht="15" hidden="false" customHeight="false" outlineLevel="0" collapsed="false">
      <c r="A20" s="5" t="s">
        <v>853</v>
      </c>
      <c r="C20" s="43" t="n">
        <v>322.1917</v>
      </c>
      <c r="D20" s="43" t="n">
        <v>230.2545</v>
      </c>
      <c r="E20" s="43" t="n">
        <v>402.1722</v>
      </c>
      <c r="F20" s="43" t="n">
        <v>378.8812</v>
      </c>
      <c r="G20" s="43" t="n">
        <v>325.9203</v>
      </c>
      <c r="H20" s="43" t="n">
        <v>285.6265</v>
      </c>
      <c r="I20" s="43" t="n">
        <v>442.3</v>
      </c>
      <c r="J20" s="43" t="n">
        <v>194.9132</v>
      </c>
      <c r="K20" s="43" t="n">
        <v>400.0886</v>
      </c>
    </row>
    <row r="21" customFormat="false" ht="15" hidden="false" customHeight="false" outlineLevel="0" collapsed="false">
      <c r="A21" s="5" t="s">
        <v>854</v>
      </c>
      <c r="C21" s="43"/>
      <c r="D21" s="43"/>
      <c r="E21" s="43"/>
      <c r="F21" s="43"/>
      <c r="G21" s="43" t="n">
        <v>-42.1765</v>
      </c>
      <c r="H21" s="43" t="n">
        <v>-27.055</v>
      </c>
      <c r="I21" s="43" t="n">
        <v>-20.7403</v>
      </c>
      <c r="J21" s="43"/>
      <c r="K21" s="43"/>
    </row>
    <row r="22" customFormat="false" ht="15" hidden="false" customHeight="false" outlineLevel="0" collapsed="false">
      <c r="A22" s="5" t="s">
        <v>855</v>
      </c>
      <c r="C22" s="43"/>
      <c r="D22" s="43"/>
      <c r="E22" s="43" t="n">
        <v>2.7352</v>
      </c>
      <c r="F22" s="43" t="n">
        <v>-2.4842</v>
      </c>
      <c r="G22" s="43" t="n">
        <v>0.3342</v>
      </c>
      <c r="H22" s="43" t="n">
        <v>0.269</v>
      </c>
      <c r="I22" s="43" t="n">
        <v>-12.6198</v>
      </c>
      <c r="J22" s="43"/>
      <c r="K22" s="43"/>
    </row>
    <row r="23" customFormat="false" ht="15" hidden="false" customHeight="false" outlineLevel="0" collapsed="false">
      <c r="A23" s="5" t="s">
        <v>337</v>
      </c>
      <c r="C23" s="43" t="n">
        <v>-122.2809</v>
      </c>
      <c r="D23" s="43" t="n">
        <v>-257.77</v>
      </c>
      <c r="E23" s="43" t="n">
        <v>-239.801</v>
      </c>
      <c r="F23" s="43" t="n">
        <v>-122.3486</v>
      </c>
      <c r="G23" s="43" t="n">
        <v>-147.8754</v>
      </c>
      <c r="H23" s="43" t="n">
        <v>-107.2242</v>
      </c>
      <c r="I23" s="43" t="n">
        <v>-294.1611</v>
      </c>
      <c r="J23" s="43" t="n">
        <v>17.8247</v>
      </c>
      <c r="K23" s="43" t="n">
        <v>-44.045</v>
      </c>
    </row>
    <row r="24" customFormat="false" ht="15" hidden="false" customHeight="false" outlineLevel="0" collapsed="false">
      <c r="A24" s="5" t="s">
        <v>336</v>
      </c>
      <c r="C24" s="43" t="n">
        <v>-133.5542</v>
      </c>
      <c r="D24" s="43" t="n">
        <v>-83.893</v>
      </c>
      <c r="E24" s="43" t="n">
        <v>-17.4286</v>
      </c>
      <c r="F24" s="43" t="n">
        <v>-232.8913</v>
      </c>
      <c r="G24" s="43" t="n">
        <v>-291.6802</v>
      </c>
      <c r="H24" s="43" t="n">
        <v>-345.4449</v>
      </c>
      <c r="I24" s="43" t="n">
        <v>-81.4387</v>
      </c>
      <c r="J24" s="43" t="n">
        <v>-15.0817</v>
      </c>
      <c r="K24" s="43" t="n">
        <v>4.1395</v>
      </c>
    </row>
    <row r="25" customFormat="false" ht="15" hidden="false" customHeight="false" outlineLevel="0" collapsed="false">
      <c r="A25" s="5" t="s">
        <v>351</v>
      </c>
      <c r="C25" s="43" t="n">
        <v>-0.9195</v>
      </c>
      <c r="D25" s="43" t="n">
        <v>-1.323</v>
      </c>
      <c r="E25" s="43" t="n">
        <v>1.838</v>
      </c>
      <c r="F25" s="43" t="n">
        <v>4.1996</v>
      </c>
      <c r="G25" s="43" t="n">
        <v>-14.9768</v>
      </c>
      <c r="H25" s="43" t="n">
        <v>6.6168</v>
      </c>
      <c r="I25" s="43" t="n">
        <v>0.4398</v>
      </c>
      <c r="J25" s="43" t="n">
        <v>0.0275</v>
      </c>
      <c r="K25" s="43" t="n">
        <v>-0.3458</v>
      </c>
    </row>
    <row r="26" customFormat="false" ht="15" hidden="false" customHeight="false" outlineLevel="0" collapsed="false">
      <c r="A26" s="5" t="s">
        <v>535</v>
      </c>
      <c r="C26" s="43" t="n">
        <v>1116.439</v>
      </c>
      <c r="D26" s="43" t="n">
        <v>208.6891</v>
      </c>
      <c r="E26" s="43" t="n">
        <v>493.6696</v>
      </c>
      <c r="F26" s="43" t="n">
        <v>541.3513</v>
      </c>
      <c r="G26" s="43" t="n">
        <v>566.2206</v>
      </c>
      <c r="H26" s="43" t="n">
        <v>803.3545</v>
      </c>
      <c r="I26" s="43" t="n">
        <v>473.1587</v>
      </c>
      <c r="J26" s="43" t="n">
        <v>294.5666</v>
      </c>
      <c r="K26" s="43" t="n">
        <v>239.9507</v>
      </c>
    </row>
    <row r="27" customFormat="false" ht="15" hidden="false" customHeight="false" outlineLevel="0" collapsed="false">
      <c r="A27" s="5" t="s">
        <v>856</v>
      </c>
      <c r="C27" s="43" t="n">
        <v>7.3927</v>
      </c>
      <c r="D27" s="43" t="n">
        <v>6.9448</v>
      </c>
      <c r="E27" s="43" t="n">
        <v>10.9054</v>
      </c>
      <c r="F27" s="43" t="n">
        <v>11.797</v>
      </c>
      <c r="G27" s="43" t="n">
        <v>22.2615</v>
      </c>
      <c r="H27" s="43" t="n">
        <v>9.5196</v>
      </c>
      <c r="I27" s="43" t="n">
        <v>7.9355</v>
      </c>
      <c r="J27" s="43" t="n">
        <v>3.4934</v>
      </c>
      <c r="K27" s="43" t="n">
        <v>5.7925</v>
      </c>
    </row>
    <row r="28" customFormat="false" ht="15" hidden="false" customHeight="false" outlineLevel="0" collapsed="false">
      <c r="A28" s="5" t="s">
        <v>857</v>
      </c>
      <c r="C28" s="43" t="n">
        <v>9.6317</v>
      </c>
      <c r="D28" s="43" t="n">
        <v>10.3236</v>
      </c>
      <c r="E28" s="43" t="n">
        <v>13.5331</v>
      </c>
      <c r="F28" s="43" t="n">
        <v>12.7508</v>
      </c>
      <c r="G28" s="43" t="n">
        <v>7.2454</v>
      </c>
      <c r="H28" s="43" t="n">
        <v>20.736</v>
      </c>
      <c r="I28" s="43" t="n">
        <v>19.0593</v>
      </c>
      <c r="J28" s="43" t="n">
        <v>4.1883</v>
      </c>
      <c r="K28" s="43" t="n">
        <v>4.3252</v>
      </c>
    </row>
    <row r="29" customFormat="false" ht="15" hidden="false" customHeight="false" outlineLevel="0" collapsed="false">
      <c r="A29" s="5" t="s">
        <v>536</v>
      </c>
      <c r="C29" s="43" t="n">
        <v>1114.2</v>
      </c>
      <c r="D29" s="43" t="n">
        <v>205.3102</v>
      </c>
      <c r="E29" s="43" t="n">
        <v>491.0418</v>
      </c>
      <c r="F29" s="43" t="n">
        <v>540.3976</v>
      </c>
      <c r="G29" s="43" t="n">
        <v>581.2367</v>
      </c>
      <c r="H29" s="43" t="n">
        <v>792.138</v>
      </c>
      <c r="I29" s="43" t="n">
        <v>462.0349</v>
      </c>
      <c r="J29" s="43" t="n">
        <v>293.8716</v>
      </c>
      <c r="K29" s="43" t="n">
        <v>241.418</v>
      </c>
    </row>
    <row r="30" customFormat="false" ht="15" hidden="false" customHeight="false" outlineLevel="0" collapsed="false">
      <c r="A30" s="5" t="s">
        <v>858</v>
      </c>
      <c r="C30" s="43" t="n">
        <v>60.3514</v>
      </c>
      <c r="D30" s="43" t="n">
        <v>62.4449</v>
      </c>
      <c r="E30" s="43" t="n">
        <v>135.4087</v>
      </c>
      <c r="F30" s="43" t="n">
        <v>131.1737</v>
      </c>
      <c r="G30" s="43" t="n">
        <v>92.4501</v>
      </c>
      <c r="H30" s="43" t="n">
        <v>81.9381</v>
      </c>
      <c r="I30" s="43" t="n">
        <v>85.9854</v>
      </c>
      <c r="J30" s="43" t="n">
        <v>9.3354</v>
      </c>
      <c r="K30" s="43" t="n">
        <v>56.1532</v>
      </c>
    </row>
    <row r="31" customFormat="false" ht="15" hidden="false" customHeight="false" outlineLevel="0" collapsed="false">
      <c r="A31" s="5" t="s">
        <v>538</v>
      </c>
      <c r="C31" s="43" t="n">
        <v>1053.8486</v>
      </c>
      <c r="D31" s="43" t="n">
        <v>142.8653</v>
      </c>
      <c r="E31" s="43" t="n">
        <v>355.6331</v>
      </c>
      <c r="F31" s="43" t="n">
        <v>409.2239</v>
      </c>
      <c r="G31" s="43" t="n">
        <v>488.7866</v>
      </c>
      <c r="H31" s="43" t="n">
        <v>710.1999</v>
      </c>
      <c r="I31" s="43" t="n">
        <v>376.0495</v>
      </c>
      <c r="J31" s="43" t="n">
        <v>284.5362</v>
      </c>
      <c r="K31" s="43" t="n">
        <v>185.2648</v>
      </c>
    </row>
    <row r="32" customFormat="false" ht="15" hidden="false" customHeight="false" outlineLevel="0" collapsed="false">
      <c r="A32" s="5" t="s">
        <v>859</v>
      </c>
      <c r="C32" s="43" t="n">
        <v>1053.8486</v>
      </c>
      <c r="D32" s="43" t="n">
        <v>142.8653</v>
      </c>
      <c r="E32" s="43" t="n">
        <v>355.6331</v>
      </c>
      <c r="F32" s="43" t="n">
        <v>409.2239</v>
      </c>
      <c r="G32" s="43" t="n">
        <v>488.7866</v>
      </c>
      <c r="H32" s="43" t="n">
        <v>710.1999</v>
      </c>
      <c r="I32" s="43" t="n">
        <v>376.0495</v>
      </c>
      <c r="J32" s="43" t="n">
        <v>284.5362</v>
      </c>
      <c r="K32" s="43" t="n">
        <v>185.2648</v>
      </c>
    </row>
    <row r="33" customFormat="false" ht="15" hidden="false" customHeight="false" outlineLevel="0" collapsed="false">
      <c r="A33" s="5" t="s">
        <v>860</v>
      </c>
      <c r="C33" s="43" t="n">
        <v>75.0692</v>
      </c>
      <c r="D33" s="43" t="n">
        <v>40.5731</v>
      </c>
      <c r="E33" s="43" t="n">
        <v>67.6577</v>
      </c>
      <c r="F33" s="43" t="n">
        <v>3.4306</v>
      </c>
      <c r="G33" s="43" t="n">
        <v>-16.5807</v>
      </c>
      <c r="H33" s="43" t="n">
        <v>7.4939</v>
      </c>
      <c r="I33" s="43" t="n">
        <v>-59.785</v>
      </c>
      <c r="J33" s="43" t="n">
        <v>-2.0325</v>
      </c>
      <c r="K33" s="43" t="n">
        <v>-7.5349</v>
      </c>
    </row>
    <row r="34" customFormat="false" ht="15" hidden="false" customHeight="false" outlineLevel="0" collapsed="false">
      <c r="A34" s="5" t="s">
        <v>832</v>
      </c>
      <c r="C34" s="43" t="n">
        <v>978.7794</v>
      </c>
      <c r="D34" s="43" t="n">
        <v>102.2922</v>
      </c>
      <c r="E34" s="43" t="n">
        <v>287.9754</v>
      </c>
      <c r="F34" s="43" t="n">
        <v>405.7933</v>
      </c>
      <c r="G34" s="43" t="n">
        <v>505.3672</v>
      </c>
      <c r="H34" s="43" t="n">
        <v>702.706</v>
      </c>
      <c r="I34" s="43" t="n">
        <v>435.8345</v>
      </c>
      <c r="J34" s="43" t="n">
        <v>286.5688</v>
      </c>
      <c r="K34" s="43" t="n">
        <v>192.7997</v>
      </c>
    </row>
    <row r="35" customFormat="false" ht="15" hidden="false" customHeight="false" outlineLevel="0" collapsed="false">
      <c r="A35" s="5" t="s">
        <v>861</v>
      </c>
      <c r="C35" s="43" t="n">
        <v>7.7905</v>
      </c>
      <c r="D35" s="43" t="n">
        <v>-42.6691</v>
      </c>
      <c r="E35" s="43" t="n">
        <v>-37.9004</v>
      </c>
      <c r="F35" s="43" t="n">
        <v>51.8354</v>
      </c>
      <c r="G35" s="43" t="n">
        <v>109.3242</v>
      </c>
      <c r="H35" s="43" t="n">
        <v>-41.2556</v>
      </c>
      <c r="I35" s="43" t="n">
        <v>199.2105</v>
      </c>
      <c r="J35" s="43" t="n">
        <v>41.3235</v>
      </c>
      <c r="K35" s="43" t="n">
        <v>-52.7556</v>
      </c>
    </row>
    <row r="36" customFormat="false" ht="15" hidden="false" customHeight="false" outlineLevel="0" collapsed="false">
      <c r="A36" s="5" t="s">
        <v>862</v>
      </c>
      <c r="C36" s="43" t="n">
        <v>1061.6391</v>
      </c>
      <c r="D36" s="43" t="n">
        <v>100.1963</v>
      </c>
      <c r="E36" s="43" t="n">
        <v>317.7326</v>
      </c>
      <c r="F36" s="43" t="n">
        <v>461.0593</v>
      </c>
      <c r="G36" s="43" t="n">
        <v>598.1107</v>
      </c>
      <c r="H36" s="43" t="n">
        <v>668.9443</v>
      </c>
      <c r="I36" s="43" t="n">
        <v>575.26</v>
      </c>
      <c r="J36" s="43" t="n">
        <v>325.8598</v>
      </c>
      <c r="K36" s="43" t="n">
        <v>132.5093</v>
      </c>
    </row>
    <row r="37" customFormat="false" ht="15" hidden="false" customHeight="false" outlineLevel="0" collapsed="false">
      <c r="A37" s="5" t="s">
        <v>863</v>
      </c>
      <c r="C37" s="43" t="n">
        <v>79.252</v>
      </c>
      <c r="D37" s="43" t="n">
        <v>32.8528</v>
      </c>
      <c r="E37" s="43" t="n">
        <v>62.5252</v>
      </c>
      <c r="F37" s="43" t="n">
        <v>12.8312</v>
      </c>
      <c r="G37" s="43" t="n">
        <v>-3.9724</v>
      </c>
      <c r="H37" s="43" t="n">
        <v>5.0118</v>
      </c>
      <c r="I37" s="43" t="n">
        <v>-31.4689</v>
      </c>
      <c r="J37" s="43" t="n">
        <v>-2.7071</v>
      </c>
      <c r="K37" s="43" t="n">
        <v>-17.9025</v>
      </c>
    </row>
    <row r="38" customFormat="false" ht="15" hidden="false" customHeight="false" outlineLevel="0" collapsed="false">
      <c r="A38" s="5" t="s">
        <v>864</v>
      </c>
      <c r="C38" s="43" t="n">
        <v>982.387</v>
      </c>
      <c r="D38" s="43" t="n">
        <v>67.3435</v>
      </c>
      <c r="E38" s="43" t="n">
        <v>255.2074</v>
      </c>
      <c r="F38" s="43" t="n">
        <v>448.2281</v>
      </c>
      <c r="G38" s="43" t="n">
        <v>602.0832</v>
      </c>
      <c r="H38" s="43" t="n">
        <v>663.9325</v>
      </c>
      <c r="I38" s="43" t="n">
        <v>606.7289</v>
      </c>
      <c r="J38" s="43" t="n">
        <v>328.5669</v>
      </c>
      <c r="K38" s="43" t="n">
        <v>150.4117</v>
      </c>
    </row>
    <row r="39" customFormat="false" ht="15" hidden="false" customHeight="false" outlineLevel="0" collapsed="false">
      <c r="A39" s="5" t="s">
        <v>865</v>
      </c>
      <c r="C39" s="44" t="n">
        <v>0.84</v>
      </c>
      <c r="D39" s="44" t="n">
        <v>0.09</v>
      </c>
      <c r="E39" s="44" t="n">
        <v>0.25</v>
      </c>
      <c r="F39" s="44" t="n">
        <v>0.34</v>
      </c>
      <c r="G39" s="44" t="n">
        <v>0.43</v>
      </c>
      <c r="H39" s="44" t="n">
        <v>0.61</v>
      </c>
      <c r="I39" s="44" t="n">
        <v>0.36</v>
      </c>
      <c r="J39" s="44" t="n">
        <v>0.24</v>
      </c>
      <c r="K39" s="44" t="n">
        <v>0.14</v>
      </c>
    </row>
    <row r="40" customFormat="false" ht="15" hidden="false" customHeight="false" outlineLevel="0" collapsed="false">
      <c r="A40" s="5" t="s">
        <v>866</v>
      </c>
      <c r="C40" s="44" t="n">
        <v>0.82</v>
      </c>
      <c r="D40" s="44" t="n">
        <v>0.09</v>
      </c>
      <c r="E40" s="44" t="n">
        <v>0.23</v>
      </c>
      <c r="F40" s="44" t="n">
        <v>0.3</v>
      </c>
      <c r="G40" s="44" t="n">
        <v>0.42</v>
      </c>
      <c r="H40" s="44" t="n">
        <v>0.61</v>
      </c>
      <c r="I40" s="44" t="n">
        <v>0.36</v>
      </c>
      <c r="J40" s="44" t="n">
        <v>0.24</v>
      </c>
      <c r="K40" s="44" t="n">
        <v>0.14</v>
      </c>
    </row>
    <row r="41" customFormat="false" ht="15" hidden="false" customHeight="false" outlineLevel="0" collapsed="false">
      <c r="A41" s="3" t="s">
        <v>867</v>
      </c>
      <c r="C41" s="4"/>
      <c r="D41" s="4"/>
      <c r="E41" s="4"/>
      <c r="F41" s="4"/>
      <c r="G41" s="4"/>
      <c r="H41" s="4"/>
      <c r="I41" s="4"/>
      <c r="J41" s="4"/>
      <c r="K41" s="4"/>
    </row>
    <row r="42" customFormat="false" ht="15" hidden="false" customHeight="false" outlineLevel="0" collapsed="false">
      <c r="A42" s="5" t="s">
        <v>564</v>
      </c>
      <c r="C42" s="43" t="n">
        <v>4637.6073</v>
      </c>
      <c r="D42" s="43" t="n">
        <v>3970.119</v>
      </c>
      <c r="E42" s="43" t="n">
        <v>4722.3289</v>
      </c>
      <c r="F42" s="43" t="n">
        <v>4388.9732</v>
      </c>
      <c r="G42" s="43" t="n">
        <v>5207.7287</v>
      </c>
      <c r="H42" s="43" t="n">
        <v>5243.7569</v>
      </c>
      <c r="I42" s="43" t="n">
        <v>6486.4939</v>
      </c>
      <c r="J42" s="43" t="n">
        <v>3603.3337</v>
      </c>
      <c r="K42" s="43" t="n">
        <v>4965.1259</v>
      </c>
    </row>
    <row r="43" customFormat="false" ht="15" hidden="false" customHeight="false" outlineLevel="0" collapsed="false">
      <c r="A43" s="5" t="s">
        <v>868</v>
      </c>
      <c r="C43" s="43" t="n">
        <v>8546.9054</v>
      </c>
      <c r="D43" s="43" t="n">
        <v>6273.9124</v>
      </c>
      <c r="E43" s="43" t="n">
        <v>4783.9256</v>
      </c>
      <c r="F43" s="43" t="n">
        <v>7420.2102</v>
      </c>
      <c r="G43" s="43" t="n">
        <v>13452.9026</v>
      </c>
      <c r="H43" s="43" t="n">
        <v>16646.8281</v>
      </c>
      <c r="I43" s="43" t="n">
        <v>15422.8021</v>
      </c>
      <c r="J43" s="43" t="n">
        <v>15876.7291</v>
      </c>
      <c r="K43" s="43" t="n">
        <v>14070.9509</v>
      </c>
    </row>
    <row r="44" customFormat="false" ht="15" hidden="false" customHeight="false" outlineLevel="0" collapsed="false">
      <c r="A44" s="5" t="s">
        <v>869</v>
      </c>
      <c r="C44" s="43" t="n">
        <v>1053.2769</v>
      </c>
      <c r="D44" s="43" t="n">
        <v>514.4739</v>
      </c>
      <c r="E44" s="43" t="n">
        <v>564.5794</v>
      </c>
      <c r="F44" s="43" t="n">
        <v>589.8675</v>
      </c>
      <c r="G44" s="43" t="n">
        <v>1041.1075</v>
      </c>
      <c r="H44" s="43" t="n">
        <v>1385.9713</v>
      </c>
      <c r="I44" s="43" t="n">
        <v>611.7505</v>
      </c>
      <c r="J44" s="43" t="n">
        <v>654.0552</v>
      </c>
      <c r="K44" s="43" t="n">
        <v>970.6595</v>
      </c>
    </row>
    <row r="45" customFormat="false" ht="15" hidden="false" customHeight="false" outlineLevel="0" collapsed="false">
      <c r="A45" s="5" t="s">
        <v>442</v>
      </c>
      <c r="C45" s="43" t="n">
        <v>7493.6285</v>
      </c>
      <c r="D45" s="43" t="n">
        <v>5759.4385</v>
      </c>
      <c r="E45" s="43" t="n">
        <v>4219.3462</v>
      </c>
      <c r="F45" s="43" t="n">
        <v>6830.3427</v>
      </c>
      <c r="G45" s="43" t="n">
        <v>12411.7951</v>
      </c>
      <c r="H45" s="43" t="n">
        <v>15260.8568</v>
      </c>
      <c r="I45" s="43" t="n">
        <v>14811.0516</v>
      </c>
      <c r="J45" s="43" t="n">
        <v>15222.6739</v>
      </c>
      <c r="K45" s="43" t="n">
        <v>13100.2914</v>
      </c>
    </row>
    <row r="46" customFormat="false" ht="15" hidden="false" customHeight="false" outlineLevel="0" collapsed="false">
      <c r="A46" s="5" t="s">
        <v>870</v>
      </c>
      <c r="C46" s="43"/>
      <c r="D46" s="43" t="n">
        <v>329.3958</v>
      </c>
      <c r="E46" s="43" t="n">
        <v>226.7897</v>
      </c>
      <c r="F46" s="43" t="n">
        <v>132.3347</v>
      </c>
      <c r="G46" s="43" t="n">
        <v>346.8897</v>
      </c>
      <c r="H46" s="43" t="n">
        <v>318.2288</v>
      </c>
      <c r="I46" s="43" t="n">
        <v>355.4839</v>
      </c>
      <c r="J46" s="43" t="n">
        <v>231.9013</v>
      </c>
      <c r="K46" s="43" t="n">
        <v>244.1906</v>
      </c>
    </row>
    <row r="47" customFormat="false" ht="15" hidden="false" customHeight="false" outlineLevel="0" collapsed="false">
      <c r="A47" s="5" t="s">
        <v>445</v>
      </c>
      <c r="C47" s="43" t="n">
        <v>340.8775</v>
      </c>
      <c r="D47" s="43" t="n">
        <v>503.6771</v>
      </c>
      <c r="E47" s="43" t="n">
        <v>345.0894</v>
      </c>
      <c r="F47" s="43" t="n">
        <v>744.5724</v>
      </c>
      <c r="G47" s="43" t="n">
        <v>1204.0073</v>
      </c>
      <c r="H47" s="43" t="n">
        <v>659.2119</v>
      </c>
      <c r="I47" s="43" t="n">
        <v>1461.3915</v>
      </c>
      <c r="J47" s="43" t="n">
        <v>691.8123</v>
      </c>
      <c r="K47" s="43" t="n">
        <v>2516.0374</v>
      </c>
    </row>
    <row r="48" customFormat="false" ht="15" hidden="false" customHeight="false" outlineLevel="0" collapsed="false">
      <c r="A48" s="5" t="s">
        <v>871</v>
      </c>
      <c r="C48" s="43" t="n">
        <v>710.8265</v>
      </c>
      <c r="D48" s="43" t="n">
        <v>596.1824</v>
      </c>
      <c r="E48" s="43" t="n">
        <v>680.7874</v>
      </c>
      <c r="F48" s="43" t="n">
        <v>484.3906</v>
      </c>
      <c r="G48" s="43" t="n">
        <v>646.0326</v>
      </c>
      <c r="H48" s="43" t="n">
        <v>496.4689</v>
      </c>
      <c r="I48" s="43" t="n">
        <v>367.0848</v>
      </c>
      <c r="J48" s="43" t="n">
        <v>309.9272</v>
      </c>
      <c r="K48" s="43" t="n">
        <v>315.1794</v>
      </c>
    </row>
    <row r="49" customFormat="false" ht="15" hidden="false" customHeight="false" outlineLevel="0" collapsed="false">
      <c r="A49" s="5" t="s">
        <v>872</v>
      </c>
      <c r="C49" s="43" t="n">
        <v>157.5054</v>
      </c>
      <c r="D49" s="43" t="n">
        <v>122.9364</v>
      </c>
      <c r="E49" s="43" t="n">
        <v>120.8834</v>
      </c>
      <c r="F49" s="43" t="n">
        <v>115.7414</v>
      </c>
      <c r="G49" s="43" t="n">
        <v>105.4014</v>
      </c>
      <c r="H49" s="43" t="n">
        <v>92.8764</v>
      </c>
      <c r="I49" s="43"/>
      <c r="J49" s="43" t="n">
        <v>75.3414</v>
      </c>
      <c r="K49" s="43" t="n">
        <v>144</v>
      </c>
    </row>
    <row r="50" customFormat="false" ht="15" hidden="false" customHeight="false" outlineLevel="0" collapsed="false">
      <c r="A50" s="5" t="s">
        <v>873</v>
      </c>
      <c r="C50" s="43" t="n">
        <v>3.2736</v>
      </c>
      <c r="D50" s="43" t="n">
        <v>0.6422</v>
      </c>
      <c r="E50" s="43" t="n">
        <v>0</v>
      </c>
      <c r="F50" s="43" t="n">
        <v>1.0072</v>
      </c>
      <c r="G50" s="43" t="n">
        <v>0</v>
      </c>
      <c r="H50" s="43" t="n">
        <v>0</v>
      </c>
      <c r="I50" s="43"/>
      <c r="J50" s="43" t="n">
        <v>0</v>
      </c>
      <c r="K50" s="43"/>
    </row>
    <row r="51" customFormat="false" ht="15" hidden="false" customHeight="false" outlineLevel="0" collapsed="false">
      <c r="A51" s="5" t="s">
        <v>446</v>
      </c>
      <c r="C51" s="43" t="n">
        <v>550.0475</v>
      </c>
      <c r="D51" s="43" t="n">
        <v>472.6037</v>
      </c>
      <c r="E51" s="43" t="n">
        <v>559.904</v>
      </c>
      <c r="F51" s="43" t="n">
        <v>367.642</v>
      </c>
      <c r="G51" s="43" t="n">
        <v>540.6312</v>
      </c>
      <c r="H51" s="43" t="n">
        <v>403.5925</v>
      </c>
      <c r="I51" s="43" t="n">
        <v>367.0848</v>
      </c>
      <c r="J51" s="43" t="n">
        <v>234.5857</v>
      </c>
      <c r="K51" s="43" t="n">
        <v>171.1794</v>
      </c>
    </row>
    <row r="52" customFormat="false" ht="15" hidden="false" customHeight="false" outlineLevel="0" collapsed="false">
      <c r="A52" s="5" t="s">
        <v>447</v>
      </c>
      <c r="C52" s="43" t="n">
        <v>8938.8192</v>
      </c>
      <c r="D52" s="43" t="n">
        <v>13573.7697</v>
      </c>
      <c r="E52" s="43" t="n">
        <v>14605.1278</v>
      </c>
      <c r="F52" s="43" t="n">
        <v>14390.1617</v>
      </c>
      <c r="G52" s="43" t="n">
        <v>9718.9319</v>
      </c>
      <c r="H52" s="43" t="n">
        <v>9329.2257</v>
      </c>
      <c r="I52" s="43" t="n">
        <v>10575.039</v>
      </c>
      <c r="J52" s="43" t="n">
        <v>10028.1206</v>
      </c>
      <c r="K52" s="43" t="n">
        <v>13560.0929</v>
      </c>
    </row>
    <row r="53" customFormat="false" ht="15" hidden="false" customHeight="false" outlineLevel="0" collapsed="false">
      <c r="A53" s="5" t="s">
        <v>874</v>
      </c>
      <c r="C53" s="43" t="n">
        <v>494.899</v>
      </c>
      <c r="D53" s="43" t="n">
        <v>584.3077</v>
      </c>
      <c r="E53" s="43" t="n">
        <v>543.3164</v>
      </c>
      <c r="F53" s="43" t="n">
        <v>633.5327</v>
      </c>
      <c r="G53" s="43" t="n">
        <v>725.1377</v>
      </c>
      <c r="H53" s="43" t="n">
        <v>917.7124</v>
      </c>
      <c r="I53" s="43" t="n">
        <v>539.4726</v>
      </c>
      <c r="J53" s="43" t="n">
        <v>1041.1841</v>
      </c>
      <c r="K53" s="43" t="n">
        <v>706.3645</v>
      </c>
    </row>
    <row r="54" customFormat="false" ht="15" hidden="false" customHeight="false" outlineLevel="0" collapsed="false">
      <c r="A54" s="5" t="s">
        <v>566</v>
      </c>
      <c r="C54" s="43" t="n">
        <v>23669.935</v>
      </c>
      <c r="D54" s="43" t="n">
        <v>25831.3641</v>
      </c>
      <c r="E54" s="43" t="n">
        <v>25907.3652</v>
      </c>
      <c r="F54" s="43" t="n">
        <v>28194.1755</v>
      </c>
      <c r="G54" s="43" t="n">
        <v>31301.6306</v>
      </c>
      <c r="H54" s="43" t="n">
        <v>33611.4326</v>
      </c>
      <c r="I54" s="43" t="n">
        <v>35207.7677</v>
      </c>
      <c r="J54" s="43" t="n">
        <v>31783.0083</v>
      </c>
      <c r="K54" s="43" t="n">
        <v>36377.9416</v>
      </c>
    </row>
    <row r="55" customFormat="false" ht="15" hidden="false" customHeight="false" outlineLevel="0" collapsed="false">
      <c r="A55" s="5" t="s">
        <v>567</v>
      </c>
      <c r="C55" s="43" t="n">
        <v>2216.9789</v>
      </c>
      <c r="D55" s="43" t="n">
        <v>2303.0559</v>
      </c>
      <c r="E55" s="43" t="n">
        <v>2504.3889</v>
      </c>
      <c r="F55" s="43" t="n">
        <v>2726.3613</v>
      </c>
      <c r="G55" s="43" t="n">
        <v>2743.0593</v>
      </c>
      <c r="H55" s="43" t="n">
        <v>2745.9269</v>
      </c>
      <c r="I55" s="43" t="n">
        <v>2987.0148</v>
      </c>
      <c r="J55" s="43" t="n">
        <v>2775.9563</v>
      </c>
      <c r="K55" s="43" t="n">
        <v>3243.2863</v>
      </c>
    </row>
    <row r="56" customFormat="false" ht="15" hidden="false" customHeight="false" outlineLevel="0" collapsed="false">
      <c r="A56" s="5" t="s">
        <v>875</v>
      </c>
      <c r="C56" s="43" t="n">
        <v>180.2966</v>
      </c>
      <c r="D56" s="43" t="n">
        <v>180.1809</v>
      </c>
      <c r="E56" s="43" t="n">
        <v>208.3202</v>
      </c>
      <c r="F56" s="43" t="n">
        <v>210.8065</v>
      </c>
      <c r="G56" s="43" t="n">
        <v>147.6732</v>
      </c>
      <c r="H56" s="43" t="n">
        <v>119.0697</v>
      </c>
      <c r="I56" s="43" t="n">
        <v>115.8727</v>
      </c>
      <c r="J56" s="43" t="n">
        <v>119.0697</v>
      </c>
      <c r="K56" s="43" t="n">
        <v>115.8727</v>
      </c>
    </row>
    <row r="57" customFormat="false" ht="15" hidden="false" customHeight="false" outlineLevel="0" collapsed="false">
      <c r="A57" s="5" t="s">
        <v>876</v>
      </c>
      <c r="C57" s="43"/>
      <c r="D57" s="43"/>
      <c r="E57" s="43" t="n">
        <v>87.8352</v>
      </c>
      <c r="F57" s="43" t="n">
        <v>96.351</v>
      </c>
      <c r="G57" s="43" t="n">
        <v>96.6852</v>
      </c>
      <c r="H57" s="43" t="n">
        <v>16.4536</v>
      </c>
      <c r="I57" s="43" t="n">
        <v>16.2645</v>
      </c>
      <c r="J57" s="43" t="n">
        <v>16.4536</v>
      </c>
      <c r="K57" s="43" t="n">
        <v>16.2645</v>
      </c>
    </row>
    <row r="58" customFormat="false" ht="15" hidden="false" customHeight="false" outlineLevel="0" collapsed="false">
      <c r="A58" s="5" t="s">
        <v>570</v>
      </c>
      <c r="C58" s="43" t="n">
        <v>127.9268</v>
      </c>
      <c r="D58" s="43" t="n">
        <v>123.1721</v>
      </c>
      <c r="E58" s="43" t="n">
        <v>118.3596</v>
      </c>
      <c r="F58" s="43" t="n">
        <v>113.6049</v>
      </c>
      <c r="G58" s="43" t="n">
        <v>108.8725</v>
      </c>
      <c r="H58" s="43" t="n">
        <v>104.0955</v>
      </c>
      <c r="I58" s="43" t="n">
        <v>99.29</v>
      </c>
      <c r="J58" s="43" t="n">
        <v>101.7182</v>
      </c>
      <c r="K58" s="43" t="n">
        <v>96.9127</v>
      </c>
    </row>
    <row r="59" customFormat="false" ht="15" hidden="false" customHeight="false" outlineLevel="0" collapsed="false">
      <c r="A59" s="5" t="s">
        <v>877</v>
      </c>
      <c r="C59" s="43" t="n">
        <v>2567.4984</v>
      </c>
      <c r="D59" s="43" t="n">
        <v>3351.0126</v>
      </c>
      <c r="E59" s="43" t="n">
        <v>3458.9686</v>
      </c>
      <c r="F59" s="43" t="n">
        <v>3673.3317</v>
      </c>
      <c r="G59" s="43" t="n">
        <v>4194.2529</v>
      </c>
      <c r="H59" s="43" t="n">
        <v>3762.6742</v>
      </c>
      <c r="I59" s="43" t="n">
        <v>3608.4412</v>
      </c>
      <c r="J59" s="43" t="n">
        <v>3633.5006</v>
      </c>
      <c r="K59" s="43" t="n">
        <v>3972.7994</v>
      </c>
    </row>
    <row r="60" customFormat="false" ht="15" hidden="false" customHeight="false" outlineLevel="0" collapsed="false">
      <c r="A60" s="5" t="s">
        <v>571</v>
      </c>
      <c r="C60" s="43" t="n">
        <v>2567.4984</v>
      </c>
      <c r="D60" s="43" t="n">
        <v>3351.0126</v>
      </c>
      <c r="E60" s="43" t="n">
        <v>3458.9686</v>
      </c>
      <c r="F60" s="43" t="n">
        <v>3673.3317</v>
      </c>
      <c r="G60" s="43" t="n">
        <v>4194.2529</v>
      </c>
      <c r="H60" s="43" t="n">
        <v>3762.6742</v>
      </c>
      <c r="I60" s="43" t="n">
        <v>3608.4412</v>
      </c>
      <c r="J60" s="43" t="n">
        <v>3633.5006</v>
      </c>
      <c r="K60" s="43" t="n">
        <v>3972.7994</v>
      </c>
    </row>
    <row r="61" customFormat="false" ht="15" hidden="false" customHeight="false" outlineLevel="0" collapsed="false">
      <c r="A61" s="5" t="s">
        <v>878</v>
      </c>
      <c r="C61" s="43" t="n">
        <v>1027.4012</v>
      </c>
      <c r="D61" s="43" t="n">
        <v>877.2857</v>
      </c>
      <c r="E61" s="43" t="n">
        <v>1191.0416</v>
      </c>
      <c r="F61" s="43" t="n">
        <v>916.072</v>
      </c>
      <c r="G61" s="43" t="n">
        <v>429.2772</v>
      </c>
      <c r="H61" s="43" t="n">
        <v>889.8926</v>
      </c>
      <c r="I61" s="43" t="n">
        <v>1364.8068</v>
      </c>
      <c r="J61" s="43" t="n">
        <v>976.2217</v>
      </c>
      <c r="K61" s="43" t="n">
        <v>1155.3614</v>
      </c>
    </row>
    <row r="62" customFormat="false" ht="15" hidden="false" customHeight="false" outlineLevel="0" collapsed="false">
      <c r="A62" s="5" t="s">
        <v>390</v>
      </c>
      <c r="C62" s="43" t="n">
        <v>1027.4012</v>
      </c>
      <c r="D62" s="43" t="n">
        <v>877.2857</v>
      </c>
      <c r="E62" s="43" t="n">
        <v>1191.0416</v>
      </c>
      <c r="F62" s="43" t="n">
        <v>916.072</v>
      </c>
      <c r="G62" s="43" t="n">
        <v>429.2772</v>
      </c>
      <c r="H62" s="43" t="n">
        <v>889.8926</v>
      </c>
      <c r="I62" s="43" t="n">
        <v>1364.8068</v>
      </c>
      <c r="J62" s="43" t="n">
        <v>976.2217</v>
      </c>
      <c r="K62" s="43" t="n">
        <v>1155.3614</v>
      </c>
    </row>
    <row r="63" customFormat="false" ht="15" hidden="false" customHeight="false" outlineLevel="0" collapsed="false">
      <c r="A63" s="5" t="s">
        <v>572</v>
      </c>
      <c r="C63" s="43"/>
      <c r="D63" s="43"/>
      <c r="E63" s="43" t="n">
        <v>88.6436</v>
      </c>
      <c r="F63" s="43" t="n">
        <v>147.4453</v>
      </c>
      <c r="G63" s="43" t="n">
        <v>78.6099</v>
      </c>
      <c r="H63" s="43" t="n">
        <v>160.5597</v>
      </c>
      <c r="I63" s="43" t="n">
        <v>108.2493</v>
      </c>
      <c r="J63" s="43" t="n">
        <v>127.7982</v>
      </c>
      <c r="K63" s="43" t="n">
        <v>79.9477</v>
      </c>
    </row>
    <row r="64" customFormat="false" ht="15" hidden="false" customHeight="false" outlineLevel="0" collapsed="false">
      <c r="A64" s="5" t="s">
        <v>398</v>
      </c>
      <c r="C64" s="43" t="n">
        <v>720.5225</v>
      </c>
      <c r="D64" s="43" t="n">
        <v>999.5628</v>
      </c>
      <c r="E64" s="43" t="n">
        <v>956.8971</v>
      </c>
      <c r="F64" s="43" t="n">
        <v>1202.1387</v>
      </c>
      <c r="G64" s="43" t="n">
        <v>1553.3013</v>
      </c>
      <c r="H64" s="43" t="n">
        <v>1741.9929</v>
      </c>
      <c r="I64" s="43" t="n">
        <v>2407.8063</v>
      </c>
      <c r="J64" s="43" t="n">
        <v>1870.7386</v>
      </c>
      <c r="K64" s="43" t="n">
        <v>2249.317</v>
      </c>
    </row>
    <row r="65" customFormat="false" ht="15" hidden="false" customHeight="false" outlineLevel="0" collapsed="false">
      <c r="A65" s="5" t="s">
        <v>573</v>
      </c>
      <c r="C65" s="43" t="n">
        <v>765.7027</v>
      </c>
      <c r="D65" s="43" t="n">
        <v>1134.4627</v>
      </c>
      <c r="E65" s="43" t="n">
        <v>1124.4628</v>
      </c>
      <c r="F65" s="43" t="n">
        <v>1020.541</v>
      </c>
      <c r="G65" s="43" t="n">
        <v>938.2379</v>
      </c>
      <c r="H65" s="43" t="n">
        <v>1273.7418</v>
      </c>
      <c r="I65" s="43" t="n">
        <v>953.7547</v>
      </c>
      <c r="J65" s="43" t="n">
        <v>1284.2544</v>
      </c>
      <c r="K65" s="43" t="n">
        <v>1229.9452</v>
      </c>
    </row>
    <row r="66" customFormat="false" ht="15" hidden="false" customHeight="false" outlineLevel="0" collapsed="false">
      <c r="A66" s="5" t="s">
        <v>574</v>
      </c>
      <c r="C66" s="43" t="n">
        <v>2.1761</v>
      </c>
      <c r="D66" s="43" t="n">
        <v>2.1761</v>
      </c>
      <c r="E66" s="43" t="n">
        <v>2.1761</v>
      </c>
      <c r="F66" s="43" t="n">
        <v>2.1761</v>
      </c>
      <c r="G66" s="43" t="n">
        <v>86.3484</v>
      </c>
      <c r="H66" s="43" t="n">
        <v>86.3484</v>
      </c>
      <c r="I66" s="43" t="n">
        <v>86.3484</v>
      </c>
      <c r="J66" s="43" t="n">
        <v>86.3484</v>
      </c>
      <c r="K66" s="43" t="n">
        <v>86.3484</v>
      </c>
    </row>
    <row r="67" customFormat="false" ht="15" hidden="false" customHeight="false" outlineLevel="0" collapsed="false">
      <c r="A67" s="5" t="s">
        <v>419</v>
      </c>
      <c r="C67" s="43" t="n">
        <v>46.8583</v>
      </c>
      <c r="D67" s="43" t="n">
        <v>63.8367</v>
      </c>
      <c r="E67" s="43" t="n">
        <v>57.8415</v>
      </c>
      <c r="F67" s="43" t="n">
        <v>50.8145</v>
      </c>
      <c r="G67" s="43" t="n">
        <v>48.4462</v>
      </c>
      <c r="H67" s="43" t="n">
        <v>39.0585</v>
      </c>
      <c r="I67" s="43" t="n">
        <v>36.4732</v>
      </c>
      <c r="J67" s="43" t="n">
        <v>38.2908</v>
      </c>
      <c r="K67" s="43" t="n">
        <v>39.016</v>
      </c>
    </row>
    <row r="68" customFormat="false" ht="15" hidden="false" customHeight="false" outlineLevel="0" collapsed="false">
      <c r="A68" s="5" t="s">
        <v>575</v>
      </c>
      <c r="C68" s="43" t="n">
        <v>165.7614</v>
      </c>
      <c r="D68" s="43" t="n">
        <v>175.4291</v>
      </c>
      <c r="E68" s="43" t="n">
        <v>174.021</v>
      </c>
      <c r="F68" s="43" t="n">
        <v>192.1203</v>
      </c>
      <c r="G68" s="43" t="n">
        <v>207.1906</v>
      </c>
      <c r="H68" s="43" t="n">
        <v>202.3741</v>
      </c>
      <c r="I68" s="43" t="n">
        <v>186.1557</v>
      </c>
      <c r="J68" s="43" t="n">
        <v>202.5498</v>
      </c>
      <c r="K68" s="43" t="n">
        <v>189.3518</v>
      </c>
    </row>
    <row r="69" customFormat="false" ht="15" hidden="false" customHeight="false" outlineLevel="0" collapsed="false">
      <c r="A69" s="5" t="s">
        <v>879</v>
      </c>
      <c r="C69" s="43"/>
      <c r="D69" s="43"/>
      <c r="E69" s="43"/>
      <c r="F69" s="43"/>
      <c r="G69" s="43"/>
      <c r="H69" s="43" t="n">
        <v>3.8189</v>
      </c>
      <c r="I69" s="43" t="n">
        <v>3.7373</v>
      </c>
      <c r="J69" s="43"/>
      <c r="K69" s="43" t="n">
        <v>5.4</v>
      </c>
    </row>
    <row r="70" customFormat="false" ht="15" hidden="false" customHeight="false" outlineLevel="0" collapsed="false">
      <c r="A70" s="5" t="s">
        <v>577</v>
      </c>
      <c r="C70" s="43" t="n">
        <v>7821.1228</v>
      </c>
      <c r="D70" s="43" t="n">
        <v>9210.1746</v>
      </c>
      <c r="E70" s="43" t="n">
        <v>9972.956</v>
      </c>
      <c r="F70" s="43" t="n">
        <v>10351.7634</v>
      </c>
      <c r="G70" s="43" t="n">
        <v>10631.9546</v>
      </c>
      <c r="H70" s="43" t="n">
        <v>11146.0069</v>
      </c>
      <c r="I70" s="43" t="n">
        <v>11974.215</v>
      </c>
      <c r="J70" s="43" t="n">
        <v>11232.9003</v>
      </c>
      <c r="K70" s="43" t="n">
        <v>12479.823</v>
      </c>
    </row>
    <row r="71" customFormat="false" ht="15" hidden="false" customHeight="false" outlineLevel="0" collapsed="false">
      <c r="A71" s="5" t="s">
        <v>880</v>
      </c>
      <c r="C71" s="43"/>
      <c r="D71" s="43"/>
      <c r="E71" s="43"/>
      <c r="F71" s="43"/>
      <c r="G71" s="43"/>
      <c r="H71" s="43"/>
      <c r="I71" s="43"/>
      <c r="J71" s="43" t="n">
        <v>0</v>
      </c>
      <c r="K71" s="43"/>
    </row>
    <row r="72" customFormat="false" ht="15" hidden="false" customHeight="false" outlineLevel="0" collapsed="false">
      <c r="A72" s="5" t="s">
        <v>578</v>
      </c>
      <c r="C72" s="43" t="n">
        <v>31491.0578</v>
      </c>
      <c r="D72" s="43" t="n">
        <v>35041.5387</v>
      </c>
      <c r="E72" s="43" t="n">
        <v>35880.3213</v>
      </c>
      <c r="F72" s="43" t="n">
        <v>38545.9389</v>
      </c>
      <c r="G72" s="43" t="n">
        <v>41933.5852</v>
      </c>
      <c r="H72" s="43" t="n">
        <v>44757.4395</v>
      </c>
      <c r="I72" s="43" t="n">
        <v>47181.9827</v>
      </c>
      <c r="J72" s="43" t="n">
        <v>43015.9087</v>
      </c>
      <c r="K72" s="43" t="n">
        <v>48857.7646</v>
      </c>
    </row>
    <row r="73" customFormat="false" ht="15" hidden="false" customHeight="false" outlineLevel="0" collapsed="false">
      <c r="A73" s="5" t="s">
        <v>580</v>
      </c>
      <c r="C73" s="43" t="n">
        <v>548.81</v>
      </c>
      <c r="D73" s="43" t="n">
        <v>478.9947</v>
      </c>
      <c r="E73" s="43" t="n">
        <v>288.5518</v>
      </c>
      <c r="F73" s="43" t="n">
        <v>638.6606</v>
      </c>
      <c r="G73" s="43" t="n">
        <v>2026.2359</v>
      </c>
      <c r="H73" s="43" t="n">
        <v>5079.8579</v>
      </c>
      <c r="I73" s="43" t="n">
        <v>6930.4263</v>
      </c>
      <c r="J73" s="43" t="n">
        <v>5431.6344</v>
      </c>
      <c r="K73" s="43" t="n">
        <v>7776.7969</v>
      </c>
    </row>
    <row r="74" customFormat="false" ht="15" hidden="false" customHeight="false" outlineLevel="0" collapsed="false">
      <c r="A74" s="5" t="s">
        <v>461</v>
      </c>
      <c r="C74" s="43"/>
      <c r="D74" s="43"/>
      <c r="E74" s="43"/>
      <c r="F74" s="43"/>
      <c r="G74" s="43"/>
      <c r="H74" s="43"/>
      <c r="I74" s="43" t="n">
        <v>18.9335</v>
      </c>
      <c r="J74" s="43"/>
      <c r="K74" s="43" t="n">
        <v>18.9335</v>
      </c>
    </row>
    <row r="75" customFormat="false" ht="15" hidden="false" customHeight="false" outlineLevel="0" collapsed="false">
      <c r="A75" s="5" t="s">
        <v>451</v>
      </c>
      <c r="C75" s="43" t="n">
        <v>10242.0191</v>
      </c>
      <c r="D75" s="43" t="n">
        <v>12235.8504</v>
      </c>
      <c r="E75" s="43" t="n">
        <v>11601.4249</v>
      </c>
      <c r="F75" s="43" t="n">
        <v>14019.2164</v>
      </c>
      <c r="G75" s="43" t="n">
        <v>14566.4881</v>
      </c>
      <c r="H75" s="43" t="n">
        <v>14506.032</v>
      </c>
      <c r="I75" s="43" t="n">
        <v>12627.4956</v>
      </c>
      <c r="J75" s="43" t="n">
        <v>11146.5507</v>
      </c>
      <c r="K75" s="43" t="n">
        <v>13548.8506</v>
      </c>
    </row>
    <row r="76" customFormat="false" ht="15" hidden="false" customHeight="false" outlineLevel="0" collapsed="false">
      <c r="A76" s="5" t="s">
        <v>581</v>
      </c>
      <c r="C76" s="43" t="n">
        <v>4445.2668</v>
      </c>
      <c r="D76" s="43" t="n">
        <v>5735.9551</v>
      </c>
      <c r="E76" s="43" t="n">
        <v>5945.8226</v>
      </c>
      <c r="F76" s="43" t="n">
        <v>7526.9418</v>
      </c>
      <c r="G76" s="43" t="n">
        <v>7752.2333</v>
      </c>
      <c r="H76" s="43" t="n">
        <v>8512.7803</v>
      </c>
      <c r="I76" s="43" t="n">
        <v>6071.3562</v>
      </c>
      <c r="J76" s="43" t="n">
        <v>5132.2303</v>
      </c>
      <c r="K76" s="43" t="n">
        <v>7293.6379</v>
      </c>
    </row>
    <row r="77" customFormat="false" ht="15" hidden="false" customHeight="false" outlineLevel="0" collapsed="false">
      <c r="A77" s="5" t="s">
        <v>582</v>
      </c>
      <c r="C77" s="43" t="n">
        <v>5796.7522</v>
      </c>
      <c r="D77" s="43" t="n">
        <v>6499.8953</v>
      </c>
      <c r="E77" s="43" t="n">
        <v>5655.6024</v>
      </c>
      <c r="F77" s="43" t="n">
        <v>6492.2746</v>
      </c>
      <c r="G77" s="43" t="n">
        <v>6814.2548</v>
      </c>
      <c r="H77" s="43" t="n">
        <v>5993.2517</v>
      </c>
      <c r="I77" s="43" t="n">
        <v>6556.1394</v>
      </c>
      <c r="J77" s="43" t="n">
        <v>6014.3203</v>
      </c>
      <c r="K77" s="43" t="n">
        <v>6255.2128</v>
      </c>
    </row>
    <row r="78" customFormat="false" ht="15" hidden="false" customHeight="false" outlineLevel="0" collapsed="false">
      <c r="A78" s="5" t="s">
        <v>881</v>
      </c>
      <c r="C78" s="43" t="n">
        <v>3200.1447</v>
      </c>
      <c r="D78" s="43" t="n">
        <v>1.8429</v>
      </c>
      <c r="E78" s="43" t="n">
        <v>1.3439</v>
      </c>
      <c r="F78" s="43" t="n">
        <v>1.57</v>
      </c>
      <c r="G78" s="43" t="n">
        <v>27.4386</v>
      </c>
      <c r="H78" s="43" t="n">
        <v>1.4648</v>
      </c>
      <c r="I78" s="43" t="n">
        <v>1.1602</v>
      </c>
      <c r="J78" s="43" t="n">
        <v>1.3297</v>
      </c>
      <c r="K78" s="43" t="n">
        <v>1.4241</v>
      </c>
    </row>
    <row r="79" customFormat="false" ht="15" hidden="false" customHeight="false" outlineLevel="0" collapsed="false">
      <c r="A79" s="5" t="s">
        <v>882</v>
      </c>
      <c r="C79" s="43"/>
      <c r="D79" s="43" t="n">
        <v>3673.7189</v>
      </c>
      <c r="E79" s="43" t="n">
        <v>3167.3309</v>
      </c>
      <c r="F79" s="43" t="n">
        <v>1319.1721</v>
      </c>
      <c r="G79" s="43" t="n">
        <v>1309.8834</v>
      </c>
      <c r="H79" s="43" t="n">
        <v>774.6746</v>
      </c>
      <c r="I79" s="43" t="n">
        <v>976.508</v>
      </c>
      <c r="J79" s="43" t="n">
        <v>916.7206</v>
      </c>
      <c r="K79" s="43" t="n">
        <v>1106.1566</v>
      </c>
    </row>
    <row r="80" customFormat="false" ht="15" hidden="false" customHeight="false" outlineLevel="0" collapsed="false">
      <c r="A80" s="5" t="s">
        <v>457</v>
      </c>
      <c r="C80" s="43" t="n">
        <v>418.233</v>
      </c>
      <c r="D80" s="43" t="n">
        <v>276.9085</v>
      </c>
      <c r="E80" s="43" t="n">
        <v>235.4881</v>
      </c>
      <c r="F80" s="43" t="n">
        <v>231.3288</v>
      </c>
      <c r="G80" s="43" t="n">
        <v>283.6855</v>
      </c>
      <c r="H80" s="43" t="n">
        <v>256.2975</v>
      </c>
      <c r="I80" s="43" t="n">
        <v>270.1812</v>
      </c>
      <c r="J80" s="43" t="n">
        <v>188.8223</v>
      </c>
      <c r="K80" s="43" t="n">
        <v>183.8769</v>
      </c>
    </row>
    <row r="81" customFormat="false" ht="15" hidden="false" customHeight="false" outlineLevel="0" collapsed="false">
      <c r="A81" s="5" t="s">
        <v>458</v>
      </c>
      <c r="C81" s="43" t="n">
        <v>268.338</v>
      </c>
      <c r="D81" s="43" t="n">
        <v>108.0554</v>
      </c>
      <c r="E81" s="43" t="n">
        <v>244.7092</v>
      </c>
      <c r="F81" s="43" t="n">
        <v>524.5033</v>
      </c>
      <c r="G81" s="43" t="n">
        <v>905.9197</v>
      </c>
      <c r="H81" s="43" t="n">
        <v>754.1246</v>
      </c>
      <c r="I81" s="43" t="n">
        <v>402.134</v>
      </c>
      <c r="J81" s="43" t="n">
        <v>553.4728</v>
      </c>
      <c r="K81" s="43" t="n">
        <v>248.2249</v>
      </c>
    </row>
    <row r="82" customFormat="false" ht="15" hidden="false" customHeight="false" outlineLevel="0" collapsed="false">
      <c r="A82" s="5" t="s">
        <v>883</v>
      </c>
      <c r="C82" s="43" t="n">
        <v>1657.6674</v>
      </c>
      <c r="D82" s="43" t="n">
        <v>1569.7353</v>
      </c>
      <c r="E82" s="43" t="n">
        <v>1700.9199</v>
      </c>
      <c r="F82" s="43" t="n">
        <v>2131.7705</v>
      </c>
      <c r="G82" s="43" t="n">
        <v>2036.3337</v>
      </c>
      <c r="H82" s="43" t="n">
        <v>1765.2361</v>
      </c>
      <c r="I82" s="43" t="n">
        <v>1304.7764</v>
      </c>
      <c r="J82" s="43" t="n">
        <v>1575.166</v>
      </c>
      <c r="K82" s="43" t="n">
        <v>1579.4903</v>
      </c>
    </row>
    <row r="83" customFormat="false" ht="15" hidden="false" customHeight="false" outlineLevel="0" collapsed="false">
      <c r="A83" s="5" t="s">
        <v>884</v>
      </c>
      <c r="C83" s="43" t="n">
        <v>4.679</v>
      </c>
      <c r="D83" s="43" t="n">
        <v>9.5452</v>
      </c>
      <c r="E83" s="43" t="n">
        <v>19.8792</v>
      </c>
      <c r="F83" s="43" t="n">
        <v>5.4066</v>
      </c>
      <c r="G83" s="43" t="n">
        <v>0</v>
      </c>
      <c r="H83" s="43" t="n">
        <v>0</v>
      </c>
      <c r="I83" s="43" t="n">
        <v>0</v>
      </c>
      <c r="J83" s="43" t="n">
        <v>0</v>
      </c>
      <c r="K83" s="43"/>
    </row>
    <row r="84" customFormat="false" ht="15" hidden="false" customHeight="false" outlineLevel="0" collapsed="false">
      <c r="A84" s="5" t="s">
        <v>885</v>
      </c>
      <c r="C84" s="43" t="n">
        <v>22.3631</v>
      </c>
      <c r="D84" s="43" t="n">
        <v>25.8009</v>
      </c>
      <c r="E84" s="43" t="n">
        <v>3.6271</v>
      </c>
      <c r="F84" s="43" t="n">
        <v>7.8831</v>
      </c>
      <c r="G84" s="43" t="n">
        <v>15.2082</v>
      </c>
      <c r="H84" s="43" t="n">
        <v>15.0025</v>
      </c>
      <c r="I84" s="43" t="n">
        <v>12.658</v>
      </c>
      <c r="J84" s="43" t="n">
        <v>12.658</v>
      </c>
      <c r="K84" s="43" t="n">
        <v>135.8262</v>
      </c>
    </row>
    <row r="85" customFormat="false" ht="15" hidden="false" customHeight="false" outlineLevel="0" collapsed="false">
      <c r="A85" s="5" t="s">
        <v>583</v>
      </c>
      <c r="C85" s="43" t="n">
        <v>1630.6253</v>
      </c>
      <c r="D85" s="43" t="n">
        <v>1534.3893</v>
      </c>
      <c r="E85" s="43" t="n">
        <v>1677.4137</v>
      </c>
      <c r="F85" s="43" t="n">
        <v>2118.4807</v>
      </c>
      <c r="G85" s="43" t="n">
        <v>2021.1255</v>
      </c>
      <c r="H85" s="43" t="n">
        <v>1750.2335</v>
      </c>
      <c r="I85" s="43" t="n">
        <v>1292.1184</v>
      </c>
      <c r="J85" s="43" t="n">
        <v>1562.508</v>
      </c>
      <c r="K85" s="43" t="n">
        <v>1443.6641</v>
      </c>
    </row>
    <row r="86" customFormat="false" ht="15" hidden="false" customHeight="false" outlineLevel="0" collapsed="false">
      <c r="A86" s="5" t="s">
        <v>584</v>
      </c>
      <c r="C86" s="43" t="n">
        <v>285</v>
      </c>
      <c r="D86" s="43"/>
      <c r="E86" s="43" t="n">
        <v>16.1005</v>
      </c>
      <c r="F86" s="43" t="n">
        <v>897.2013</v>
      </c>
      <c r="G86" s="43" t="n">
        <v>1361.8444</v>
      </c>
      <c r="H86" s="43" t="n">
        <v>3162.1433</v>
      </c>
      <c r="I86" s="43" t="n">
        <v>524.3707</v>
      </c>
      <c r="J86" s="43" t="n">
        <v>3881.4565</v>
      </c>
      <c r="K86" s="43" t="n">
        <v>2996.6449</v>
      </c>
    </row>
    <row r="87" customFormat="false" ht="15" hidden="false" customHeight="false" outlineLevel="0" collapsed="false">
      <c r="A87" s="5" t="s">
        <v>585</v>
      </c>
      <c r="C87" s="43"/>
      <c r="D87" s="43" t="n">
        <v>234.4927</v>
      </c>
      <c r="E87" s="43" t="n">
        <v>458.7292</v>
      </c>
      <c r="F87" s="43" t="n">
        <v>269.3733</v>
      </c>
      <c r="G87" s="43" t="n">
        <v>246.4759</v>
      </c>
      <c r="H87" s="43" t="n">
        <v>186.5249</v>
      </c>
      <c r="I87" s="43" t="n">
        <v>159.7009</v>
      </c>
      <c r="J87" s="43" t="n">
        <v>113.6001</v>
      </c>
      <c r="K87" s="43" t="n">
        <v>142.5411</v>
      </c>
    </row>
    <row r="88" customFormat="false" ht="15" hidden="false" customHeight="false" outlineLevel="0" collapsed="false">
      <c r="A88" s="5" t="s">
        <v>586</v>
      </c>
      <c r="C88" s="43" t="n">
        <v>16620.2122</v>
      </c>
      <c r="D88" s="43" t="n">
        <v>18579.5988</v>
      </c>
      <c r="E88" s="43" t="n">
        <v>17714.5984</v>
      </c>
      <c r="F88" s="43" t="n">
        <v>20032.7964</v>
      </c>
      <c r="G88" s="43" t="n">
        <v>22764.3052</v>
      </c>
      <c r="H88" s="43" t="n">
        <v>26486.3557</v>
      </c>
      <c r="I88" s="43" t="n">
        <v>23215.6867</v>
      </c>
      <c r="J88" s="43" t="n">
        <v>23808.753</v>
      </c>
      <c r="K88" s="43" t="n">
        <v>27602.94</v>
      </c>
    </row>
    <row r="89" customFormat="false" ht="15" hidden="false" customHeight="false" outlineLevel="0" collapsed="false">
      <c r="A89" s="5" t="s">
        <v>587</v>
      </c>
      <c r="C89" s="43" t="n">
        <v>50</v>
      </c>
      <c r="D89" s="43" t="n">
        <v>1399</v>
      </c>
      <c r="E89" s="43" t="n">
        <v>2455.8</v>
      </c>
      <c r="F89" s="43" t="n">
        <v>1672.1</v>
      </c>
      <c r="G89" s="43" t="n">
        <v>717.2</v>
      </c>
      <c r="H89" s="43" t="n">
        <v>1937.29</v>
      </c>
      <c r="I89" s="43" t="n">
        <v>4239.3389</v>
      </c>
      <c r="J89" s="43" t="n">
        <v>2856.8748</v>
      </c>
      <c r="K89" s="43" t="n">
        <v>1781.3981</v>
      </c>
    </row>
    <row r="90" customFormat="false" ht="15" hidden="false" customHeight="false" outlineLevel="0" collapsed="false">
      <c r="A90" s="5" t="s">
        <v>588</v>
      </c>
      <c r="C90" s="43" t="n">
        <v>2332.9248</v>
      </c>
      <c r="D90" s="43" t="n">
        <v>2466.2784</v>
      </c>
      <c r="E90" s="43" t="n">
        <v>2598.1583</v>
      </c>
      <c r="F90" s="43" t="n">
        <v>2722.4942</v>
      </c>
      <c r="G90" s="43" t="n">
        <v>2843.957</v>
      </c>
      <c r="H90" s="43"/>
      <c r="I90" s="43"/>
      <c r="J90" s="43"/>
      <c r="K90" s="43"/>
    </row>
    <row r="91" customFormat="false" ht="15" hidden="false" customHeight="false" outlineLevel="0" collapsed="false">
      <c r="A91" s="5" t="s">
        <v>589</v>
      </c>
      <c r="C91" s="43"/>
      <c r="D91" s="43"/>
      <c r="E91" s="43" t="n">
        <v>72.0342</v>
      </c>
      <c r="F91" s="43" t="n">
        <v>84.52</v>
      </c>
      <c r="G91" s="43" t="n">
        <v>49.6756</v>
      </c>
      <c r="H91" s="43" t="n">
        <v>99.1721</v>
      </c>
      <c r="I91" s="43" t="n">
        <v>39.9403</v>
      </c>
      <c r="J91" s="43" t="n">
        <v>73.8416</v>
      </c>
      <c r="K91" s="43" t="n">
        <v>16.7409</v>
      </c>
    </row>
    <row r="92" customFormat="false" ht="15" hidden="false" customHeight="false" outlineLevel="0" collapsed="false">
      <c r="A92" s="5" t="s">
        <v>886</v>
      </c>
      <c r="C92" s="43" t="n">
        <v>37.1596</v>
      </c>
      <c r="D92" s="43" t="n">
        <v>31.2699</v>
      </c>
      <c r="E92" s="43" t="n">
        <v>33.6435</v>
      </c>
      <c r="F92" s="43" t="n">
        <v>44.7878</v>
      </c>
      <c r="G92" s="43" t="n">
        <v>46.9745</v>
      </c>
      <c r="H92" s="43" t="n">
        <v>47.3562</v>
      </c>
      <c r="I92" s="43" t="n">
        <v>36.8866</v>
      </c>
      <c r="J92" s="43" t="n">
        <v>43.3021</v>
      </c>
      <c r="K92" s="43" t="n">
        <v>34.9643</v>
      </c>
    </row>
    <row r="93" customFormat="false" ht="15" hidden="false" customHeight="false" outlineLevel="0" collapsed="false">
      <c r="A93" s="5" t="s">
        <v>887</v>
      </c>
      <c r="C93" s="43" t="n">
        <v>1.1543</v>
      </c>
      <c r="D93" s="43" t="n">
        <v>1.209</v>
      </c>
      <c r="E93" s="43" t="n">
        <v>0.8755</v>
      </c>
      <c r="F93" s="43" t="n">
        <v>0.841</v>
      </c>
      <c r="G93" s="43" t="n">
        <v>4.362</v>
      </c>
      <c r="H93" s="43" t="n">
        <v>0.7717</v>
      </c>
      <c r="I93" s="43" t="n">
        <v>0.8223</v>
      </c>
      <c r="J93" s="43" t="n">
        <v>5.1765</v>
      </c>
      <c r="K93" s="43" t="n">
        <v>0.7717</v>
      </c>
    </row>
    <row r="94" customFormat="false" ht="15" hidden="false" customHeight="false" outlineLevel="0" collapsed="false">
      <c r="A94" s="5" t="s">
        <v>888</v>
      </c>
      <c r="C94" s="43" t="n">
        <v>393.8654</v>
      </c>
      <c r="D94" s="43" t="n">
        <v>489.7262</v>
      </c>
      <c r="E94" s="43" t="n">
        <v>413.1172</v>
      </c>
      <c r="F94" s="43" t="n">
        <v>466.6561</v>
      </c>
      <c r="G94" s="43" t="n">
        <v>592.4055</v>
      </c>
      <c r="H94" s="43" t="n">
        <v>516.1313</v>
      </c>
      <c r="I94" s="43" t="n">
        <v>537.9914</v>
      </c>
      <c r="J94" s="43" t="n">
        <v>443.5526</v>
      </c>
      <c r="K94" s="43" t="n">
        <v>501.1296</v>
      </c>
    </row>
    <row r="95" customFormat="false" ht="15" hidden="false" customHeight="false" outlineLevel="0" collapsed="false">
      <c r="A95" s="5" t="s">
        <v>592</v>
      </c>
      <c r="C95" s="43" t="n">
        <v>2815.1041</v>
      </c>
      <c r="D95" s="43" t="n">
        <v>4387.4834</v>
      </c>
      <c r="E95" s="43" t="n">
        <v>5573.6287</v>
      </c>
      <c r="F95" s="43" t="n">
        <v>4991.3991</v>
      </c>
      <c r="G95" s="43" t="n">
        <v>4254.5745</v>
      </c>
      <c r="H95" s="43" t="n">
        <v>2600.7213</v>
      </c>
      <c r="I95" s="43" t="n">
        <v>4854.9795</v>
      </c>
      <c r="J95" s="43" t="n">
        <v>3422.7476</v>
      </c>
      <c r="K95" s="43" t="n">
        <v>2335.0046</v>
      </c>
    </row>
    <row r="96" customFormat="false" ht="15" hidden="false" customHeight="false" outlineLevel="0" collapsed="false">
      <c r="A96" s="5" t="s">
        <v>593</v>
      </c>
      <c r="C96" s="43" t="n">
        <v>19435.3163</v>
      </c>
      <c r="D96" s="43" t="n">
        <v>22967.0822</v>
      </c>
      <c r="E96" s="43" t="n">
        <v>23288.2271</v>
      </c>
      <c r="F96" s="43" t="n">
        <v>25024.1955</v>
      </c>
      <c r="G96" s="43" t="n">
        <v>27018.8797</v>
      </c>
      <c r="H96" s="43" t="n">
        <v>29087.077</v>
      </c>
      <c r="I96" s="43" t="n">
        <v>28070.6662</v>
      </c>
      <c r="J96" s="43" t="n">
        <v>27231.5006</v>
      </c>
      <c r="K96" s="43" t="n">
        <v>29937.9446</v>
      </c>
    </row>
    <row r="97" customFormat="false" ht="15" hidden="false" customHeight="false" outlineLevel="0" collapsed="false">
      <c r="A97" s="5" t="s">
        <v>889</v>
      </c>
      <c r="C97" s="43" t="n">
        <v>1170.9846</v>
      </c>
      <c r="D97" s="43" t="n">
        <v>1170.154</v>
      </c>
      <c r="E97" s="43" t="n">
        <v>1187.8277</v>
      </c>
      <c r="F97" s="43" t="n">
        <v>1186.5645</v>
      </c>
      <c r="G97" s="43" t="n">
        <v>1185.4913</v>
      </c>
      <c r="H97" s="43" t="n">
        <v>1184.4645</v>
      </c>
      <c r="I97" s="43" t="n">
        <v>1358.1675</v>
      </c>
      <c r="J97" s="43" t="n">
        <v>1184.4741</v>
      </c>
      <c r="K97" s="43" t="n">
        <v>1358.1675</v>
      </c>
    </row>
    <row r="98" customFormat="false" ht="15" hidden="false" customHeight="false" outlineLevel="0" collapsed="false">
      <c r="A98" s="5" t="s">
        <v>890</v>
      </c>
      <c r="C98" s="43" t="n">
        <v>736.615</v>
      </c>
      <c r="D98" s="43" t="n">
        <v>736.4561</v>
      </c>
      <c r="E98" s="43" t="n">
        <v>736.4456</v>
      </c>
      <c r="F98" s="43" t="n">
        <v>736.4411</v>
      </c>
      <c r="G98" s="43" t="n">
        <v>736.4387</v>
      </c>
      <c r="H98" s="43" t="n">
        <v>736.4344</v>
      </c>
      <c r="I98" s="43"/>
      <c r="J98" s="43" t="n">
        <v>736.3829</v>
      </c>
      <c r="K98" s="43"/>
    </row>
    <row r="99" customFormat="false" ht="15" hidden="false" customHeight="false" outlineLevel="0" collapsed="false">
      <c r="A99" s="5" t="s">
        <v>597</v>
      </c>
      <c r="C99" s="43" t="n">
        <v>5583.458</v>
      </c>
      <c r="D99" s="43" t="n">
        <v>5670.2153</v>
      </c>
      <c r="E99" s="43" t="n">
        <v>5849.0049</v>
      </c>
      <c r="F99" s="43" t="n">
        <v>5876.0603</v>
      </c>
      <c r="G99" s="43" t="n">
        <v>6232.649</v>
      </c>
      <c r="H99" s="43" t="n">
        <v>6284.7788</v>
      </c>
      <c r="I99" s="43" t="n">
        <v>9829.9698</v>
      </c>
      <c r="J99" s="43" t="n">
        <v>6285.0274</v>
      </c>
      <c r="K99" s="43" t="n">
        <v>9874.2939</v>
      </c>
    </row>
    <row r="100" customFormat="false" ht="15" hidden="false" customHeight="false" outlineLevel="0" collapsed="false">
      <c r="A100" s="5" t="s">
        <v>598</v>
      </c>
      <c r="C100" s="43" t="n">
        <v>745.4128</v>
      </c>
      <c r="D100" s="43" t="n">
        <v>502.8856</v>
      </c>
      <c r="E100" s="43" t="n">
        <v>660.7624</v>
      </c>
      <c r="F100" s="43" t="n">
        <v>641.6411</v>
      </c>
      <c r="G100" s="43" t="n">
        <v>424.6667</v>
      </c>
      <c r="H100" s="43" t="n">
        <v>209.9661</v>
      </c>
      <c r="I100" s="43"/>
      <c r="J100" s="43" t="n">
        <v>209.9661</v>
      </c>
      <c r="K100" s="43"/>
    </row>
    <row r="101" customFormat="false" ht="15" hidden="false" customHeight="false" outlineLevel="0" collapsed="false">
      <c r="A101" s="5" t="s">
        <v>891</v>
      </c>
      <c r="C101" s="43" t="n">
        <v>5.9273</v>
      </c>
      <c r="D101" s="43" t="n">
        <v>-29.0214</v>
      </c>
      <c r="E101" s="43" t="n">
        <v>-61.7893</v>
      </c>
      <c r="F101" s="43" t="n">
        <v>-19.3545</v>
      </c>
      <c r="G101" s="43" t="n">
        <v>55.8051</v>
      </c>
      <c r="H101" s="43" t="n">
        <v>20.209</v>
      </c>
      <c r="I101" s="43" t="n">
        <v>191.1034</v>
      </c>
      <c r="J101" s="43" t="n">
        <v>62.2071</v>
      </c>
      <c r="K101" s="43" t="n">
        <v>148.7154</v>
      </c>
    </row>
    <row r="102" customFormat="false" ht="15" hidden="false" customHeight="false" outlineLevel="0" collapsed="false">
      <c r="A102" s="5" t="s">
        <v>892</v>
      </c>
      <c r="C102" s="43"/>
      <c r="D102" s="43" t="n">
        <v>4.1145</v>
      </c>
      <c r="E102" s="43" t="n">
        <v>4.0332</v>
      </c>
      <c r="F102" s="43" t="n">
        <v>3.8612</v>
      </c>
      <c r="G102" s="43"/>
      <c r="H102" s="43"/>
      <c r="I102" s="43"/>
      <c r="J102" s="43"/>
      <c r="K102" s="43"/>
    </row>
    <row r="103" customFormat="false" ht="15" hidden="false" customHeight="false" outlineLevel="0" collapsed="false">
      <c r="A103" s="5" t="s">
        <v>601</v>
      </c>
      <c r="C103" s="43" t="n">
        <v>374.7125</v>
      </c>
      <c r="D103" s="43" t="n">
        <v>385.7827</v>
      </c>
      <c r="E103" s="43" t="n">
        <v>423.8983</v>
      </c>
      <c r="F103" s="43" t="n">
        <v>438.563</v>
      </c>
      <c r="G103" s="43" t="n">
        <v>467.7518</v>
      </c>
      <c r="H103" s="43" t="n">
        <v>518.7715</v>
      </c>
      <c r="I103" s="43" t="n">
        <v>550.7272</v>
      </c>
      <c r="J103" s="43" t="n">
        <v>518.7715</v>
      </c>
      <c r="K103" s="43" t="n">
        <v>550.7272</v>
      </c>
    </row>
    <row r="104" customFormat="false" ht="15" hidden="false" customHeight="false" outlineLevel="0" collapsed="false">
      <c r="A104" s="5" t="s">
        <v>602</v>
      </c>
      <c r="C104" s="43" t="n">
        <v>4343.9736</v>
      </c>
      <c r="D104" s="43" t="n">
        <v>4037.6125</v>
      </c>
      <c r="E104" s="43" t="n">
        <v>4254.8281</v>
      </c>
      <c r="F104" s="43" t="n">
        <v>4551.7324</v>
      </c>
      <c r="G104" s="43" t="n">
        <v>4919.3451</v>
      </c>
      <c r="H104" s="43" t="n">
        <v>5416.111</v>
      </c>
      <c r="I104" s="43" t="n">
        <v>5607.969</v>
      </c>
      <c r="J104" s="43" t="n">
        <v>5490.6589</v>
      </c>
      <c r="K104" s="43" t="n">
        <v>5669.0265</v>
      </c>
    </row>
    <row r="105" customFormat="false" ht="15" hidden="false" customHeight="false" outlineLevel="0" collapsed="false">
      <c r="A105" s="5" t="s">
        <v>893</v>
      </c>
      <c r="C105" s="43" t="n">
        <v>11470.2582</v>
      </c>
      <c r="D105" s="43" t="n">
        <v>11472.4281</v>
      </c>
      <c r="E105" s="43" t="n">
        <v>11733.4862</v>
      </c>
      <c r="F105" s="43" t="n">
        <v>12132.227</v>
      </c>
      <c r="G105" s="43" t="n">
        <v>13172.8143</v>
      </c>
      <c r="H105" s="43" t="n">
        <v>13950.803</v>
      </c>
      <c r="I105" s="43" t="n">
        <v>17537.9368</v>
      </c>
      <c r="J105" s="43" t="n">
        <v>14067.5557</v>
      </c>
      <c r="K105" s="43" t="n">
        <v>17600.9303</v>
      </c>
    </row>
    <row r="106" customFormat="false" ht="15" hidden="false" customHeight="false" outlineLevel="0" collapsed="false">
      <c r="A106" s="5" t="s">
        <v>515</v>
      </c>
      <c r="C106" s="43" t="n">
        <v>585.4833</v>
      </c>
      <c r="D106" s="43" t="n">
        <v>602.0284</v>
      </c>
      <c r="E106" s="43" t="n">
        <v>858.608</v>
      </c>
      <c r="F106" s="43" t="n">
        <v>1389.5164</v>
      </c>
      <c r="G106" s="43" t="n">
        <v>1741.8913</v>
      </c>
      <c r="H106" s="43" t="n">
        <v>1719.5595</v>
      </c>
      <c r="I106" s="43" t="n">
        <v>1573.3797</v>
      </c>
      <c r="J106" s="43" t="n">
        <v>1716.8524</v>
      </c>
      <c r="K106" s="43" t="n">
        <v>1318.8897</v>
      </c>
    </row>
    <row r="107" customFormat="false" ht="15" hidden="false" customHeight="false" outlineLevel="0" collapsed="false">
      <c r="A107" s="5" t="s">
        <v>604</v>
      </c>
      <c r="C107" s="43" t="n">
        <v>12055.7415</v>
      </c>
      <c r="D107" s="43" t="n">
        <v>12074.4565</v>
      </c>
      <c r="E107" s="43" t="n">
        <v>12592.0941</v>
      </c>
      <c r="F107" s="43" t="n">
        <v>13521.7434</v>
      </c>
      <c r="G107" s="43" t="n">
        <v>14914.7055</v>
      </c>
      <c r="H107" s="43" t="n">
        <v>15670.3625</v>
      </c>
      <c r="I107" s="43" t="n">
        <v>19111.3164</v>
      </c>
      <c r="J107" s="43" t="n">
        <v>15784.4081</v>
      </c>
      <c r="K107" s="43" t="n">
        <v>18919.82</v>
      </c>
    </row>
    <row r="108" customFormat="false" ht="15" hidden="false" customHeight="false" outlineLevel="0" collapsed="false">
      <c r="A108" s="5" t="s">
        <v>894</v>
      </c>
      <c r="C108" s="43"/>
      <c r="D108" s="43"/>
      <c r="E108" s="43"/>
      <c r="F108" s="43"/>
      <c r="G108" s="43"/>
      <c r="H108" s="43"/>
      <c r="I108" s="43"/>
      <c r="J108" s="43" t="n">
        <v>0</v>
      </c>
      <c r="K108" s="43"/>
    </row>
    <row r="109" customFormat="false" ht="15" hidden="false" customHeight="false" outlineLevel="0" collapsed="false">
      <c r="A109" s="5" t="s">
        <v>605</v>
      </c>
      <c r="C109" s="43" t="n">
        <v>31491.0578</v>
      </c>
      <c r="D109" s="43" t="n">
        <v>35041.5387</v>
      </c>
      <c r="E109" s="43" t="n">
        <v>35880.3213</v>
      </c>
      <c r="F109" s="43" t="n">
        <v>38545.9389</v>
      </c>
      <c r="G109" s="43" t="n">
        <v>41933.5852</v>
      </c>
      <c r="H109" s="43" t="n">
        <v>44757.4395</v>
      </c>
      <c r="I109" s="43" t="n">
        <v>47181.9827</v>
      </c>
      <c r="J109" s="43" t="n">
        <v>43015.9087</v>
      </c>
      <c r="K109" s="43" t="n">
        <v>48857.7646</v>
      </c>
    </row>
    <row r="110" customFormat="false" ht="15" hidden="false" customHeight="false" outlineLevel="0" collapsed="false">
      <c r="A110" s="3" t="s">
        <v>895</v>
      </c>
      <c r="C110" s="4"/>
      <c r="D110" s="4"/>
      <c r="E110" s="4"/>
      <c r="F110" s="4"/>
      <c r="G110" s="4"/>
      <c r="H110" s="4"/>
      <c r="I110" s="4"/>
      <c r="J110" s="4"/>
      <c r="K110" s="4"/>
    </row>
    <row r="111" customFormat="false" ht="15" hidden="false" customHeight="false" outlineLevel="0" collapsed="false">
      <c r="A111" s="5" t="s">
        <v>896</v>
      </c>
      <c r="C111" s="43" t="n">
        <v>26223.823</v>
      </c>
      <c r="D111" s="43" t="n">
        <v>25529.0136</v>
      </c>
      <c r="E111" s="43" t="n">
        <v>30237.4014</v>
      </c>
      <c r="F111" s="43" t="n">
        <v>33573.8919</v>
      </c>
      <c r="G111" s="43" t="n">
        <v>32118.0077</v>
      </c>
      <c r="H111" s="43" t="n">
        <v>30266.7222</v>
      </c>
      <c r="I111" s="43" t="n">
        <v>29878.3316</v>
      </c>
      <c r="J111" s="43" t="n">
        <v>13229.1767</v>
      </c>
      <c r="K111" s="43" t="n">
        <v>14739.3884</v>
      </c>
    </row>
    <row r="112" customFormat="false" ht="15" hidden="false" customHeight="false" outlineLevel="0" collapsed="false">
      <c r="A112" s="5" t="s">
        <v>897</v>
      </c>
      <c r="C112" s="43" t="n">
        <v>660.0583</v>
      </c>
      <c r="D112" s="43" t="n">
        <v>1039.1827</v>
      </c>
      <c r="E112" s="43" t="n">
        <v>1053.9077</v>
      </c>
      <c r="F112" s="43" t="n">
        <v>1002.0675</v>
      </c>
      <c r="G112" s="43" t="n">
        <v>451.6038</v>
      </c>
      <c r="H112" s="43" t="n">
        <v>500.1429</v>
      </c>
      <c r="I112" s="43" t="n">
        <v>612.2921</v>
      </c>
      <c r="J112" s="43" t="n">
        <v>305.8303</v>
      </c>
      <c r="K112" s="43" t="n">
        <v>217.6794</v>
      </c>
    </row>
    <row r="113" customFormat="false" ht="15" hidden="false" customHeight="false" outlineLevel="0" collapsed="false">
      <c r="A113" s="5" t="s">
        <v>898</v>
      </c>
      <c r="C113" s="43" t="n">
        <v>580.759</v>
      </c>
      <c r="D113" s="43" t="n">
        <v>508.502</v>
      </c>
      <c r="E113" s="43" t="n">
        <v>487.8579</v>
      </c>
      <c r="F113" s="43" t="n">
        <v>437.428</v>
      </c>
      <c r="G113" s="43" t="n">
        <v>404.4065</v>
      </c>
      <c r="H113" s="43" t="n">
        <v>940.5263</v>
      </c>
      <c r="I113" s="43" t="n">
        <v>833.573</v>
      </c>
      <c r="J113" s="43" t="n">
        <v>315.5456</v>
      </c>
      <c r="K113" s="43" t="n">
        <v>253.1264</v>
      </c>
    </row>
    <row r="114" customFormat="false" ht="15" hidden="false" customHeight="false" outlineLevel="0" collapsed="false">
      <c r="A114" s="5" t="s">
        <v>899</v>
      </c>
      <c r="C114" s="43" t="n">
        <v>27464.6403</v>
      </c>
      <c r="D114" s="43" t="n">
        <v>27076.6984</v>
      </c>
      <c r="E114" s="43" t="n">
        <v>31779.167</v>
      </c>
      <c r="F114" s="43" t="n">
        <v>35013.3874</v>
      </c>
      <c r="G114" s="43" t="n">
        <v>32974.018</v>
      </c>
      <c r="H114" s="43" t="n">
        <v>31707.3914</v>
      </c>
      <c r="I114" s="43" t="n">
        <v>31324.1968</v>
      </c>
      <c r="J114" s="43" t="n">
        <v>13850.5526</v>
      </c>
      <c r="K114" s="43" t="n">
        <v>15210.1942</v>
      </c>
    </row>
    <row r="115" customFormat="false" ht="15" hidden="false" customHeight="false" outlineLevel="0" collapsed="false">
      <c r="A115" s="5" t="s">
        <v>900</v>
      </c>
      <c r="C115" s="43" t="n">
        <v>21334.3391</v>
      </c>
      <c r="D115" s="43" t="n">
        <v>22084.4905</v>
      </c>
      <c r="E115" s="43" t="n">
        <v>25913.0862</v>
      </c>
      <c r="F115" s="43" t="n">
        <v>28017.2799</v>
      </c>
      <c r="G115" s="43" t="n">
        <v>25978.33</v>
      </c>
      <c r="H115" s="43" t="n">
        <v>20033.5931</v>
      </c>
      <c r="I115" s="43" t="n">
        <v>20181.107</v>
      </c>
      <c r="J115" s="43" t="n">
        <v>10993.9327</v>
      </c>
      <c r="K115" s="43" t="n">
        <v>11423.1314</v>
      </c>
    </row>
    <row r="116" customFormat="false" ht="15" hidden="false" customHeight="false" outlineLevel="0" collapsed="false">
      <c r="A116" s="5" t="s">
        <v>901</v>
      </c>
      <c r="C116" s="43" t="n">
        <v>2822.1135</v>
      </c>
      <c r="D116" s="43" t="n">
        <v>3003.809</v>
      </c>
      <c r="E116" s="43" t="n">
        <v>3510.017</v>
      </c>
      <c r="F116" s="43" t="n">
        <v>3808.2363</v>
      </c>
      <c r="G116" s="43" t="n">
        <v>3833.6072</v>
      </c>
      <c r="H116" s="43" t="n">
        <v>3431.6035</v>
      </c>
      <c r="I116" s="43" t="n">
        <v>3143.6853</v>
      </c>
      <c r="J116" s="43" t="n">
        <v>1803.3412</v>
      </c>
      <c r="K116" s="43" t="n">
        <v>1828.7537</v>
      </c>
    </row>
    <row r="117" customFormat="false" ht="15" hidden="false" customHeight="false" outlineLevel="0" collapsed="false">
      <c r="A117" s="5" t="s">
        <v>902</v>
      </c>
      <c r="C117" s="43" t="n">
        <v>1226.736</v>
      </c>
      <c r="D117" s="43" t="n">
        <v>672.408</v>
      </c>
      <c r="E117" s="43" t="n">
        <v>811.0528</v>
      </c>
      <c r="F117" s="43" t="n">
        <v>938.1415</v>
      </c>
      <c r="G117" s="43" t="n">
        <v>804.8497</v>
      </c>
      <c r="H117" s="43" t="n">
        <v>953.3505</v>
      </c>
      <c r="I117" s="43" t="n">
        <v>900.0848</v>
      </c>
      <c r="J117" s="43" t="n">
        <v>486.1072</v>
      </c>
      <c r="K117" s="43" t="n">
        <v>405.0473</v>
      </c>
    </row>
    <row r="118" customFormat="false" ht="15" hidden="false" customHeight="false" outlineLevel="0" collapsed="false">
      <c r="A118" s="5" t="s">
        <v>903</v>
      </c>
      <c r="C118" s="43" t="n">
        <v>1727.7804</v>
      </c>
      <c r="D118" s="43" t="n">
        <v>1203.4158</v>
      </c>
      <c r="E118" s="43" t="n">
        <v>1492.5821</v>
      </c>
      <c r="F118" s="43" t="n">
        <v>2202.6959</v>
      </c>
      <c r="G118" s="43" t="n">
        <v>2298.0656</v>
      </c>
      <c r="H118" s="43" t="n">
        <v>2650.6684</v>
      </c>
      <c r="I118" s="43" t="n">
        <v>2326.7638</v>
      </c>
      <c r="J118" s="43" t="n">
        <v>1176.1471</v>
      </c>
      <c r="K118" s="43" t="n">
        <v>1044.1335</v>
      </c>
    </row>
    <row r="119" customFormat="false" ht="15" hidden="false" customHeight="false" outlineLevel="0" collapsed="false">
      <c r="A119" s="5" t="s">
        <v>904</v>
      </c>
      <c r="C119" s="43" t="n">
        <v>27110.9689</v>
      </c>
      <c r="D119" s="43" t="n">
        <v>26964.1233</v>
      </c>
      <c r="E119" s="43" t="n">
        <v>31726.7381</v>
      </c>
      <c r="F119" s="43" t="n">
        <v>34966.3536</v>
      </c>
      <c r="G119" s="43" t="n">
        <v>32914.8525</v>
      </c>
      <c r="H119" s="43" t="n">
        <v>27069.2155</v>
      </c>
      <c r="I119" s="43" t="n">
        <v>26551.6409</v>
      </c>
      <c r="J119" s="43" t="n">
        <v>14459.5281</v>
      </c>
      <c r="K119" s="43" t="n">
        <v>14701.0658</v>
      </c>
    </row>
    <row r="120" customFormat="false" ht="15" hidden="false" customHeight="false" outlineLevel="0" collapsed="false">
      <c r="A120" s="5" t="s">
        <v>905</v>
      </c>
      <c r="C120" s="43" t="n">
        <v>353.6714</v>
      </c>
      <c r="D120" s="43" t="n">
        <v>112.5751</v>
      </c>
      <c r="E120" s="43" t="n">
        <v>52.4289</v>
      </c>
      <c r="F120" s="43" t="n">
        <v>47.0338</v>
      </c>
      <c r="G120" s="43" t="n">
        <v>59.1655</v>
      </c>
      <c r="H120" s="43" t="n">
        <v>4638.1759</v>
      </c>
      <c r="I120" s="43" t="n">
        <v>4772.5558</v>
      </c>
      <c r="J120" s="43" t="n">
        <v>-608.9755</v>
      </c>
      <c r="K120" s="43" t="n">
        <v>509.1284</v>
      </c>
    </row>
    <row r="121" customFormat="false" ht="15" hidden="false" customHeight="false" outlineLevel="0" collapsed="false">
      <c r="A121" s="5" t="s">
        <v>906</v>
      </c>
      <c r="C121" s="43" t="n">
        <v>7.8832</v>
      </c>
      <c r="D121" s="43"/>
      <c r="E121" s="43" t="n">
        <v>0.3068</v>
      </c>
      <c r="F121" s="43"/>
      <c r="G121" s="43" t="n">
        <v>123.8332</v>
      </c>
      <c r="H121" s="43" t="n">
        <v>3.0318</v>
      </c>
      <c r="I121" s="43" t="n">
        <v>0</v>
      </c>
      <c r="J121" s="43" t="n">
        <v>0</v>
      </c>
      <c r="K121" s="43"/>
    </row>
    <row r="122" customFormat="false" ht="15" hidden="false" customHeight="false" outlineLevel="0" collapsed="false">
      <c r="A122" s="5" t="s">
        <v>907</v>
      </c>
      <c r="C122" s="43" t="n">
        <v>50</v>
      </c>
      <c r="D122" s="43" t="n">
        <v>177.5309</v>
      </c>
      <c r="E122" s="43" t="n">
        <v>321.0687</v>
      </c>
      <c r="F122" s="43" t="n">
        <v>166.8766</v>
      </c>
      <c r="G122" s="43" t="n">
        <v>310.737</v>
      </c>
      <c r="H122" s="43" t="n">
        <v>325.2183</v>
      </c>
      <c r="I122" s="43" t="n">
        <v>328.6511</v>
      </c>
      <c r="J122" s="43" t="n">
        <v>197.7458</v>
      </c>
      <c r="K122" s="43" t="n">
        <v>4.5138</v>
      </c>
    </row>
    <row r="123" customFormat="false" ht="15" hidden="false" customHeight="false" outlineLevel="0" collapsed="false">
      <c r="A123" s="5" t="s">
        <v>908</v>
      </c>
      <c r="C123" s="43" t="n">
        <v>2.198</v>
      </c>
      <c r="D123" s="43" t="n">
        <v>0.4557</v>
      </c>
      <c r="E123" s="43" t="n">
        <v>1.3963</v>
      </c>
      <c r="F123" s="43" t="n">
        <v>0.5219</v>
      </c>
      <c r="G123" s="43" t="n">
        <v>5.0423</v>
      </c>
      <c r="H123" s="43" t="n">
        <v>37.0274</v>
      </c>
      <c r="I123" s="43" t="n">
        <v>8.8492</v>
      </c>
      <c r="J123" s="43" t="n">
        <v>0.6367</v>
      </c>
      <c r="K123" s="43" t="n">
        <v>2.14</v>
      </c>
    </row>
    <row r="124" customFormat="false" ht="15" hidden="false" customHeight="false" outlineLevel="0" collapsed="false">
      <c r="A124" s="5" t="s">
        <v>909</v>
      </c>
      <c r="C124" s="43"/>
      <c r="D124" s="43"/>
      <c r="E124" s="43"/>
      <c r="F124" s="43"/>
      <c r="G124" s="43" t="n">
        <v>11.5024</v>
      </c>
      <c r="H124" s="43"/>
      <c r="I124" s="43"/>
      <c r="J124" s="43"/>
      <c r="K124" s="43"/>
    </row>
    <row r="125" customFormat="false" ht="15" hidden="false" customHeight="false" outlineLevel="0" collapsed="false">
      <c r="A125" s="5" t="s">
        <v>910</v>
      </c>
      <c r="C125" s="43" t="n">
        <v>60.0812</v>
      </c>
      <c r="D125" s="43" t="n">
        <v>177.9866</v>
      </c>
      <c r="E125" s="43" t="n">
        <v>322.7718</v>
      </c>
      <c r="F125" s="43" t="n">
        <v>167.3985</v>
      </c>
      <c r="G125" s="43" t="n">
        <v>451.1149</v>
      </c>
      <c r="H125" s="43" t="n">
        <v>365.2775</v>
      </c>
      <c r="I125" s="43" t="n">
        <v>337.5004</v>
      </c>
      <c r="J125" s="43" t="n">
        <v>198.3824</v>
      </c>
      <c r="K125" s="43" t="n">
        <v>6.6538</v>
      </c>
    </row>
    <row r="126" customFormat="false" ht="15" hidden="false" customHeight="false" outlineLevel="0" collapsed="false">
      <c r="A126" s="5" t="s">
        <v>911</v>
      </c>
      <c r="C126" s="43" t="n">
        <v>1170.1333</v>
      </c>
      <c r="D126" s="43" t="n">
        <v>962.4819</v>
      </c>
      <c r="E126" s="43" t="n">
        <v>700.5675</v>
      </c>
      <c r="F126" s="43" t="n">
        <v>732.8186</v>
      </c>
      <c r="G126" s="43" t="n">
        <v>749.8998</v>
      </c>
      <c r="H126" s="43" t="n">
        <v>1368.6518</v>
      </c>
      <c r="I126" s="43" t="n">
        <v>1436.5548</v>
      </c>
      <c r="J126" s="43" t="n">
        <v>355.4733</v>
      </c>
      <c r="K126" s="43" t="n">
        <v>648.24</v>
      </c>
    </row>
    <row r="127" customFormat="false" ht="15" hidden="false" customHeight="false" outlineLevel="0" collapsed="false">
      <c r="A127" s="5" t="s">
        <v>912</v>
      </c>
      <c r="C127" s="43" t="n">
        <v>42.4283</v>
      </c>
      <c r="D127" s="43"/>
      <c r="E127" s="43" t="n">
        <v>203.78</v>
      </c>
      <c r="F127" s="43" t="n">
        <v>132.519</v>
      </c>
      <c r="G127" s="43"/>
      <c r="H127" s="43"/>
      <c r="I127" s="43"/>
      <c r="J127" s="43"/>
      <c r="K127" s="43" t="n">
        <v>115.302</v>
      </c>
    </row>
    <row r="128" customFormat="false" ht="15" hidden="false" customHeight="false" outlineLevel="0" collapsed="false">
      <c r="A128" s="5" t="s">
        <v>913</v>
      </c>
      <c r="C128" s="43"/>
      <c r="D128" s="43"/>
      <c r="E128" s="43"/>
      <c r="F128" s="43" t="n">
        <v>0.1435</v>
      </c>
      <c r="G128" s="43" t="n">
        <v>56.9896</v>
      </c>
      <c r="H128" s="43"/>
      <c r="I128" s="43"/>
      <c r="J128" s="43"/>
      <c r="K128" s="43"/>
    </row>
    <row r="129" customFormat="false" ht="15" hidden="false" customHeight="false" outlineLevel="0" collapsed="false">
      <c r="A129" s="5" t="s">
        <v>914</v>
      </c>
      <c r="C129" s="43" t="n">
        <v>22.4419</v>
      </c>
      <c r="D129" s="43"/>
      <c r="E129" s="43"/>
      <c r="F129" s="43" t="n">
        <v>0.1604</v>
      </c>
      <c r="G129" s="43"/>
      <c r="H129" s="43"/>
      <c r="I129" s="43"/>
      <c r="J129" s="43" t="n">
        <v>0.0064</v>
      </c>
      <c r="K129" s="43"/>
    </row>
    <row r="130" customFormat="false" ht="15" hidden="false" customHeight="false" outlineLevel="0" collapsed="false">
      <c r="A130" s="5" t="s">
        <v>915</v>
      </c>
      <c r="C130" s="43" t="n">
        <v>1235.0035</v>
      </c>
      <c r="D130" s="43" t="n">
        <v>962.4819</v>
      </c>
      <c r="E130" s="43" t="n">
        <v>904.3475</v>
      </c>
      <c r="F130" s="43" t="n">
        <v>865.6415</v>
      </c>
      <c r="G130" s="43" t="n">
        <v>806.8894</v>
      </c>
      <c r="H130" s="43" t="n">
        <v>1368.6518</v>
      </c>
      <c r="I130" s="43" t="n">
        <v>1436.5548</v>
      </c>
      <c r="J130" s="43" t="n">
        <v>355.4797</v>
      </c>
      <c r="K130" s="43" t="n">
        <v>763.542</v>
      </c>
    </row>
    <row r="131" customFormat="false" ht="15" hidden="false" customHeight="false" outlineLevel="0" collapsed="false">
      <c r="A131" s="5" t="s">
        <v>916</v>
      </c>
      <c r="C131" s="43" t="n">
        <v>-1174.9223</v>
      </c>
      <c r="D131" s="43" t="n">
        <v>-784.4953</v>
      </c>
      <c r="E131" s="43" t="n">
        <v>-581.5757</v>
      </c>
      <c r="F131" s="43" t="n">
        <v>-698.243</v>
      </c>
      <c r="G131" s="43" t="n">
        <v>-355.7745</v>
      </c>
      <c r="H131" s="43" t="n">
        <v>-1003.3743</v>
      </c>
      <c r="I131" s="43" t="n">
        <v>-1099.0545</v>
      </c>
      <c r="J131" s="43" t="n">
        <v>-157.0972</v>
      </c>
      <c r="K131" s="43" t="n">
        <v>-756.8882</v>
      </c>
    </row>
    <row r="132" customFormat="false" ht="15" hidden="false" customHeight="false" outlineLevel="0" collapsed="false">
      <c r="A132" s="5" t="s">
        <v>917</v>
      </c>
      <c r="C132" s="43" t="n">
        <v>40.963</v>
      </c>
      <c r="D132" s="43"/>
      <c r="E132" s="43" t="n">
        <v>892.7624</v>
      </c>
      <c r="F132" s="43" t="n">
        <v>547.8</v>
      </c>
      <c r="G132" s="43" t="n">
        <v>601.8952</v>
      </c>
      <c r="H132" s="43"/>
      <c r="I132" s="43" t="n">
        <v>1094.15</v>
      </c>
      <c r="J132" s="43"/>
      <c r="K132" s="43"/>
    </row>
    <row r="133" customFormat="false" ht="15" hidden="false" customHeight="false" outlineLevel="0" collapsed="false">
      <c r="A133" s="5" t="s">
        <v>918</v>
      </c>
      <c r="C133" s="43"/>
      <c r="D133" s="43"/>
      <c r="E133" s="43" t="n">
        <v>200</v>
      </c>
      <c r="F133" s="43" t="n">
        <v>547.8</v>
      </c>
      <c r="G133" s="43" t="n">
        <v>601.8952</v>
      </c>
      <c r="H133" s="43"/>
      <c r="I133" s="43"/>
      <c r="J133" s="43"/>
      <c r="K133" s="43"/>
    </row>
    <row r="134" customFormat="false" ht="15" hidden="false" customHeight="false" outlineLevel="0" collapsed="false">
      <c r="A134" s="5" t="s">
        <v>919</v>
      </c>
      <c r="C134" s="43" t="n">
        <v>7908.7093</v>
      </c>
      <c r="D134" s="43" t="n">
        <v>5761.8667</v>
      </c>
      <c r="E134" s="43" t="n">
        <v>5196.8958</v>
      </c>
      <c r="F134" s="43" t="n">
        <v>4542.317</v>
      </c>
      <c r="G134" s="43" t="n">
        <v>5525.3079</v>
      </c>
      <c r="H134" s="43" t="n">
        <v>5516.1134</v>
      </c>
      <c r="I134" s="43" t="n">
        <v>5048.4977</v>
      </c>
      <c r="J134" s="43" t="n">
        <v>2701.4426</v>
      </c>
      <c r="K134" s="43" t="n">
        <v>4185.0113</v>
      </c>
    </row>
    <row r="135" customFormat="false" ht="15" hidden="false" customHeight="false" outlineLevel="0" collapsed="false">
      <c r="A135" s="5" t="s">
        <v>920</v>
      </c>
      <c r="C135" s="43" t="n">
        <v>7949.6723</v>
      </c>
      <c r="D135" s="43" t="n">
        <v>5761.8667</v>
      </c>
      <c r="E135" s="43" t="n">
        <v>6089.6582</v>
      </c>
      <c r="F135" s="43" t="n">
        <v>5090.117</v>
      </c>
      <c r="G135" s="43" t="n">
        <v>6127.2031</v>
      </c>
      <c r="H135" s="43" t="n">
        <v>5516.1134</v>
      </c>
      <c r="I135" s="43" t="n">
        <v>6142.6477</v>
      </c>
      <c r="J135" s="43" t="n">
        <v>2701.4426</v>
      </c>
      <c r="K135" s="43" t="n">
        <v>4185.0113</v>
      </c>
    </row>
    <row r="136" customFormat="false" ht="15" hidden="false" customHeight="false" outlineLevel="0" collapsed="false">
      <c r="A136" s="5" t="s">
        <v>921</v>
      </c>
      <c r="C136" s="43" t="n">
        <v>5970.7907</v>
      </c>
      <c r="D136" s="43" t="n">
        <v>4920.666</v>
      </c>
      <c r="E136" s="43" t="n">
        <v>4048.9714</v>
      </c>
      <c r="F136" s="43" t="n">
        <v>4630.4044</v>
      </c>
      <c r="G136" s="43" t="n">
        <v>4664.6911</v>
      </c>
      <c r="H136" s="43" t="n">
        <v>8610.3387</v>
      </c>
      <c r="I136" s="43" t="n">
        <v>7623.5924</v>
      </c>
      <c r="J136" s="43" t="n">
        <v>2926.8697</v>
      </c>
      <c r="K136" s="43" t="n">
        <v>5258.3495</v>
      </c>
    </row>
    <row r="137" customFormat="false" ht="15" hidden="false" customHeight="false" outlineLevel="0" collapsed="false">
      <c r="A137" s="5" t="s">
        <v>922</v>
      </c>
      <c r="C137" s="43" t="n">
        <v>542.0015</v>
      </c>
      <c r="D137" s="43" t="n">
        <v>521.6599</v>
      </c>
      <c r="E137" s="43" t="n">
        <v>227.3401</v>
      </c>
      <c r="F137" s="43" t="n">
        <v>289.026</v>
      </c>
      <c r="G137" s="43" t="n">
        <v>373.8762</v>
      </c>
      <c r="H137" s="43" t="n">
        <v>472.7796</v>
      </c>
      <c r="I137" s="43" t="n">
        <v>444.0674</v>
      </c>
      <c r="J137" s="43" t="n">
        <v>294.694</v>
      </c>
      <c r="K137" s="43" t="n">
        <v>124.1461</v>
      </c>
    </row>
    <row r="138" customFormat="false" ht="15" hidden="false" customHeight="false" outlineLevel="0" collapsed="false">
      <c r="A138" s="5" t="s">
        <v>923</v>
      </c>
      <c r="C138" s="43" t="n">
        <v>13.0774</v>
      </c>
      <c r="D138" s="43" t="n">
        <v>11.496</v>
      </c>
      <c r="E138" s="43" t="n">
        <v>12.6649</v>
      </c>
      <c r="F138" s="43"/>
      <c r="G138" s="43" t="n">
        <v>0.2215</v>
      </c>
      <c r="H138" s="43" t="n">
        <v>2.9198</v>
      </c>
      <c r="I138" s="43" t="n">
        <v>21.775</v>
      </c>
      <c r="J138" s="43"/>
      <c r="K138" s="43"/>
    </row>
    <row r="139" customFormat="false" ht="15" hidden="false" customHeight="false" outlineLevel="0" collapsed="false">
      <c r="A139" s="5" t="s">
        <v>924</v>
      </c>
      <c r="C139" s="43" t="n">
        <v>67.8173</v>
      </c>
      <c r="D139" s="43" t="n">
        <v>11.2022</v>
      </c>
      <c r="E139" s="43" t="n">
        <v>536.6673</v>
      </c>
      <c r="F139" s="43" t="n">
        <v>113.3778</v>
      </c>
      <c r="G139" s="43" t="n">
        <v>74.7243</v>
      </c>
      <c r="H139" s="43" t="n">
        <v>84.4664</v>
      </c>
      <c r="I139" s="43" t="n">
        <v>188.3664</v>
      </c>
      <c r="J139" s="43" t="n">
        <v>20.8201</v>
      </c>
      <c r="K139" s="43" t="n">
        <v>31.6205</v>
      </c>
    </row>
    <row r="140" customFormat="false" ht="15" hidden="false" customHeight="false" outlineLevel="0" collapsed="false">
      <c r="A140" s="5" t="s">
        <v>925</v>
      </c>
      <c r="C140" s="43" t="n">
        <v>6580.6096</v>
      </c>
      <c r="D140" s="43" t="n">
        <v>5453.5281</v>
      </c>
      <c r="E140" s="43" t="n">
        <v>4812.9788</v>
      </c>
      <c r="F140" s="43" t="n">
        <v>5032.8082</v>
      </c>
      <c r="G140" s="43" t="n">
        <v>5113.2916</v>
      </c>
      <c r="H140" s="43" t="n">
        <v>9167.5847</v>
      </c>
      <c r="I140" s="43" t="n">
        <v>8256.0262</v>
      </c>
      <c r="J140" s="43" t="n">
        <v>3242.3838</v>
      </c>
      <c r="K140" s="43" t="n">
        <v>5414.1161</v>
      </c>
    </row>
    <row r="141" customFormat="false" ht="15" hidden="false" customHeight="false" outlineLevel="0" collapsed="false">
      <c r="A141" s="5" t="s">
        <v>926</v>
      </c>
      <c r="C141" s="43" t="n">
        <v>1369.0627</v>
      </c>
      <c r="D141" s="43" t="n">
        <v>308.3385</v>
      </c>
      <c r="E141" s="43" t="n">
        <v>1276.6794</v>
      </c>
      <c r="F141" s="43" t="n">
        <v>57.3088</v>
      </c>
      <c r="G141" s="43" t="n">
        <v>1013.9115</v>
      </c>
      <c r="H141" s="43" t="n">
        <v>-3651.4713</v>
      </c>
      <c r="I141" s="43" t="n">
        <v>-2113.3785</v>
      </c>
      <c r="J141" s="43" t="n">
        <v>-540.9412</v>
      </c>
      <c r="K141" s="43" t="n">
        <v>-1229.1048</v>
      </c>
    </row>
    <row r="142" customFormat="false" ht="15" hidden="false" customHeight="false" outlineLevel="0" collapsed="false">
      <c r="A142" s="5" t="s">
        <v>927</v>
      </c>
      <c r="C142" s="43" t="n">
        <v>23.6673</v>
      </c>
      <c r="D142" s="43" t="n">
        <v>-67.2098</v>
      </c>
      <c r="E142" s="43" t="n">
        <v>-65.6549</v>
      </c>
      <c r="F142" s="43" t="n">
        <v>6.6898</v>
      </c>
      <c r="G142" s="43" t="n">
        <v>45.8685</v>
      </c>
      <c r="H142" s="43" t="n">
        <v>-21.394</v>
      </c>
      <c r="I142" s="43" t="n">
        <v>-5.9159</v>
      </c>
      <c r="J142" s="43" t="n">
        <v>-36.043</v>
      </c>
      <c r="K142" s="43" t="n">
        <v>-71.0937</v>
      </c>
    </row>
    <row r="143" customFormat="false" ht="15" hidden="false" customHeight="false" outlineLevel="0" collapsed="false">
      <c r="A143" s="5" t="s">
        <v>928</v>
      </c>
      <c r="C143" s="43" t="n">
        <v>571.4792</v>
      </c>
      <c r="D143" s="43" t="n">
        <v>-430.7915</v>
      </c>
      <c r="E143" s="43" t="n">
        <v>681.8777</v>
      </c>
      <c r="F143" s="43" t="n">
        <v>-587.2107</v>
      </c>
      <c r="G143" s="43" t="n">
        <v>763.171</v>
      </c>
      <c r="H143" s="43" t="n">
        <v>-38.0637</v>
      </c>
      <c r="I143" s="43" t="n">
        <v>1554.2069</v>
      </c>
      <c r="J143" s="43" t="n">
        <v>-1343.057</v>
      </c>
      <c r="K143" s="43" t="n">
        <v>-1547.9583</v>
      </c>
    </row>
    <row r="144" customFormat="false" ht="15" hidden="false" customHeight="false" outlineLevel="0" collapsed="false">
      <c r="A144" s="5" t="s">
        <v>929</v>
      </c>
      <c r="C144" s="43" t="n">
        <v>3711.016</v>
      </c>
      <c r="D144" s="43" t="n">
        <v>4282.4952</v>
      </c>
      <c r="E144" s="43" t="n">
        <v>3851.7037</v>
      </c>
      <c r="F144" s="43" t="n">
        <v>4672.3702</v>
      </c>
      <c r="G144" s="43" t="n">
        <v>4085.1596</v>
      </c>
      <c r="H144" s="43" t="n">
        <v>4848.3305</v>
      </c>
      <c r="I144" s="43" t="n">
        <v>4810.2668</v>
      </c>
      <c r="J144" s="43" t="n">
        <v>4810.2668</v>
      </c>
      <c r="K144" s="43" t="n">
        <v>6364.4738</v>
      </c>
    </row>
    <row r="145" customFormat="false" ht="15" hidden="false" customHeight="false" outlineLevel="0" collapsed="false">
      <c r="A145" s="5" t="s">
        <v>930</v>
      </c>
      <c r="C145" s="43" t="n">
        <v>4282.4952</v>
      </c>
      <c r="D145" s="43" t="n">
        <v>3851.7037</v>
      </c>
      <c r="E145" s="43" t="n">
        <v>4533.5814</v>
      </c>
      <c r="F145" s="43" t="n">
        <v>4085.1596</v>
      </c>
      <c r="G145" s="43" t="n">
        <v>4848.3305</v>
      </c>
      <c r="H145" s="43" t="n">
        <v>4810.2668</v>
      </c>
      <c r="I145" s="43" t="n">
        <v>6364.4738</v>
      </c>
      <c r="J145" s="43" t="n">
        <v>3467.2098</v>
      </c>
      <c r="K145" s="43" t="n">
        <v>4816.5155</v>
      </c>
    </row>
    <row r="146" customFormat="false" ht="15" hidden="false" customHeight="false" outlineLevel="0" collapsed="false">
      <c r="A146" s="5" t="s">
        <v>538</v>
      </c>
      <c r="C146" s="43" t="n">
        <v>1053.8486</v>
      </c>
      <c r="D146" s="43" t="n">
        <v>142.8653</v>
      </c>
      <c r="E146" s="43" t="n">
        <v>355.6331</v>
      </c>
      <c r="F146" s="43" t="n">
        <v>409.2239</v>
      </c>
      <c r="G146" s="43" t="n">
        <v>488.7866</v>
      </c>
      <c r="H146" s="43" t="n">
        <v>710.1999</v>
      </c>
      <c r="I146" s="43" t="n">
        <v>376.0495</v>
      </c>
      <c r="J146" s="43" t="n">
        <v>284.5362</v>
      </c>
      <c r="K146" s="43" t="n">
        <v>185.2648</v>
      </c>
    </row>
    <row r="147" customFormat="false" ht="15" hidden="false" customHeight="false" outlineLevel="0" collapsed="false">
      <c r="A147" s="5" t="s">
        <v>931</v>
      </c>
      <c r="C147" s="43" t="n">
        <v>255.8351</v>
      </c>
      <c r="D147" s="43" t="n">
        <v>257.77</v>
      </c>
      <c r="E147" s="43" t="n">
        <v>239.801</v>
      </c>
      <c r="F147" s="43" t="n">
        <v>122.3486</v>
      </c>
      <c r="G147" s="43" t="n">
        <v>147.8754</v>
      </c>
      <c r="H147" s="43" t="n">
        <v>107.2242</v>
      </c>
      <c r="I147" s="43" t="n">
        <v>294.1611</v>
      </c>
      <c r="J147" s="43" t="n">
        <v>-17.8247</v>
      </c>
      <c r="K147" s="43" t="n">
        <v>44.045</v>
      </c>
    </row>
    <row r="148" customFormat="false" ht="15" hidden="false" customHeight="false" outlineLevel="0" collapsed="false">
      <c r="A148" s="5" t="s">
        <v>336</v>
      </c>
      <c r="C148" s="43"/>
      <c r="D148" s="43" t="n">
        <v>83.893</v>
      </c>
      <c r="E148" s="43" t="n">
        <v>17.4286</v>
      </c>
      <c r="F148" s="43" t="n">
        <v>232.8913</v>
      </c>
      <c r="G148" s="43" t="n">
        <v>291.6802</v>
      </c>
      <c r="H148" s="43" t="n">
        <v>345.4449</v>
      </c>
      <c r="I148" s="43" t="n">
        <v>81.4387</v>
      </c>
      <c r="J148" s="43" t="n">
        <v>15.0817</v>
      </c>
      <c r="K148" s="43" t="n">
        <v>-4.1395</v>
      </c>
    </row>
    <row r="149" customFormat="false" ht="15" hidden="false" customHeight="false" outlineLevel="0" collapsed="false">
      <c r="A149" s="5" t="s">
        <v>932</v>
      </c>
      <c r="C149" s="43" t="n">
        <v>518.3064</v>
      </c>
      <c r="D149" s="43" t="n">
        <v>539.4897</v>
      </c>
      <c r="E149" s="43" t="n">
        <v>542.2143</v>
      </c>
      <c r="F149" s="43" t="n">
        <v>487.1415</v>
      </c>
      <c r="G149" s="43" t="n">
        <v>662.437</v>
      </c>
      <c r="H149" s="43" t="n">
        <v>694.6932</v>
      </c>
      <c r="I149" s="43" t="n">
        <v>709.3589</v>
      </c>
      <c r="J149" s="43" t="n">
        <v>342.1538</v>
      </c>
      <c r="K149" s="43" t="n">
        <v>405.9335</v>
      </c>
    </row>
    <row r="150" customFormat="false" ht="15" hidden="false" customHeight="false" outlineLevel="0" collapsed="false">
      <c r="A150" s="5" t="s">
        <v>423</v>
      </c>
      <c r="C150" s="43" t="n">
        <v>87.8399</v>
      </c>
      <c r="D150" s="43" t="n">
        <v>129.6017</v>
      </c>
      <c r="E150" s="43" t="n">
        <v>105.7331</v>
      </c>
      <c r="F150" s="43" t="n">
        <v>235.0587</v>
      </c>
      <c r="G150" s="43" t="n">
        <v>209.5221</v>
      </c>
      <c r="H150" s="43" t="n">
        <v>257.1972</v>
      </c>
      <c r="I150" s="43" t="n">
        <v>304.6763</v>
      </c>
      <c r="J150" s="43" t="n">
        <v>174.4069</v>
      </c>
      <c r="K150" s="43" t="n">
        <v>191.2178</v>
      </c>
    </row>
    <row r="151" customFormat="false" ht="15" hidden="false" customHeight="false" outlineLevel="0" collapsed="false">
      <c r="A151" s="5" t="s">
        <v>418</v>
      </c>
      <c r="C151" s="43"/>
      <c r="D151" s="43"/>
      <c r="E151" s="43" t="n">
        <v>29.1999</v>
      </c>
      <c r="F151" s="43" t="n">
        <v>83.9439</v>
      </c>
      <c r="G151" s="43" t="n">
        <v>88.8283</v>
      </c>
      <c r="H151" s="43" t="n">
        <v>69.341</v>
      </c>
      <c r="I151" s="43" t="n">
        <v>69.2566</v>
      </c>
      <c r="J151" s="43" t="n">
        <v>36.7014</v>
      </c>
      <c r="K151" s="43" t="n">
        <v>21.1434</v>
      </c>
    </row>
    <row r="152" customFormat="false" ht="15" hidden="false" customHeight="false" outlineLevel="0" collapsed="false">
      <c r="A152" s="5" t="s">
        <v>420</v>
      </c>
      <c r="C152" s="43" t="n">
        <v>17.2094</v>
      </c>
      <c r="D152" s="43" t="n">
        <v>13.1064</v>
      </c>
      <c r="E152" s="43" t="n">
        <v>12.7651</v>
      </c>
      <c r="F152" s="43" t="n">
        <v>10.2963</v>
      </c>
      <c r="G152" s="43" t="n">
        <v>7.4813</v>
      </c>
      <c r="H152" s="43" t="n">
        <v>9.405</v>
      </c>
      <c r="I152" s="43" t="n">
        <v>7.4958</v>
      </c>
      <c r="J152" s="43" t="n">
        <v>1.111</v>
      </c>
      <c r="K152" s="43" t="n">
        <v>1.6197</v>
      </c>
    </row>
    <row r="153" customFormat="false" ht="15" hidden="false" customHeight="false" outlineLevel="0" collapsed="false">
      <c r="A153" s="5" t="s">
        <v>933</v>
      </c>
      <c r="C153" s="43" t="n">
        <v>0.9195</v>
      </c>
      <c r="D153" s="43" t="n">
        <v>1.323</v>
      </c>
      <c r="E153" s="43" t="n">
        <v>-1.838</v>
      </c>
      <c r="F153" s="43" t="n">
        <v>-4.1996</v>
      </c>
      <c r="G153" s="43" t="n">
        <v>14.9768</v>
      </c>
      <c r="H153" s="43" t="n">
        <v>-6.6168</v>
      </c>
      <c r="I153" s="43" t="n">
        <v>-0.4398</v>
      </c>
      <c r="J153" s="43" t="n">
        <v>-0.0275</v>
      </c>
      <c r="K153" s="43" t="n">
        <v>0.3458</v>
      </c>
    </row>
    <row r="154" customFormat="false" ht="15" hidden="false" customHeight="false" outlineLevel="0" collapsed="false">
      <c r="A154" s="5" t="s">
        <v>934</v>
      </c>
      <c r="C154" s="43" t="n">
        <v>0.1879</v>
      </c>
      <c r="D154" s="43" t="n">
        <v>0.0361</v>
      </c>
      <c r="E154" s="43" t="n">
        <v>1.2</v>
      </c>
      <c r="F154" s="43" t="n">
        <v>0.126</v>
      </c>
      <c r="G154" s="43"/>
      <c r="H154" s="43" t="n">
        <v>2.0272</v>
      </c>
      <c r="I154" s="43" t="n">
        <v>4.7494</v>
      </c>
      <c r="J154" s="43" t="n">
        <v>0</v>
      </c>
      <c r="K154" s="43" t="n">
        <v>0</v>
      </c>
    </row>
    <row r="155" customFormat="false" ht="15" hidden="false" customHeight="false" outlineLevel="0" collapsed="false">
      <c r="A155" s="5" t="s">
        <v>935</v>
      </c>
      <c r="C155" s="43"/>
      <c r="D155" s="43"/>
      <c r="E155" s="43" t="n">
        <v>-2.7352</v>
      </c>
      <c r="F155" s="43" t="n">
        <v>2.4842</v>
      </c>
      <c r="G155" s="43" t="n">
        <v>-0.3342</v>
      </c>
      <c r="H155" s="43" t="n">
        <v>-0.269</v>
      </c>
      <c r="I155" s="43" t="n">
        <v>12.6198</v>
      </c>
      <c r="J155" s="43"/>
      <c r="K155" s="43"/>
    </row>
    <row r="156" customFormat="false" ht="15" hidden="false" customHeight="false" outlineLevel="0" collapsed="false">
      <c r="A156" s="5" t="s">
        <v>487</v>
      </c>
      <c r="C156" s="43" t="n">
        <v>219.8562</v>
      </c>
      <c r="D156" s="43" t="n">
        <v>216.5677</v>
      </c>
      <c r="E156" s="43" t="n">
        <v>124.8007</v>
      </c>
      <c r="F156" s="43" t="n">
        <v>317.6675</v>
      </c>
      <c r="G156" s="43" t="n">
        <v>338.3448</v>
      </c>
      <c r="H156" s="43" t="n">
        <v>550.1596</v>
      </c>
      <c r="I156" s="43" t="n">
        <v>347.1598</v>
      </c>
      <c r="J156" s="43" t="n">
        <v>132.9425</v>
      </c>
      <c r="K156" s="43" t="n">
        <v>149.8608</v>
      </c>
    </row>
    <row r="157" customFormat="false" ht="15" hidden="false" customHeight="false" outlineLevel="0" collapsed="false">
      <c r="A157" s="5" t="s">
        <v>936</v>
      </c>
      <c r="C157" s="43" t="n">
        <v>-288.4003</v>
      </c>
      <c r="D157" s="43" t="n">
        <v>-208.2973</v>
      </c>
      <c r="E157" s="43" t="n">
        <v>-402.5676</v>
      </c>
      <c r="F157" s="43" t="n">
        <v>-389.6458</v>
      </c>
      <c r="G157" s="43" t="n">
        <v>-301.8478</v>
      </c>
      <c r="H157" s="43" t="n">
        <v>-287.7853</v>
      </c>
      <c r="I157" s="43" t="n">
        <v>-465.8928</v>
      </c>
      <c r="J157" s="43" t="n">
        <v>-210.7453</v>
      </c>
      <c r="K157" s="43" t="n">
        <v>-388.9358</v>
      </c>
    </row>
    <row r="158" customFormat="false" ht="15" hidden="false" customHeight="false" outlineLevel="0" collapsed="false">
      <c r="A158" s="5" t="s">
        <v>937</v>
      </c>
      <c r="C158" s="43" t="n">
        <v>-17.053</v>
      </c>
      <c r="D158" s="43" t="n">
        <v>-9.6677</v>
      </c>
      <c r="E158" s="43" t="n">
        <v>1.4081</v>
      </c>
      <c r="F158" s="43" t="n">
        <v>-17.933</v>
      </c>
      <c r="G158" s="43" t="n">
        <v>-10.7052</v>
      </c>
      <c r="H158" s="43" t="n">
        <v>4.8164</v>
      </c>
      <c r="I158" s="43" t="n">
        <v>16.2185</v>
      </c>
      <c r="J158" s="43" t="n">
        <v>0.1983</v>
      </c>
      <c r="K158" s="43" t="n">
        <v>-3.0643</v>
      </c>
    </row>
    <row r="159" customFormat="false" ht="15" hidden="false" customHeight="false" outlineLevel="0" collapsed="false">
      <c r="A159" s="5" t="s">
        <v>938</v>
      </c>
      <c r="C159" s="43" t="n">
        <v>0.1114</v>
      </c>
      <c r="D159" s="43" t="n">
        <v>0.0547</v>
      </c>
      <c r="E159" s="43" t="n">
        <v>-0.3334</v>
      </c>
      <c r="F159" s="43" t="n">
        <v>-0.0345</v>
      </c>
      <c r="G159" s="43" t="n">
        <v>-1.3705</v>
      </c>
      <c r="H159" s="43" t="n">
        <v>-3.5903</v>
      </c>
      <c r="I159" s="43" t="n">
        <v>0.0505</v>
      </c>
      <c r="J159" s="43" t="n">
        <v>4.0308</v>
      </c>
      <c r="K159" s="43" t="n">
        <v>-0.1824</v>
      </c>
    </row>
    <row r="160" customFormat="false" ht="15" hidden="false" customHeight="false" outlineLevel="0" collapsed="false">
      <c r="A160" s="5" t="s">
        <v>939</v>
      </c>
      <c r="C160" s="43" t="n">
        <v>974.557</v>
      </c>
      <c r="D160" s="43" t="n">
        <v>-4723.8874</v>
      </c>
      <c r="E160" s="43" t="n">
        <v>-1031.3582</v>
      </c>
      <c r="F160" s="43" t="n">
        <v>389.242</v>
      </c>
      <c r="G160" s="43" t="n">
        <v>4804.4275</v>
      </c>
      <c r="H160" s="43" t="n">
        <v>268.2561</v>
      </c>
      <c r="I160" s="43" t="n">
        <v>-1539.9744</v>
      </c>
      <c r="J160" s="43" t="n">
        <v>-634.3411</v>
      </c>
      <c r="K160" s="43" t="n">
        <v>-3014.7345</v>
      </c>
    </row>
    <row r="161" customFormat="false" ht="15" hidden="false" customHeight="false" outlineLevel="0" collapsed="false">
      <c r="A161" s="5" t="s">
        <v>940</v>
      </c>
      <c r="C161" s="43" t="n">
        <v>-1591.5046</v>
      </c>
      <c r="D161" s="43" t="n">
        <v>1225.4988</v>
      </c>
      <c r="E161" s="43" t="n">
        <v>954.8064</v>
      </c>
      <c r="F161" s="43" t="n">
        <v>-2809.8721</v>
      </c>
      <c r="G161" s="43" t="n">
        <v>-8076.5283</v>
      </c>
      <c r="H161" s="43" t="n">
        <v>-2979.656</v>
      </c>
      <c r="I161" s="43" t="n">
        <v>705.7188</v>
      </c>
      <c r="J161" s="43" t="n">
        <v>2292.1796</v>
      </c>
      <c r="K161" s="43" t="n">
        <v>-620.1285</v>
      </c>
    </row>
    <row r="162" customFormat="false" ht="15" hidden="false" customHeight="false" outlineLevel="0" collapsed="false">
      <c r="A162" s="5" t="s">
        <v>941</v>
      </c>
      <c r="C162" s="43" t="n">
        <v>-878.0421</v>
      </c>
      <c r="D162" s="43" t="n">
        <v>2444.221</v>
      </c>
      <c r="E162" s="43" t="n">
        <v>-893.7291</v>
      </c>
      <c r="F162" s="43" t="n">
        <v>978.295</v>
      </c>
      <c r="G162" s="43" t="n">
        <v>1395.5916</v>
      </c>
      <c r="H162" s="43" t="n">
        <v>4897.3283</v>
      </c>
      <c r="I162" s="43" t="n">
        <v>3849.9092</v>
      </c>
      <c r="J162" s="43" t="n">
        <v>-3029.3792</v>
      </c>
      <c r="K162" s="43" t="n">
        <v>3540.8827</v>
      </c>
    </row>
    <row r="163" customFormat="false" ht="15" hidden="false" customHeight="false" outlineLevel="0" collapsed="false">
      <c r="A163" s="5" t="s">
        <v>942</v>
      </c>
      <c r="C163" s="43" t="n">
        <v>353.6714</v>
      </c>
      <c r="D163" s="43" t="n">
        <v>112.5751</v>
      </c>
      <c r="E163" s="43" t="n">
        <v>52.4289</v>
      </c>
      <c r="F163" s="43" t="n">
        <v>47.0338</v>
      </c>
      <c r="G163" s="43" t="n">
        <v>59.1655</v>
      </c>
      <c r="H163" s="43" t="n">
        <v>4638.1759</v>
      </c>
      <c r="I163" s="43" t="n">
        <v>4772.5558</v>
      </c>
      <c r="J163" s="43" t="n">
        <v>-608.9755</v>
      </c>
      <c r="K163" s="43" t="n">
        <v>509.1284</v>
      </c>
    </row>
    <row r="164" customFormat="false" ht="15" hidden="false" customHeight="false" outlineLevel="0" collapsed="false">
      <c r="A164" s="5" t="s">
        <v>943</v>
      </c>
      <c r="C164" s="43" t="n">
        <v>4282.4952</v>
      </c>
      <c r="D164" s="43" t="n">
        <v>3851.7037</v>
      </c>
      <c r="E164" s="43" t="n">
        <v>4533.5814</v>
      </c>
      <c r="F164" s="43" t="n">
        <v>4085.1596</v>
      </c>
      <c r="G164" s="43" t="n">
        <v>4848.3305</v>
      </c>
      <c r="H164" s="43" t="n">
        <v>4810.2668</v>
      </c>
      <c r="I164" s="43" t="n">
        <v>6364.4738</v>
      </c>
      <c r="J164" s="43" t="n">
        <v>3467.2098</v>
      </c>
      <c r="K164" s="43" t="n">
        <v>4816.5155</v>
      </c>
    </row>
    <row r="165" customFormat="false" ht="15" hidden="false" customHeight="false" outlineLevel="0" collapsed="false">
      <c r="A165" s="5" t="s">
        <v>944</v>
      </c>
      <c r="C165" s="43" t="n">
        <v>3711.016</v>
      </c>
      <c r="D165" s="43" t="n">
        <v>4282.4952</v>
      </c>
      <c r="E165" s="43" t="n">
        <v>3851.7037</v>
      </c>
      <c r="F165" s="43" t="n">
        <v>4672.3702</v>
      </c>
      <c r="G165" s="43" t="n">
        <v>4085.1596</v>
      </c>
      <c r="H165" s="43" t="n">
        <v>4848.3305</v>
      </c>
      <c r="I165" s="43" t="n">
        <v>4810.2668</v>
      </c>
      <c r="J165" s="43" t="n">
        <v>4810.2668</v>
      </c>
      <c r="K165" s="43" t="n">
        <v>6364.4738</v>
      </c>
    </row>
    <row r="166" customFormat="false" ht="15" hidden="false" customHeight="false" outlineLevel="0" collapsed="false">
      <c r="A166" s="5" t="s">
        <v>945</v>
      </c>
      <c r="C166" s="43" t="n">
        <v>571.4792</v>
      </c>
      <c r="D166" s="43" t="n">
        <v>-430.7915</v>
      </c>
      <c r="E166" s="43" t="n">
        <v>681.8777</v>
      </c>
      <c r="F166" s="43" t="n">
        <v>-587.2107</v>
      </c>
      <c r="G166" s="43" t="n">
        <v>763.171</v>
      </c>
      <c r="H166" s="43" t="n">
        <v>-38.0637</v>
      </c>
      <c r="I166" s="43" t="n">
        <v>1554.2069</v>
      </c>
      <c r="J166" s="43" t="n">
        <v>-1343.057</v>
      </c>
      <c r="K166" s="43" t="n">
        <v>-1547.9583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2" min="3" style="0" width="11"/>
    <col collapsed="false" customWidth="true" hidden="false" outlineLevel="0" max="13" min="13" style="0" width="2"/>
    <col collapsed="false" customWidth="true" hidden="false" outlineLevel="0" max="14" min="14" style="0" width="11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946</v>
      </c>
    </row>
    <row r="5" customFormat="false" ht="15" hidden="false" customHeight="false" outlineLevel="0" collapsed="false">
      <c r="A5" s="10" t="s">
        <v>149</v>
      </c>
      <c r="B5" s="10" t="s">
        <v>10</v>
      </c>
      <c r="C5" s="45" t="s">
        <v>151</v>
      </c>
      <c r="D5" s="45" t="s">
        <v>152</v>
      </c>
      <c r="E5" s="45" t="s">
        <v>11</v>
      </c>
      <c r="F5" s="45" t="s">
        <v>12</v>
      </c>
      <c r="G5" s="45" t="s">
        <v>13</v>
      </c>
      <c r="H5" s="45" t="s">
        <v>14</v>
      </c>
      <c r="I5" s="45" t="s">
        <v>15</v>
      </c>
      <c r="J5" s="45" t="s">
        <v>16</v>
      </c>
      <c r="K5" s="45" t="s">
        <v>153</v>
      </c>
      <c r="L5" s="45" t="s">
        <v>154</v>
      </c>
      <c r="M5" s="46"/>
      <c r="N5" s="46"/>
      <c r="O5" s="10" t="s">
        <v>155</v>
      </c>
    </row>
    <row r="6" customFormat="false" ht="15" hidden="false" customHeight="false" outlineLevel="0" collapsed="false">
      <c r="A6" s="5" t="s">
        <v>947</v>
      </c>
      <c r="C6" s="109" t="n">
        <f aca="false">资产负债表!C60</f>
        <v>0</v>
      </c>
      <c r="D6" s="109" t="n">
        <f aca="false">资产负债表!D60</f>
        <v>9.99999974737875E-005</v>
      </c>
      <c r="E6" s="109" t="n">
        <f aca="false">资产负债表!E60</f>
        <v>-9.99999901978299E-005</v>
      </c>
      <c r="F6" s="109" t="n">
        <f aca="false">资产负债表!F60</f>
        <v>-0.000100000004749745</v>
      </c>
      <c r="G6" s="109" t="n">
        <f aca="false">资产负债表!G60</f>
        <v>-0.000100000004749745</v>
      </c>
      <c r="H6" s="110" t="n">
        <f aca="false">资产负债表!H60</f>
        <v>0.000661999991280027</v>
      </c>
      <c r="I6" s="110" t="n">
        <f aca="false">资产负债表!I60</f>
        <v>0.000661999991280027</v>
      </c>
      <c r="J6" s="110" t="n">
        <f aca="false">资产负债表!J60</f>
        <v>0.000661999991280027</v>
      </c>
      <c r="K6" s="110" t="n">
        <f aca="false">资产负债表!K60</f>
        <v>0.000661999984004069</v>
      </c>
      <c r="L6" s="110" t="n">
        <f aca="false">资产负债表!L60</f>
        <v>0.000661999984004069</v>
      </c>
    </row>
    <row r="7" customFormat="false" ht="15" hidden="false" customHeight="false" outlineLevel="0" collapsed="false">
      <c r="A7" s="5" t="s">
        <v>948</v>
      </c>
      <c r="C7" s="109" t="n">
        <f aca="false">资产负债表!C61</f>
        <v>-9.99999974737875E-005</v>
      </c>
      <c r="D7" s="109" t="n">
        <f aca="false">资产负债表!D61</f>
        <v>0</v>
      </c>
      <c r="E7" s="109" t="n">
        <f aca="false">资产负债表!E61</f>
        <v>0</v>
      </c>
      <c r="F7" s="109" t="n">
        <f aca="false">资产负债表!F61</f>
        <v>0</v>
      </c>
      <c r="G7" s="109" t="n">
        <f aca="false">资产负债表!G61</f>
        <v>0</v>
      </c>
    </row>
    <row r="8" customFormat="false" ht="15" hidden="false" customHeight="false" outlineLevel="0" collapsed="false">
      <c r="A8" s="5" t="s">
        <v>949</v>
      </c>
      <c r="C8" s="109" t="n">
        <f aca="false">资产负债表!C62</f>
        <v>-9.99999992927769E-005</v>
      </c>
      <c r="D8" s="109" t="n">
        <f aca="false">资产负债表!D62</f>
        <v>-0.000100000001111766</v>
      </c>
      <c r="E8" s="109" t="n">
        <f aca="false">资产负债表!E62</f>
        <v>0</v>
      </c>
      <c r="F8" s="109" t="n">
        <f aca="false">资产负债表!F62</f>
        <v>0.000100000001111766</v>
      </c>
      <c r="G8" s="109" t="n">
        <f aca="false">资产负债表!G62</f>
        <v>0.000100000001111766</v>
      </c>
    </row>
    <row r="9" customFormat="false" ht="15" hidden="false" customHeight="false" outlineLevel="0" collapsed="false">
      <c r="A9" s="5" t="s">
        <v>950</v>
      </c>
      <c r="C9" s="109" t="n">
        <f aca="false">利润表!C30</f>
        <v>9.99999986674993E-005</v>
      </c>
      <c r="D9" s="109" t="n">
        <f aca="false">利润表!D30</f>
        <v>1.81898940354586E-012</v>
      </c>
      <c r="E9" s="109" t="n">
        <f aca="false">利润表!E30</f>
        <v>-9.99999996338374E-005</v>
      </c>
      <c r="F9" s="109" t="n">
        <f aca="false">利润表!F30</f>
        <v>0.000200000001541412</v>
      </c>
      <c r="G9" s="109" t="n">
        <f aca="false">利润表!G30</f>
        <v>-0.000200000000575074</v>
      </c>
    </row>
    <row r="10" customFormat="false" ht="15" hidden="false" customHeight="false" outlineLevel="0" collapsed="false">
      <c r="A10" s="5" t="s">
        <v>951</v>
      </c>
      <c r="C10" s="109" t="n">
        <f aca="false">现金流量表!C37</f>
        <v>0</v>
      </c>
      <c r="D10" s="109" t="n">
        <f aca="false">现金流量表!D37</f>
        <v>0</v>
      </c>
      <c r="E10" s="109" t="n">
        <f aca="false">现金流量表!E37</f>
        <v>0.000100000000202272</v>
      </c>
      <c r="F10" s="109" t="n">
        <f aca="false">现金流量表!F37</f>
        <v>0</v>
      </c>
      <c r="G10" s="109" t="n">
        <f aca="false">现金流量表!G37</f>
        <v>-9.99999992927769E-005</v>
      </c>
    </row>
    <row r="11" customFormat="false" ht="15" hidden="false" customHeight="false" outlineLevel="0" collapsed="false">
      <c r="A11" s="5" t="s">
        <v>952</v>
      </c>
      <c r="H11" s="88" t="n">
        <f aca="false">现金流量表!H36+融资!H8-资产负债表!H7</f>
        <v>0</v>
      </c>
      <c r="I11" s="88" t="n">
        <f aca="false">现金流量表!I36+融资!I8-资产负债表!I7</f>
        <v>0</v>
      </c>
      <c r="J11" s="88" t="n">
        <f aca="false">现金流量表!J36+融资!J8-资产负债表!J7</f>
        <v>0</v>
      </c>
      <c r="K11" s="88" t="n">
        <f aca="false">现金流量表!K36+融资!K8-资产负债表!K7</f>
        <v>0</v>
      </c>
      <c r="L11" s="88" t="n">
        <f aca="false">现金流量表!L36+融资!L8-资产负债表!L7</f>
        <v>0</v>
      </c>
    </row>
    <row r="12" customFormat="false" ht="15" hidden="false" customHeight="false" outlineLevel="0" collapsed="false">
      <c r="A12" s="5" t="s">
        <v>953</v>
      </c>
      <c r="C12" s="109" t="n">
        <f aca="false">分业务!C40</f>
        <v>-0.000100000001111766</v>
      </c>
      <c r="D12" s="109" t="n">
        <f aca="false">分业务!D40</f>
        <v>0</v>
      </c>
      <c r="E12" s="109" t="n">
        <f aca="false">分业务!E40</f>
        <v>-9.99999974737875E-005</v>
      </c>
      <c r="F12" s="109" t="n">
        <f aca="false">分业务!F40</f>
        <v>-9.99999974737875E-005</v>
      </c>
      <c r="G12" s="109" t="n">
        <f aca="false">分业务!G40</f>
        <v>0.000100000001111766</v>
      </c>
      <c r="H12" s="88" t="n">
        <f aca="false">分业务!H35-利润表!H6</f>
        <v>0</v>
      </c>
      <c r="I12" s="88" t="n">
        <f aca="false">分业务!I35-利润表!I6</f>
        <v>0</v>
      </c>
      <c r="J12" s="88" t="n">
        <f aca="false">分业务!J35-利润表!J6</f>
        <v>0</v>
      </c>
      <c r="K12" s="88" t="n">
        <f aca="false">分业务!K35-利润表!K6</f>
        <v>0</v>
      </c>
      <c r="L12" s="88" t="n">
        <f aca="false">分业务!L35-利润表!L6</f>
        <v>0</v>
      </c>
    </row>
    <row r="13" customFormat="false" ht="15" hidden="false" customHeight="false" outlineLevel="0" collapsed="false">
      <c r="A13" s="5" t="s">
        <v>954</v>
      </c>
      <c r="C13" s="109" t="n">
        <f aca="false">资本开支折旧!C21</f>
        <v>0</v>
      </c>
      <c r="D13" s="109" t="n">
        <f aca="false">资本开支折旧!D21</f>
        <v>0</v>
      </c>
      <c r="E13" s="109" t="n">
        <f aca="false">资本开支折旧!E21</f>
        <v>0</v>
      </c>
      <c r="F13" s="109" t="n">
        <f aca="false">资本开支折旧!F21</f>
        <v>0</v>
      </c>
      <c r="G13" s="109" t="n">
        <f aca="false">资本开支折旧!G21</f>
        <v>0</v>
      </c>
    </row>
    <row r="14" customFormat="false" ht="15" hidden="false" customHeight="false" outlineLevel="0" collapsed="false">
      <c r="A14" s="5" t="s">
        <v>955</v>
      </c>
      <c r="C14" s="109" t="n">
        <f aca="false">资本开支折旧!C46</f>
        <v>0</v>
      </c>
      <c r="D14" s="109" t="n">
        <f aca="false">资本开支折旧!D46</f>
        <v>0</v>
      </c>
      <c r="E14" s="109" t="n">
        <f aca="false">资本开支折旧!E46</f>
        <v>0</v>
      </c>
      <c r="F14" s="109" t="n">
        <f aca="false">资本开支折旧!F46</f>
        <v>0</v>
      </c>
      <c r="G14" s="109" t="n">
        <f aca="false">资本开支折旧!G46</f>
        <v>0</v>
      </c>
    </row>
    <row r="15" customFormat="false" ht="15" hidden="false" customHeight="false" outlineLevel="0" collapsed="false">
      <c r="A15" s="5" t="s">
        <v>956</v>
      </c>
      <c r="C15" s="109" t="n">
        <f aca="false">费用!C20</f>
        <v>3.90000004699687E-005</v>
      </c>
      <c r="D15" s="109" t="n">
        <f aca="false">费用!D20</f>
        <v>-4.99999996463885E-005</v>
      </c>
      <c r="E15" s="109" t="n">
        <f aca="false">费用!E20</f>
        <v>-1.99999999495049E-005</v>
      </c>
      <c r="F15" s="109" t="n">
        <f aca="false">费用!F20</f>
        <v>1.59999999596039E-005</v>
      </c>
      <c r="G15" s="109" t="n">
        <f aca="false">费用!G20</f>
        <v>-4.60000001112348E-005</v>
      </c>
    </row>
    <row r="16" customFormat="false" ht="15" hidden="false" customHeight="false" outlineLevel="0" collapsed="false">
      <c r="A16" s="5" t="s">
        <v>957</v>
      </c>
      <c r="H16" s="88" t="n">
        <f aca="false">MIN(0,融资!H12-假设!$C$35)</f>
        <v>0</v>
      </c>
      <c r="I16" s="88" t="n">
        <f aca="false">MIN(0,融资!I12-假设!$C$35)</f>
        <v>0</v>
      </c>
      <c r="J16" s="88" t="n">
        <f aca="false">MIN(0,融资!J12-假设!$C$35)</f>
        <v>0</v>
      </c>
      <c r="K16" s="88" t="n">
        <f aca="false">MIN(0,融资!K12-假设!$C$35)</f>
        <v>0</v>
      </c>
      <c r="L16" s="88" t="n">
        <f aca="false">MIN(0,融资!L12-假设!$C$35)</f>
        <v>0</v>
      </c>
    </row>
    <row r="18" customFormat="false" ht="15" hidden="false" customHeight="false" outlineLevel="0" collapsed="false">
      <c r="A18" s="12" t="s">
        <v>958</v>
      </c>
      <c r="C18" s="111" t="str">
        <f aca="false">IF(SUMPRODUCT(ABS(C6:L16))&lt;0.1,"OK","ERROR")</f>
        <v>OK</v>
      </c>
      <c r="D18" s="7" t="n">
        <f aca="false">SUMPRODUCT(ABS(C6:L16))</f>
        <v>0.00558099993816086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2026-10-06T03:29:29Z</dcterms:created>
  <dc:creator>openpyxl</dc:creator>
  <dc:description/>
  <dc:language>en-US</dc:language>
  <cp:lastModifiedBy/>
  <dcterms:modified xsi:type="dcterms:W3CDTF">2026-10-06T03:29:41Z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