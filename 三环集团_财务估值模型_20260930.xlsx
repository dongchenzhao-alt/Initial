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与摘要" sheetId="1" state="visible" r:id="rId3"/>
    <sheet name="假设" sheetId="2" state="visible" r:id="rId4"/>
    <sheet name="分部预测" sheetId="3" state="visible" r:id="rId5"/>
    <sheet name="三表预测" sheetId="4" state="visible" r:id="rId6"/>
    <sheet name="股本与每股" sheetId="5" state="visible" r:id="rId7"/>
    <sheet name="DCF估值" sheetId="6" state="visible" r:id="rId8"/>
    <sheet name="相对估值" sheetId="7" state="visible" r:id="rId9"/>
    <sheet name="SOFC敏感性" sheetId="8" state="visible" r:id="rId10"/>
    <sheet name="一致预期对比" sheetId="9" state="visible" r:id="rId11"/>
    <sheet name="季度数据" sheetId="10" state="visible" r:id="rId12"/>
    <sheet name="历史利润表" sheetId="11" state="visible" r:id="rId13"/>
    <sheet name="历史资产负债表" sheetId="12" state="visible" r:id="rId14"/>
    <sheet name="历史现金流量表" sheetId="13" state="visible" r:id="rId15"/>
    <sheet name="调研要点" sheetId="14" state="visible" r:id="rId16"/>
    <sheet name="校验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6" authorId="0">
      <text>
        <r>
          <rPr>
            <sz val="10"/>
            <rFont val="Arial"/>
            <family val="2"/>
          </rPr>
          <t xml:space="preserve">2025</t>
        </r>
        <r>
          <rPr>
            <sz val="10"/>
            <rFont val="Noto Sans CJK SC"/>
            <family val="2"/>
          </rPr>
          <t xml:space="preserve">年年报：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Noto Sans CJK SC"/>
            <family val="2"/>
          </rPr>
          <t xml:space="preserve">年毛利率及“毛利率比上年同期增减”倒推</t>
        </r>
      </text>
    </comment>
    <comment ref="F47" authorId="0">
      <text>
        <r>
          <rPr>
            <sz val="10"/>
            <rFont val="Arial"/>
            <family val="2"/>
          </rPr>
          <t xml:space="preserve">2025</t>
        </r>
        <r>
          <rPr>
            <sz val="10"/>
            <rFont val="Noto Sans CJK SC"/>
            <family val="2"/>
          </rPr>
          <t xml:space="preserve">年年报：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Noto Sans CJK SC"/>
            <family val="2"/>
          </rPr>
          <t xml:space="preserve">年毛利率及“毛利率比上年同期增减”倒推</t>
        </r>
      </text>
    </comment>
    <comment ref="F48" authorId="0">
      <text>
        <r>
          <rPr>
            <sz val="10"/>
            <rFont val="Arial"/>
            <family val="2"/>
          </rPr>
          <t xml:space="preserve">2025</t>
        </r>
        <r>
          <rPr>
            <sz val="10"/>
            <rFont val="Noto Sans CJK SC"/>
            <family val="2"/>
          </rPr>
          <t xml:space="preserve">年年报：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Noto Sans CJK SC"/>
            <family val="2"/>
          </rPr>
          <t xml:space="preserve">年毛利率及“毛利率比上年同期增减”倒推</t>
        </r>
      </text>
    </comment>
    <comment ref="G7" authorId="0">
      <text>
        <r>
          <rPr>
            <sz val="10"/>
            <rFont val="Arial"/>
            <family val="2"/>
          </rPr>
          <t xml:space="preserve">2025A</t>
        </r>
        <r>
          <rPr>
            <sz val="10"/>
            <rFont val="Noto Sans CJK SC"/>
            <family val="2"/>
          </rPr>
          <t xml:space="preserve">取</t>
        </r>
        <r>
          <rPr>
            <sz val="10"/>
            <rFont val="Arial"/>
            <family val="2"/>
          </rPr>
          <t xml:space="preserve">25W</t>
        </r>
        <r>
          <rPr>
            <sz val="10"/>
            <rFont val="Noto Sans CJK SC"/>
            <family val="2"/>
          </rPr>
          <t xml:space="preserve">与</t>
        </r>
        <r>
          <rPr>
            <sz val="10"/>
            <rFont val="Arial"/>
            <family val="2"/>
          </rPr>
          <t xml:space="preserve">32.5W</t>
        </r>
        <r>
          <rPr>
            <sz val="10"/>
            <rFont val="Noto Sans CJK SC"/>
            <family val="2"/>
          </rPr>
          <t xml:space="preserve">的中间值附近，仅用于展示，不影响历史收入</t>
        </r>
      </text>
    </comment>
    <comment ref="G13" authorId="0">
      <text>
        <r>
          <rPr>
            <sz val="10"/>
            <rFont val="Noto Sans CJK SC"/>
            <family val="2"/>
          </rPr>
          <t xml:space="preserve">历史值为三环年报前五大客户中“客户</t>
        </r>
        <r>
          <rPr>
            <sz val="10"/>
            <rFont val="Arial"/>
            <family val="2"/>
          </rPr>
          <t xml:space="preserve">1”</t>
        </r>
        <r>
          <rPr>
            <sz val="10"/>
            <rFont val="Noto Sans CJK SC"/>
            <family val="2"/>
          </rPr>
          <t xml:space="preserve">销售额（</t>
        </r>
        <r>
          <rPr>
            <sz val="10"/>
            <rFont val="Arial"/>
            <family val="2"/>
          </rPr>
          <t xml:space="preserve">2023A 449,318,727.96</t>
        </r>
        <r>
          <rPr>
            <sz val="10"/>
            <rFont val="Noto Sans CJK SC"/>
            <family val="2"/>
          </rPr>
          <t xml:space="preserve">元；</t>
        </r>
        <r>
          <rPr>
            <sz val="10"/>
            <rFont val="Arial"/>
            <family val="2"/>
          </rPr>
          <t xml:space="preserve">2024A 323,869,648.00</t>
        </r>
        <r>
          <rPr>
            <sz val="10"/>
            <rFont val="Noto Sans CJK SC"/>
            <family val="2"/>
          </rPr>
          <t xml:space="preserve">元；</t>
        </r>
        <r>
          <rPr>
            <sz val="10"/>
            <rFont val="Arial"/>
            <family val="2"/>
          </rPr>
          <t xml:space="preserve">2025A 330,717,999.78</t>
        </r>
        <r>
          <rPr>
            <sz val="10"/>
            <rFont val="Noto Sans CJK SC"/>
            <family val="2"/>
          </rPr>
          <t xml:space="preserve">元），市场普遍对应</t>
        </r>
        <r>
          <rPr>
            <sz val="10"/>
            <rFont val="Arial"/>
            <family val="2"/>
          </rPr>
          <t xml:space="preserve">Bloom</t>
        </r>
        <r>
          <rPr>
            <sz val="10"/>
            <rFont val="Noto Sans CJK SC"/>
            <family val="2"/>
          </rPr>
          <t xml:space="preserve">；可能含少量其他陶瓷件</t>
        </r>
      </text>
    </comment>
    <comment ref="G38" authorId="0">
      <text>
        <r>
          <rPr>
            <sz val="10"/>
            <rFont val="Arial"/>
            <family val="2"/>
          </rPr>
          <t xml:space="preserve">2025</t>
        </r>
        <r>
          <rPr>
            <sz val="10"/>
            <rFont val="Noto Sans CJK SC"/>
            <family val="2"/>
          </rPr>
          <t xml:space="preserve">年年报：电子元件营业收入</t>
        </r>
        <r>
          <rPr>
            <sz val="10"/>
            <rFont val="Arial"/>
            <family val="2"/>
          </rPr>
          <t xml:space="preserve">3,308,089,586.22</t>
        </r>
        <r>
          <rPr>
            <sz val="10"/>
            <rFont val="Noto Sans CJK SC"/>
            <family val="2"/>
          </rPr>
          <t xml:space="preserve">元、营业成本</t>
        </r>
        <r>
          <rPr>
            <sz val="10"/>
            <rFont val="Arial"/>
            <family val="2"/>
          </rPr>
          <t xml:space="preserve">1,908,641,599.49</t>
        </r>
        <r>
          <rPr>
            <sz val="10"/>
            <rFont val="Noto Sans CJK SC"/>
            <family val="2"/>
          </rPr>
          <t xml:space="preserve">元</t>
        </r>
      </text>
    </comment>
    <comment ref="G41" authorId="0">
      <text>
        <r>
          <rPr>
            <sz val="10"/>
            <rFont val="Arial"/>
            <family val="2"/>
          </rPr>
          <t xml:space="preserve">Wind</t>
        </r>
        <r>
          <rPr>
            <sz val="10"/>
            <rFont val="Noto Sans CJK SC"/>
            <family val="2"/>
          </rPr>
          <t xml:space="preserve">主营构成：设备组件毛利</t>
        </r>
        <r>
          <rPr>
            <sz val="10"/>
            <rFont val="Arial"/>
            <family val="2"/>
          </rPr>
          <t xml:space="preserve">35,180</t>
        </r>
        <r>
          <rPr>
            <sz val="10"/>
            <rFont val="Noto Sans CJK SC"/>
            <family val="2"/>
          </rPr>
          <t xml:space="preserve">万元；其他主营</t>
        </r>
        <r>
          <rPr>
            <sz val="10"/>
            <rFont val="Arial"/>
            <family val="2"/>
          </rPr>
          <t xml:space="preserve">3,688</t>
        </r>
        <r>
          <rPr>
            <sz val="10"/>
            <rFont val="Noto Sans CJK SC"/>
            <family val="2"/>
          </rPr>
          <t xml:space="preserve">万元；其他业务</t>
        </r>
        <r>
          <rPr>
            <sz val="10"/>
            <rFont val="Arial"/>
            <family val="2"/>
          </rPr>
          <t xml:space="preserve">11,030</t>
        </r>
        <r>
          <rPr>
            <sz val="10"/>
            <rFont val="Noto Sans CJK SC"/>
            <family val="2"/>
          </rPr>
          <t xml:space="preserve">万元（年报未单独列示，以</t>
        </r>
        <r>
          <rPr>
            <sz val="10"/>
            <rFont val="Arial"/>
            <family val="2"/>
          </rPr>
          <t xml:space="preserve">Wind</t>
        </r>
        <r>
          <rPr>
            <sz val="10"/>
            <rFont val="Noto Sans CJK SC"/>
            <family val="2"/>
          </rPr>
          <t xml:space="preserve">为准）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2" authorId="0">
      <text>
        <r>
          <rPr>
            <sz val="10"/>
            <rFont val="Arial"/>
            <family val="2"/>
          </rPr>
          <t xml:space="preserve">2025</t>
        </r>
        <r>
          <rPr>
            <sz val="10"/>
            <rFont val="Noto Sans CJK SC"/>
            <family val="2"/>
          </rPr>
          <t xml:space="preserve">年实际派发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Noto Sans CJK SC"/>
            <family val="2"/>
          </rPr>
          <t xml:space="preserve">年度股利：每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股</t>
        </r>
        <r>
          <rPr>
            <sz val="10"/>
            <rFont val="Arial"/>
            <family val="2"/>
          </rPr>
          <t xml:space="preserve">3.80</t>
        </r>
        <r>
          <rPr>
            <sz val="10"/>
            <rFont val="Noto Sans CJK SC"/>
            <family val="2"/>
          </rPr>
          <t xml:space="preserve">元，约</t>
        </r>
        <r>
          <rPr>
            <sz val="10"/>
            <rFont val="Arial"/>
            <family val="2"/>
          </rPr>
          <t xml:space="preserve">726.6</t>
        </r>
        <r>
          <rPr>
            <sz val="10"/>
            <rFont val="Noto Sans CJK SC"/>
            <family val="2"/>
          </rPr>
          <t xml:space="preserve">百万元（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Noto Sans CJK SC"/>
            <family val="2"/>
          </rPr>
          <t xml:space="preserve">年现金流量表“分配股利、利润或偿付利息”</t>
        </r>
        <r>
          <rPr>
            <sz val="10"/>
            <rFont val="Arial"/>
            <family val="2"/>
          </rPr>
          <t xml:space="preserve">726.63</t>
        </r>
        <r>
          <rPr>
            <sz val="10"/>
            <rFont val="Noto Sans CJK SC"/>
            <family val="2"/>
          </rPr>
          <t xml:space="preserve">百万元含少量利息）</t>
        </r>
      </text>
    </comment>
    <comment ref="H9" authorId="0">
      <text>
        <r>
          <rPr>
            <sz val="10"/>
            <rFont val="Noto Sans CJK SC"/>
            <family val="2"/>
          </rPr>
          <t xml:space="preserve">第二期回购股数</t>
        </r>
        <r>
          <rPr>
            <sz val="10"/>
            <rFont val="Arial"/>
            <family val="2"/>
          </rPr>
          <t xml:space="preserve">=</t>
        </r>
        <r>
          <rPr>
            <sz val="10"/>
            <rFont val="Noto Sans CJK SC"/>
            <family val="2"/>
          </rPr>
          <t xml:space="preserve">回购金额</t>
        </r>
        <r>
          <rPr>
            <sz val="10"/>
            <rFont val="Arial"/>
            <family val="2"/>
          </rPr>
          <t xml:space="preserve">÷</t>
        </r>
        <r>
          <rPr>
            <sz val="10"/>
            <rFont val="Noto Sans CJK SC"/>
            <family val="2"/>
          </rPr>
          <t xml:space="preserve">当前</t>
        </r>
        <r>
          <rPr>
            <sz val="10"/>
            <rFont val="Arial"/>
            <family val="2"/>
          </rPr>
          <t xml:space="preserve">A</t>
        </r>
        <r>
          <rPr>
            <sz val="10"/>
            <rFont val="Noto Sans CJK SC"/>
            <family val="2"/>
          </rPr>
          <t xml:space="preserve">股股价（假设）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Noto Sans CJK SC"/>
            <family val="2"/>
          </rPr>
          <t xml:space="preserve">假设：分部毛利率约</t>
        </r>
        <r>
          <rPr>
            <sz val="10"/>
            <rFont val="Arial"/>
            <family val="2"/>
          </rPr>
          <t xml:space="preserve">38%-40%</t>
        </r>
        <r>
          <rPr>
            <sz val="10"/>
            <rFont val="Noto Sans CJK SC"/>
            <family val="2"/>
          </rPr>
          <t xml:space="preserve">，扣除期间费用与</t>
        </r>
        <r>
          <rPr>
            <sz val="10"/>
            <rFont val="Arial"/>
            <family val="2"/>
          </rPr>
          <t xml:space="preserve">13%</t>
        </r>
        <r>
          <rPr>
            <sz val="10"/>
            <rFont val="Noto Sans CJK SC"/>
            <family val="2"/>
          </rPr>
          <t xml:space="preserve">所得税后约</t>
        </r>
        <r>
          <rPr>
            <sz val="10"/>
            <rFont val="Arial"/>
            <family val="2"/>
          </rPr>
          <t xml:space="preserve">20%-25%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Wind</t>
        </r>
        <r>
          <rPr>
            <sz val="10"/>
            <rFont val="Noto Sans CJK SC"/>
            <family val="2"/>
          </rPr>
          <t xml:space="preserve">一致预测：营业收入</t>
        </r>
        <r>
          <rPr>
            <sz val="10"/>
            <rFont val="Arial"/>
            <family val="2"/>
          </rPr>
          <t xml:space="preserve">13,140/17,470/20,690</t>
        </r>
        <r>
          <rPr>
            <sz val="10"/>
            <rFont val="Noto Sans CJK SC"/>
            <family val="2"/>
          </rPr>
          <t xml:space="preserve">百万元（原表以百万元四舍五入显示</t>
        </r>
        <r>
          <rPr>
            <sz val="10"/>
            <rFont val="Arial"/>
            <family val="2"/>
          </rPr>
          <t xml:space="preserve">1.314e+04</t>
        </r>
        <r>
          <rPr>
            <sz val="10"/>
            <rFont val="Noto Sans CJK SC"/>
            <family val="2"/>
          </rPr>
          <t xml:space="preserve">等）</t>
        </r>
      </text>
    </comment>
  </commentList>
</comments>
</file>

<file path=xl/sharedStrings.xml><?xml version="1.0" encoding="utf-8"?>
<sst xmlns="http://schemas.openxmlformats.org/spreadsheetml/2006/main" count="978" uniqueCount="718">
  <si>
    <r>
      <rPr>
        <b val="true"/>
        <sz val="14"/>
        <color rgb="FF1F3864"/>
        <rFont val="Noto Sans CJK SC"/>
        <family val="2"/>
      </rPr>
      <t xml:space="preserve">三环集团（</t>
    </r>
    <r>
      <rPr>
        <b val="true"/>
        <sz val="14"/>
        <color rgb="FF1F3864"/>
        <rFont val="Arial"/>
        <family val="0"/>
        <charset val="1"/>
      </rPr>
      <t xml:space="preserve">300408.SZ / 06951.HK</t>
    </r>
    <r>
      <rPr>
        <b val="true"/>
        <sz val="14"/>
        <color rgb="FF1F3864"/>
        <rFont val="Noto Sans CJK SC"/>
        <family val="2"/>
      </rPr>
      <t xml:space="preserve">）财务与估值模型</t>
    </r>
  </si>
  <si>
    <r>
      <rPr>
        <i val="true"/>
        <sz val="10"/>
        <color rgb="FF595959"/>
        <rFont val="Noto Sans CJK SC"/>
        <family val="2"/>
      </rPr>
      <t xml:space="preserve">编制日期：</t>
    </r>
    <r>
      <rPr>
        <i val="true"/>
        <sz val="10"/>
        <color rgb="FF595959"/>
        <rFont val="Arial"/>
        <family val="0"/>
        <charset val="1"/>
      </rPr>
      <t xml:space="preserve">2026-09-30</t>
    </r>
    <r>
      <rPr>
        <i val="true"/>
        <sz val="10"/>
        <color rgb="FF595959"/>
        <rFont val="Noto Sans CJK SC"/>
        <family val="2"/>
      </rPr>
      <t xml:space="preserve">｜单位：百万元人民币（另注明除外）｜数据截至</t>
    </r>
    <r>
      <rPr>
        <i val="true"/>
        <sz val="10"/>
        <color rgb="FF595959"/>
        <rFont val="Arial"/>
        <family val="0"/>
        <charset val="1"/>
      </rPr>
      <t xml:space="preserve">2026</t>
    </r>
    <r>
      <rPr>
        <i val="true"/>
        <sz val="10"/>
        <color rgb="FF595959"/>
        <rFont val="Noto Sans CJK SC"/>
        <family val="2"/>
      </rPr>
      <t xml:space="preserve">年半年报（</t>
    </r>
    <r>
      <rPr>
        <i val="true"/>
        <sz val="10"/>
        <color rgb="FF595959"/>
        <rFont val="Arial"/>
        <family val="0"/>
        <charset val="1"/>
      </rPr>
      <t xml:space="preserve">2026-08-28</t>
    </r>
    <r>
      <rPr>
        <i val="true"/>
        <sz val="10"/>
        <color rgb="FF595959"/>
        <rFont val="Noto Sans CJK SC"/>
        <family val="2"/>
      </rPr>
      <t xml:space="preserve">）</t>
    </r>
  </si>
  <si>
    <t xml:space="preserve">使用说明</t>
  </si>
  <si>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在“假设”表</t>
    </r>
    <r>
      <rPr>
        <sz val="10"/>
        <color rgb="FF000000"/>
        <rFont val="Arial"/>
        <family val="0"/>
        <charset val="1"/>
      </rPr>
      <t xml:space="preserve">C5</t>
    </r>
    <r>
      <rPr>
        <sz val="10"/>
        <color rgb="FF000000"/>
        <rFont val="Noto Sans CJK SC"/>
        <family val="2"/>
      </rPr>
      <t xml:space="preserve">修改情景（</t>
    </r>
    <r>
      <rPr>
        <sz val="10"/>
        <color rgb="FF000000"/>
        <rFont val="Arial"/>
        <family val="0"/>
        <charset val="1"/>
      </rPr>
      <t xml:space="preserve">1=</t>
    </r>
    <r>
      <rPr>
        <sz val="10"/>
        <color rgb="FF000000"/>
        <rFont val="Noto Sans CJK SC"/>
        <family val="2"/>
      </rPr>
      <t xml:space="preserve">基准，</t>
    </r>
    <r>
      <rPr>
        <sz val="10"/>
        <color rgb="FF000000"/>
        <rFont val="Arial"/>
        <family val="0"/>
        <charset val="1"/>
      </rPr>
      <t xml:space="preserve">2=</t>
    </r>
    <r>
      <rPr>
        <sz val="10"/>
        <color rgb="FF000000"/>
        <rFont val="Noto Sans CJK SC"/>
        <family val="2"/>
      </rPr>
      <t xml:space="preserve">乐观，</t>
    </r>
    <r>
      <rPr>
        <sz val="10"/>
        <color rgb="FF000000"/>
        <rFont val="Arial"/>
        <family val="0"/>
        <charset val="1"/>
      </rPr>
      <t xml:space="preserve">3=</t>
    </r>
    <r>
      <rPr>
        <sz val="10"/>
        <color rgb="FF000000"/>
        <rFont val="Noto Sans CJK SC"/>
        <family val="2"/>
      </rPr>
      <t xml:space="preserve">悲观）；所有蓝字均为可修改输入，黄底为关键假设。</t>
    </r>
  </si>
  <si>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颜色约定：蓝字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录入值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假设；黑字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本表公式；绿字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跨表链接。预测列为灰底。</t>
    </r>
  </si>
  <si>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模型链路：假设 → 分部预测（含</t>
    </r>
    <r>
      <rPr>
        <sz val="10"/>
        <color rgb="FF000000"/>
        <rFont val="Arial"/>
        <family val="0"/>
        <charset val="1"/>
      </rPr>
      <t xml:space="preserve">SOFC</t>
    </r>
    <r>
      <rPr>
        <sz val="10"/>
        <color rgb="FF000000"/>
        <rFont val="Noto Sans CJK SC"/>
        <family val="2"/>
      </rPr>
      <t xml:space="preserve">隔膜片子模型）→ 三表预测（货币资金由现金流量表倒挤）→ </t>
    </r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Noto Sans CJK SC"/>
        <family val="2"/>
      </rPr>
      <t xml:space="preserve">估值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相对估值。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</si>
  <si>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历史数据：历史利润表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资产负债表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现金流量表来自</t>
    </r>
    <r>
      <rPr>
        <sz val="10"/>
        <color rgb="FF000000"/>
        <rFont val="Arial"/>
        <family val="0"/>
        <charset val="1"/>
      </rPr>
      <t xml:space="preserve">Wind</t>
    </r>
    <r>
      <rPr>
        <sz val="10"/>
        <color rgb="FF000000"/>
        <rFont val="Noto Sans CJK SC"/>
        <family val="2"/>
      </rPr>
      <t xml:space="preserve">公司公告值；分部口径来自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年年报；季度数据来自</t>
    </r>
    <r>
      <rPr>
        <sz val="10"/>
        <color rgb="FF000000"/>
        <rFont val="Arial"/>
        <family val="0"/>
        <charset val="1"/>
      </rPr>
      <t xml:space="preserve">Wind</t>
    </r>
    <r>
      <rPr>
        <sz val="10"/>
        <color rgb="FF000000"/>
        <rFont val="Noto Sans CJK SC"/>
        <family val="2"/>
      </rPr>
      <t xml:space="preserve">单季报表。</t>
    </r>
  </si>
  <si>
    <r>
      <rPr>
        <sz val="10"/>
        <color rgb="FF000000"/>
        <rFont val="Arial"/>
        <family val="0"/>
        <charset val="1"/>
      </rPr>
      <t xml:space="preserve">5. “</t>
    </r>
    <r>
      <rPr>
        <sz val="10"/>
        <color rgb="FF000000"/>
        <rFont val="Noto Sans CJK SC"/>
        <family val="2"/>
      </rPr>
      <t xml:space="preserve">校验”表汇总应为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股股价、汇率、可比公司倍数请按最新行情更新。</t>
    </r>
  </si>
  <si>
    <t xml:space="preserve">核心输出（随情景自动更新）</t>
  </si>
  <si>
    <t xml:space="preserve">指标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</si>
  <si>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</si>
  <si>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</si>
  <si>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</si>
  <si>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</si>
  <si>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</si>
  <si>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</si>
  <si>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营业收入</t>
  </si>
  <si>
    <t xml:space="preserve">  同比</t>
  </si>
  <si>
    <t xml:space="preserve">毛利率</t>
  </si>
  <si>
    <t xml:space="preserve">归母净利润</t>
  </si>
  <si>
    <r>
      <rPr>
        <b val="true"/>
        <sz val="10"/>
        <color rgb="FF000000"/>
        <rFont val="Arial"/>
        <family val="0"/>
        <charset val="1"/>
      </rPr>
      <t xml:space="preserve">EPS</t>
    </r>
    <r>
      <rPr>
        <b val="true"/>
        <sz val="10"/>
        <color rgb="FF000000"/>
        <rFont val="Noto Sans CJK SC"/>
        <family val="2"/>
      </rPr>
      <t xml:space="preserve">（元）</t>
    </r>
  </si>
  <si>
    <r>
      <rPr>
        <b val="true"/>
        <sz val="10"/>
        <color rgb="FF000000"/>
        <rFont val="Arial"/>
        <family val="0"/>
        <charset val="1"/>
      </rPr>
      <t xml:space="preserve">ROE</t>
    </r>
    <r>
      <rPr>
        <b val="true"/>
        <sz val="10"/>
        <color rgb="FF000000"/>
        <rFont val="Noto Sans CJK SC"/>
        <family val="2"/>
      </rPr>
      <t xml:space="preserve">（平均）</t>
    </r>
  </si>
  <si>
    <t xml:space="preserve">自由现金流</t>
  </si>
  <si>
    <t xml:space="preserve">净现金</t>
  </si>
  <si>
    <r>
      <rPr>
        <b val="true"/>
        <sz val="10"/>
        <color rgb="FF000000"/>
        <rFont val="Arial"/>
        <family val="0"/>
        <charset val="1"/>
      </rPr>
      <t xml:space="preserve">PE</t>
    </r>
    <r>
      <rPr>
        <b val="true"/>
        <sz val="10"/>
        <color rgb="FF000000"/>
        <rFont val="Noto Sans CJK SC"/>
        <family val="2"/>
      </rPr>
      <t xml:space="preserve">（当前股价）</t>
    </r>
  </si>
  <si>
    <r>
      <rPr>
        <b val="true"/>
        <sz val="10"/>
        <color rgb="FF000000"/>
        <rFont val="Arial"/>
        <family val="0"/>
        <charset val="1"/>
      </rPr>
      <t xml:space="preserve">SOFC</t>
    </r>
    <r>
      <rPr>
        <b val="true"/>
        <sz val="10"/>
        <color rgb="FF000000"/>
        <rFont val="Noto Sans CJK SC"/>
        <family val="2"/>
      </rPr>
      <t xml:space="preserve">隔膜片收入</t>
    </r>
  </si>
  <si>
    <r>
      <rPr>
        <sz val="10"/>
        <color rgb="FF000000"/>
        <rFont val="Arial"/>
        <family val="0"/>
        <charset val="1"/>
      </rPr>
      <t xml:space="preserve">  SOFC</t>
    </r>
    <r>
      <rPr>
        <sz val="10"/>
        <color rgb="FF000000"/>
        <rFont val="Noto Sans CJK SC"/>
        <family val="2"/>
      </rPr>
      <t xml:space="preserve">隔膜片毛利占公司毛利</t>
    </r>
  </si>
  <si>
    <t xml:space="preserve">估值摘要</t>
  </si>
  <si>
    <r>
      <rPr>
        <sz val="10"/>
        <color rgb="FF000000"/>
        <rFont val="Noto Sans CJK SC"/>
        <family val="2"/>
      </rPr>
      <t xml:space="preserve">当前情景（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基准</t>
    </r>
    <r>
      <rPr>
        <sz val="10"/>
        <color rgb="FF000000"/>
        <rFont val="Arial"/>
        <family val="0"/>
        <charset val="1"/>
      </rPr>
      <t xml:space="preserve">/2</t>
    </r>
    <r>
      <rPr>
        <sz val="10"/>
        <color rgb="FF000000"/>
        <rFont val="Noto Sans CJK SC"/>
        <family val="2"/>
      </rPr>
      <t xml:space="preserve">乐观</t>
    </r>
    <r>
      <rPr>
        <sz val="10"/>
        <color rgb="FF000000"/>
        <rFont val="Arial"/>
        <family val="0"/>
        <charset val="1"/>
      </rPr>
      <t xml:space="preserve">/3</t>
    </r>
    <r>
      <rPr>
        <sz val="10"/>
        <color rgb="FF000000"/>
        <rFont val="Noto Sans CJK SC"/>
        <family val="2"/>
      </rPr>
      <t xml:space="preserve">悲观）</t>
    </r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</si>
  <si>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股股价（元）</t>
    </r>
  </si>
  <si>
    <t xml:space="preserve">WACC</t>
  </si>
  <si>
    <t xml:space="preserve">永续增长率</t>
  </si>
  <si>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Noto Sans CJK SC"/>
        <family val="2"/>
      </rPr>
      <t xml:space="preserve">每股价值（元，</t>
    </r>
    <r>
      <rPr>
        <sz val="10"/>
        <color rgb="FF000000"/>
        <rFont val="Arial"/>
        <family val="0"/>
        <charset val="1"/>
      </rPr>
      <t xml:space="preserve">2026-12-31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</si>
  <si>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Noto Sans CJK SC"/>
        <family val="2"/>
      </rPr>
      <t xml:space="preserve">每股价值折回当前（元）</t>
    </r>
  </si>
  <si>
    <t xml:space="preserve">相对当前股价空间</t>
  </si>
  <si>
    <r>
      <rPr>
        <sz val="10"/>
        <color rgb="FF000000"/>
        <rFont val="Arial"/>
        <family val="0"/>
        <charset val="1"/>
      </rPr>
      <t xml:space="preserve">DCF</t>
    </r>
    <r>
      <rPr>
        <sz val="10"/>
        <color rgb="FF000000"/>
        <rFont val="Noto Sans CJK SC"/>
        <family val="2"/>
      </rPr>
      <t xml:space="preserve">隐含</t>
    </r>
    <r>
      <rPr>
        <sz val="10"/>
        <color rgb="FF000000"/>
        <rFont val="Arial"/>
        <family val="0"/>
        <charset val="1"/>
      </rPr>
      <t xml:space="preserve">2027E PE</t>
    </r>
  </si>
  <si>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区间估值（</t>
    </r>
    <r>
      <rPr>
        <sz val="10"/>
        <color rgb="FF000000"/>
        <rFont val="Arial"/>
        <family val="0"/>
        <charset val="1"/>
      </rPr>
      <t xml:space="preserve">2027E EPS × PE</t>
    </r>
    <r>
      <rPr>
        <sz val="10"/>
        <color rgb="FF000000"/>
        <rFont val="Noto Sans CJK SC"/>
        <family val="2"/>
      </rPr>
      <t xml:space="preserve">下限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上限，元）</t>
    </r>
  </si>
  <si>
    <r>
      <rPr>
        <sz val="10"/>
        <color rgb="FF000000"/>
        <rFont val="Noto Sans CJK SC"/>
        <family val="2"/>
      </rPr>
      <t xml:space="preserve">模型校验汇总（应为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</si>
  <si>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免责声明：本模型基于公开信息与产业链调研整理，假设具有主观性，不构成任何投资建议。</t>
  </si>
  <si>
    <t xml:space="preserve">核心假设（所有蓝字均可修改；黄底为关键假设）</t>
  </si>
  <si>
    <r>
      <rPr>
        <i val="true"/>
        <sz val="10"/>
        <color rgb="FF595959"/>
        <rFont val="Noto Sans CJK SC"/>
        <family val="2"/>
      </rPr>
      <t xml:space="preserve">单位：百万元人民币，另注明除外。情景选择：</t>
    </r>
    <r>
      <rPr>
        <i val="true"/>
        <sz val="10"/>
        <color rgb="FF595959"/>
        <rFont val="Arial"/>
        <family val="0"/>
        <charset val="1"/>
      </rPr>
      <t xml:space="preserve">1=</t>
    </r>
    <r>
      <rPr>
        <i val="true"/>
        <sz val="10"/>
        <color rgb="FF595959"/>
        <rFont val="Noto Sans CJK SC"/>
        <family val="2"/>
      </rPr>
      <t xml:space="preserve">基准，</t>
    </r>
    <r>
      <rPr>
        <i val="true"/>
        <sz val="10"/>
        <color rgb="FF595959"/>
        <rFont val="Arial"/>
        <family val="0"/>
        <charset val="1"/>
      </rPr>
      <t xml:space="preserve">2=</t>
    </r>
    <r>
      <rPr>
        <i val="true"/>
        <sz val="10"/>
        <color rgb="FF595959"/>
        <rFont val="Noto Sans CJK SC"/>
        <family val="2"/>
      </rPr>
      <t xml:space="preserve">乐观，</t>
    </r>
    <r>
      <rPr>
        <i val="true"/>
        <sz val="10"/>
        <color rgb="FF595959"/>
        <rFont val="Arial"/>
        <family val="0"/>
        <charset val="1"/>
      </rPr>
      <t xml:space="preserve">3=</t>
    </r>
    <r>
      <rPr>
        <i val="true"/>
        <sz val="10"/>
        <color rgb="FF595959"/>
        <rFont val="Noto Sans CJK SC"/>
        <family val="2"/>
      </rPr>
      <t xml:space="preserve">悲观。年份列与“三表预测”对齐（</t>
    </r>
    <r>
      <rPr>
        <i val="true"/>
        <sz val="10"/>
        <color rgb="FF595959"/>
        <rFont val="Arial"/>
        <family val="0"/>
        <charset val="1"/>
      </rPr>
      <t xml:space="preserve">H:L=2026E-2030E</t>
    </r>
    <r>
      <rPr>
        <i val="true"/>
        <sz val="10"/>
        <color rgb="FF595959"/>
        <rFont val="Noto Sans CJK SC"/>
        <family val="2"/>
      </rPr>
      <t xml:space="preserve">）。</t>
    </r>
  </si>
  <si>
    <t xml:space="preserve">一、全局与市场参数</t>
  </si>
  <si>
    <r>
      <rPr>
        <sz val="10"/>
        <color rgb="FF000000"/>
        <rFont val="Noto Sans CJK SC"/>
        <family val="2"/>
      </rPr>
      <t xml:space="preserve">情景选择（</t>
    </r>
    <r>
      <rPr>
        <sz val="10"/>
        <color rgb="FF000000"/>
        <rFont val="Arial"/>
        <family val="0"/>
        <charset val="1"/>
      </rPr>
      <t xml:space="preserve">1=</t>
    </r>
    <r>
      <rPr>
        <sz val="10"/>
        <color rgb="FF000000"/>
        <rFont val="Noto Sans CJK SC"/>
        <family val="2"/>
      </rPr>
      <t xml:space="preserve">基准，</t>
    </r>
    <r>
      <rPr>
        <sz val="10"/>
        <color rgb="FF000000"/>
        <rFont val="Arial"/>
        <family val="0"/>
        <charset val="1"/>
      </rPr>
      <t xml:space="preserve">2=</t>
    </r>
    <r>
      <rPr>
        <sz val="10"/>
        <color rgb="FF000000"/>
        <rFont val="Noto Sans CJK SC"/>
        <family val="2"/>
      </rPr>
      <t xml:space="preserve">乐观，</t>
    </r>
    <r>
      <rPr>
        <sz val="10"/>
        <color rgb="FF000000"/>
        <rFont val="Arial"/>
        <family val="0"/>
        <charset val="1"/>
      </rPr>
      <t xml:space="preserve">3=</t>
    </r>
    <r>
      <rPr>
        <sz val="10"/>
        <color rgb="FF000000"/>
        <rFont val="Noto Sans CJK SC"/>
        <family val="2"/>
      </rPr>
      <t xml:space="preserve">悲观）</t>
    </r>
  </si>
  <si>
    <t xml:space="preserve">修改此格切换全模型情景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</si>
  <si>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股股价（元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股）</t>
    </r>
  </si>
  <si>
    <r>
      <rPr>
        <i val="true"/>
        <sz val="10"/>
        <color rgb="FF595959"/>
        <rFont val="Arial"/>
        <family val="0"/>
        <charset val="1"/>
      </rPr>
      <t xml:space="preserve">Wind</t>
    </r>
    <r>
      <rPr>
        <i val="true"/>
        <sz val="10"/>
        <color rgb="FF595959"/>
        <rFont val="Noto Sans CJK SC"/>
        <family val="2"/>
      </rPr>
      <t xml:space="preserve">一致预期表</t>
    </r>
    <r>
      <rPr>
        <i val="true"/>
        <sz val="10"/>
        <color rgb="FF595959"/>
        <rFont val="Arial"/>
        <family val="0"/>
        <charset val="1"/>
      </rPr>
      <t xml:space="preserve">2026-09-30</t>
    </r>
    <r>
      <rPr>
        <i val="true"/>
        <sz val="10"/>
        <color rgb="FF595959"/>
        <rFont val="Noto Sans CJK SC"/>
        <family val="2"/>
      </rPr>
      <t xml:space="preserve">：</t>
    </r>
    <r>
      <rPr>
        <i val="true"/>
        <sz val="10"/>
        <color rgb="FF595959"/>
        <rFont val="Arial"/>
        <family val="0"/>
        <charset val="1"/>
      </rPr>
      <t xml:space="preserve">2026E PE 56.42×EPS 2.10</t>
    </r>
    <r>
      <rPr>
        <i val="true"/>
        <sz val="10"/>
        <color rgb="FF595959"/>
        <rFont val="Noto Sans CJK SC"/>
        <family val="2"/>
      </rPr>
      <t xml:space="preserve">倒算；请按最新行情更新</t>
    </r>
  </si>
  <si>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股发行价（港元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股）</t>
    </r>
  </si>
  <si>
    <r>
      <rPr>
        <i val="true"/>
        <sz val="10"/>
        <color rgb="FF595959"/>
        <rFont val="Noto Sans CJK SC"/>
        <family val="2"/>
      </rPr>
      <t xml:space="preserve">三环</t>
    </r>
    <r>
      <rPr>
        <i val="true"/>
        <sz val="10"/>
        <color rgb="FF595959"/>
        <rFont val="Arial"/>
        <family val="0"/>
        <charset val="1"/>
      </rPr>
      <t xml:space="preserve">H</t>
    </r>
    <r>
      <rPr>
        <i val="true"/>
        <sz val="10"/>
        <color rgb="FF595959"/>
        <rFont val="Noto Sans CJK SC"/>
        <family val="2"/>
      </rPr>
      <t xml:space="preserve">股招股章程</t>
    </r>
    <r>
      <rPr>
        <i val="true"/>
        <sz val="10"/>
        <color rgb="FF595959"/>
        <rFont val="Arial"/>
        <family val="0"/>
        <charset val="1"/>
      </rPr>
      <t xml:space="preserve">/</t>
    </r>
    <r>
      <rPr>
        <i val="true"/>
        <sz val="10"/>
        <color rgb="FF595959"/>
        <rFont val="Noto Sans CJK SC"/>
        <family val="2"/>
      </rPr>
      <t xml:space="preserve">配售结果（</t>
    </r>
    <r>
      <rPr>
        <i val="true"/>
        <sz val="10"/>
        <color rgb="FF595959"/>
        <rFont val="Arial"/>
        <family val="0"/>
        <charset val="1"/>
      </rPr>
      <t xml:space="preserve">2026-07-09</t>
    </r>
    <r>
      <rPr>
        <i val="true"/>
        <sz val="10"/>
        <color rgb="FF595959"/>
        <rFont val="Noto Sans CJK SC"/>
        <family val="2"/>
      </rPr>
      <t xml:space="preserve">上市）</t>
    </r>
  </si>
  <si>
    <r>
      <rPr>
        <sz val="10"/>
        <color rgb="FF000000"/>
        <rFont val="Noto Sans CJK SC"/>
        <family val="2"/>
      </rPr>
      <t xml:space="preserve">港元兑人民币（</t>
    </r>
    <r>
      <rPr>
        <sz val="10"/>
        <color rgb="FF000000"/>
        <rFont val="Arial"/>
        <family val="0"/>
        <charset val="1"/>
      </rPr>
      <t xml:space="preserve">HKD/CNY</t>
    </r>
    <r>
      <rPr>
        <sz val="10"/>
        <color rgb="FF000000"/>
        <rFont val="Noto Sans CJK SC"/>
        <family val="2"/>
      </rPr>
      <t xml:space="preserve">）</t>
    </r>
  </si>
  <si>
    <t xml:space="preserve">假设值，请按最新汇率更新</t>
  </si>
  <si>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股发行股数（股，含部分行使超额配股权）</t>
    </r>
  </si>
  <si>
    <r>
      <rPr>
        <i val="true"/>
        <sz val="10"/>
        <color rgb="FF595959"/>
        <rFont val="Arial"/>
        <family val="0"/>
        <charset val="1"/>
      </rPr>
      <t xml:space="preserve">2026</t>
    </r>
    <r>
      <rPr>
        <i val="true"/>
        <sz val="10"/>
        <color rgb="FF595959"/>
        <rFont val="Noto Sans CJK SC"/>
        <family val="2"/>
      </rPr>
      <t xml:space="preserve">年半年报：合计发行</t>
    </r>
    <r>
      <rPr>
        <i val="true"/>
        <sz val="10"/>
        <color rgb="FF595959"/>
        <rFont val="Arial"/>
        <family val="0"/>
        <charset val="1"/>
      </rPr>
      <t xml:space="preserve">80,221,200</t>
    </r>
    <r>
      <rPr>
        <i val="true"/>
        <sz val="10"/>
        <color rgb="FF595959"/>
        <rFont val="Noto Sans CJK SC"/>
        <family val="2"/>
      </rPr>
      <t xml:space="preserve">股</t>
    </r>
    <r>
      <rPr>
        <i val="true"/>
        <sz val="10"/>
        <color rgb="FF595959"/>
        <rFont val="Arial"/>
        <family val="0"/>
        <charset val="1"/>
      </rPr>
      <t xml:space="preserve">H</t>
    </r>
    <r>
      <rPr>
        <i val="true"/>
        <sz val="10"/>
        <color rgb="FF595959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</si>
  <si>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股发行费用率</t>
    </r>
  </si>
  <si>
    <t xml:space="preserve">假设值（上市费用、承销佣金）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</si>
  <si>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年末总股本（股）</t>
    </r>
  </si>
  <si>
    <r>
      <rPr>
        <i val="true"/>
        <sz val="10"/>
        <color rgb="FF595959"/>
        <rFont val="Arial"/>
        <family val="0"/>
        <charset val="1"/>
      </rPr>
      <t xml:space="preserve">2025</t>
    </r>
    <r>
      <rPr>
        <i val="true"/>
        <sz val="10"/>
        <color rgb="FF595959"/>
        <rFont val="Noto Sans CJK SC"/>
        <family val="2"/>
      </rPr>
      <t xml:space="preserve">年年报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</si>
  <si>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年末库存股（股）</t>
    </r>
  </si>
  <si>
    <r>
      <rPr>
        <i val="true"/>
        <sz val="10"/>
        <color rgb="FF595959"/>
        <rFont val="Arial"/>
        <family val="0"/>
        <charset val="1"/>
      </rPr>
      <t xml:space="preserve">2025</t>
    </r>
    <r>
      <rPr>
        <i val="true"/>
        <sz val="10"/>
        <color rgb="FF595959"/>
        <rFont val="Noto Sans CJK SC"/>
        <family val="2"/>
      </rPr>
      <t xml:space="preserve">年年报：回购专户</t>
    </r>
    <r>
      <rPr>
        <i val="true"/>
        <sz val="10"/>
        <color rgb="FF595959"/>
        <rFont val="Arial"/>
        <family val="0"/>
        <charset val="1"/>
      </rPr>
      <t xml:space="preserve">5,133,800</t>
    </r>
    <r>
      <rPr>
        <i val="true"/>
        <sz val="10"/>
        <color rgb="FF595959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</si>
  <si>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年第一期回购股数（股）</t>
    </r>
  </si>
  <si>
    <r>
      <rPr>
        <i val="true"/>
        <sz val="10"/>
        <color rgb="FF595959"/>
        <rFont val="Arial"/>
        <family val="0"/>
        <charset val="1"/>
      </rPr>
      <t xml:space="preserve">2026</t>
    </r>
    <r>
      <rPr>
        <i val="true"/>
        <sz val="10"/>
        <color rgb="FF595959"/>
        <rFont val="Noto Sans CJK SC"/>
        <family val="2"/>
      </rPr>
      <t xml:space="preserve">年半年报：</t>
    </r>
    <r>
      <rPr>
        <i val="true"/>
        <sz val="10"/>
        <color rgb="FF595959"/>
        <rFont val="Arial"/>
        <family val="0"/>
        <charset val="1"/>
      </rPr>
      <t xml:space="preserve">7</t>
    </r>
    <r>
      <rPr>
        <i val="true"/>
        <sz val="10"/>
        <color rgb="FF595959"/>
        <rFont val="Noto Sans CJK SC"/>
        <family val="2"/>
      </rPr>
      <t xml:space="preserve">月底完成，累计</t>
    </r>
    <r>
      <rPr>
        <i val="true"/>
        <sz val="10"/>
        <color rgb="FF595959"/>
        <rFont val="Arial"/>
        <family val="0"/>
        <charset val="1"/>
      </rPr>
      <t xml:space="preserve">8,547,300</t>
    </r>
    <r>
      <rPr>
        <i val="true"/>
        <sz val="10"/>
        <color rgb="FF595959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</si>
  <si>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年第一期回购金额</t>
    </r>
  </si>
  <si>
    <r>
      <rPr>
        <i val="true"/>
        <sz val="10"/>
        <color rgb="FF595959"/>
        <rFont val="Arial"/>
        <family val="0"/>
        <charset val="1"/>
      </rPr>
      <t xml:space="preserve">2026</t>
    </r>
    <r>
      <rPr>
        <i val="true"/>
        <sz val="10"/>
        <color rgb="FF595959"/>
        <rFont val="Noto Sans CJK SC"/>
        <family val="2"/>
      </rPr>
      <t xml:space="preserve">年半年报：约</t>
    </r>
    <r>
      <rPr>
        <i val="true"/>
        <sz val="10"/>
        <color rgb="FF595959"/>
        <rFont val="Arial"/>
        <family val="0"/>
        <charset val="1"/>
      </rPr>
      <t xml:space="preserve">8.95</t>
    </r>
    <r>
      <rPr>
        <i val="true"/>
        <sz val="10"/>
        <color rgb="FF595959"/>
        <rFont val="Noto Sans CJK SC"/>
        <family val="2"/>
      </rPr>
      <t xml:space="preserve">亿元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</si>
  <si>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年第二期回购金额（下限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亿、上限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亿，取中值）</t>
    </r>
  </si>
  <si>
    <r>
      <rPr>
        <i val="true"/>
        <sz val="10"/>
        <color rgb="FF595959"/>
        <rFont val="Arial"/>
        <family val="0"/>
        <charset val="1"/>
      </rPr>
      <t xml:space="preserve">2026</t>
    </r>
    <r>
      <rPr>
        <i val="true"/>
        <sz val="10"/>
        <color rgb="FF595959"/>
        <rFont val="Noto Sans CJK SC"/>
        <family val="2"/>
      </rPr>
      <t xml:space="preserve">年半年报；中值为假设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</si>
  <si>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年已派发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年度现金股利</t>
    </r>
  </si>
  <si>
    <r>
      <rPr>
        <i val="true"/>
        <sz val="10"/>
        <color rgb="FF595959"/>
        <rFont val="Arial"/>
        <family val="0"/>
        <charset val="1"/>
      </rPr>
      <t xml:space="preserve">2025</t>
    </r>
    <r>
      <rPr>
        <i val="true"/>
        <sz val="10"/>
        <color rgb="FF595959"/>
        <rFont val="Noto Sans CJK SC"/>
        <family val="2"/>
      </rPr>
      <t xml:space="preserve">年度利润分配：每</t>
    </r>
    <r>
      <rPr>
        <i val="true"/>
        <sz val="10"/>
        <color rgb="FF595959"/>
        <rFont val="Arial"/>
        <family val="0"/>
        <charset val="1"/>
      </rPr>
      <t xml:space="preserve">10</t>
    </r>
    <r>
      <rPr>
        <i val="true"/>
        <sz val="10"/>
        <color rgb="FF595959"/>
        <rFont val="Noto Sans CJK SC"/>
        <family val="2"/>
      </rPr>
      <t xml:space="preserve">股</t>
    </r>
    <r>
      <rPr>
        <i val="true"/>
        <sz val="10"/>
        <color rgb="FF595959"/>
        <rFont val="Arial"/>
        <family val="0"/>
        <charset val="1"/>
      </rPr>
      <t xml:space="preserve">4.50</t>
    </r>
    <r>
      <rPr>
        <i val="true"/>
        <sz val="10"/>
        <color rgb="FF595959"/>
        <rFont val="Noto Sans CJK SC"/>
        <family val="2"/>
      </rPr>
      <t xml:space="preserve">元，共</t>
    </r>
    <r>
      <rPr>
        <i val="true"/>
        <sz val="10"/>
        <color rgb="FF595959"/>
        <rFont val="Arial"/>
        <family val="0"/>
        <charset val="1"/>
      </rPr>
      <t xml:space="preserve">860,113,606.95</t>
    </r>
    <r>
      <rPr>
        <i val="true"/>
        <sz val="10"/>
        <color rgb="FF595959"/>
        <rFont val="Noto Sans CJK SC"/>
        <family val="2"/>
      </rPr>
      <t xml:space="preserve">元，</t>
    </r>
    <r>
      <rPr>
        <i val="true"/>
        <sz val="10"/>
        <color rgb="FF595959"/>
        <rFont val="Arial"/>
        <family val="0"/>
        <charset val="1"/>
      </rPr>
      <t xml:space="preserve">2026-05-11</t>
    </r>
    <r>
      <rPr>
        <i val="true"/>
        <sz val="10"/>
        <color rgb="FF595959"/>
        <rFont val="Noto Sans CJK SC"/>
        <family val="2"/>
      </rPr>
      <t xml:space="preserve">实施</t>
    </r>
  </si>
  <si>
    <r>
      <rPr>
        <sz val="10"/>
        <color rgb="FF000000"/>
        <rFont val="Noto Sans CJK SC"/>
        <family val="2"/>
      </rPr>
      <t xml:space="preserve">分红率（按上年归母净利润，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Noto Sans CJK SC"/>
        <family val="2"/>
      </rPr>
      <t xml:space="preserve">起）</t>
    </r>
  </si>
  <si>
    <r>
      <rPr>
        <i val="true"/>
        <sz val="10"/>
        <color rgb="FF595959"/>
        <rFont val="Arial"/>
        <family val="0"/>
        <charset val="1"/>
      </rPr>
      <t xml:space="preserve">2025</t>
    </r>
    <r>
      <rPr>
        <i val="true"/>
        <sz val="10"/>
        <color rgb="FF595959"/>
        <rFont val="Noto Sans CJK SC"/>
        <family val="2"/>
      </rPr>
      <t xml:space="preserve">年度分红率</t>
    </r>
    <r>
      <rPr>
        <i val="true"/>
        <sz val="10"/>
        <color rgb="FF595959"/>
        <rFont val="Arial"/>
        <family val="0"/>
        <charset val="1"/>
      </rPr>
      <t xml:space="preserve">32.9%</t>
    </r>
    <r>
      <rPr>
        <i val="true"/>
        <sz val="10"/>
        <color rgb="FF595959"/>
        <rFont val="Noto Sans CJK SC"/>
        <family val="2"/>
      </rPr>
      <t xml:space="preserve">（</t>
    </r>
    <r>
      <rPr>
        <i val="true"/>
        <sz val="10"/>
        <color rgb="FF595959"/>
        <rFont val="Arial"/>
        <family val="0"/>
        <charset val="1"/>
      </rPr>
      <t xml:space="preserve">860.11/2,618.38</t>
    </r>
    <r>
      <rPr>
        <i val="true"/>
        <sz val="10"/>
        <color rgb="FF595959"/>
        <rFont val="Noto Sans CJK SC"/>
        <family val="2"/>
      </rPr>
      <t xml:space="preserve">）</t>
    </r>
  </si>
  <si>
    <t xml:space="preserve">所得税实际税率</t>
  </si>
  <si>
    <r>
      <rPr>
        <i val="true"/>
        <sz val="10"/>
        <color rgb="FF595959"/>
        <rFont val="Arial"/>
        <family val="0"/>
        <charset val="1"/>
      </rPr>
      <t xml:space="preserve">2025</t>
    </r>
    <r>
      <rPr>
        <i val="true"/>
        <sz val="10"/>
        <color rgb="FF595959"/>
        <rFont val="Noto Sans CJK SC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13.0%</t>
    </r>
    <r>
      <rPr>
        <i val="true"/>
        <sz val="10"/>
        <color rgb="FF595959"/>
        <rFont val="Noto Sans CJK SC"/>
        <family val="2"/>
      </rPr>
      <t xml:space="preserve">，</t>
    </r>
    <r>
      <rPr>
        <i val="true"/>
        <sz val="10"/>
        <color rgb="FF595959"/>
        <rFont val="Arial"/>
        <family val="0"/>
        <charset val="1"/>
      </rPr>
      <t xml:space="preserve">2026H1 13.1%</t>
    </r>
    <r>
      <rPr>
        <i val="true"/>
        <sz val="10"/>
        <color rgb="FF595959"/>
        <rFont val="Noto Sans CJK SC"/>
        <family val="2"/>
      </rPr>
      <t xml:space="preserve">（高新技术企业</t>
    </r>
    <r>
      <rPr>
        <i val="true"/>
        <sz val="10"/>
        <color rgb="FF595959"/>
        <rFont val="Arial"/>
        <family val="0"/>
        <charset val="1"/>
      </rPr>
      <t xml:space="preserve">15%</t>
    </r>
    <r>
      <rPr>
        <i val="true"/>
        <sz val="10"/>
        <color rgb="FF595959"/>
        <rFont val="Noto Sans CJK SC"/>
        <family val="2"/>
      </rPr>
      <t xml:space="preserve">税率叠加加计扣除）</t>
    </r>
  </si>
  <si>
    <t xml:space="preserve">少数股东损益占净利润比例</t>
  </si>
  <si>
    <r>
      <rPr>
        <i val="true"/>
        <sz val="10"/>
        <color rgb="FF595959"/>
        <rFont val="Noto Sans CJK SC"/>
        <family val="2"/>
      </rPr>
      <t xml:space="preserve">历史接近</t>
    </r>
    <r>
      <rPr>
        <i val="true"/>
        <sz val="10"/>
        <color rgb="FF595959"/>
        <rFont val="Arial"/>
        <family val="0"/>
        <charset val="1"/>
      </rPr>
      <t xml:space="preserve">0</t>
    </r>
    <r>
      <rPr>
        <i val="true"/>
        <sz val="10"/>
        <color rgb="FF595959"/>
        <rFont val="Noto Sans CJK SC"/>
        <family val="2"/>
      </rPr>
      <t xml:space="preserve">（</t>
    </r>
    <r>
      <rPr>
        <i val="true"/>
        <sz val="10"/>
        <color rgb="FF595959"/>
        <rFont val="Arial"/>
        <family val="0"/>
        <charset val="1"/>
      </rPr>
      <t xml:space="preserve">2025</t>
    </r>
    <r>
      <rPr>
        <i val="true"/>
        <sz val="10"/>
        <color rgb="FF595959"/>
        <rFont val="Noto Sans CJK SC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-1.4</t>
    </r>
    <r>
      <rPr>
        <i val="true"/>
        <sz val="10"/>
        <color rgb="FF595959"/>
        <rFont val="Noto Sans CJK SC"/>
        <family val="2"/>
      </rPr>
      <t xml:space="preserve">百万元）</t>
    </r>
  </si>
  <si>
    <t xml:space="preserve">二、估值参数</t>
  </si>
  <si>
    <t xml:space="preserve">无风险利率</t>
  </si>
  <si>
    <r>
      <rPr>
        <i val="true"/>
        <sz val="10"/>
        <color rgb="FF595959"/>
        <rFont val="Noto Sans CJK SC"/>
        <family val="2"/>
      </rPr>
      <t xml:space="preserve">假设：中国</t>
    </r>
    <r>
      <rPr>
        <i val="true"/>
        <sz val="10"/>
        <color rgb="FF595959"/>
        <rFont val="Arial"/>
        <family val="0"/>
        <charset val="1"/>
      </rPr>
      <t xml:space="preserve">10</t>
    </r>
    <r>
      <rPr>
        <i val="true"/>
        <sz val="10"/>
        <color rgb="FF595959"/>
        <rFont val="Noto Sans CJK SC"/>
        <family val="2"/>
      </rPr>
      <t xml:space="preserve">年期国债收益率约</t>
    </r>
    <r>
      <rPr>
        <i val="true"/>
        <sz val="10"/>
        <color rgb="FF595959"/>
        <rFont val="Arial"/>
        <family val="0"/>
        <charset val="1"/>
      </rPr>
      <t xml:space="preserve">1.8%-1.9%</t>
    </r>
  </si>
  <si>
    <t xml:space="preserve">Beta</t>
  </si>
  <si>
    <t xml:space="preserve">假设值</t>
  </si>
  <si>
    <t xml:space="preserve">股权风险溢价</t>
  </si>
  <si>
    <t xml:space="preserve">税前债务成本</t>
  </si>
  <si>
    <r>
      <rPr>
        <i val="true"/>
        <sz val="10"/>
        <color rgb="FF595959"/>
        <rFont val="Arial"/>
        <family val="0"/>
        <charset val="1"/>
      </rPr>
      <t xml:space="preserve">2025</t>
    </r>
    <r>
      <rPr>
        <i val="true"/>
        <sz val="10"/>
        <color rgb="FF595959"/>
        <rFont val="Noto Sans CJK SC"/>
        <family val="2"/>
      </rPr>
      <t xml:space="preserve">年利息费用</t>
    </r>
    <r>
      <rPr>
        <i val="true"/>
        <sz val="10"/>
        <color rgb="FF595959"/>
        <rFont val="Arial"/>
        <family val="0"/>
        <charset val="1"/>
      </rPr>
      <t xml:space="preserve">/</t>
    </r>
    <r>
      <rPr>
        <i val="true"/>
        <sz val="10"/>
        <color rgb="FF595959"/>
        <rFont val="Noto Sans CJK SC"/>
        <family val="2"/>
      </rPr>
      <t xml:space="preserve">平均有息负债约</t>
    </r>
    <r>
      <rPr>
        <i val="true"/>
        <sz val="10"/>
        <color rgb="FF595959"/>
        <rFont val="Arial"/>
        <family val="0"/>
        <charset val="1"/>
      </rPr>
      <t xml:space="preserve">3.9%</t>
    </r>
    <r>
      <rPr>
        <i val="true"/>
        <sz val="10"/>
        <color rgb="FF595959"/>
        <rFont val="Noto Sans CJK SC"/>
        <family val="2"/>
      </rPr>
      <t xml:space="preserve">，取</t>
    </r>
    <r>
      <rPr>
        <i val="true"/>
        <sz val="10"/>
        <color rgb="FF595959"/>
        <rFont val="Arial"/>
        <family val="0"/>
        <charset val="1"/>
      </rPr>
      <t xml:space="preserve">3.5%</t>
    </r>
  </si>
  <si>
    <r>
      <rPr>
        <sz val="10"/>
        <color rgb="FF000000"/>
        <rFont val="Noto Sans CJK SC"/>
        <family val="2"/>
      </rPr>
      <t xml:space="preserve">目标债务占比 </t>
    </r>
    <r>
      <rPr>
        <sz val="10"/>
        <color rgb="FF000000"/>
        <rFont val="Arial"/>
        <family val="0"/>
        <charset val="1"/>
      </rPr>
      <t xml:space="preserve">D/(D+E)</t>
    </r>
  </si>
  <si>
    <r>
      <rPr>
        <i val="true"/>
        <sz val="10"/>
        <color rgb="FF595959"/>
        <rFont val="Noto Sans CJK SC"/>
        <family val="2"/>
      </rPr>
      <t xml:space="preserve">公司几乎无净负债，取</t>
    </r>
    <r>
      <rPr>
        <i val="true"/>
        <sz val="10"/>
        <color rgb="FF595959"/>
        <rFont val="Arial"/>
        <family val="0"/>
        <charset val="1"/>
      </rPr>
      <t xml:space="preserve">2%</t>
    </r>
  </si>
  <si>
    <r>
      <rPr>
        <sz val="10"/>
        <color rgb="FF000000"/>
        <rFont val="Noto Sans CJK SC"/>
        <family val="2"/>
      </rPr>
      <t xml:space="preserve">第二阶段（</t>
    </r>
    <r>
      <rPr>
        <sz val="10"/>
        <color rgb="FF000000"/>
        <rFont val="Arial"/>
        <family val="0"/>
        <charset val="1"/>
      </rPr>
      <t xml:space="preserve">2031E-2035E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FCFF</t>
    </r>
    <r>
      <rPr>
        <sz val="10"/>
        <color rgb="FF000000"/>
        <rFont val="Noto Sans CJK SC"/>
        <family val="2"/>
      </rPr>
      <t xml:space="preserve">增速起点</t>
    </r>
  </si>
  <si>
    <r>
      <rPr>
        <i val="true"/>
        <sz val="10"/>
        <color rgb="FF595959"/>
        <rFont val="Noto Sans CJK SC"/>
        <family val="2"/>
      </rPr>
      <t xml:space="preserve">假设：</t>
    </r>
    <r>
      <rPr>
        <i val="true"/>
        <sz val="10"/>
        <color rgb="FF595959"/>
        <rFont val="Arial"/>
        <family val="0"/>
        <charset val="1"/>
      </rPr>
      <t xml:space="preserve">2031</t>
    </r>
    <r>
      <rPr>
        <i val="true"/>
        <sz val="10"/>
        <color rgb="FF595959"/>
        <rFont val="Noto Sans CJK SC"/>
        <family val="2"/>
      </rPr>
      <t xml:space="preserve">年增速，线性递减至终点</t>
    </r>
  </si>
  <si>
    <r>
      <rPr>
        <sz val="10"/>
        <color rgb="FF000000"/>
        <rFont val="Noto Sans CJK SC"/>
        <family val="2"/>
      </rPr>
      <t xml:space="preserve">第二阶段</t>
    </r>
    <r>
      <rPr>
        <sz val="10"/>
        <color rgb="FF000000"/>
        <rFont val="Arial"/>
        <family val="0"/>
        <charset val="1"/>
      </rPr>
      <t xml:space="preserve">FCFF</t>
    </r>
    <r>
      <rPr>
        <sz val="10"/>
        <color rgb="FF000000"/>
        <rFont val="Noto Sans CJK SC"/>
        <family val="2"/>
      </rPr>
      <t xml:space="preserve">增速终点（</t>
    </r>
    <r>
      <rPr>
        <sz val="10"/>
        <color rgb="FF000000"/>
        <rFont val="Arial"/>
        <family val="0"/>
        <charset val="1"/>
      </rPr>
      <t xml:space="preserve">2035E</t>
    </r>
    <r>
      <rPr>
        <sz val="10"/>
        <color rgb="FF000000"/>
        <rFont val="Noto Sans CJK SC"/>
        <family val="2"/>
      </rPr>
      <t xml:space="preserve">）</t>
    </r>
  </si>
  <si>
    <t xml:space="preserve">其他非流动资产计入类现金比例</t>
  </si>
  <si>
    <r>
      <rPr>
        <i val="true"/>
        <sz val="10"/>
        <color rgb="FF595959"/>
        <rFont val="Noto Sans CJK SC"/>
        <family val="2"/>
      </rPr>
      <t xml:space="preserve">其他非流动资产主要为一年以上定期存款</t>
    </r>
    <r>
      <rPr>
        <i val="true"/>
        <sz val="10"/>
        <color rgb="FF595959"/>
        <rFont val="Arial"/>
        <family val="0"/>
        <charset val="1"/>
      </rPr>
      <t xml:space="preserve">/</t>
    </r>
    <r>
      <rPr>
        <i val="true"/>
        <sz val="10"/>
        <color rgb="FF595959"/>
        <rFont val="Noto Sans CJK SC"/>
        <family val="2"/>
      </rPr>
      <t xml:space="preserve">大额存单（年报附注），假设</t>
    </r>
    <r>
      <rPr>
        <i val="true"/>
        <sz val="10"/>
        <color rgb="FF595959"/>
        <rFont val="Arial"/>
        <family val="0"/>
        <charset val="1"/>
      </rPr>
      <t xml:space="preserve">90%</t>
    </r>
    <r>
      <rPr>
        <i val="true"/>
        <sz val="10"/>
        <color rgb="FF595959"/>
        <rFont val="Noto Sans CJK SC"/>
        <family val="2"/>
      </rPr>
      <t xml:space="preserve">可视同现金</t>
    </r>
  </si>
  <si>
    <r>
      <rPr>
        <sz val="10"/>
        <color rgb="FF000000"/>
        <rFont val="Noto Sans CJK SC"/>
        <family val="2"/>
      </rPr>
      <t xml:space="preserve">相对估值：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下限</t>
    </r>
  </si>
  <si>
    <t xml:space="preserve">用户可调</t>
  </si>
  <si>
    <r>
      <rPr>
        <sz val="10"/>
        <color rgb="FF000000"/>
        <rFont val="Noto Sans CJK SC"/>
        <family val="2"/>
      </rPr>
      <t xml:space="preserve">相对估值：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上限</t>
    </r>
  </si>
  <si>
    <t xml:space="preserve">逐年假设</t>
  </si>
  <si>
    <t xml:space="preserve">单位</t>
  </si>
  <si>
    <t xml:space="preserve">2021A</t>
  </si>
  <si>
    <t xml:space="preserve">2022A</t>
  </si>
  <si>
    <t xml:space="preserve">2023A</t>
  </si>
  <si>
    <t xml:space="preserve">2024A</t>
  </si>
  <si>
    <r>
      <rPr>
        <b val="true"/>
        <sz val="10"/>
        <color rgb="FF1F3864"/>
        <rFont val="Noto Sans CJK SC"/>
        <family val="2"/>
      </rPr>
      <t xml:space="preserve">三、分部收入与毛利率（电子元件</t>
    </r>
    <r>
      <rPr>
        <b val="true"/>
        <sz val="10"/>
        <color rgb="FF1F3864"/>
        <rFont val="Arial"/>
        <family val="0"/>
        <charset val="1"/>
      </rPr>
      <t xml:space="preserve">=MLCC</t>
    </r>
    <r>
      <rPr>
        <b val="true"/>
        <sz val="10"/>
        <color rgb="FF1F3864"/>
        <rFont val="Noto Sans CJK SC"/>
        <family val="2"/>
      </rPr>
      <t xml:space="preserve">、陶瓷封装基座等；通信器件</t>
    </r>
    <r>
      <rPr>
        <b val="true"/>
        <sz val="10"/>
        <color rgb="FF1F3864"/>
        <rFont val="Arial"/>
        <family val="0"/>
        <charset val="1"/>
      </rPr>
      <t xml:space="preserve">=</t>
    </r>
    <r>
      <rPr>
        <b val="true"/>
        <sz val="10"/>
        <color rgb="FF1F3864"/>
        <rFont val="Noto Sans CJK SC"/>
        <family val="2"/>
      </rPr>
      <t xml:space="preserve">插芯、套筒等光通信产品；电子及陶瓷材料</t>
    </r>
    <r>
      <rPr>
        <b val="true"/>
        <sz val="10"/>
        <color rgb="FF1F3864"/>
        <rFont val="Arial"/>
        <family val="0"/>
        <charset val="1"/>
      </rPr>
      <t xml:space="preserve">=</t>
    </r>
    <r>
      <rPr>
        <b val="true"/>
        <sz val="10"/>
        <color rgb="FF1F3864"/>
        <rFont val="Noto Sans CJK SC"/>
        <family val="2"/>
      </rPr>
      <t xml:space="preserve">陶瓷基片、电子浆料、</t>
    </r>
    <r>
      <rPr>
        <b val="true"/>
        <sz val="10"/>
        <color rgb="FF1F3864"/>
        <rFont val="Arial"/>
        <family val="0"/>
        <charset val="1"/>
      </rPr>
      <t xml:space="preserve">SOFC</t>
    </r>
    <r>
      <rPr>
        <b val="true"/>
        <sz val="10"/>
        <color rgb="FF1F3864"/>
        <rFont val="Noto Sans CJK SC"/>
        <family val="2"/>
      </rPr>
      <t xml:space="preserve">隔膜片等）</t>
    </r>
  </si>
  <si>
    <t xml:space="preserve">  电子元件 收入增速—基准</t>
  </si>
  <si>
    <t xml:space="preserve">%</t>
  </si>
  <si>
    <t xml:space="preserve">  电子元件 收入增速—乐观</t>
  </si>
  <si>
    <t xml:space="preserve">  电子元件 收入增速—悲观</t>
  </si>
  <si>
    <t xml:space="preserve">电子元件 收入增速（采用值）</t>
  </si>
  <si>
    <r>
      <rPr>
        <i val="true"/>
        <sz val="10"/>
        <color rgb="FF595959"/>
        <rFont val="Arial"/>
        <family val="0"/>
        <charset val="1"/>
      </rPr>
      <t xml:space="preserve">2025A +43.95%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2026H1</t>
    </r>
    <r>
      <rPr>
        <i val="true"/>
        <sz val="10"/>
        <color rgb="FF595959"/>
        <rFont val="Noto Sans CJK SC"/>
        <family val="2"/>
      </rPr>
      <t xml:space="preserve">公司整体</t>
    </r>
    <r>
      <rPr>
        <i val="true"/>
        <sz val="10"/>
        <color rgb="FF595959"/>
        <rFont val="Arial"/>
        <family val="0"/>
        <charset val="1"/>
      </rPr>
      <t xml:space="preserve">+54.82%</t>
    </r>
    <r>
      <rPr>
        <i val="true"/>
        <sz val="10"/>
        <color rgb="FF595959"/>
        <rFont val="Noto Sans CJK SC"/>
        <family val="2"/>
      </rPr>
      <t xml:space="preserve">，主要由</t>
    </r>
    <r>
      <rPr>
        <i val="true"/>
        <sz val="10"/>
        <color rgb="FF595959"/>
        <rFont val="Arial"/>
        <family val="0"/>
        <charset val="1"/>
      </rPr>
      <t xml:space="preserve">MLCC</t>
    </r>
    <r>
      <rPr>
        <i val="true"/>
        <sz val="10"/>
        <color rgb="FF595959"/>
        <rFont val="Noto Sans CJK SC"/>
        <family val="2"/>
      </rPr>
      <t xml:space="preserve">量价齐升驱动（</t>
    </r>
    <r>
      <rPr>
        <i val="true"/>
        <sz val="10"/>
        <color rgb="FF595959"/>
        <rFont val="Arial"/>
        <family val="0"/>
        <charset val="1"/>
      </rPr>
      <t xml:space="preserve">2026</t>
    </r>
    <r>
      <rPr>
        <i val="true"/>
        <sz val="10"/>
        <color rgb="FF595959"/>
        <rFont val="Noto Sans CJK SC"/>
        <family val="2"/>
      </rPr>
      <t xml:space="preserve">年半年报）</t>
    </r>
  </si>
  <si>
    <t xml:space="preserve">  电子元件 毛利率—基准</t>
  </si>
  <si>
    <t xml:space="preserve">  电子元件 毛利率—乐观</t>
  </si>
  <si>
    <t xml:space="preserve">  电子元件 毛利率—悲观</t>
  </si>
  <si>
    <t xml:space="preserve">电子元件 毛利率（采用值）</t>
  </si>
  <si>
    <r>
      <rPr>
        <i val="true"/>
        <sz val="10"/>
        <color rgb="FF595959"/>
        <rFont val="Arial"/>
        <family val="0"/>
        <charset val="1"/>
      </rPr>
      <t xml:space="preserve">2025A 42.30%</t>
    </r>
    <r>
      <rPr>
        <i val="true"/>
        <sz val="10"/>
        <color rgb="FF595959"/>
        <rFont val="Noto Sans CJK SC"/>
        <family val="2"/>
      </rPr>
      <t xml:space="preserve">（</t>
    </r>
    <r>
      <rPr>
        <i val="true"/>
        <sz val="10"/>
        <color rgb="FF595959"/>
        <rFont val="Arial"/>
        <family val="0"/>
        <charset val="1"/>
      </rPr>
      <t xml:space="preserve">2024A 44.37%</t>
    </r>
    <r>
      <rPr>
        <i val="true"/>
        <sz val="10"/>
        <color rgb="FF595959"/>
        <rFont val="Noto Sans CJK SC"/>
        <family val="2"/>
      </rPr>
      <t xml:space="preserve">）；</t>
    </r>
    <r>
      <rPr>
        <i val="true"/>
        <sz val="10"/>
        <color rgb="FF595959"/>
        <rFont val="Arial"/>
        <family val="0"/>
        <charset val="1"/>
      </rPr>
      <t xml:space="preserve">2026H1</t>
    </r>
    <r>
      <rPr>
        <i val="true"/>
        <sz val="10"/>
        <color rgb="FF595959"/>
        <rFont val="Noto Sans CJK SC"/>
        <family val="2"/>
      </rPr>
      <t xml:space="preserve">主营毛利率</t>
    </r>
    <r>
      <rPr>
        <i val="true"/>
        <sz val="10"/>
        <color rgb="FF595959"/>
        <rFont val="Arial"/>
        <family val="0"/>
        <charset val="1"/>
      </rPr>
      <t xml:space="preserve">44.23%</t>
    </r>
    <r>
      <rPr>
        <i val="true"/>
        <sz val="10"/>
        <color rgb="FF595959"/>
        <rFont val="Noto Sans CJK SC"/>
        <family val="2"/>
      </rPr>
      <t xml:space="preserve">，同比</t>
    </r>
    <r>
      <rPr>
        <i val="true"/>
        <sz val="10"/>
        <color rgb="FF595959"/>
        <rFont val="Arial"/>
        <family val="0"/>
        <charset val="1"/>
      </rPr>
      <t xml:space="preserve">+2.52pct</t>
    </r>
  </si>
  <si>
    <t xml:space="preserve">  通信器件 收入增速—基准</t>
  </si>
  <si>
    <t xml:space="preserve">  通信器件 收入增速—乐观</t>
  </si>
  <si>
    <t xml:space="preserve">  通信器件 收入增速—悲观</t>
  </si>
  <si>
    <t xml:space="preserve">通信器件 收入增速（采用值）</t>
  </si>
  <si>
    <r>
      <rPr>
        <i val="true"/>
        <sz val="10"/>
        <color rgb="FF595959"/>
        <rFont val="Arial"/>
        <family val="0"/>
        <charset val="1"/>
      </rPr>
      <t xml:space="preserve">2025A +12.50%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2026H1</t>
    </r>
    <r>
      <rPr>
        <i val="true"/>
        <sz val="10"/>
        <color rgb="FF595959"/>
        <rFont val="Noto Sans CJK SC"/>
        <family val="2"/>
      </rPr>
      <t xml:space="preserve">插芯及套筒等光通信产品同比增长（数据中心光器件需求）</t>
    </r>
  </si>
  <si>
    <t xml:space="preserve">  通信器件 毛利率—基准</t>
  </si>
  <si>
    <t xml:space="preserve">  通信器件 毛利率—乐观</t>
  </si>
  <si>
    <t xml:space="preserve">  通信器件 毛利率—悲观</t>
  </si>
  <si>
    <t xml:space="preserve">通信器件 毛利率（采用值）</t>
  </si>
  <si>
    <r>
      <rPr>
        <i val="true"/>
        <sz val="10"/>
        <color rgb="FF595959"/>
        <rFont val="Arial"/>
        <family val="0"/>
        <charset val="1"/>
      </rPr>
      <t xml:space="preserve">2025A 44.36%</t>
    </r>
    <r>
      <rPr>
        <i val="true"/>
        <sz val="10"/>
        <color rgb="FF595959"/>
        <rFont val="Noto Sans CJK SC"/>
        <family val="2"/>
      </rPr>
      <t xml:space="preserve">（</t>
    </r>
    <r>
      <rPr>
        <i val="true"/>
        <sz val="10"/>
        <color rgb="FF595959"/>
        <rFont val="Arial"/>
        <family val="0"/>
        <charset val="1"/>
      </rPr>
      <t xml:space="preserve">2024A 43.93%</t>
    </r>
    <r>
      <rPr>
        <i val="true"/>
        <sz val="10"/>
        <color rgb="FF595959"/>
        <rFont val="Noto Sans CJK SC"/>
        <family val="2"/>
      </rPr>
      <t xml:space="preserve">）</t>
    </r>
  </si>
  <si>
    <r>
      <rPr>
        <sz val="10"/>
        <color rgb="FF595959"/>
        <rFont val="Noto Sans CJK SC"/>
        <family val="2"/>
      </rPr>
      <t xml:space="preserve">  电子及陶瓷材料（不含</t>
    </r>
    <r>
      <rPr>
        <sz val="10"/>
        <color rgb="FF595959"/>
        <rFont val="Arial"/>
        <family val="0"/>
        <charset val="1"/>
      </rPr>
      <t xml:space="preserve">SOFC</t>
    </r>
    <r>
      <rPr>
        <sz val="10"/>
        <color rgb="FF595959"/>
        <rFont val="Noto Sans CJK SC"/>
        <family val="2"/>
      </rPr>
      <t xml:space="preserve">隔膜片）收入增速—基准</t>
    </r>
  </si>
  <si>
    <r>
      <rPr>
        <sz val="10"/>
        <color rgb="FF595959"/>
        <rFont val="Noto Sans CJK SC"/>
        <family val="2"/>
      </rPr>
      <t xml:space="preserve">  电子及陶瓷材料（不含</t>
    </r>
    <r>
      <rPr>
        <sz val="10"/>
        <color rgb="FF595959"/>
        <rFont val="Arial"/>
        <family val="0"/>
        <charset val="1"/>
      </rPr>
      <t xml:space="preserve">SOFC</t>
    </r>
    <r>
      <rPr>
        <sz val="10"/>
        <color rgb="FF595959"/>
        <rFont val="Noto Sans CJK SC"/>
        <family val="2"/>
      </rPr>
      <t xml:space="preserve">隔膜片）收入增速—乐观</t>
    </r>
  </si>
  <si>
    <r>
      <rPr>
        <sz val="10"/>
        <color rgb="FF595959"/>
        <rFont val="Noto Sans CJK SC"/>
        <family val="2"/>
      </rPr>
      <t xml:space="preserve">  电子及陶瓷材料（不含</t>
    </r>
    <r>
      <rPr>
        <sz val="10"/>
        <color rgb="FF595959"/>
        <rFont val="Arial"/>
        <family val="0"/>
        <charset val="1"/>
      </rPr>
      <t xml:space="preserve">SOFC</t>
    </r>
    <r>
      <rPr>
        <sz val="10"/>
        <color rgb="FF595959"/>
        <rFont val="Noto Sans CJK SC"/>
        <family val="2"/>
      </rPr>
      <t xml:space="preserve">隔膜片）收入增速—悲观</t>
    </r>
  </si>
  <si>
    <r>
      <rPr>
        <b val="true"/>
        <sz val="10"/>
        <color rgb="FF000000"/>
        <rFont val="Noto Sans CJK SC"/>
        <family val="2"/>
      </rPr>
      <t xml:space="preserve">电子及陶瓷材料（不含</t>
    </r>
    <r>
      <rPr>
        <b val="true"/>
        <sz val="10"/>
        <color rgb="FF000000"/>
        <rFont val="Arial"/>
        <family val="0"/>
        <charset val="1"/>
      </rPr>
      <t xml:space="preserve">SOFC</t>
    </r>
    <r>
      <rPr>
        <b val="true"/>
        <sz val="10"/>
        <color rgb="FF000000"/>
        <rFont val="Noto Sans CJK SC"/>
        <family val="2"/>
      </rPr>
      <t xml:space="preserve">隔膜片）收入增速（采用值）</t>
    </r>
  </si>
  <si>
    <r>
      <rPr>
        <i val="true"/>
        <sz val="10"/>
        <color rgb="FF595959"/>
        <rFont val="Arial"/>
        <family val="0"/>
        <charset val="1"/>
      </rPr>
      <t xml:space="preserve">2025A</t>
    </r>
    <r>
      <rPr>
        <i val="true"/>
        <sz val="10"/>
        <color rgb="FF595959"/>
        <rFont val="Noto Sans CJK SC"/>
        <family val="2"/>
      </rPr>
      <t xml:space="preserve">分部整体</t>
    </r>
    <r>
      <rPr>
        <i val="true"/>
        <sz val="10"/>
        <color rgb="FF595959"/>
        <rFont val="Arial"/>
        <family val="0"/>
        <charset val="1"/>
      </rPr>
      <t xml:space="preserve">+16.82%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SOFC</t>
    </r>
    <r>
      <rPr>
        <i val="true"/>
        <sz val="10"/>
        <color rgb="FF595959"/>
        <rFont val="Noto Sans CJK SC"/>
        <family val="2"/>
      </rPr>
      <t xml:space="preserve">隔膜片单列见下方子模型</t>
    </r>
  </si>
  <si>
    <r>
      <rPr>
        <sz val="10"/>
        <color rgb="FF595959"/>
        <rFont val="Noto Sans CJK SC"/>
        <family val="2"/>
      </rPr>
      <t xml:space="preserve">  电子及陶瓷材料（不含</t>
    </r>
    <r>
      <rPr>
        <sz val="10"/>
        <color rgb="FF595959"/>
        <rFont val="Arial"/>
        <family val="0"/>
        <charset val="1"/>
      </rPr>
      <t xml:space="preserve">SOFC</t>
    </r>
    <r>
      <rPr>
        <sz val="10"/>
        <color rgb="FF595959"/>
        <rFont val="Noto Sans CJK SC"/>
        <family val="2"/>
      </rPr>
      <t xml:space="preserve">）毛利率—基准</t>
    </r>
  </si>
  <si>
    <r>
      <rPr>
        <sz val="10"/>
        <color rgb="FF595959"/>
        <rFont val="Noto Sans CJK SC"/>
        <family val="2"/>
      </rPr>
      <t xml:space="preserve">  电子及陶瓷材料（不含</t>
    </r>
    <r>
      <rPr>
        <sz val="10"/>
        <color rgb="FF595959"/>
        <rFont val="Arial"/>
        <family val="0"/>
        <charset val="1"/>
      </rPr>
      <t xml:space="preserve">SOFC</t>
    </r>
    <r>
      <rPr>
        <sz val="10"/>
        <color rgb="FF595959"/>
        <rFont val="Noto Sans CJK SC"/>
        <family val="2"/>
      </rPr>
      <t xml:space="preserve">）毛利率—乐观</t>
    </r>
  </si>
  <si>
    <r>
      <rPr>
        <sz val="10"/>
        <color rgb="FF595959"/>
        <rFont val="Noto Sans CJK SC"/>
        <family val="2"/>
      </rPr>
      <t xml:space="preserve">  电子及陶瓷材料（不含</t>
    </r>
    <r>
      <rPr>
        <sz val="10"/>
        <color rgb="FF595959"/>
        <rFont val="Arial"/>
        <family val="0"/>
        <charset val="1"/>
      </rPr>
      <t xml:space="preserve">SOFC</t>
    </r>
    <r>
      <rPr>
        <sz val="10"/>
        <color rgb="FF595959"/>
        <rFont val="Noto Sans CJK SC"/>
        <family val="2"/>
      </rPr>
      <t xml:space="preserve">）毛利率—悲观</t>
    </r>
  </si>
  <si>
    <r>
      <rPr>
        <b val="true"/>
        <sz val="10"/>
        <color rgb="FF000000"/>
        <rFont val="Noto Sans CJK SC"/>
        <family val="2"/>
      </rPr>
      <t xml:space="preserve">电子及陶瓷材料（不含</t>
    </r>
    <r>
      <rPr>
        <b val="true"/>
        <sz val="10"/>
        <color rgb="FF000000"/>
        <rFont val="Arial"/>
        <family val="0"/>
        <charset val="1"/>
      </rPr>
      <t xml:space="preserve">SOFC</t>
    </r>
    <r>
      <rPr>
        <b val="true"/>
        <sz val="10"/>
        <color rgb="FF000000"/>
        <rFont val="Noto Sans CJK SC"/>
        <family val="2"/>
      </rPr>
      <t xml:space="preserve">）毛利率（采用值）</t>
    </r>
  </si>
  <si>
    <r>
      <rPr>
        <i val="true"/>
        <sz val="10"/>
        <color rgb="FF595959"/>
        <rFont val="Arial"/>
        <family val="0"/>
        <charset val="1"/>
      </rPr>
      <t xml:space="preserve">2025A</t>
    </r>
    <r>
      <rPr>
        <i val="true"/>
        <sz val="10"/>
        <color rgb="FF595959"/>
        <rFont val="Noto Sans CJK SC"/>
        <family val="2"/>
      </rPr>
      <t xml:space="preserve">分部毛利率</t>
    </r>
    <r>
      <rPr>
        <i val="true"/>
        <sz val="10"/>
        <color rgb="FF595959"/>
        <rFont val="Arial"/>
        <family val="0"/>
        <charset val="1"/>
      </rPr>
      <t xml:space="preserve">38.09%</t>
    </r>
    <r>
      <rPr>
        <i val="true"/>
        <sz val="10"/>
        <color rgb="FF595959"/>
        <rFont val="Noto Sans CJK SC"/>
        <family val="2"/>
      </rPr>
      <t xml:space="preserve">（</t>
    </r>
    <r>
      <rPr>
        <i val="true"/>
        <sz val="10"/>
        <color rgb="FF595959"/>
        <rFont val="Arial"/>
        <family val="0"/>
        <charset val="1"/>
      </rPr>
      <t xml:space="preserve">2024A 40.57%</t>
    </r>
    <r>
      <rPr>
        <i val="true"/>
        <sz val="10"/>
        <color rgb="FF595959"/>
        <rFont val="Noto Sans CJK SC"/>
        <family val="2"/>
      </rPr>
      <t xml:space="preserve">）</t>
    </r>
  </si>
  <si>
    <t xml:space="preserve">  设备组件 收入增速—基准</t>
  </si>
  <si>
    <t xml:space="preserve">  设备组件 收入增速—乐观</t>
  </si>
  <si>
    <t xml:space="preserve">  设备组件 收入增速—悲观</t>
  </si>
  <si>
    <t xml:space="preserve">设备组件 收入增速（采用值）</t>
  </si>
  <si>
    <t xml:space="preserve">2025A +12.09%</t>
  </si>
  <si>
    <t xml:space="preserve">  设备组件 毛利率—基准</t>
  </si>
  <si>
    <t xml:space="preserve">  设备组件 毛利率—乐观</t>
  </si>
  <si>
    <t xml:space="preserve">  设备组件 毛利率—悲观</t>
  </si>
  <si>
    <t xml:space="preserve">设备组件 毛利率（采用值）</t>
  </si>
  <si>
    <r>
      <rPr>
        <i val="true"/>
        <sz val="10"/>
        <color rgb="FF595959"/>
        <rFont val="Arial"/>
        <family val="0"/>
        <charset val="1"/>
      </rPr>
      <t xml:space="preserve">2025A</t>
    </r>
    <r>
      <rPr>
        <i val="true"/>
        <sz val="10"/>
        <color rgb="FF595959"/>
        <rFont val="Noto Sans CJK SC"/>
        <family val="2"/>
      </rPr>
      <t xml:space="preserve">约</t>
    </r>
    <r>
      <rPr>
        <i val="true"/>
        <sz val="10"/>
        <color rgb="FF595959"/>
        <rFont val="Arial"/>
        <family val="0"/>
        <charset val="1"/>
      </rPr>
      <t xml:space="preserve">58.5%</t>
    </r>
    <r>
      <rPr>
        <i val="true"/>
        <sz val="10"/>
        <color rgb="FF595959"/>
        <rFont val="Noto Sans CJK SC"/>
        <family val="2"/>
      </rPr>
      <t xml:space="preserve">（</t>
    </r>
    <r>
      <rPr>
        <i val="true"/>
        <sz val="10"/>
        <color rgb="FF595959"/>
        <rFont val="Arial"/>
        <family val="0"/>
        <charset val="1"/>
      </rPr>
      <t xml:space="preserve">Wind</t>
    </r>
    <r>
      <rPr>
        <i val="true"/>
        <sz val="10"/>
        <color rgb="FF595959"/>
        <rFont val="Noto Sans CJK SC"/>
        <family val="2"/>
      </rPr>
      <t xml:space="preserve">主营构成：毛利</t>
    </r>
    <r>
      <rPr>
        <i val="true"/>
        <sz val="10"/>
        <color rgb="FF595959"/>
        <rFont val="Arial"/>
        <family val="0"/>
        <charset val="1"/>
      </rPr>
      <t xml:space="preserve">351.80/</t>
    </r>
    <r>
      <rPr>
        <i val="true"/>
        <sz val="10"/>
        <color rgb="FF595959"/>
        <rFont val="Noto Sans CJK SC"/>
        <family val="2"/>
      </rPr>
      <t xml:space="preserve">收入</t>
    </r>
    <r>
      <rPr>
        <i val="true"/>
        <sz val="10"/>
        <color rgb="FF595959"/>
        <rFont val="Arial"/>
        <family val="0"/>
        <charset val="1"/>
      </rPr>
      <t xml:space="preserve">601.75</t>
    </r>
    <r>
      <rPr>
        <i val="true"/>
        <sz val="10"/>
        <color rgb="FF595959"/>
        <rFont val="Noto Sans CJK SC"/>
        <family val="2"/>
      </rPr>
      <t xml:space="preserve">）</t>
    </r>
  </si>
  <si>
    <t xml:space="preserve">其他主营 收入增速</t>
  </si>
  <si>
    <r>
      <rPr>
        <i val="true"/>
        <sz val="10"/>
        <color rgb="FF595959"/>
        <rFont val="Arial"/>
        <family val="0"/>
        <charset val="1"/>
      </rPr>
      <t xml:space="preserve">2025A -9.59%</t>
    </r>
    <r>
      <rPr>
        <i val="true"/>
        <sz val="10"/>
        <color rgb="FF595959"/>
        <rFont val="Noto Sans CJK SC"/>
        <family val="2"/>
      </rPr>
      <t xml:space="preserve">；假设持平</t>
    </r>
  </si>
  <si>
    <t xml:space="preserve">其他主营 毛利率</t>
  </si>
  <si>
    <r>
      <rPr>
        <i val="true"/>
        <sz val="10"/>
        <color rgb="FF595959"/>
        <rFont val="Arial"/>
        <family val="0"/>
        <charset val="1"/>
      </rPr>
      <t xml:space="preserve">2025A</t>
    </r>
    <r>
      <rPr>
        <i val="true"/>
        <sz val="10"/>
        <color rgb="FF595959"/>
        <rFont val="Noto Sans CJK SC"/>
        <family val="2"/>
      </rPr>
      <t xml:space="preserve">约</t>
    </r>
    <r>
      <rPr>
        <i val="true"/>
        <sz val="10"/>
        <color rgb="FF595959"/>
        <rFont val="Arial"/>
        <family val="0"/>
        <charset val="1"/>
      </rPr>
      <t xml:space="preserve">9.1%</t>
    </r>
    <r>
      <rPr>
        <i val="true"/>
        <sz val="10"/>
        <color rgb="FF595959"/>
        <rFont val="Noto Sans CJK SC"/>
        <family val="2"/>
      </rPr>
      <t xml:space="preserve">（</t>
    </r>
    <r>
      <rPr>
        <i val="true"/>
        <sz val="10"/>
        <color rgb="FF595959"/>
        <rFont val="Arial"/>
        <family val="0"/>
        <charset val="1"/>
      </rPr>
      <t xml:space="preserve">Wind</t>
    </r>
    <r>
      <rPr>
        <i val="true"/>
        <sz val="10"/>
        <color rgb="FF595959"/>
        <rFont val="Noto Sans CJK SC"/>
        <family val="2"/>
      </rPr>
      <t xml:space="preserve">：</t>
    </r>
    <r>
      <rPr>
        <i val="true"/>
        <sz val="10"/>
        <color rgb="FF595959"/>
        <rFont val="Arial"/>
        <family val="0"/>
        <charset val="1"/>
      </rPr>
      <t xml:space="preserve">36.88/405.00</t>
    </r>
    <r>
      <rPr>
        <i val="true"/>
        <sz val="10"/>
        <color rgb="FF595959"/>
        <rFont val="Noto Sans CJK SC"/>
        <family val="2"/>
      </rPr>
      <t xml:space="preserve">）</t>
    </r>
  </si>
  <si>
    <t xml:space="preserve">  其他业务 收入—基准</t>
  </si>
  <si>
    <t xml:space="preserve">百万元</t>
  </si>
  <si>
    <t xml:space="preserve">  其他业务 收入—乐观</t>
  </si>
  <si>
    <t xml:space="preserve">  其他业务 收入—悲观</t>
  </si>
  <si>
    <t xml:space="preserve">其他业务 收入（采用值）</t>
  </si>
  <si>
    <r>
      <rPr>
        <i val="true"/>
        <sz val="10"/>
        <color rgb="FF595959"/>
        <rFont val="Arial"/>
        <family val="0"/>
        <charset val="1"/>
      </rPr>
      <t xml:space="preserve">2025A 138.6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2026H1</t>
    </r>
    <r>
      <rPr>
        <i val="true"/>
        <sz val="10"/>
        <color rgb="FF595959"/>
        <rFont val="Noto Sans CJK SC"/>
        <family val="2"/>
      </rPr>
      <t xml:space="preserve">已达</t>
    </r>
    <r>
      <rPr>
        <i val="true"/>
        <sz val="10"/>
        <color rgb="FF595959"/>
        <rFont val="Arial"/>
        <family val="0"/>
        <charset val="1"/>
      </rPr>
      <t xml:space="preserve">342.6</t>
    </r>
    <r>
      <rPr>
        <i val="true"/>
        <sz val="10"/>
        <color rgb="FF595959"/>
        <rFont val="Noto Sans CJK SC"/>
        <family val="2"/>
      </rPr>
      <t xml:space="preserve">（半年报主营外收入），全年假设</t>
    </r>
    <r>
      <rPr>
        <i val="true"/>
        <sz val="10"/>
        <color rgb="FF595959"/>
        <rFont val="Arial"/>
        <family val="0"/>
        <charset val="1"/>
      </rPr>
      <t xml:space="preserve">600</t>
    </r>
  </si>
  <si>
    <t xml:space="preserve">其他业务 毛利率</t>
  </si>
  <si>
    <r>
      <rPr>
        <i val="true"/>
        <sz val="10"/>
        <color rgb="FF595959"/>
        <rFont val="Arial"/>
        <family val="0"/>
        <charset val="1"/>
      </rPr>
      <t xml:space="preserve">2026H1</t>
    </r>
    <r>
      <rPr>
        <i val="true"/>
        <sz val="10"/>
        <color rgb="FF595959"/>
        <rFont val="Noto Sans CJK SC"/>
        <family val="2"/>
      </rPr>
      <t xml:space="preserve">约</t>
    </r>
    <r>
      <rPr>
        <i val="true"/>
        <sz val="10"/>
        <color rgb="FF595959"/>
        <rFont val="Arial"/>
        <family val="0"/>
        <charset val="1"/>
      </rPr>
      <t xml:space="preserve">46.0%</t>
    </r>
    <r>
      <rPr>
        <i val="true"/>
        <sz val="10"/>
        <color rgb="FF595959"/>
        <rFont val="Noto Sans CJK SC"/>
        <family val="2"/>
      </rPr>
      <t xml:space="preserve">（</t>
    </r>
    <r>
      <rPr>
        <i val="true"/>
        <sz val="10"/>
        <color rgb="FF595959"/>
        <rFont val="Arial"/>
        <family val="0"/>
        <charset val="1"/>
      </rPr>
      <t xml:space="preserve">157.48/342.59</t>
    </r>
    <r>
      <rPr>
        <i val="true"/>
        <sz val="10"/>
        <color rgb="FF595959"/>
        <rFont val="Noto Sans CJK SC"/>
        <family val="2"/>
      </rPr>
      <t xml:space="preserve">）；</t>
    </r>
    <r>
      <rPr>
        <i val="true"/>
        <sz val="10"/>
        <color rgb="FF595959"/>
        <rFont val="Arial"/>
        <family val="0"/>
        <charset val="1"/>
      </rPr>
      <t xml:space="preserve">2025A</t>
    </r>
    <r>
      <rPr>
        <i val="true"/>
        <sz val="10"/>
        <color rgb="FF595959"/>
        <rFont val="Noto Sans CJK SC"/>
        <family val="2"/>
      </rPr>
      <t xml:space="preserve">约</t>
    </r>
    <r>
      <rPr>
        <i val="true"/>
        <sz val="10"/>
        <color rgb="FF595959"/>
        <rFont val="Arial"/>
        <family val="0"/>
        <charset val="1"/>
      </rPr>
      <t xml:space="preserve">79.6%</t>
    </r>
  </si>
  <si>
    <r>
      <rPr>
        <b val="true"/>
        <sz val="10"/>
        <color rgb="FF1F3864"/>
        <rFont val="Noto Sans CJK SC"/>
        <family val="2"/>
      </rPr>
      <t xml:space="preserve">四、</t>
    </r>
    <r>
      <rPr>
        <b val="true"/>
        <sz val="10"/>
        <color rgb="FF1F3864"/>
        <rFont val="Arial"/>
        <family val="0"/>
        <charset val="1"/>
      </rPr>
      <t xml:space="preserve">SOFC</t>
    </r>
    <r>
      <rPr>
        <b val="true"/>
        <sz val="10"/>
        <color rgb="FF1F3864"/>
        <rFont val="Noto Sans CJK SC"/>
        <family val="2"/>
      </rPr>
      <t xml:space="preserve">隔膜片子模型（</t>
    </r>
    <r>
      <rPr>
        <b val="true"/>
        <sz val="10"/>
        <color rgb="FF1F3864"/>
        <rFont val="Arial"/>
        <family val="0"/>
        <charset val="1"/>
      </rPr>
      <t xml:space="preserve">Bloom</t>
    </r>
    <r>
      <rPr>
        <b val="true"/>
        <sz val="10"/>
        <color rgb="FF1F3864"/>
        <rFont val="Noto Sans CJK SC"/>
        <family val="2"/>
      </rPr>
      <t xml:space="preserve">电池片层需求</t>
    </r>
    <r>
      <rPr>
        <b val="true"/>
        <sz val="10"/>
        <color rgb="FF1F3864"/>
        <rFont val="Arial"/>
        <family val="0"/>
        <charset val="1"/>
      </rPr>
      <t xml:space="preserve">×</t>
    </r>
    <r>
      <rPr>
        <b val="true"/>
        <sz val="10"/>
        <color rgb="FF1F3864"/>
        <rFont val="Noto Sans CJK SC"/>
        <family val="2"/>
      </rPr>
      <t xml:space="preserve">每</t>
    </r>
    <r>
      <rPr>
        <b val="true"/>
        <sz val="10"/>
        <color rgb="FF1F3864"/>
        <rFont val="Arial"/>
        <family val="0"/>
        <charset val="1"/>
      </rPr>
      <t xml:space="preserve">GW</t>
    </r>
    <r>
      <rPr>
        <b val="true"/>
        <sz val="10"/>
        <color rgb="FF1F3864"/>
        <rFont val="Noto Sans CJK SC"/>
        <family val="2"/>
      </rPr>
      <t xml:space="preserve">片数</t>
    </r>
    <r>
      <rPr>
        <b val="true"/>
        <sz val="10"/>
        <color rgb="FF1F3864"/>
        <rFont val="Arial"/>
        <family val="0"/>
        <charset val="1"/>
      </rPr>
      <t xml:space="preserve">×</t>
    </r>
    <r>
      <rPr>
        <b val="true"/>
        <sz val="10"/>
        <color rgb="FF1F3864"/>
        <rFont val="Noto Sans CJK SC"/>
        <family val="2"/>
      </rPr>
      <t xml:space="preserve">三环份额</t>
    </r>
    <r>
      <rPr>
        <b val="true"/>
        <sz val="10"/>
        <color rgb="FF1F3864"/>
        <rFont val="Arial"/>
        <family val="0"/>
        <charset val="1"/>
      </rPr>
      <t xml:space="preserve">×</t>
    </r>
    <r>
      <rPr>
        <b val="true"/>
        <sz val="10"/>
        <color rgb="FF1F3864"/>
        <rFont val="Noto Sans CJK SC"/>
        <family val="2"/>
      </rPr>
      <t xml:space="preserve">单价；</t>
    </r>
    <r>
      <rPr>
        <b val="true"/>
        <sz val="10"/>
        <color rgb="FF1F3864"/>
        <rFont val="Arial"/>
        <family val="0"/>
        <charset val="1"/>
      </rPr>
      <t xml:space="preserve">2025A</t>
    </r>
    <r>
      <rPr>
        <b val="true"/>
        <sz val="10"/>
        <color rgb="FF1F3864"/>
        <rFont val="Noto Sans CJK SC"/>
        <family val="2"/>
      </rPr>
      <t xml:space="preserve">以三环第一大客户销售额</t>
    </r>
    <r>
      <rPr>
        <b val="true"/>
        <sz val="10"/>
        <color rgb="FF1F3864"/>
        <rFont val="Arial"/>
        <family val="0"/>
        <charset val="1"/>
      </rPr>
      <t xml:space="preserve">330.7</t>
    </r>
    <r>
      <rPr>
        <b val="true"/>
        <sz val="10"/>
        <color rgb="FF1F3864"/>
        <rFont val="Noto Sans CJK SC"/>
        <family val="2"/>
      </rPr>
      <t xml:space="preserve">百万元为代理）</t>
    </r>
  </si>
  <si>
    <r>
      <rPr>
        <sz val="10"/>
        <color rgb="FF595959"/>
        <rFont val="Arial"/>
        <family val="0"/>
        <charset val="1"/>
      </rPr>
      <t xml:space="preserve">  Bloom</t>
    </r>
    <r>
      <rPr>
        <sz val="10"/>
        <color rgb="FF595959"/>
        <rFont val="Noto Sans CJK SC"/>
        <family val="2"/>
      </rPr>
      <t xml:space="preserve">电池片层需求—基准</t>
    </r>
  </si>
  <si>
    <t xml:space="preserve">GW</t>
  </si>
  <si>
    <r>
      <rPr>
        <sz val="10"/>
        <color rgb="FF595959"/>
        <rFont val="Arial"/>
        <family val="0"/>
        <charset val="1"/>
      </rPr>
      <t xml:space="preserve">  Bloom</t>
    </r>
    <r>
      <rPr>
        <sz val="10"/>
        <color rgb="FF595959"/>
        <rFont val="Noto Sans CJK SC"/>
        <family val="2"/>
      </rPr>
      <t xml:space="preserve">电池片层需求—乐观</t>
    </r>
  </si>
  <si>
    <r>
      <rPr>
        <sz val="10"/>
        <color rgb="FF595959"/>
        <rFont val="Arial"/>
        <family val="0"/>
        <charset val="1"/>
      </rPr>
      <t xml:space="preserve">  Bloom</t>
    </r>
    <r>
      <rPr>
        <sz val="10"/>
        <color rgb="FF595959"/>
        <rFont val="Noto Sans CJK SC"/>
        <family val="2"/>
      </rPr>
      <t xml:space="preserve">电池片层需求—悲观</t>
    </r>
  </si>
  <si>
    <r>
      <rPr>
        <b val="true"/>
        <sz val="10"/>
        <color rgb="FF000000"/>
        <rFont val="Arial"/>
        <family val="0"/>
        <charset val="1"/>
      </rPr>
      <t xml:space="preserve">Bloom</t>
    </r>
    <r>
      <rPr>
        <b val="true"/>
        <sz val="10"/>
        <color rgb="FF000000"/>
        <rFont val="Noto Sans CJK SC"/>
        <family val="2"/>
      </rPr>
      <t xml:space="preserve">电池片层需求（采用值）</t>
    </r>
  </si>
  <si>
    <r>
      <rPr>
        <i val="true"/>
        <sz val="10"/>
        <color rgb="FF595959"/>
        <rFont val="Arial"/>
        <family val="0"/>
        <charset val="1"/>
      </rPr>
      <t xml:space="preserve">2025A</t>
    </r>
    <r>
      <rPr>
        <i val="true"/>
        <sz val="10"/>
        <color rgb="FF595959"/>
        <rFont val="Noto Sans CJK SC"/>
        <family val="2"/>
      </rPr>
      <t xml:space="preserve">约</t>
    </r>
    <r>
      <rPr>
        <i val="true"/>
        <sz val="10"/>
        <color rgb="FF595959"/>
        <rFont val="Arial"/>
        <family val="0"/>
        <charset val="1"/>
      </rPr>
      <t xml:space="preserve">0.65-0.8GW</t>
    </r>
    <r>
      <rPr>
        <i val="true"/>
        <sz val="10"/>
        <color rgb="FF595959"/>
        <rFont val="Noto Sans CJK SC"/>
        <family val="2"/>
      </rPr>
      <t xml:space="preserve">（验收约</t>
    </r>
    <r>
      <rPr>
        <i val="true"/>
        <sz val="10"/>
        <color rgb="FF595959"/>
        <rFont val="Arial"/>
        <family val="0"/>
        <charset val="1"/>
      </rPr>
      <t xml:space="preserve">500MW+</t>
    </r>
    <r>
      <rPr>
        <i val="true"/>
        <sz val="10"/>
        <color rgb="FF595959"/>
        <rFont val="Noto Sans CJK SC"/>
        <family val="2"/>
      </rPr>
      <t xml:space="preserve">约</t>
    </r>
    <r>
      <rPr>
        <i val="true"/>
        <sz val="10"/>
        <color rgb="FF595959"/>
        <rFont val="Arial"/>
        <family val="0"/>
        <charset val="1"/>
      </rPr>
      <t xml:space="preserve">25%-30%</t>
    </r>
    <r>
      <rPr>
        <i val="true"/>
        <sz val="10"/>
        <color rgb="FF595959"/>
        <rFont val="Noto Sans CJK SC"/>
        <family val="2"/>
      </rPr>
      <t xml:space="preserve">翻新）；</t>
    </r>
    <r>
      <rPr>
        <i val="true"/>
        <sz val="10"/>
        <color rgb="FF595959"/>
        <rFont val="Arial"/>
        <family val="0"/>
        <charset val="1"/>
      </rPr>
      <t xml:space="preserve">Bloom 2026</t>
    </r>
    <r>
      <rPr>
        <i val="true"/>
        <sz val="10"/>
        <color rgb="FF595959"/>
        <rFont val="Noto Sans CJK SC"/>
        <family val="2"/>
      </rPr>
      <t xml:space="preserve">年收入指引</t>
    </r>
    <r>
      <rPr>
        <i val="true"/>
        <sz val="10"/>
        <color rgb="FF595959"/>
        <rFont val="Arial"/>
        <family val="0"/>
        <charset val="1"/>
      </rPr>
      <t xml:space="preserve">39-42</t>
    </r>
    <r>
      <rPr>
        <i val="true"/>
        <sz val="10"/>
        <color rgb="FF595959"/>
        <rFont val="Noto Sans CJK SC"/>
        <family val="2"/>
      </rPr>
      <t xml:space="preserve">亿美元（约同比翻倍）；产业链调研：电堆产能</t>
    </r>
    <r>
      <rPr>
        <i val="true"/>
        <sz val="10"/>
        <color rgb="FF595959"/>
        <rFont val="Arial"/>
        <family val="0"/>
        <charset val="1"/>
      </rPr>
      <t xml:space="preserve">2028-29</t>
    </r>
    <r>
      <rPr>
        <i val="true"/>
        <sz val="10"/>
        <color rgb="FF595959"/>
        <rFont val="Noto Sans CJK SC"/>
        <family val="2"/>
      </rPr>
      <t xml:space="preserve">年约</t>
    </r>
    <r>
      <rPr>
        <i val="true"/>
        <sz val="10"/>
        <color rgb="FF595959"/>
        <rFont val="Arial"/>
        <family val="0"/>
        <charset val="1"/>
      </rPr>
      <t xml:space="preserve">5GW</t>
    </r>
  </si>
  <si>
    <t xml:space="preserve">  单片功率—基准</t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</si>
  <si>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片</t>
    </r>
  </si>
  <si>
    <t xml:space="preserve">  单片功率—乐观</t>
  </si>
  <si>
    <t xml:space="preserve">  单片功率—悲观</t>
  </si>
  <si>
    <t xml:space="preserve">单片功率（采用值）</t>
  </si>
  <si>
    <r>
      <rPr>
        <i val="true"/>
        <sz val="10"/>
        <color rgb="FF595959"/>
        <rFont val="Arial"/>
        <family val="0"/>
        <charset val="1"/>
      </rPr>
      <t xml:space="preserve">Hunterbrook</t>
    </r>
    <r>
      <rPr>
        <i val="true"/>
        <sz val="10"/>
        <color rgb="FF595959"/>
        <rFont val="Noto Sans CJK SC"/>
        <family val="2"/>
      </rPr>
      <t xml:space="preserve">转引</t>
    </r>
    <r>
      <rPr>
        <i val="true"/>
        <sz val="10"/>
        <color rgb="FF595959"/>
        <rFont val="Arial"/>
        <family val="0"/>
        <charset val="1"/>
      </rPr>
      <t xml:space="preserve">Bloom 2021</t>
    </r>
    <r>
      <rPr>
        <i val="true"/>
        <sz val="10"/>
        <color rgb="FF595959"/>
        <rFont val="Noto Sans CJK SC"/>
        <family val="2"/>
      </rPr>
      <t xml:space="preserve">年材料约</t>
    </r>
    <r>
      <rPr>
        <i val="true"/>
        <sz val="10"/>
        <color rgb="FF595959"/>
        <rFont val="Arial"/>
        <family val="0"/>
        <charset val="1"/>
      </rPr>
      <t xml:space="preserve">25W/</t>
    </r>
    <r>
      <rPr>
        <i val="true"/>
        <sz val="10"/>
        <color rgb="FF595959"/>
        <rFont val="Noto Sans CJK SC"/>
        <family val="2"/>
      </rPr>
      <t xml:space="preserve">片；产业链调研约</t>
    </r>
    <r>
      <rPr>
        <i val="true"/>
        <sz val="10"/>
        <color rgb="FF595959"/>
        <rFont val="Arial"/>
        <family val="0"/>
        <charset val="1"/>
      </rPr>
      <t xml:space="preserve">65kW</t>
    </r>
    <r>
      <rPr>
        <i val="true"/>
        <sz val="10"/>
        <color rgb="FF595959"/>
        <rFont val="Noto Sans CJK SC"/>
        <family val="2"/>
      </rPr>
      <t xml:space="preserve">对应</t>
    </r>
    <r>
      <rPr>
        <i val="true"/>
        <sz val="10"/>
        <color rgb="FF595959"/>
        <rFont val="Arial"/>
        <family val="0"/>
        <charset val="1"/>
      </rPr>
      <t xml:space="preserve">2,000</t>
    </r>
    <r>
      <rPr>
        <i val="true"/>
        <sz val="10"/>
        <color rgb="FF595959"/>
        <rFont val="Noto Sans CJK SC"/>
        <family val="2"/>
      </rPr>
      <t xml:space="preserve">片即</t>
    </r>
    <r>
      <rPr>
        <i val="true"/>
        <sz val="10"/>
        <color rgb="FF595959"/>
        <rFont val="Arial"/>
        <family val="0"/>
        <charset val="1"/>
      </rPr>
      <t xml:space="preserve">32.5W/</t>
    </r>
    <r>
      <rPr>
        <i val="true"/>
        <sz val="10"/>
        <color rgb="FF595959"/>
        <rFont val="Noto Sans CJK SC"/>
        <family val="2"/>
      </rPr>
      <t xml:space="preserve">片；新一代产品提高单片功率</t>
    </r>
  </si>
  <si>
    <t xml:space="preserve">  三环份额—基准</t>
  </si>
  <si>
    <t xml:space="preserve">  三环份额—乐观</t>
  </si>
  <si>
    <t xml:space="preserve">  三环份额—悲观</t>
  </si>
  <si>
    <t xml:space="preserve">三环份额（采用值）</t>
  </si>
  <si>
    <r>
      <rPr>
        <i val="true"/>
        <sz val="10"/>
        <color rgb="FF595959"/>
        <rFont val="Noto Sans CJK SC"/>
        <family val="2"/>
      </rPr>
      <t xml:space="preserve">二供</t>
    </r>
    <r>
      <rPr>
        <i val="true"/>
        <sz val="10"/>
        <color rgb="FF595959"/>
        <rFont val="Arial"/>
        <family val="0"/>
        <charset val="1"/>
      </rPr>
      <t xml:space="preserve">Amosense 2026</t>
    </r>
    <r>
      <rPr>
        <i val="true"/>
        <sz val="10"/>
        <color rgb="FF595959"/>
        <rFont val="Noto Sans CJK SC"/>
        <family val="2"/>
      </rPr>
      <t xml:space="preserve">年</t>
    </r>
    <r>
      <rPr>
        <i val="true"/>
        <sz val="10"/>
        <color rgb="FF595959"/>
        <rFont val="Arial"/>
        <family val="0"/>
        <charset val="1"/>
      </rPr>
      <t xml:space="preserve">Q3</t>
    </r>
    <r>
      <rPr>
        <i val="true"/>
        <sz val="10"/>
        <color rgb="FF595959"/>
        <rFont val="Noto Sans CJK SC"/>
        <family val="2"/>
      </rPr>
      <t xml:space="preserve">月产能扩至</t>
    </r>
    <r>
      <rPr>
        <i val="true"/>
        <sz val="10"/>
        <color rgb="FF595959"/>
        <rFont val="Arial"/>
        <family val="0"/>
        <charset val="1"/>
      </rPr>
      <t xml:space="preserve">60</t>
    </r>
    <r>
      <rPr>
        <i val="true"/>
        <sz val="10"/>
        <color rgb="FF595959"/>
        <rFont val="Noto Sans CJK SC"/>
        <family val="2"/>
      </rPr>
      <t xml:space="preserve">万片；</t>
    </r>
    <r>
      <rPr>
        <i val="true"/>
        <sz val="10"/>
        <color rgb="FF595959"/>
        <rFont val="Arial"/>
        <family val="0"/>
        <charset val="1"/>
      </rPr>
      <t xml:space="preserve">2028</t>
    </r>
    <r>
      <rPr>
        <i val="true"/>
        <sz val="10"/>
        <color rgb="FF595959"/>
        <rFont val="Noto Sans CJK SC"/>
        <family val="2"/>
      </rPr>
      <t xml:space="preserve">年前后美国受禁外国实体（</t>
    </r>
    <r>
      <rPr>
        <i val="true"/>
        <sz val="10"/>
        <color rgb="FF595959"/>
        <rFont val="Arial"/>
        <family val="0"/>
        <charset val="1"/>
      </rPr>
      <t xml:space="preserve">PFE</t>
    </r>
    <r>
      <rPr>
        <i val="true"/>
        <sz val="10"/>
        <color rgb="FF595959"/>
        <rFont val="Noto Sans CJK SC"/>
        <family val="2"/>
      </rPr>
      <t xml:space="preserve">）规则门槛升至</t>
    </r>
    <r>
      <rPr>
        <i val="true"/>
        <sz val="10"/>
        <color rgb="FF595959"/>
        <rFont val="Arial"/>
        <family val="0"/>
        <charset val="1"/>
      </rPr>
      <t xml:space="preserve">50%</t>
    </r>
  </si>
  <si>
    <t xml:space="preserve">  单价—基准</t>
  </si>
  <si>
    <r>
      <rPr>
        <sz val="10"/>
        <color rgb="FF000000"/>
        <rFont val="Noto Sans CJK SC"/>
        <family val="2"/>
      </rPr>
      <t xml:space="preserve">元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片</t>
    </r>
  </si>
  <si>
    <t xml:space="preserve">  单价—乐观</t>
  </si>
  <si>
    <t xml:space="preserve">  单价—悲观</t>
  </si>
  <si>
    <t xml:space="preserve">单价（采用值）</t>
  </si>
  <si>
    <r>
      <rPr>
        <i val="true"/>
        <sz val="10"/>
        <color rgb="FF595959"/>
        <rFont val="Noto Sans CJK SC"/>
        <family val="2"/>
      </rPr>
      <t xml:space="preserve">市场流传</t>
    </r>
    <r>
      <rPr>
        <i val="true"/>
        <sz val="10"/>
        <color rgb="FF595959"/>
        <rFont val="Arial"/>
        <family val="0"/>
        <charset val="1"/>
      </rPr>
      <t xml:space="preserve">25-30</t>
    </r>
    <r>
      <rPr>
        <i val="true"/>
        <sz val="10"/>
        <color rgb="FF595959"/>
        <rFont val="Noto Sans CJK SC"/>
        <family val="2"/>
      </rPr>
      <t xml:space="preserve">元（</t>
    </r>
    <r>
      <rPr>
        <i val="true"/>
        <sz val="10"/>
        <color rgb="FF595959"/>
        <rFont val="Arial"/>
        <family val="0"/>
        <charset val="1"/>
      </rPr>
      <t xml:space="preserve">2023</t>
    </r>
    <r>
      <rPr>
        <i val="true"/>
        <sz val="10"/>
        <color rgb="FF595959"/>
        <rFont val="Noto Sans CJK SC"/>
        <family val="2"/>
      </rPr>
      <t xml:space="preserve">年）；</t>
    </r>
    <r>
      <rPr>
        <i val="true"/>
        <sz val="10"/>
        <color rgb="FF595959"/>
        <rFont val="Arial"/>
        <family val="0"/>
        <charset val="1"/>
      </rPr>
      <t xml:space="preserve">2025</t>
    </r>
    <r>
      <rPr>
        <i val="true"/>
        <sz val="10"/>
        <color rgb="FF595959"/>
        <rFont val="Noto Sans CJK SC"/>
        <family val="2"/>
      </rPr>
      <t xml:space="preserve">年倒推覆盖率显示单价或已降至</t>
    </r>
    <r>
      <rPr>
        <i val="true"/>
        <sz val="10"/>
        <color rgb="FF595959"/>
        <rFont val="Arial"/>
        <family val="0"/>
        <charset val="1"/>
      </rPr>
      <t xml:space="preserve">20</t>
    </r>
    <r>
      <rPr>
        <i val="true"/>
        <sz val="10"/>
        <color rgb="FF595959"/>
        <rFont val="Noto Sans CJK SC"/>
        <family val="2"/>
      </rPr>
      <t xml:space="preserve">元附近</t>
    </r>
  </si>
  <si>
    <r>
      <rPr>
        <sz val="10"/>
        <color rgb="FF595959"/>
        <rFont val="Arial"/>
        <family val="0"/>
        <charset val="1"/>
      </rPr>
      <t xml:space="preserve">  SOFC</t>
    </r>
    <r>
      <rPr>
        <sz val="10"/>
        <color rgb="FF595959"/>
        <rFont val="Noto Sans CJK SC"/>
        <family val="2"/>
      </rPr>
      <t xml:space="preserve">隔膜片毛利率—基准</t>
    </r>
  </si>
  <si>
    <r>
      <rPr>
        <sz val="10"/>
        <color rgb="FF595959"/>
        <rFont val="Arial"/>
        <family val="0"/>
        <charset val="1"/>
      </rPr>
      <t xml:space="preserve">  SOFC</t>
    </r>
    <r>
      <rPr>
        <sz val="10"/>
        <color rgb="FF595959"/>
        <rFont val="Noto Sans CJK SC"/>
        <family val="2"/>
      </rPr>
      <t xml:space="preserve">隔膜片毛利率—乐观</t>
    </r>
  </si>
  <si>
    <r>
      <rPr>
        <sz val="10"/>
        <color rgb="FF595959"/>
        <rFont val="Arial"/>
        <family val="0"/>
        <charset val="1"/>
      </rPr>
      <t xml:space="preserve">  SOFC</t>
    </r>
    <r>
      <rPr>
        <sz val="10"/>
        <color rgb="FF595959"/>
        <rFont val="Noto Sans CJK SC"/>
        <family val="2"/>
      </rPr>
      <t xml:space="preserve">隔膜片毛利率—悲观</t>
    </r>
  </si>
  <si>
    <r>
      <rPr>
        <b val="true"/>
        <sz val="10"/>
        <color rgb="FF000000"/>
        <rFont val="Arial"/>
        <family val="0"/>
        <charset val="1"/>
      </rPr>
      <t xml:space="preserve">SOFC</t>
    </r>
    <r>
      <rPr>
        <b val="true"/>
        <sz val="10"/>
        <color rgb="FF000000"/>
        <rFont val="Noto Sans CJK SC"/>
        <family val="2"/>
      </rPr>
      <t xml:space="preserve">隔膜片毛利率（采用值）</t>
    </r>
  </si>
  <si>
    <r>
      <rPr>
        <i val="true"/>
        <sz val="10"/>
        <color rgb="FF595959"/>
        <rFont val="Noto Sans CJK SC"/>
        <family val="2"/>
      </rPr>
      <t xml:space="preserve">所在分部</t>
    </r>
    <r>
      <rPr>
        <i val="true"/>
        <sz val="10"/>
        <color rgb="FF595959"/>
        <rFont val="Arial"/>
        <family val="0"/>
        <charset val="1"/>
      </rPr>
      <t xml:space="preserve">2025A</t>
    </r>
    <r>
      <rPr>
        <i val="true"/>
        <sz val="10"/>
        <color rgb="FF595959"/>
        <rFont val="Noto Sans CJK SC"/>
        <family val="2"/>
      </rPr>
      <t xml:space="preserve">毛利率</t>
    </r>
    <r>
      <rPr>
        <i val="true"/>
        <sz val="10"/>
        <color rgb="FF595959"/>
        <rFont val="Arial"/>
        <family val="0"/>
        <charset val="1"/>
      </rPr>
      <t xml:space="preserve">38.09%</t>
    </r>
    <r>
      <rPr>
        <i val="true"/>
        <sz val="10"/>
        <color rgb="FF595959"/>
        <rFont val="Noto Sans CJK SC"/>
        <family val="2"/>
      </rPr>
      <t xml:space="preserve">；假设略高于分部</t>
    </r>
  </si>
  <si>
    <t xml:space="preserve">五、费用与其他损益（占营业收入比例，另注明除外）</t>
  </si>
  <si>
    <t xml:space="preserve">税金及附加率</t>
  </si>
  <si>
    <r>
      <rPr>
        <i val="true"/>
        <sz val="10"/>
        <color rgb="FF595959"/>
        <rFont val="Arial"/>
        <family val="0"/>
        <charset val="1"/>
      </rPr>
      <t xml:space="preserve">2025A 1.20%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2026H1 0.94%</t>
    </r>
  </si>
  <si>
    <t xml:space="preserve">销售费用率</t>
  </si>
  <si>
    <r>
      <rPr>
        <i val="true"/>
        <sz val="10"/>
        <color rgb="FF595959"/>
        <rFont val="Arial"/>
        <family val="0"/>
        <charset val="1"/>
      </rPr>
      <t xml:space="preserve">2025A 1.03%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2026H1 0.70%</t>
    </r>
  </si>
  <si>
    <t xml:space="preserve">管理费用率</t>
  </si>
  <si>
    <r>
      <rPr>
        <i val="true"/>
        <sz val="10"/>
        <color rgb="FF595959"/>
        <rFont val="Arial"/>
        <family val="0"/>
        <charset val="1"/>
      </rPr>
      <t xml:space="preserve">2025A 5.34%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2026H1 3.97%</t>
    </r>
    <r>
      <rPr>
        <i val="true"/>
        <sz val="10"/>
        <color rgb="FF595959"/>
        <rFont val="Noto Sans CJK SC"/>
        <family val="2"/>
      </rPr>
      <t xml:space="preserve">（四季度通常偏高）</t>
    </r>
  </si>
  <si>
    <t xml:space="preserve">研发费用率</t>
  </si>
  <si>
    <r>
      <rPr>
        <i val="true"/>
        <sz val="10"/>
        <color rgb="FF595959"/>
        <rFont val="Arial"/>
        <family val="0"/>
        <charset val="1"/>
      </rPr>
      <t xml:space="preserve">2025A 7.25%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2026H1 5.30%</t>
    </r>
  </si>
  <si>
    <t xml:space="preserve">其他收益（政府补助等）占收入</t>
  </si>
  <si>
    <r>
      <rPr>
        <i val="true"/>
        <sz val="10"/>
        <color rgb="FF595959"/>
        <rFont val="Arial"/>
        <family val="0"/>
        <charset val="1"/>
      </rPr>
      <t xml:space="preserve">2025A 4.33%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2026H1 2.17%</t>
    </r>
  </si>
  <si>
    <t xml:space="preserve">资产及信用减值损失占收入</t>
  </si>
  <si>
    <r>
      <rPr>
        <i val="true"/>
        <sz val="10"/>
        <color rgb="FF595959"/>
        <rFont val="Arial"/>
        <family val="0"/>
        <charset val="1"/>
      </rPr>
      <t xml:space="preserve">2025A 0.47%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2026H1 2.02%</t>
    </r>
  </si>
  <si>
    <r>
      <rPr>
        <b val="true"/>
        <sz val="10"/>
        <color rgb="FF000000"/>
        <rFont val="Noto Sans CJK SC"/>
        <family val="2"/>
      </rPr>
      <t xml:space="preserve">交易性金融资产收益率（投资收益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Noto Sans CJK SC"/>
        <family val="2"/>
      </rPr>
      <t xml:space="preserve">公允价值变动，按期初余额）</t>
    </r>
  </si>
  <si>
    <r>
      <rPr>
        <i val="true"/>
        <sz val="10"/>
        <color rgb="FF595959"/>
        <rFont val="Arial"/>
        <family val="0"/>
        <charset val="1"/>
      </rPr>
      <t xml:space="preserve">2025A</t>
    </r>
    <r>
      <rPr>
        <i val="true"/>
        <sz val="10"/>
        <color rgb="FF595959"/>
        <rFont val="Noto Sans CJK SC"/>
        <family val="2"/>
      </rPr>
      <t xml:space="preserve">约</t>
    </r>
    <r>
      <rPr>
        <i val="true"/>
        <sz val="10"/>
        <color rgb="FF595959"/>
        <rFont val="Arial"/>
        <family val="0"/>
        <charset val="1"/>
      </rPr>
      <t xml:space="preserve">1.9%</t>
    </r>
    <r>
      <rPr>
        <i val="true"/>
        <sz val="10"/>
        <color rgb="FF595959"/>
        <rFont val="Noto Sans CJK SC"/>
        <family val="2"/>
      </rPr>
      <t xml:space="preserve">（</t>
    </r>
    <r>
      <rPr>
        <i val="true"/>
        <sz val="10"/>
        <color rgb="FF595959"/>
        <rFont val="Arial"/>
        <family val="0"/>
        <charset val="1"/>
      </rPr>
      <t xml:space="preserve">(41.71+30.47)/</t>
    </r>
    <r>
      <rPr>
        <i val="true"/>
        <sz val="10"/>
        <color rgb="FF595959"/>
        <rFont val="Noto Sans CJK SC"/>
        <family val="2"/>
      </rPr>
      <t xml:space="preserve">期初</t>
    </r>
    <r>
      <rPr>
        <i val="true"/>
        <sz val="10"/>
        <color rgb="FF595959"/>
        <rFont val="Arial"/>
        <family val="0"/>
        <charset val="1"/>
      </rPr>
      <t xml:space="preserve">5,053.4</t>
    </r>
    <r>
      <rPr>
        <i val="true"/>
        <sz val="10"/>
        <color rgb="FF595959"/>
        <rFont val="Noto Sans CJK SC"/>
        <family val="2"/>
      </rPr>
      <t xml:space="preserve">）</t>
    </r>
  </si>
  <si>
    <r>
      <rPr>
        <b val="true"/>
        <sz val="10"/>
        <color rgb="FF000000"/>
        <rFont val="Noto Sans CJK SC"/>
        <family val="2"/>
      </rPr>
      <t xml:space="preserve">利息收入率（按期初货币资金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Noto Sans CJK SC"/>
        <family val="2"/>
      </rPr>
      <t xml:space="preserve">其他非流动资产）</t>
    </r>
  </si>
  <si>
    <r>
      <rPr>
        <i val="true"/>
        <sz val="10"/>
        <color rgb="FF595959"/>
        <rFont val="Arial"/>
        <family val="0"/>
        <charset val="1"/>
      </rPr>
      <t xml:space="preserve">2025A</t>
    </r>
    <r>
      <rPr>
        <i val="true"/>
        <sz val="10"/>
        <color rgb="FF595959"/>
        <rFont val="Noto Sans CJK SC"/>
        <family val="2"/>
      </rPr>
      <t xml:space="preserve">约</t>
    </r>
    <r>
      <rPr>
        <i val="true"/>
        <sz val="10"/>
        <color rgb="FF595959"/>
        <rFont val="Arial"/>
        <family val="0"/>
        <charset val="1"/>
      </rPr>
      <t xml:space="preserve">2.3%</t>
    </r>
    <r>
      <rPr>
        <i val="true"/>
        <sz val="10"/>
        <color rgb="FF595959"/>
        <rFont val="Noto Sans CJK SC"/>
        <family val="2"/>
      </rPr>
      <t xml:space="preserve">（利息收入</t>
    </r>
    <r>
      <rPr>
        <i val="true"/>
        <sz val="10"/>
        <color rgb="FF595959"/>
        <rFont val="Arial"/>
        <family val="0"/>
        <charset val="1"/>
      </rPr>
      <t xml:space="preserve">196.9/</t>
    </r>
    <r>
      <rPr>
        <i val="true"/>
        <sz val="10"/>
        <color rgb="FF595959"/>
        <rFont val="Noto Sans CJK SC"/>
        <family val="2"/>
      </rPr>
      <t xml:space="preserve">期初</t>
    </r>
    <r>
      <rPr>
        <i val="true"/>
        <sz val="10"/>
        <color rgb="FF595959"/>
        <rFont val="Arial"/>
        <family val="0"/>
        <charset val="1"/>
      </rPr>
      <t xml:space="preserve">6,023.7</t>
    </r>
    <r>
      <rPr>
        <i val="true"/>
        <sz val="10"/>
        <color rgb="FF595959"/>
        <rFont val="Noto Sans CJK SC"/>
        <family val="2"/>
      </rPr>
      <t xml:space="preserve">）</t>
    </r>
  </si>
  <si>
    <t xml:space="preserve">借款利率（按期初有息负债）</t>
  </si>
  <si>
    <r>
      <rPr>
        <i val="true"/>
        <sz val="10"/>
        <color rgb="FF595959"/>
        <rFont val="Arial"/>
        <family val="0"/>
        <charset val="1"/>
      </rPr>
      <t xml:space="preserve">2025A</t>
    </r>
    <r>
      <rPr>
        <i val="true"/>
        <sz val="10"/>
        <color rgb="FF595959"/>
        <rFont val="Noto Sans CJK SC"/>
        <family val="2"/>
      </rPr>
      <t xml:space="preserve">约</t>
    </r>
    <r>
      <rPr>
        <i val="true"/>
        <sz val="10"/>
        <color rgb="FF595959"/>
        <rFont val="Arial"/>
        <family val="0"/>
        <charset val="1"/>
      </rPr>
      <t xml:space="preserve">4.2%</t>
    </r>
    <r>
      <rPr>
        <i val="true"/>
        <sz val="10"/>
        <color rgb="FF595959"/>
        <rFont val="Noto Sans CJK SC"/>
        <family val="2"/>
      </rPr>
      <t xml:space="preserve">（利息费用</t>
    </r>
    <r>
      <rPr>
        <i val="true"/>
        <sz val="10"/>
        <color rgb="FF595959"/>
        <rFont val="Arial"/>
        <family val="0"/>
        <charset val="1"/>
      </rPr>
      <t xml:space="preserve">20.4/</t>
    </r>
    <r>
      <rPr>
        <i val="true"/>
        <sz val="10"/>
        <color rgb="FF595959"/>
        <rFont val="Noto Sans CJK SC"/>
        <family val="2"/>
      </rPr>
      <t xml:space="preserve">期初</t>
    </r>
    <r>
      <rPr>
        <i val="true"/>
        <sz val="10"/>
        <color rgb="FF595959"/>
        <rFont val="Arial"/>
        <family val="0"/>
        <charset val="1"/>
      </rPr>
      <t xml:space="preserve">484.3</t>
    </r>
    <r>
      <rPr>
        <i val="true"/>
        <sz val="10"/>
        <color rgb="FF595959"/>
        <rFont val="Noto Sans CJK SC"/>
        <family val="2"/>
      </rPr>
      <t xml:space="preserve">）</t>
    </r>
  </si>
  <si>
    <t xml:space="preserve">六、营运资本与资本开支</t>
  </si>
  <si>
    <t xml:space="preserve">应收票据、账款及应收款项融资周转天数（按收入）</t>
  </si>
  <si>
    <t xml:space="preserve">天</t>
  </si>
  <si>
    <r>
      <rPr>
        <i val="true"/>
        <sz val="10"/>
        <color rgb="FF595959"/>
        <rFont val="Arial"/>
        <family val="0"/>
        <charset val="1"/>
      </rPr>
      <t xml:space="preserve">2025A 132</t>
    </r>
    <r>
      <rPr>
        <i val="true"/>
        <sz val="10"/>
        <color rgb="FF595959"/>
        <rFont val="Noto Sans CJK SC"/>
        <family val="2"/>
      </rPr>
      <t xml:space="preserve">天；</t>
    </r>
    <r>
      <rPr>
        <i val="true"/>
        <sz val="10"/>
        <color rgb="FF595959"/>
        <rFont val="Arial"/>
        <family val="0"/>
        <charset val="1"/>
      </rPr>
      <t xml:space="preserve">2026H1</t>
    </r>
    <r>
      <rPr>
        <i val="true"/>
        <sz val="10"/>
        <color rgb="FF595959"/>
        <rFont val="Noto Sans CJK SC"/>
        <family val="2"/>
      </rPr>
      <t xml:space="preserve">年化约</t>
    </r>
    <r>
      <rPr>
        <i val="true"/>
        <sz val="10"/>
        <color rgb="FF595959"/>
        <rFont val="Arial"/>
        <family val="0"/>
        <charset val="1"/>
      </rPr>
      <t xml:space="preserve">128</t>
    </r>
    <r>
      <rPr>
        <i val="true"/>
        <sz val="10"/>
        <color rgb="FF595959"/>
        <rFont val="Noto Sans CJK SC"/>
        <family val="2"/>
      </rPr>
      <t xml:space="preserve">天</t>
    </r>
  </si>
  <si>
    <t xml:space="preserve">存货周转天数（按营业成本）</t>
  </si>
  <si>
    <r>
      <rPr>
        <i val="true"/>
        <sz val="10"/>
        <color rgb="FF595959"/>
        <rFont val="Arial"/>
        <family val="0"/>
        <charset val="1"/>
      </rPr>
      <t xml:space="preserve">2025A 168</t>
    </r>
    <r>
      <rPr>
        <i val="true"/>
        <sz val="10"/>
        <color rgb="FF595959"/>
        <rFont val="Noto Sans CJK SC"/>
        <family val="2"/>
      </rPr>
      <t xml:space="preserve">天；</t>
    </r>
    <r>
      <rPr>
        <i val="true"/>
        <sz val="10"/>
        <color rgb="FF595959"/>
        <rFont val="Arial"/>
        <family val="0"/>
        <charset val="1"/>
      </rPr>
      <t xml:space="preserve">2026H1</t>
    </r>
    <r>
      <rPr>
        <i val="true"/>
        <sz val="10"/>
        <color rgb="FF595959"/>
        <rFont val="Noto Sans CJK SC"/>
        <family val="2"/>
      </rPr>
      <t xml:space="preserve">年化约</t>
    </r>
    <r>
      <rPr>
        <i val="true"/>
        <sz val="10"/>
        <color rgb="FF595959"/>
        <rFont val="Arial"/>
        <family val="0"/>
        <charset val="1"/>
      </rPr>
      <t xml:space="preserve">143</t>
    </r>
    <r>
      <rPr>
        <i val="true"/>
        <sz val="10"/>
        <color rgb="FF595959"/>
        <rFont val="Noto Sans CJK SC"/>
        <family val="2"/>
      </rPr>
      <t xml:space="preserve">天</t>
    </r>
  </si>
  <si>
    <t xml:space="preserve">应付票据及账款周转天数（按营业成本）</t>
  </si>
  <si>
    <r>
      <rPr>
        <i val="true"/>
        <sz val="10"/>
        <color rgb="FF595959"/>
        <rFont val="Arial"/>
        <family val="0"/>
        <charset val="1"/>
      </rPr>
      <t xml:space="preserve">2025A 135</t>
    </r>
    <r>
      <rPr>
        <i val="true"/>
        <sz val="10"/>
        <color rgb="FF595959"/>
        <rFont val="Noto Sans CJK SC"/>
        <family val="2"/>
      </rPr>
      <t xml:space="preserve">天；</t>
    </r>
    <r>
      <rPr>
        <i val="true"/>
        <sz val="10"/>
        <color rgb="FF595959"/>
        <rFont val="Arial"/>
        <family val="0"/>
        <charset val="1"/>
      </rPr>
      <t xml:space="preserve">2026H1</t>
    </r>
    <r>
      <rPr>
        <i val="true"/>
        <sz val="10"/>
        <color rgb="FF595959"/>
        <rFont val="Noto Sans CJK SC"/>
        <family val="2"/>
      </rPr>
      <t xml:space="preserve">年化约</t>
    </r>
    <r>
      <rPr>
        <i val="true"/>
        <sz val="10"/>
        <color rgb="FF595959"/>
        <rFont val="Arial"/>
        <family val="0"/>
        <charset val="1"/>
      </rPr>
      <t xml:space="preserve">140</t>
    </r>
    <r>
      <rPr>
        <i val="true"/>
        <sz val="10"/>
        <color rgb="FF595959"/>
        <rFont val="Noto Sans CJK SC"/>
        <family val="2"/>
      </rPr>
      <t xml:space="preserve">天</t>
    </r>
  </si>
  <si>
    <t xml:space="preserve">预付款项占收入</t>
  </si>
  <si>
    <t xml:space="preserve">2025A 0.84%</t>
  </si>
  <si>
    <t xml:space="preserve">其他应收款占收入</t>
  </si>
  <si>
    <t xml:space="preserve">2025A 0.20%</t>
  </si>
  <si>
    <t xml:space="preserve">其他流动资产占收入</t>
  </si>
  <si>
    <t xml:space="preserve">2025A 5.77%</t>
  </si>
  <si>
    <t xml:space="preserve">其他流动负债合计占收入（合同负债、应付薪酬、应交税费、其他应付等）</t>
  </si>
  <si>
    <t xml:space="preserve">2025A 11.2%</t>
  </si>
  <si>
    <t xml:space="preserve">  资本开支（购建长期资产）—基准</t>
  </si>
  <si>
    <t xml:space="preserve">  资本开支（购建长期资产）—乐观</t>
  </si>
  <si>
    <t xml:space="preserve">  资本开支（购建长期资产）—悲观</t>
  </si>
  <si>
    <t xml:space="preserve">资本开支（购建长期资产）（采用值）</t>
  </si>
  <si>
    <r>
      <rPr>
        <i val="true"/>
        <sz val="10"/>
        <color rgb="FF595959"/>
        <rFont val="Arial"/>
        <family val="0"/>
        <charset val="1"/>
      </rPr>
      <t xml:space="preserve">2025A 580.1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2026H1 476.4</t>
    </r>
    <r>
      <rPr>
        <i val="true"/>
        <sz val="10"/>
        <color rgb="FF595959"/>
        <rFont val="Noto Sans CJK SC"/>
        <family val="2"/>
      </rPr>
      <t xml:space="preserve">；</t>
    </r>
    <r>
      <rPr>
        <i val="true"/>
        <sz val="10"/>
        <color rgb="FF595959"/>
        <rFont val="Arial"/>
        <family val="0"/>
        <charset val="1"/>
      </rPr>
      <t xml:space="preserve">H</t>
    </r>
    <r>
      <rPr>
        <i val="true"/>
        <sz val="10"/>
        <color rgb="FF595959"/>
        <rFont val="Noto Sans CJK SC"/>
        <family val="2"/>
      </rPr>
      <t xml:space="preserve">股募资约</t>
    </r>
    <r>
      <rPr>
        <i val="true"/>
        <sz val="10"/>
        <color rgb="FF595959"/>
        <rFont val="Arial"/>
        <family val="0"/>
        <charset val="1"/>
      </rPr>
      <t xml:space="preserve">41.2%</t>
    </r>
    <r>
      <rPr>
        <i val="true"/>
        <sz val="10"/>
        <color rgb="FF595959"/>
        <rFont val="Noto Sans CJK SC"/>
        <family val="2"/>
      </rPr>
      <t xml:space="preserve">投向泰国、德国新建扩建项目（燃料电池项目扩建居首）</t>
    </r>
  </si>
  <si>
    <r>
      <rPr>
        <b val="true"/>
        <sz val="10"/>
        <color rgb="FF000000"/>
        <rFont val="Noto Sans CJK SC"/>
        <family val="2"/>
      </rPr>
      <t xml:space="preserve">折旧率（按期初固定资产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Noto Sans CJK SC"/>
        <family val="2"/>
      </rPr>
      <t xml:space="preserve">在建工程）</t>
    </r>
  </si>
  <si>
    <r>
      <rPr>
        <i val="true"/>
        <sz val="10"/>
        <color rgb="FF595959"/>
        <rFont val="Arial"/>
        <family val="0"/>
        <charset val="1"/>
      </rPr>
      <t xml:space="preserve">2025A</t>
    </r>
    <r>
      <rPr>
        <i val="true"/>
        <sz val="10"/>
        <color rgb="FF595959"/>
        <rFont val="Noto Sans CJK SC"/>
        <family val="2"/>
      </rPr>
      <t xml:space="preserve">约</t>
    </r>
    <r>
      <rPr>
        <i val="true"/>
        <sz val="10"/>
        <color rgb="FF595959"/>
        <rFont val="Arial"/>
        <family val="0"/>
        <charset val="1"/>
      </rPr>
      <t xml:space="preserve">11.3%</t>
    </r>
    <r>
      <rPr>
        <i val="true"/>
        <sz val="10"/>
        <color rgb="FF595959"/>
        <rFont val="Noto Sans CJK SC"/>
        <family val="2"/>
      </rPr>
      <t xml:space="preserve">（折旧</t>
    </r>
    <r>
      <rPr>
        <i val="true"/>
        <sz val="10"/>
        <color rgb="FF595959"/>
        <rFont val="Arial"/>
        <family val="0"/>
        <charset val="1"/>
      </rPr>
      <t xml:space="preserve">715.2/</t>
    </r>
    <r>
      <rPr>
        <i val="true"/>
        <sz val="10"/>
        <color rgb="FF595959"/>
        <rFont val="Noto Sans CJK SC"/>
        <family val="2"/>
      </rPr>
      <t xml:space="preserve">期初</t>
    </r>
    <r>
      <rPr>
        <i val="true"/>
        <sz val="10"/>
        <color rgb="FF595959"/>
        <rFont val="Arial"/>
        <family val="0"/>
        <charset val="1"/>
      </rPr>
      <t xml:space="preserve">6,327.5</t>
    </r>
    <r>
      <rPr>
        <i val="true"/>
        <sz val="10"/>
        <color rgb="FF595959"/>
        <rFont val="Noto Sans CJK SC"/>
        <family val="2"/>
      </rPr>
      <t xml:space="preserve">）</t>
    </r>
  </si>
  <si>
    <t xml:space="preserve">无形资产及其他长期资产摊销</t>
  </si>
  <si>
    <r>
      <rPr>
        <i val="true"/>
        <sz val="10"/>
        <color rgb="FF595959"/>
        <rFont val="Arial"/>
        <family val="0"/>
        <charset val="1"/>
      </rPr>
      <t xml:space="preserve">2025A</t>
    </r>
    <r>
      <rPr>
        <i val="true"/>
        <sz val="10"/>
        <color rgb="FF595959"/>
        <rFont val="Noto Sans CJK SC"/>
        <family val="2"/>
      </rPr>
      <t xml:space="preserve">约</t>
    </r>
    <r>
      <rPr>
        <i val="true"/>
        <sz val="10"/>
        <color rgb="FF595959"/>
        <rFont val="Arial"/>
        <family val="0"/>
        <charset val="1"/>
      </rPr>
      <t xml:space="preserve">29.0</t>
    </r>
    <r>
      <rPr>
        <i val="true"/>
        <sz val="10"/>
        <color rgb="FF595959"/>
        <rFont val="Noto Sans CJK SC"/>
        <family val="2"/>
      </rPr>
      <t xml:space="preserve">（无形</t>
    </r>
    <r>
      <rPr>
        <i val="true"/>
        <sz val="10"/>
        <color rgb="FF595959"/>
        <rFont val="Arial"/>
        <family val="0"/>
        <charset val="1"/>
      </rPr>
      <t xml:space="preserve">1.2+</t>
    </r>
    <r>
      <rPr>
        <i val="true"/>
        <sz val="10"/>
        <color rgb="FF595959"/>
        <rFont val="Noto Sans CJK SC"/>
        <family val="2"/>
      </rPr>
      <t xml:space="preserve">使用权</t>
    </r>
    <r>
      <rPr>
        <i val="true"/>
        <sz val="10"/>
        <color rgb="FF595959"/>
        <rFont val="Arial"/>
        <family val="0"/>
        <charset val="1"/>
      </rPr>
      <t xml:space="preserve">4.7+</t>
    </r>
    <r>
      <rPr>
        <i val="true"/>
        <sz val="10"/>
        <color rgb="FF595959"/>
        <rFont val="Noto Sans CJK SC"/>
        <family val="2"/>
      </rPr>
      <t xml:space="preserve">长期待摊</t>
    </r>
    <r>
      <rPr>
        <i val="true"/>
        <sz val="10"/>
        <color rgb="FF595959"/>
        <rFont val="Arial"/>
        <family val="0"/>
        <charset val="1"/>
      </rPr>
      <t xml:space="preserve">12.1+</t>
    </r>
    <r>
      <rPr>
        <i val="true"/>
        <sz val="10"/>
        <color rgb="FF595959"/>
        <rFont val="Noto Sans CJK SC"/>
        <family val="2"/>
      </rPr>
      <t xml:space="preserve">其他）</t>
    </r>
  </si>
  <si>
    <r>
      <rPr>
        <b val="true"/>
        <sz val="14"/>
        <color rgb="FF1F3864"/>
        <rFont val="Noto Sans CJK SC"/>
        <family val="2"/>
      </rPr>
      <t xml:space="preserve">分部收入与毛利预测（含</t>
    </r>
    <r>
      <rPr>
        <b val="true"/>
        <sz val="14"/>
        <color rgb="FF1F3864"/>
        <rFont val="Arial"/>
        <family val="0"/>
        <charset val="1"/>
      </rPr>
      <t xml:space="preserve">SOFC</t>
    </r>
    <r>
      <rPr>
        <b val="true"/>
        <sz val="14"/>
        <color rgb="FF1F3864"/>
        <rFont val="Noto Sans CJK SC"/>
        <family val="2"/>
      </rPr>
      <t xml:space="preserve">隔膜片子模型）</t>
    </r>
  </si>
  <si>
    <r>
      <rPr>
        <i val="true"/>
        <sz val="10"/>
        <color rgb="FF595959"/>
        <rFont val="Arial"/>
        <family val="0"/>
        <charset val="1"/>
      </rPr>
      <t xml:space="preserve">2024A-2025A</t>
    </r>
    <r>
      <rPr>
        <i val="true"/>
        <sz val="10"/>
        <color rgb="FF595959"/>
        <rFont val="Noto Sans CJK SC"/>
        <family val="2"/>
      </rPr>
      <t xml:space="preserve">分部口径来自</t>
    </r>
    <r>
      <rPr>
        <i val="true"/>
        <sz val="10"/>
        <color rgb="FF595959"/>
        <rFont val="Arial"/>
        <family val="0"/>
        <charset val="1"/>
      </rPr>
      <t xml:space="preserve">2025</t>
    </r>
    <r>
      <rPr>
        <i val="true"/>
        <sz val="10"/>
        <color rgb="FF595959"/>
        <rFont val="Noto Sans CJK SC"/>
        <family val="2"/>
      </rPr>
      <t xml:space="preserve">年年报“营业收入构成”（新四分部口径，与</t>
    </r>
    <r>
      <rPr>
        <i val="true"/>
        <sz val="10"/>
        <color rgb="FF595959"/>
        <rFont val="Arial"/>
        <family val="0"/>
        <charset val="1"/>
      </rPr>
      <t xml:space="preserve">H</t>
    </r>
    <r>
      <rPr>
        <i val="true"/>
        <sz val="10"/>
        <color rgb="FF595959"/>
        <rFont val="Noto Sans CJK SC"/>
        <family val="2"/>
      </rPr>
      <t xml:space="preserve">股招股章程一致）；预测为公式，驱动来自“假设”。</t>
    </r>
  </si>
  <si>
    <t xml:space="preserve">项目（百万元）</t>
  </si>
  <si>
    <r>
      <rPr>
        <b val="true"/>
        <sz val="10"/>
        <color rgb="FF1F3864"/>
        <rFont val="Arial"/>
        <family val="0"/>
        <charset val="1"/>
      </rPr>
      <t xml:space="preserve">A. SOFC</t>
    </r>
    <r>
      <rPr>
        <b val="true"/>
        <sz val="10"/>
        <color rgb="FF1F3864"/>
        <rFont val="Noto Sans CJK SC"/>
        <family val="2"/>
      </rPr>
      <t xml:space="preserve">隔膜片子模型</t>
    </r>
  </si>
  <si>
    <r>
      <rPr>
        <sz val="10"/>
        <color rgb="FF000000"/>
        <rFont val="Arial"/>
        <family val="0"/>
        <charset val="1"/>
      </rPr>
      <t xml:space="preserve">Bloom</t>
    </r>
    <r>
      <rPr>
        <sz val="10"/>
        <color rgb="FF000000"/>
        <rFont val="Noto Sans CJK SC"/>
        <family val="2"/>
      </rPr>
      <t xml:space="preserve">电池片层需求</t>
    </r>
  </si>
  <si>
    <t xml:space="preserve">单片功率</t>
  </si>
  <si>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所需隔膜片</t>
    </r>
  </si>
  <si>
    <r>
      <rPr>
        <sz val="10"/>
        <color rgb="FF000000"/>
        <rFont val="Noto Sans CJK SC"/>
        <family val="2"/>
      </rPr>
      <t xml:space="preserve">百万片</t>
    </r>
    <r>
      <rPr>
        <sz val="10"/>
        <color rgb="FF000000"/>
        <rFont val="Arial"/>
        <family val="0"/>
        <charset val="1"/>
      </rPr>
      <t xml:space="preserve">/GW</t>
    </r>
  </si>
  <si>
    <r>
      <rPr>
        <sz val="10"/>
        <color rgb="FF000000"/>
        <rFont val="Arial"/>
        <family val="0"/>
        <charset val="1"/>
      </rPr>
      <t xml:space="preserve">Bloom</t>
    </r>
    <r>
      <rPr>
        <sz val="10"/>
        <color rgb="FF000000"/>
        <rFont val="Noto Sans CJK SC"/>
        <family val="2"/>
      </rPr>
      <t xml:space="preserve">隔膜片需求</t>
    </r>
  </si>
  <si>
    <t xml:space="preserve">百万片</t>
  </si>
  <si>
    <t xml:space="preserve">三环份额</t>
  </si>
  <si>
    <t xml:space="preserve">三环隔膜片出货</t>
  </si>
  <si>
    <t xml:space="preserve">单价</t>
  </si>
  <si>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隔膜片价值量（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份额）</t>
    </r>
  </si>
  <si>
    <r>
      <rPr>
        <sz val="10"/>
        <color rgb="FF000000"/>
        <rFont val="Noto Sans CJK SC"/>
        <family val="2"/>
      </rPr>
      <t xml:space="preserve">百万元</t>
    </r>
    <r>
      <rPr>
        <sz val="10"/>
        <color rgb="FF000000"/>
        <rFont val="Arial"/>
        <family val="0"/>
        <charset val="1"/>
      </rPr>
      <t xml:space="preserve">/GW</t>
    </r>
  </si>
  <si>
    <r>
      <rPr>
        <sz val="10"/>
        <color rgb="FF000000"/>
        <rFont val="Arial"/>
        <family val="0"/>
        <charset val="1"/>
      </rPr>
      <t xml:space="preserve">SOFC</t>
    </r>
    <r>
      <rPr>
        <sz val="10"/>
        <color rgb="FF000000"/>
        <rFont val="Noto Sans CJK SC"/>
        <family val="2"/>
      </rPr>
      <t xml:space="preserve">隔膜片毛利率</t>
    </r>
  </si>
  <si>
    <r>
      <rPr>
        <sz val="10"/>
        <color rgb="FF000000"/>
        <rFont val="Arial"/>
        <family val="0"/>
        <charset val="1"/>
      </rPr>
      <t xml:space="preserve">SOFC</t>
    </r>
    <r>
      <rPr>
        <sz val="10"/>
        <color rgb="FF000000"/>
        <rFont val="Noto Sans CJK SC"/>
        <family val="2"/>
      </rPr>
      <t xml:space="preserve">隔膜片毛利</t>
    </r>
  </si>
  <si>
    <r>
      <rPr>
        <b val="true"/>
        <sz val="10"/>
        <color rgb="FF1F3864"/>
        <rFont val="Arial"/>
        <family val="0"/>
        <charset val="1"/>
      </rPr>
      <t xml:space="preserve">B. </t>
    </r>
    <r>
      <rPr>
        <b val="true"/>
        <sz val="10"/>
        <color rgb="FF1F3864"/>
        <rFont val="Noto Sans CJK SC"/>
        <family val="2"/>
      </rPr>
      <t xml:space="preserve">分部收入</t>
    </r>
  </si>
  <si>
    <t xml:space="preserve">电子元件</t>
  </si>
  <si>
    <t xml:space="preserve">通信器件</t>
  </si>
  <si>
    <t xml:space="preserve">电子及陶瓷材料（分部合计）</t>
  </si>
  <si>
    <r>
      <rPr>
        <sz val="10"/>
        <color rgb="FF000000"/>
        <rFont val="Noto Sans CJK SC"/>
        <family val="2"/>
      </rPr>
      <t xml:space="preserve">  其中：不含</t>
    </r>
    <r>
      <rPr>
        <sz val="10"/>
        <color rgb="FF000000"/>
        <rFont val="Arial"/>
        <family val="0"/>
        <charset val="1"/>
      </rPr>
      <t xml:space="preserve">SOFC</t>
    </r>
    <r>
      <rPr>
        <sz val="10"/>
        <color rgb="FF000000"/>
        <rFont val="Noto Sans CJK SC"/>
        <family val="2"/>
      </rPr>
      <t xml:space="preserve">隔膜片</t>
    </r>
  </si>
  <si>
    <r>
      <rPr>
        <sz val="10"/>
        <color rgb="FF000000"/>
        <rFont val="Noto Sans CJK SC"/>
        <family val="2"/>
      </rPr>
      <t xml:space="preserve">  其中：</t>
    </r>
    <r>
      <rPr>
        <sz val="10"/>
        <color rgb="FF000000"/>
        <rFont val="Arial"/>
        <family val="0"/>
        <charset val="1"/>
      </rPr>
      <t xml:space="preserve">SOFC</t>
    </r>
    <r>
      <rPr>
        <sz val="10"/>
        <color rgb="FF000000"/>
        <rFont val="Noto Sans CJK SC"/>
        <family val="2"/>
      </rPr>
      <t xml:space="preserve">隔膜片</t>
    </r>
  </si>
  <si>
    <t xml:space="preserve">设备组件</t>
  </si>
  <si>
    <t xml:space="preserve">其他主营</t>
  </si>
  <si>
    <t xml:space="preserve">其他业务</t>
  </si>
  <si>
    <t xml:space="preserve">营业收入合计</t>
  </si>
  <si>
    <r>
      <rPr>
        <b val="true"/>
        <sz val="10"/>
        <color rgb="FF1F3864"/>
        <rFont val="Arial"/>
        <family val="0"/>
        <charset val="1"/>
      </rPr>
      <t xml:space="preserve">C. </t>
    </r>
    <r>
      <rPr>
        <b val="true"/>
        <sz val="10"/>
        <color rgb="FF1F3864"/>
        <rFont val="Noto Sans CJK SC"/>
        <family val="2"/>
      </rPr>
      <t xml:space="preserve">分部增速</t>
    </r>
  </si>
  <si>
    <t xml:space="preserve">电子元件 同比</t>
  </si>
  <si>
    <t xml:space="preserve">通信器件 同比</t>
  </si>
  <si>
    <t xml:space="preserve">电子及陶瓷材料 同比</t>
  </si>
  <si>
    <r>
      <rPr>
        <sz val="10"/>
        <color rgb="FF000000"/>
        <rFont val="Arial"/>
        <family val="0"/>
        <charset val="1"/>
      </rPr>
      <t xml:space="preserve">SOFC</t>
    </r>
    <r>
      <rPr>
        <sz val="10"/>
        <color rgb="FF000000"/>
        <rFont val="Noto Sans CJK SC"/>
        <family val="2"/>
      </rPr>
      <t xml:space="preserve">隔膜片 同比</t>
    </r>
  </si>
  <si>
    <t xml:space="preserve">设备组件 同比</t>
  </si>
  <si>
    <t xml:space="preserve">营业收入合计 同比</t>
  </si>
  <si>
    <r>
      <rPr>
        <b val="true"/>
        <sz val="10"/>
        <color rgb="FF1F3864"/>
        <rFont val="Arial"/>
        <family val="0"/>
        <charset val="1"/>
      </rPr>
      <t xml:space="preserve">D. </t>
    </r>
    <r>
      <rPr>
        <b val="true"/>
        <sz val="10"/>
        <color rgb="FF1F3864"/>
        <rFont val="Noto Sans CJK SC"/>
        <family val="2"/>
      </rPr>
      <t xml:space="preserve">分部毛利</t>
    </r>
  </si>
  <si>
    <t xml:space="preserve">电子元件 毛利</t>
  </si>
  <si>
    <t xml:space="preserve">通信器件 毛利</t>
  </si>
  <si>
    <t xml:space="preserve">电子及陶瓷材料 毛利（合计）</t>
  </si>
  <si>
    <t xml:space="preserve">设备组件 毛利</t>
  </si>
  <si>
    <t xml:space="preserve">其他主营 毛利</t>
  </si>
  <si>
    <t xml:space="preserve">其他业务 毛利</t>
  </si>
  <si>
    <t xml:space="preserve">毛利合计</t>
  </si>
  <si>
    <t xml:space="preserve">分部毛利率</t>
  </si>
  <si>
    <t xml:space="preserve">  电子元件</t>
  </si>
  <si>
    <t xml:space="preserve">  通信器件</t>
  </si>
  <si>
    <t xml:space="preserve">  电子及陶瓷材料</t>
  </si>
  <si>
    <t xml:space="preserve">  设备组件</t>
  </si>
  <si>
    <t xml:space="preserve">  其他主营</t>
  </si>
  <si>
    <t xml:space="preserve">  其他业务</t>
  </si>
  <si>
    <t xml:space="preserve">  综合毛利率</t>
  </si>
  <si>
    <r>
      <rPr>
        <b val="true"/>
        <sz val="10"/>
        <color rgb="FF1F3864"/>
        <rFont val="Arial"/>
        <family val="0"/>
        <charset val="1"/>
      </rPr>
      <t xml:space="preserve">E. </t>
    </r>
    <r>
      <rPr>
        <b val="true"/>
        <sz val="10"/>
        <color rgb="FF1F3864"/>
        <rFont val="Noto Sans CJK SC"/>
        <family val="2"/>
      </rPr>
      <t xml:space="preserve">半年度校验：</t>
    </r>
    <r>
      <rPr>
        <b val="true"/>
        <sz val="10"/>
        <color rgb="FF1F3864"/>
        <rFont val="Arial"/>
        <family val="0"/>
        <charset val="1"/>
      </rPr>
      <t xml:space="preserve">2026E</t>
    </r>
    <r>
      <rPr>
        <b val="true"/>
        <sz val="10"/>
        <color rgb="FF1F3864"/>
        <rFont val="Noto Sans CJK SC"/>
        <family val="2"/>
      </rPr>
      <t xml:space="preserve">全年隐含下半年</t>
    </r>
  </si>
  <si>
    <r>
      <rPr>
        <sz val="10"/>
        <color rgb="FF000000"/>
        <rFont val="Arial"/>
        <family val="0"/>
        <charset val="1"/>
      </rPr>
      <t xml:space="preserve">2026H1</t>
    </r>
    <r>
      <rPr>
        <sz val="10"/>
        <color rgb="FF000000"/>
        <rFont val="Noto Sans CJK SC"/>
        <family val="2"/>
      </rPr>
      <t xml:space="preserve">营业收入（半年报）</t>
    </r>
  </si>
  <si>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Noto Sans CJK SC"/>
        <family val="2"/>
      </rPr>
      <t xml:space="preserve">隐含下半年营业收入</t>
    </r>
  </si>
  <si>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Noto Sans CJK SC"/>
        <family val="2"/>
      </rPr>
      <t xml:space="preserve">下半年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上半年</t>
    </r>
  </si>
  <si>
    <r>
      <rPr>
        <sz val="10"/>
        <color rgb="FF000000"/>
        <rFont val="Arial"/>
        <family val="0"/>
        <charset val="1"/>
      </rPr>
      <t xml:space="preserve">2026Q2</t>
    </r>
    <r>
      <rPr>
        <sz val="10"/>
        <color rgb="FF000000"/>
        <rFont val="Noto Sans CJK SC"/>
        <family val="2"/>
      </rPr>
      <t xml:space="preserve">单季收入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（下半年环比持平参照）</t>
    </r>
  </si>
  <si>
    <r>
      <rPr>
        <sz val="10"/>
        <color rgb="FF000000"/>
        <rFont val="Noto Sans CJK SC"/>
        <family val="2"/>
      </rPr>
      <t xml:space="preserve">参照：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年下半年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上半年</t>
    </r>
  </si>
  <si>
    <t xml:space="preserve">三表联动预测（利润表、资产负债表、现金流量表）</t>
  </si>
  <si>
    <r>
      <rPr>
        <i val="true"/>
        <sz val="10"/>
        <color rgb="FF595959"/>
        <rFont val="Arial"/>
        <family val="0"/>
        <charset val="1"/>
      </rPr>
      <t xml:space="preserve">2021A-2025A</t>
    </r>
    <r>
      <rPr>
        <i val="true"/>
        <sz val="10"/>
        <color rgb="FF595959"/>
        <rFont val="Noto Sans CJK SC"/>
        <family val="2"/>
      </rPr>
      <t xml:space="preserve">链接历史报表（绿字）；</t>
    </r>
    <r>
      <rPr>
        <i val="true"/>
        <sz val="10"/>
        <color rgb="FF595959"/>
        <rFont val="Arial"/>
        <family val="0"/>
        <charset val="1"/>
      </rPr>
      <t xml:space="preserve">2026E-2030E</t>
    </r>
    <r>
      <rPr>
        <i val="true"/>
        <sz val="10"/>
        <color rgb="FF595959"/>
        <rFont val="Noto Sans CJK SC"/>
        <family val="2"/>
      </rPr>
      <t xml:space="preserve">为公式。货币资金由现金流量表倒挤，资产负债表自动配平。</t>
    </r>
  </si>
  <si>
    <t xml:space="preserve">说明</t>
  </si>
  <si>
    <t xml:space="preserve">利润表</t>
  </si>
  <si>
    <t xml:space="preserve">  同比增速</t>
  </si>
  <si>
    <t xml:space="preserve">营业成本</t>
  </si>
  <si>
    <t xml:space="preserve">毛利</t>
  </si>
  <si>
    <t xml:space="preserve">  毛利率</t>
  </si>
  <si>
    <t xml:space="preserve">税金及附加</t>
  </si>
  <si>
    <t xml:space="preserve">销售费用</t>
  </si>
  <si>
    <t xml:space="preserve">管理费用</t>
  </si>
  <si>
    <t xml:space="preserve">研发费用</t>
  </si>
  <si>
    <t xml:space="preserve">财务费用（负数为净收益）</t>
  </si>
  <si>
    <t xml:space="preserve">  其中：利息收入</t>
  </si>
  <si>
    <t xml:space="preserve">  其中：利息费用</t>
  </si>
  <si>
    <t xml:space="preserve">其他收益</t>
  </si>
  <si>
    <r>
      <rPr>
        <sz val="10"/>
        <color rgb="FF000000"/>
        <rFont val="Noto Sans CJK SC"/>
        <family val="2"/>
      </rPr>
      <t xml:space="preserve">投资收益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公允价值变动</t>
    </r>
  </si>
  <si>
    <t xml:space="preserve">资产及信用减值损失</t>
  </si>
  <si>
    <t xml:space="preserve">资产处置收益</t>
  </si>
  <si>
    <t xml:space="preserve">营业利润</t>
  </si>
  <si>
    <t xml:space="preserve">营业外收支净额</t>
  </si>
  <si>
    <t xml:space="preserve">利润总额</t>
  </si>
  <si>
    <t xml:space="preserve">所得税</t>
  </si>
  <si>
    <t xml:space="preserve">  实际税率</t>
  </si>
  <si>
    <t xml:space="preserve">净利润</t>
  </si>
  <si>
    <t xml:space="preserve">少数股东损益</t>
  </si>
  <si>
    <t xml:space="preserve">  归母净利率</t>
  </si>
  <si>
    <r>
      <rPr>
        <b val="true"/>
        <sz val="10"/>
        <color rgb="FF000000"/>
        <rFont val="Arial"/>
        <family val="0"/>
        <charset val="1"/>
      </rPr>
      <t xml:space="preserve">EPS</t>
    </r>
    <r>
      <rPr>
        <b val="true"/>
        <sz val="10"/>
        <color rgb="FF000000"/>
        <rFont val="Noto Sans CJK SC"/>
        <family val="2"/>
      </rPr>
      <t xml:space="preserve">（摊薄，元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股）</t>
    </r>
  </si>
  <si>
    <t xml:space="preserve">利润表分析</t>
  </si>
  <si>
    <r>
      <rPr>
        <b val="true"/>
        <sz val="10"/>
        <color rgb="FF000000"/>
        <rFont val="Arial"/>
        <family val="0"/>
        <charset val="1"/>
      </rPr>
      <t xml:space="preserve">EBIT</t>
    </r>
    <r>
      <rPr>
        <b val="true"/>
        <sz val="10"/>
        <color rgb="FF000000"/>
        <rFont val="Noto Sans CJK SC"/>
        <family val="2"/>
      </rPr>
      <t xml:space="preserve">（剔除利息、投资收益与公允价值变动）</t>
    </r>
  </si>
  <si>
    <t xml:space="preserve">折旧与摊销</t>
  </si>
  <si>
    <t xml:space="preserve">EBITDA</t>
  </si>
  <si>
    <r>
      <rPr>
        <sz val="10"/>
        <color rgb="FF000000"/>
        <rFont val="Arial"/>
        <family val="0"/>
        <charset val="1"/>
      </rPr>
      <t xml:space="preserve">  EBITDA</t>
    </r>
    <r>
      <rPr>
        <sz val="10"/>
        <color rgb="FF000000"/>
        <rFont val="Noto Sans CJK SC"/>
        <family val="2"/>
      </rPr>
      <t xml:space="preserve">利润率</t>
    </r>
  </si>
  <si>
    <r>
      <rPr>
        <sz val="10"/>
        <color rgb="FF000000"/>
        <rFont val="Noto Sans CJK SC"/>
        <family val="2"/>
      </rPr>
      <t xml:space="preserve">  期间费用率（销售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管理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研发）</t>
    </r>
  </si>
  <si>
    <r>
      <rPr>
        <sz val="10"/>
        <color rgb="FF000000"/>
        <rFont val="Noto Sans CJK SC"/>
        <family val="2"/>
      </rPr>
      <t xml:space="preserve">  校验：营业利润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报告值（历史）</t>
    </r>
  </si>
  <si>
    <t xml:space="preserve">资产负债表</t>
  </si>
  <si>
    <t xml:space="preserve">货币资金</t>
  </si>
  <si>
    <t xml:space="preserve">交易性金融资产</t>
  </si>
  <si>
    <t xml:space="preserve">应收票据、账款及应收款项融资</t>
  </si>
  <si>
    <t xml:space="preserve">预付款项</t>
  </si>
  <si>
    <t xml:space="preserve">其他应收款</t>
  </si>
  <si>
    <t xml:space="preserve">存货</t>
  </si>
  <si>
    <t xml:space="preserve">其他流动资产</t>
  </si>
  <si>
    <t xml:space="preserve">流动资产合计</t>
  </si>
  <si>
    <r>
      <rPr>
        <sz val="10"/>
        <color rgb="FF000000"/>
        <rFont val="Noto Sans CJK SC"/>
        <family val="2"/>
      </rPr>
      <t xml:space="preserve">固定资产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在建工程</t>
    </r>
  </si>
  <si>
    <t xml:space="preserve">无形资产、商誉、使用权资产及其他长期资产</t>
  </si>
  <si>
    <t xml:space="preserve">递延所得税资产</t>
  </si>
  <si>
    <r>
      <rPr>
        <sz val="10"/>
        <color rgb="FF000000"/>
        <rFont val="Noto Sans CJK SC"/>
        <family val="2"/>
      </rPr>
      <t xml:space="preserve">其他非流动资产（主要为定期存款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大额存单）</t>
    </r>
  </si>
  <si>
    <t xml:space="preserve">非流动资产合计</t>
  </si>
  <si>
    <t xml:space="preserve">资产总计</t>
  </si>
  <si>
    <r>
      <rPr>
        <sz val="10"/>
        <color rgb="FF000000"/>
        <rFont val="Noto Sans CJK SC"/>
        <family val="2"/>
      </rPr>
      <t xml:space="preserve">有息负债（短期借款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一年内到期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长期借款）</t>
    </r>
  </si>
  <si>
    <t xml:space="preserve">应付票据及应付账款</t>
  </si>
  <si>
    <t xml:space="preserve">其他流动负债合计</t>
  </si>
  <si>
    <t xml:space="preserve">非流动负债（租赁、递延收益、递延所得税等）</t>
  </si>
  <si>
    <t xml:space="preserve">负债合计</t>
  </si>
  <si>
    <t xml:space="preserve">归母所有者权益</t>
  </si>
  <si>
    <t xml:space="preserve">少数股东权益</t>
  </si>
  <si>
    <t xml:space="preserve">所有者权益合计</t>
  </si>
  <si>
    <t xml:space="preserve">负债和所有者权益总计</t>
  </si>
  <si>
    <r>
      <rPr>
        <sz val="10"/>
        <color rgb="FF000000"/>
        <rFont val="Noto Sans CJK SC"/>
        <family val="2"/>
      </rPr>
      <t xml:space="preserve">  校验：资产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负债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权益</t>
    </r>
  </si>
  <si>
    <r>
      <rPr>
        <sz val="10"/>
        <color rgb="FF000000"/>
        <rFont val="Noto Sans CJK SC"/>
        <family val="2"/>
      </rPr>
      <t xml:space="preserve">  校验：资产总计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报告值（历史）</t>
    </r>
  </si>
  <si>
    <t xml:space="preserve">现金流量表（预测为间接法；历史为报告值）</t>
  </si>
  <si>
    <t xml:space="preserve">  固定资产折旧</t>
  </si>
  <si>
    <t xml:space="preserve">  无形资产及其他摊销</t>
  </si>
  <si>
    <t xml:space="preserve">  营运资本变动（增加为负）</t>
  </si>
  <si>
    <t xml:space="preserve">  其他非现金项目（历史）</t>
  </si>
  <si>
    <t xml:space="preserve">经营活动现金流量净额</t>
  </si>
  <si>
    <t xml:space="preserve">资本开支</t>
  </si>
  <si>
    <t xml:space="preserve">其他投资活动（交易性金融资产、定期存款等变动）</t>
  </si>
  <si>
    <t xml:space="preserve">投资活动现金流量净额</t>
  </si>
  <si>
    <t xml:space="preserve">  现金股利</t>
  </si>
  <si>
    <t xml:space="preserve">  股份回购</t>
  </si>
  <si>
    <r>
      <rPr>
        <sz val="10"/>
        <color rgb="FF000000"/>
        <rFont val="Arial"/>
        <family val="0"/>
        <charset val="1"/>
      </rPr>
      <t xml:space="preserve">  H</t>
    </r>
    <r>
      <rPr>
        <sz val="10"/>
        <color rgb="FF000000"/>
        <rFont val="Noto Sans CJK SC"/>
        <family val="2"/>
      </rPr>
      <t xml:space="preserve">股募资净额</t>
    </r>
  </si>
  <si>
    <t xml:space="preserve">  其他筹资活动（借款变动、非流动负债变动等）</t>
  </si>
  <si>
    <t xml:space="preserve">筹资活动现金流量净额</t>
  </si>
  <si>
    <t xml:space="preserve">汇率变动影响</t>
  </si>
  <si>
    <t xml:space="preserve">现金净增加额</t>
  </si>
  <si>
    <r>
      <rPr>
        <b val="true"/>
        <sz val="10"/>
        <color rgb="FF000000"/>
        <rFont val="Noto Sans CJK SC"/>
        <family val="2"/>
      </rPr>
      <t xml:space="preserve">自由现金流（经营现金流</t>
    </r>
    <r>
      <rPr>
        <b val="true"/>
        <sz val="10"/>
        <color rgb="FF000000"/>
        <rFont val="Arial"/>
        <family val="0"/>
        <charset val="1"/>
      </rPr>
      <t xml:space="preserve">-</t>
    </r>
    <r>
      <rPr>
        <b val="true"/>
        <sz val="10"/>
        <color rgb="FF000000"/>
        <rFont val="Noto Sans CJK SC"/>
        <family val="2"/>
      </rPr>
      <t xml:space="preserve">资本开支）</t>
    </r>
  </si>
  <si>
    <r>
      <rPr>
        <sz val="10"/>
        <color rgb="FF000000"/>
        <rFont val="Noto Sans CJK SC"/>
        <family val="2"/>
      </rPr>
      <t xml:space="preserve">  校验：现金净增加额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报告值（历史）</t>
    </r>
  </si>
  <si>
    <t xml:space="preserve">关键比率</t>
  </si>
  <si>
    <r>
      <rPr>
        <sz val="10"/>
        <color rgb="FF000000"/>
        <rFont val="Arial"/>
        <family val="0"/>
        <charset val="1"/>
      </rPr>
      <t xml:space="preserve">ROE</t>
    </r>
    <r>
      <rPr>
        <sz val="10"/>
        <color rgb="FF000000"/>
        <rFont val="Noto Sans CJK SC"/>
        <family val="2"/>
      </rPr>
      <t xml:space="preserve">（归母，期末权益）</t>
    </r>
  </si>
  <si>
    <r>
      <rPr>
        <sz val="10"/>
        <color rgb="FF000000"/>
        <rFont val="Arial"/>
        <family val="0"/>
        <charset val="1"/>
      </rPr>
      <t xml:space="preserve">ROE</t>
    </r>
    <r>
      <rPr>
        <sz val="10"/>
        <color rgb="FF000000"/>
        <rFont val="Noto Sans CJK SC"/>
        <family val="2"/>
      </rPr>
      <t xml:space="preserve">（归母，平均权益）</t>
    </r>
  </si>
  <si>
    <t xml:space="preserve">ROA</t>
  </si>
  <si>
    <r>
      <rPr>
        <sz val="10"/>
        <color rgb="FF000000"/>
        <rFont val="Arial"/>
        <family val="0"/>
        <charset val="1"/>
      </rPr>
      <t xml:space="preserve">ROIC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EBIT×(1-</t>
    </r>
    <r>
      <rPr>
        <sz val="10"/>
        <color rgb="FF000000"/>
        <rFont val="Noto Sans CJK SC"/>
        <family val="2"/>
      </rPr>
      <t xml:space="preserve">税率</t>
    </r>
    <r>
      <rPr>
        <sz val="10"/>
        <color rgb="FF000000"/>
        <rFont val="Arial"/>
        <family val="0"/>
        <charset val="1"/>
      </rPr>
      <t xml:space="preserve">)/(</t>
    </r>
    <r>
      <rPr>
        <sz val="10"/>
        <color rgb="FF000000"/>
        <rFont val="Noto Sans CJK SC"/>
        <family val="2"/>
      </rPr>
      <t xml:space="preserve">权益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有息负债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现金类资产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</t>
    </r>
  </si>
  <si>
    <t xml:space="preserve">应收周转天数</t>
  </si>
  <si>
    <t xml:space="preserve">存货周转天数</t>
  </si>
  <si>
    <t xml:space="preserve">应付周转天数</t>
  </si>
  <si>
    <r>
      <rPr>
        <b val="true"/>
        <sz val="10"/>
        <color rgb="FF000000"/>
        <rFont val="Noto Sans CJK SC"/>
        <family val="2"/>
      </rPr>
      <t xml:space="preserve">净现金（货币资金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Noto Sans CJK SC"/>
        <family val="2"/>
      </rPr>
      <t xml:space="preserve">交易性金融资产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Noto Sans CJK SC"/>
        <family val="2"/>
      </rPr>
      <t xml:space="preserve">类现金定期存款</t>
    </r>
    <r>
      <rPr>
        <b val="true"/>
        <sz val="10"/>
        <color rgb="FF000000"/>
        <rFont val="Arial"/>
        <family val="0"/>
        <charset val="1"/>
      </rPr>
      <t xml:space="preserve">-</t>
    </r>
    <r>
      <rPr>
        <b val="true"/>
        <sz val="10"/>
        <color rgb="FF000000"/>
        <rFont val="Noto Sans CJK SC"/>
        <family val="2"/>
      </rPr>
      <t xml:space="preserve">有息负债）</t>
    </r>
  </si>
  <si>
    <r>
      <rPr>
        <sz val="10"/>
        <color rgb="FF000000"/>
        <rFont val="Noto Sans CJK SC"/>
        <family val="2"/>
      </rPr>
      <t xml:space="preserve">资本开支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收入</t>
    </r>
  </si>
  <si>
    <r>
      <rPr>
        <sz val="10"/>
        <color rgb="FF000000"/>
        <rFont val="Noto Sans CJK SC"/>
        <family val="2"/>
      </rPr>
      <t xml:space="preserve">分红率（当年派息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上年归母净利润）</t>
    </r>
  </si>
  <si>
    <t xml:space="preserve">每股净资产（元）</t>
  </si>
  <si>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（当前股价）</t>
    </r>
  </si>
  <si>
    <r>
      <rPr>
        <sz val="10"/>
        <color rgb="FF000000"/>
        <rFont val="Arial"/>
        <family val="0"/>
        <charset val="1"/>
      </rPr>
      <t xml:space="preserve">PB</t>
    </r>
    <r>
      <rPr>
        <sz val="10"/>
        <color rgb="FF000000"/>
        <rFont val="Noto Sans CJK SC"/>
        <family val="2"/>
      </rPr>
      <t xml:space="preserve">（当前股价）</t>
    </r>
  </si>
  <si>
    <r>
      <rPr>
        <b val="true"/>
        <sz val="14"/>
        <color rgb="FF1F3864"/>
        <rFont val="Noto Sans CJK SC"/>
        <family val="2"/>
      </rPr>
      <t xml:space="preserve">股本、库存股与</t>
    </r>
    <r>
      <rPr>
        <b val="true"/>
        <sz val="14"/>
        <color rgb="FF1F3864"/>
        <rFont val="Arial"/>
        <family val="0"/>
        <charset val="1"/>
      </rPr>
      <t xml:space="preserve">H</t>
    </r>
    <r>
      <rPr>
        <b val="true"/>
        <sz val="14"/>
        <color rgb="FF1F3864"/>
        <rFont val="Noto Sans CJK SC"/>
        <family val="2"/>
      </rPr>
      <t xml:space="preserve">股募资</t>
    </r>
  </si>
  <si>
    <r>
      <rPr>
        <i val="true"/>
        <sz val="10"/>
        <color rgb="FF595959"/>
        <rFont val="Noto Sans CJK SC"/>
        <family val="2"/>
      </rPr>
      <t xml:space="preserve">期末口径：总股本扣除库存股（用于摊薄</t>
    </r>
    <r>
      <rPr>
        <i val="true"/>
        <sz val="10"/>
        <color rgb="FF595959"/>
        <rFont val="Arial"/>
        <family val="0"/>
        <charset val="1"/>
      </rPr>
      <t xml:space="preserve">EPS</t>
    </r>
    <r>
      <rPr>
        <i val="true"/>
        <sz val="10"/>
        <color rgb="FF595959"/>
        <rFont val="Noto Sans CJK SC"/>
        <family val="2"/>
      </rPr>
      <t xml:space="preserve">与每股价值）。</t>
    </r>
    <r>
      <rPr>
        <i val="true"/>
        <sz val="10"/>
        <color rgb="FF595959"/>
        <rFont val="Arial"/>
        <family val="0"/>
        <charset val="1"/>
      </rPr>
      <t xml:space="preserve">H</t>
    </r>
    <r>
      <rPr>
        <i val="true"/>
        <sz val="10"/>
        <color rgb="FF595959"/>
        <rFont val="Noto Sans CJK SC"/>
        <family val="2"/>
      </rPr>
      <t xml:space="preserve">股于</t>
    </r>
    <r>
      <rPr>
        <i val="true"/>
        <sz val="10"/>
        <color rgb="FF595959"/>
        <rFont val="Arial"/>
        <family val="0"/>
        <charset val="1"/>
      </rPr>
      <t xml:space="preserve">2026-07-09</t>
    </r>
    <r>
      <rPr>
        <i val="true"/>
        <sz val="10"/>
        <color rgb="FF595959"/>
        <rFont val="Noto Sans CJK SC"/>
        <family val="2"/>
      </rPr>
      <t xml:space="preserve">上市。</t>
    </r>
  </si>
  <si>
    <t xml:space="preserve">项目</t>
  </si>
  <si>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股新发股数</t>
    </r>
  </si>
  <si>
    <t xml:space="preserve">百万股</t>
  </si>
  <si>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股募资净额</t>
    </r>
  </si>
  <si>
    <t xml:space="preserve">期末总股本</t>
  </si>
  <si>
    <t xml:space="preserve">当年回购金额</t>
  </si>
  <si>
    <t xml:space="preserve">当年回购股数</t>
  </si>
  <si>
    <t xml:space="preserve">期末库存股</t>
  </si>
  <si>
    <t xml:space="preserve">期末流通股本（扣除库存股）</t>
  </si>
  <si>
    <t xml:space="preserve">当年派发现金股利</t>
  </si>
  <si>
    <r>
      <rPr>
        <b val="true"/>
        <sz val="14"/>
        <color rgb="FF1F3864"/>
        <rFont val="Arial"/>
        <family val="0"/>
        <charset val="1"/>
      </rPr>
      <t xml:space="preserve">DCF</t>
    </r>
    <r>
      <rPr>
        <b val="true"/>
        <sz val="14"/>
        <color rgb="FF1F3864"/>
        <rFont val="Noto Sans CJK SC"/>
        <family val="2"/>
      </rPr>
      <t xml:space="preserve">估值（</t>
    </r>
    <r>
      <rPr>
        <b val="true"/>
        <sz val="14"/>
        <color rgb="FF1F3864"/>
        <rFont val="Arial"/>
        <family val="0"/>
        <charset val="1"/>
      </rPr>
      <t xml:space="preserve">FCFF</t>
    </r>
    <r>
      <rPr>
        <b val="true"/>
        <sz val="14"/>
        <color rgb="FF1F3864"/>
        <rFont val="Noto Sans CJK SC"/>
        <family val="2"/>
      </rPr>
      <t xml:space="preserve">，三阶段）</t>
    </r>
  </si>
  <si>
    <r>
      <rPr>
        <i val="true"/>
        <sz val="10"/>
        <color rgb="FF595959"/>
        <rFont val="Noto Sans CJK SC"/>
        <family val="2"/>
      </rPr>
      <t xml:space="preserve">估值基准日：</t>
    </r>
    <r>
      <rPr>
        <i val="true"/>
        <sz val="10"/>
        <color rgb="FF595959"/>
        <rFont val="Arial"/>
        <family val="0"/>
        <charset val="1"/>
      </rPr>
      <t xml:space="preserve">2026-12-31</t>
    </r>
    <r>
      <rPr>
        <i val="true"/>
        <sz val="10"/>
        <color rgb="FF595959"/>
        <rFont val="Noto Sans CJK SC"/>
        <family val="2"/>
      </rPr>
      <t xml:space="preserve">（使用</t>
    </r>
    <r>
      <rPr>
        <i val="true"/>
        <sz val="10"/>
        <color rgb="FF595959"/>
        <rFont val="Arial"/>
        <family val="0"/>
        <charset val="1"/>
      </rPr>
      <t xml:space="preserve">2026E</t>
    </r>
    <r>
      <rPr>
        <i val="true"/>
        <sz val="10"/>
        <color rgb="FF595959"/>
        <rFont val="Noto Sans CJK SC"/>
        <family val="2"/>
      </rPr>
      <t xml:space="preserve">年末净现金）。第一阶段</t>
    </r>
    <r>
      <rPr>
        <i val="true"/>
        <sz val="10"/>
        <color rgb="FF595959"/>
        <rFont val="Arial"/>
        <family val="0"/>
        <charset val="1"/>
      </rPr>
      <t xml:space="preserve">2027E-2030E</t>
    </r>
    <r>
      <rPr>
        <i val="true"/>
        <sz val="10"/>
        <color rgb="FF595959"/>
        <rFont val="Noto Sans CJK SC"/>
        <family val="2"/>
      </rPr>
      <t xml:space="preserve">取自三表；第二阶段</t>
    </r>
    <r>
      <rPr>
        <i val="true"/>
        <sz val="10"/>
        <color rgb="FF595959"/>
        <rFont val="Arial"/>
        <family val="0"/>
        <charset val="1"/>
      </rPr>
      <t xml:space="preserve">2031E-2035E</t>
    </r>
    <r>
      <rPr>
        <i val="true"/>
        <sz val="10"/>
        <color rgb="FF595959"/>
        <rFont val="Noto Sans CJK SC"/>
        <family val="2"/>
      </rPr>
      <t xml:space="preserve">按</t>
    </r>
    <r>
      <rPr>
        <i val="true"/>
        <sz val="10"/>
        <color rgb="FF595959"/>
        <rFont val="Arial"/>
        <family val="0"/>
        <charset val="1"/>
      </rPr>
      <t xml:space="preserve">FCFF</t>
    </r>
    <r>
      <rPr>
        <i val="true"/>
        <sz val="10"/>
        <color rgb="FF595959"/>
        <rFont val="Noto Sans CJK SC"/>
        <family val="2"/>
      </rPr>
      <t xml:space="preserve">增速线性递减；之后永续增长。</t>
    </r>
  </si>
  <si>
    <r>
      <rPr>
        <sz val="10"/>
        <color rgb="FF000000"/>
        <rFont val="Noto Sans CJK SC"/>
        <family val="2"/>
      </rPr>
      <t xml:space="preserve">股权成本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无风险利率 </t>
    </r>
    <r>
      <rPr>
        <sz val="10"/>
        <color rgb="FF000000"/>
        <rFont val="Arial"/>
        <family val="0"/>
        <charset val="1"/>
      </rPr>
      <t xml:space="preserve">+ Beta × </t>
    </r>
    <r>
      <rPr>
        <sz val="10"/>
        <color rgb="FF000000"/>
        <rFont val="Noto Sans CJK SC"/>
        <family val="2"/>
      </rPr>
      <t xml:space="preserve">股权风险溢价</t>
    </r>
  </si>
  <si>
    <t xml:space="preserve">税后债务成本</t>
  </si>
  <si>
    <r>
      <rPr>
        <b val="true"/>
        <sz val="10"/>
        <color rgb="FF1F3864"/>
        <rFont val="Noto Sans CJK SC"/>
        <family val="2"/>
      </rPr>
      <t xml:space="preserve">自由现金流（</t>
    </r>
    <r>
      <rPr>
        <b val="true"/>
        <sz val="10"/>
        <color rgb="FF1F3864"/>
        <rFont val="Arial"/>
        <family val="0"/>
        <charset val="1"/>
      </rPr>
      <t xml:space="preserve">FCFF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</si>
  <si>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</si>
  <si>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</si>
  <si>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</si>
  <si>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</si>
  <si>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</si>
  <si>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折现期（年）</t>
  </si>
  <si>
    <t xml:space="preserve">EBIT</t>
  </si>
  <si>
    <r>
      <rPr>
        <sz val="10"/>
        <color rgb="FF000000"/>
        <rFont val="Noto Sans CJK SC"/>
        <family val="2"/>
      </rPr>
      <t xml:space="preserve">减：</t>
    </r>
    <r>
      <rPr>
        <sz val="10"/>
        <color rgb="FF000000"/>
        <rFont val="Arial"/>
        <family val="0"/>
        <charset val="1"/>
      </rPr>
      <t xml:space="preserve">EBIT</t>
    </r>
    <r>
      <rPr>
        <sz val="10"/>
        <color rgb="FF000000"/>
        <rFont val="Noto Sans CJK SC"/>
        <family val="2"/>
      </rPr>
      <t xml:space="preserve">所得税</t>
    </r>
  </si>
  <si>
    <t xml:space="preserve">加：折旧与摊销</t>
  </si>
  <si>
    <t xml:space="preserve">减：资本开支</t>
  </si>
  <si>
    <t xml:space="preserve">减：营运资本增加</t>
  </si>
  <si>
    <r>
      <rPr>
        <sz val="10"/>
        <color rgb="FF000000"/>
        <rFont val="Arial"/>
        <family val="0"/>
        <charset val="1"/>
      </rPr>
      <t xml:space="preserve">FCFF</t>
    </r>
    <r>
      <rPr>
        <sz val="10"/>
        <color rgb="FF000000"/>
        <rFont val="Noto Sans CJK SC"/>
        <family val="2"/>
      </rPr>
      <t xml:space="preserve">增速（第二阶段）</t>
    </r>
  </si>
  <si>
    <t xml:space="preserve">FCFF</t>
  </si>
  <si>
    <t xml:space="preserve">折现系数</t>
  </si>
  <si>
    <r>
      <rPr>
        <sz val="10"/>
        <color rgb="FF000000"/>
        <rFont val="Arial"/>
        <family val="0"/>
        <charset val="1"/>
      </rPr>
      <t xml:space="preserve">FCFF</t>
    </r>
    <r>
      <rPr>
        <sz val="10"/>
        <color rgb="FF000000"/>
        <rFont val="Noto Sans CJK SC"/>
        <family val="2"/>
      </rPr>
      <t xml:space="preserve">现值</t>
    </r>
  </si>
  <si>
    <t xml:space="preserve">企业价值与股权价值</t>
  </si>
  <si>
    <r>
      <rPr>
        <sz val="10"/>
        <color rgb="FF000000"/>
        <rFont val="Arial"/>
        <family val="0"/>
        <charset val="1"/>
      </rPr>
      <t xml:space="preserve">FCFF</t>
    </r>
    <r>
      <rPr>
        <sz val="10"/>
        <color rgb="FF000000"/>
        <rFont val="Noto Sans CJK SC"/>
        <family val="2"/>
      </rPr>
      <t xml:space="preserve">现值合计（</t>
    </r>
    <r>
      <rPr>
        <sz val="10"/>
        <color rgb="FF000000"/>
        <rFont val="Arial"/>
        <family val="0"/>
        <charset val="1"/>
      </rPr>
      <t xml:space="preserve">2027E-2035E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</si>
  <si>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终值（</t>
    </r>
    <r>
      <rPr>
        <sz val="10"/>
        <color rgb="FF000000"/>
        <rFont val="Arial"/>
        <family val="0"/>
        <charset val="1"/>
      </rPr>
      <t xml:space="preserve">2035E</t>
    </r>
    <r>
      <rPr>
        <sz val="10"/>
        <color rgb="FF000000"/>
        <rFont val="Noto Sans CJK SC"/>
        <family val="2"/>
      </rPr>
      <t xml:space="preserve">）</t>
    </r>
  </si>
  <si>
    <t xml:space="preserve">终值现值</t>
  </si>
  <si>
    <r>
      <rPr>
        <sz val="10"/>
        <color rgb="FF000000"/>
        <rFont val="Noto Sans CJK SC"/>
        <family val="2"/>
      </rPr>
      <t xml:space="preserve">企业价值（</t>
    </r>
    <r>
      <rPr>
        <sz val="10"/>
        <color rgb="FF000000"/>
        <rFont val="Arial"/>
        <family val="0"/>
        <charset val="1"/>
      </rPr>
      <t xml:space="preserve">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</si>
  <si>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  终值占</t>
    </r>
    <r>
      <rPr>
        <sz val="10"/>
        <color rgb="FF000000"/>
        <rFont val="Arial"/>
        <family val="0"/>
        <charset val="1"/>
      </rPr>
      <t xml:space="preserve">EV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</si>
  <si>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Noto Sans CJK SC"/>
        <family val="2"/>
      </rPr>
      <t xml:space="preserve">加：</t>
    </r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Noto Sans CJK SC"/>
        <family val="2"/>
      </rPr>
      <t xml:space="preserve">年末净现金（含类现金定期存款）</t>
    </r>
  </si>
  <si>
    <t xml:space="preserve">减：少数股东权益</t>
  </si>
  <si>
    <t xml:space="preserve">股权价值</t>
  </si>
  <si>
    <r>
      <rPr>
        <sz val="10"/>
        <color rgb="FF000000"/>
        <rFont val="Noto Sans CJK SC"/>
        <family val="2"/>
      </rPr>
      <t xml:space="preserve">流通股本（百万股，</t>
    </r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</si>
  <si>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Noto Sans CJK SC"/>
        <family val="2"/>
      </rPr>
      <t xml:space="preserve">每股价值（元，</t>
    </r>
    <r>
      <rPr>
        <sz val="10"/>
        <color rgb="FF000000"/>
        <rFont val="Arial"/>
        <family val="0"/>
        <charset val="1"/>
      </rPr>
      <t xml:space="preserve">2026-12-31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</si>
  <si>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每股价值折回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（按股权成本折现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</si>
  <si>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当前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股股价（元）</t>
    </r>
  </si>
  <si>
    <r>
      <rPr>
        <sz val="10"/>
        <color rgb="FF000000"/>
        <rFont val="Noto Sans CJK SC"/>
        <family val="2"/>
      </rPr>
      <t xml:space="preserve">隐含</t>
    </r>
    <r>
      <rPr>
        <sz val="10"/>
        <color rgb="FF000000"/>
        <rFont val="Arial"/>
        <family val="0"/>
        <charset val="1"/>
      </rPr>
      <t xml:space="preserve">EV/EBITDA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</si>
  <si>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隐含</t>
    </r>
    <r>
      <rPr>
        <sz val="10"/>
        <color rgb="FF000000"/>
        <rFont val="Arial"/>
        <family val="0"/>
        <charset val="1"/>
      </rPr>
      <t xml:space="preserve">PE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</si>
  <si>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1F3864"/>
        <rFont val="Noto Sans CJK SC"/>
        <family val="2"/>
      </rPr>
      <t xml:space="preserve">敏感性：每股价值（元，</t>
    </r>
    <r>
      <rPr>
        <b val="true"/>
        <sz val="10"/>
        <color rgb="FF1F3864"/>
        <rFont val="Arial"/>
        <family val="0"/>
        <charset val="1"/>
      </rPr>
      <t xml:space="preserve">2026-12-31</t>
    </r>
    <r>
      <rPr>
        <b val="true"/>
        <sz val="10"/>
        <color rgb="FF1F3864"/>
        <rFont val="Noto Sans CJK SC"/>
        <family val="2"/>
      </rPr>
      <t xml:space="preserve">）— </t>
    </r>
    <r>
      <rPr>
        <b val="true"/>
        <sz val="10"/>
        <color rgb="FF1F3864"/>
        <rFont val="Arial"/>
        <family val="0"/>
        <charset val="1"/>
      </rPr>
      <t xml:space="preserve">WACC</t>
    </r>
    <r>
      <rPr>
        <b val="true"/>
        <sz val="10"/>
        <color rgb="FF1F3864"/>
        <rFont val="Noto Sans CJK SC"/>
        <family val="2"/>
      </rPr>
      <t xml:space="preserve">（行）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永续增长率（列）</t>
    </r>
  </si>
  <si>
    <r>
      <rPr>
        <b val="true"/>
        <sz val="10"/>
        <color rgb="FF000000"/>
        <rFont val="Arial"/>
        <family val="0"/>
        <charset val="1"/>
      </rPr>
      <t xml:space="preserve">WACC \ </t>
    </r>
    <r>
      <rPr>
        <b val="true"/>
        <sz val="10"/>
        <color rgb="FF000000"/>
        <rFont val="Noto Sans CJK SC"/>
        <family val="2"/>
      </rPr>
      <t xml:space="preserve">永续增长率</t>
    </r>
  </si>
  <si>
    <r>
      <rPr>
        <b val="true"/>
        <sz val="10"/>
        <color rgb="FF1F3864"/>
        <rFont val="Noto Sans CJK SC"/>
        <family val="2"/>
      </rPr>
      <t xml:space="preserve">敏感性：每股价值（元）— </t>
    </r>
    <r>
      <rPr>
        <b val="true"/>
        <sz val="10"/>
        <color rgb="FF1F3864"/>
        <rFont val="Arial"/>
        <family val="0"/>
        <charset val="1"/>
      </rPr>
      <t xml:space="preserve">WACC</t>
    </r>
    <r>
      <rPr>
        <b val="true"/>
        <sz val="10"/>
        <color rgb="FF1F3864"/>
        <rFont val="Noto Sans CJK SC"/>
        <family val="2"/>
      </rPr>
      <t xml:space="preserve">（行）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第二阶段增速起点（列）</t>
    </r>
  </si>
  <si>
    <r>
      <rPr>
        <b val="true"/>
        <sz val="10"/>
        <color rgb="FF000000"/>
        <rFont val="Arial"/>
        <family val="0"/>
        <charset val="1"/>
      </rPr>
      <t xml:space="preserve">WACC \ </t>
    </r>
    <r>
      <rPr>
        <b val="true"/>
        <sz val="10"/>
        <color rgb="FF000000"/>
        <rFont val="Noto Sans CJK SC"/>
        <family val="2"/>
      </rPr>
      <t xml:space="preserve">第二阶段起点增速</t>
    </r>
  </si>
  <si>
    <r>
      <rPr>
        <b val="true"/>
        <sz val="14"/>
        <color rgb="FF1F3864"/>
        <rFont val="Noto Sans CJK SC"/>
        <family val="2"/>
      </rPr>
      <t xml:space="preserve">相对估值（</t>
    </r>
    <r>
      <rPr>
        <b val="true"/>
        <sz val="14"/>
        <color rgb="FF1F3864"/>
        <rFont val="Arial"/>
        <family val="0"/>
        <charset val="1"/>
      </rPr>
      <t xml:space="preserve">PE/PB</t>
    </r>
    <r>
      <rPr>
        <b val="true"/>
        <sz val="14"/>
        <color rgb="FF1F3864"/>
        <rFont val="Noto Sans CJK SC"/>
        <family val="2"/>
      </rPr>
      <t xml:space="preserve">）与可比公司</t>
    </r>
  </si>
  <si>
    <t xml:space="preserve">可比公司估值倍数请按最新行情填入黄底单元格（本模型不预填，避免使用过期数据）。</t>
  </si>
  <si>
    <r>
      <rPr>
        <b val="true"/>
        <sz val="10"/>
        <color rgb="FF1F3864"/>
        <rFont val="Arial"/>
        <family val="0"/>
        <charset val="1"/>
      </rPr>
      <t xml:space="preserve">PE</t>
    </r>
    <r>
      <rPr>
        <b val="true"/>
        <sz val="10"/>
        <color rgb="FF1F3864"/>
        <rFont val="Noto Sans CJK SC"/>
        <family val="2"/>
      </rPr>
      <t xml:space="preserve">估值区间（元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股）</t>
    </r>
  </si>
  <si>
    <r>
      <rPr>
        <b val="true"/>
        <sz val="10"/>
        <color rgb="FFFFFFFF"/>
        <rFont val="Arial"/>
        <family val="0"/>
        <charset val="1"/>
      </rPr>
      <t xml:space="preserve">PE</t>
    </r>
    <r>
      <rPr>
        <b val="true"/>
        <sz val="10"/>
        <color rgb="FFFFFFFF"/>
        <rFont val="Noto Sans CJK SC"/>
        <family val="2"/>
      </rPr>
      <t xml:space="preserve">倍数</t>
    </r>
  </si>
  <si>
    <r>
      <rPr>
        <b val="true"/>
        <sz val="10"/>
        <color rgb="FF000000"/>
        <rFont val="Arial"/>
        <family val="0"/>
        <charset val="1"/>
      </rPr>
      <t xml:space="preserve">EPS</t>
    </r>
    <r>
      <rPr>
        <b val="true"/>
        <sz val="10"/>
        <color rgb="FF000000"/>
        <rFont val="Noto Sans CJK SC"/>
        <family val="2"/>
      </rPr>
      <t xml:space="preserve">（模型）</t>
    </r>
  </si>
  <si>
    <r>
      <rPr>
        <b val="true"/>
        <sz val="10"/>
        <color rgb="FF000000"/>
        <rFont val="Noto Sans CJK SC"/>
        <family val="2"/>
      </rPr>
      <t xml:space="preserve">当前股价对应</t>
    </r>
    <r>
      <rPr>
        <b val="true"/>
        <sz val="10"/>
        <color rgb="FF000000"/>
        <rFont val="Arial"/>
        <family val="0"/>
        <charset val="1"/>
      </rPr>
      <t xml:space="preserve">PE</t>
    </r>
  </si>
  <si>
    <r>
      <rPr>
        <b val="true"/>
        <sz val="10"/>
        <color rgb="FF000000"/>
        <rFont val="Noto Sans CJK SC"/>
        <family val="2"/>
      </rPr>
      <t xml:space="preserve">当前股价对应</t>
    </r>
    <r>
      <rPr>
        <b val="true"/>
        <sz val="10"/>
        <color rgb="FF000000"/>
        <rFont val="Arial"/>
        <family val="0"/>
        <charset val="1"/>
      </rPr>
      <t xml:space="preserve">PB</t>
    </r>
  </si>
  <si>
    <t xml:space="preserve">可比公司（请填入最新倍数）</t>
  </si>
  <si>
    <t xml:space="preserve">公司</t>
  </si>
  <si>
    <t xml:space="preserve">代码</t>
  </si>
  <si>
    <t xml:space="preserve">PE 2026E</t>
  </si>
  <si>
    <t xml:space="preserve">PE 2027E</t>
  </si>
  <si>
    <r>
      <rPr>
        <b val="true"/>
        <sz val="10"/>
        <color rgb="FFFFFFFF"/>
        <rFont val="Arial"/>
        <family val="0"/>
        <charset val="1"/>
      </rPr>
      <t xml:space="preserve">PB</t>
    </r>
    <r>
      <rPr>
        <b val="true"/>
        <sz val="10"/>
        <color rgb="FFFFFFFF"/>
        <rFont val="Noto Sans CJK SC"/>
        <family val="2"/>
      </rPr>
      <t xml:space="preserve">（最新）</t>
    </r>
  </si>
  <si>
    <t xml:space="preserve">备注</t>
  </si>
  <si>
    <t xml:space="preserve">风华高科</t>
  </si>
  <si>
    <t xml:space="preserve">000636.SZ</t>
  </si>
  <si>
    <r>
      <rPr>
        <i val="true"/>
        <sz val="10"/>
        <color rgb="FF595959"/>
        <rFont val="Arial"/>
        <family val="0"/>
        <charset val="1"/>
      </rPr>
      <t xml:space="preserve">MLCC</t>
    </r>
    <r>
      <rPr>
        <i val="true"/>
        <sz val="10"/>
        <color rgb="FF595959"/>
        <rFont val="Noto Sans CJK SC"/>
        <family val="2"/>
      </rPr>
      <t xml:space="preserve">、电阻</t>
    </r>
  </si>
  <si>
    <t xml:space="preserve">国瓷材料</t>
  </si>
  <si>
    <t xml:space="preserve">300285.SZ</t>
  </si>
  <si>
    <r>
      <rPr>
        <i val="true"/>
        <sz val="10"/>
        <color rgb="FF595959"/>
        <rFont val="Noto Sans CJK SC"/>
        <family val="2"/>
      </rPr>
      <t xml:space="preserve">电子陶瓷粉体、</t>
    </r>
    <r>
      <rPr>
        <i val="true"/>
        <sz val="10"/>
        <color rgb="FF595959"/>
        <rFont val="Arial"/>
        <family val="0"/>
        <charset val="1"/>
      </rPr>
      <t xml:space="preserve">MLCC</t>
    </r>
    <r>
      <rPr>
        <i val="true"/>
        <sz val="10"/>
        <color rgb="FF595959"/>
        <rFont val="Noto Sans CJK SC"/>
        <family val="2"/>
      </rPr>
      <t xml:space="preserve">介质材料</t>
    </r>
  </si>
  <si>
    <t xml:space="preserve">天孚通信</t>
  </si>
  <si>
    <t xml:space="preserve">300394.SZ</t>
  </si>
  <si>
    <t xml:space="preserve">光器件</t>
  </si>
  <si>
    <t xml:space="preserve">村田制作所</t>
  </si>
  <si>
    <t xml:space="preserve">6981.T</t>
  </si>
  <si>
    <r>
      <rPr>
        <i val="true"/>
        <sz val="10"/>
        <color rgb="FF595959"/>
        <rFont val="Arial"/>
        <family val="0"/>
        <charset val="1"/>
      </rPr>
      <t xml:space="preserve">MLCC</t>
    </r>
    <r>
      <rPr>
        <i val="true"/>
        <sz val="10"/>
        <color rgb="FF595959"/>
        <rFont val="Noto Sans CJK SC"/>
        <family val="2"/>
      </rPr>
      <t xml:space="preserve">龙头</t>
    </r>
  </si>
  <si>
    <t xml:space="preserve">太阳诱电</t>
  </si>
  <si>
    <t xml:space="preserve">6976.T</t>
  </si>
  <si>
    <t xml:space="preserve">MLCC</t>
  </si>
  <si>
    <t xml:space="preserve">京瓷</t>
  </si>
  <si>
    <t xml:space="preserve">6971.T</t>
  </si>
  <si>
    <t xml:space="preserve">精密陶瓷、电子元件</t>
  </si>
  <si>
    <t xml:space="preserve">三星电机</t>
  </si>
  <si>
    <t xml:space="preserve">009150.KS</t>
  </si>
  <si>
    <t xml:space="preserve">可比公司中位数</t>
  </si>
  <si>
    <t xml:space="preserve">按可比中位数的三环每股价值（元）</t>
  </si>
  <si>
    <r>
      <rPr>
        <b val="true"/>
        <sz val="14"/>
        <color rgb="FF1F3864"/>
        <rFont val="Arial"/>
        <family val="0"/>
        <charset val="1"/>
      </rPr>
      <t xml:space="preserve">SOFC</t>
    </r>
    <r>
      <rPr>
        <b val="true"/>
        <sz val="14"/>
        <color rgb="FF1F3864"/>
        <rFont val="Noto Sans CJK SC"/>
        <family val="2"/>
      </rPr>
      <t xml:space="preserve">隔膜片敏感性（</t>
    </r>
    <r>
      <rPr>
        <b val="true"/>
        <sz val="14"/>
        <color rgb="FF1F3864"/>
        <rFont val="Arial"/>
        <family val="0"/>
        <charset val="1"/>
      </rPr>
      <t xml:space="preserve">2027E</t>
    </r>
    <r>
      <rPr>
        <b val="true"/>
        <sz val="14"/>
        <color rgb="FF1F3864"/>
        <rFont val="Noto Sans CJK SC"/>
        <family val="2"/>
      </rPr>
      <t xml:space="preserve">）</t>
    </r>
  </si>
  <si>
    <r>
      <rPr>
        <i val="true"/>
        <sz val="10"/>
        <color rgb="FF595959"/>
        <rFont val="Noto Sans CJK SC"/>
        <family val="2"/>
      </rPr>
      <t xml:space="preserve">收入</t>
    </r>
    <r>
      <rPr>
        <i val="true"/>
        <sz val="10"/>
        <color rgb="FF595959"/>
        <rFont val="Arial"/>
        <family val="0"/>
        <charset val="1"/>
      </rPr>
      <t xml:space="preserve">=Bloom</t>
    </r>
    <r>
      <rPr>
        <i val="true"/>
        <sz val="10"/>
        <color rgb="FF595959"/>
        <rFont val="Noto Sans CJK SC"/>
        <family val="2"/>
      </rPr>
      <t xml:space="preserve">电池片层需求（</t>
    </r>
    <r>
      <rPr>
        <i val="true"/>
        <sz val="10"/>
        <color rgb="FF595959"/>
        <rFont val="Arial"/>
        <family val="0"/>
        <charset val="1"/>
      </rPr>
      <t xml:space="preserve">GW</t>
    </r>
    <r>
      <rPr>
        <i val="true"/>
        <sz val="10"/>
        <color rgb="FF595959"/>
        <rFont val="Noto Sans CJK SC"/>
        <family val="2"/>
      </rPr>
      <t xml:space="preserve">）</t>
    </r>
    <r>
      <rPr>
        <i val="true"/>
        <sz val="10"/>
        <color rgb="FF595959"/>
        <rFont val="Arial"/>
        <family val="0"/>
        <charset val="1"/>
      </rPr>
      <t xml:space="preserve">×(1000/</t>
    </r>
    <r>
      <rPr>
        <i val="true"/>
        <sz val="10"/>
        <color rgb="FF595959"/>
        <rFont val="Noto Sans CJK SC"/>
        <family val="2"/>
      </rPr>
      <t xml:space="preserve">单片功率</t>
    </r>
    <r>
      <rPr>
        <i val="true"/>
        <sz val="10"/>
        <color rgb="FF595959"/>
        <rFont val="Arial"/>
        <family val="0"/>
        <charset val="1"/>
      </rPr>
      <t xml:space="preserve">W)×</t>
    </r>
    <r>
      <rPr>
        <i val="true"/>
        <sz val="10"/>
        <color rgb="FF595959"/>
        <rFont val="Noto Sans CJK SC"/>
        <family val="2"/>
      </rPr>
      <t xml:space="preserve">三环份额</t>
    </r>
    <r>
      <rPr>
        <i val="true"/>
        <sz val="10"/>
        <color rgb="FF595959"/>
        <rFont val="Arial"/>
        <family val="0"/>
        <charset val="1"/>
      </rPr>
      <t xml:space="preserve">×</t>
    </r>
    <r>
      <rPr>
        <i val="true"/>
        <sz val="10"/>
        <color rgb="FF595959"/>
        <rFont val="Noto Sans CJK SC"/>
        <family val="2"/>
      </rPr>
      <t xml:space="preserve">单价；需求与单片功率取“假设”当前情景</t>
    </r>
    <r>
      <rPr>
        <i val="true"/>
        <sz val="10"/>
        <color rgb="FF595959"/>
        <rFont val="Arial"/>
        <family val="0"/>
        <charset val="1"/>
      </rPr>
      <t xml:space="preserve">2027E</t>
    </r>
    <r>
      <rPr>
        <i val="true"/>
        <sz val="10"/>
        <color rgb="FF595959"/>
        <rFont val="Noto Sans CJK SC"/>
        <family val="2"/>
      </rPr>
      <t xml:space="preserve">值。</t>
    </r>
  </si>
  <si>
    <r>
      <rPr>
        <sz val="10"/>
        <color rgb="FF000000"/>
        <rFont val="Arial"/>
        <family val="0"/>
        <charset val="1"/>
      </rPr>
      <t xml:space="preserve">2027E Bloom</t>
    </r>
    <r>
      <rPr>
        <sz val="10"/>
        <color rgb="FF000000"/>
        <rFont val="Noto Sans CJK SC"/>
        <family val="2"/>
      </rPr>
      <t xml:space="preserve">电池片层需求（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</si>
  <si>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Noto Sans CJK SC"/>
        <family val="2"/>
      </rPr>
      <t xml:space="preserve">单片功率（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片）</t>
    </r>
  </si>
  <si>
    <r>
      <rPr>
        <sz val="10"/>
        <color rgb="FF000000"/>
        <rFont val="Arial"/>
        <family val="0"/>
        <charset val="1"/>
      </rPr>
      <t xml:space="preserve">SOFC</t>
    </r>
    <r>
      <rPr>
        <sz val="10"/>
        <color rgb="FF000000"/>
        <rFont val="Noto Sans CJK SC"/>
        <family val="2"/>
      </rPr>
      <t xml:space="preserve">净利率假设（毛利率扣除费用与税）</t>
    </r>
  </si>
  <si>
    <r>
      <rPr>
        <sz val="10"/>
        <color rgb="FF000000"/>
        <rFont val="Arial"/>
        <family val="0"/>
        <charset val="1"/>
      </rPr>
      <t xml:space="preserve">2027E</t>
    </r>
    <r>
      <rPr>
        <sz val="10"/>
        <color rgb="FF000000"/>
        <rFont val="Noto Sans CJK SC"/>
        <family val="2"/>
      </rPr>
      <t xml:space="preserve">模型归母净利润</t>
    </r>
  </si>
  <si>
    <r>
      <rPr>
        <b val="true"/>
        <sz val="10"/>
        <color rgb="FF1F3864"/>
        <rFont val="Arial"/>
        <family val="0"/>
        <charset val="1"/>
      </rPr>
      <t xml:space="preserve">2027E SOFC</t>
    </r>
    <r>
      <rPr>
        <b val="true"/>
        <sz val="10"/>
        <color rgb="FF1F3864"/>
        <rFont val="Noto Sans CJK SC"/>
        <family val="2"/>
      </rPr>
      <t xml:space="preserve">隔膜片收入（百万元）：三环份额（行）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单价（列）</t>
    </r>
  </si>
  <si>
    <r>
      <rPr>
        <b val="true"/>
        <sz val="10"/>
        <color rgb="FF000000"/>
        <rFont val="Noto Sans CJK SC"/>
        <family val="2"/>
      </rPr>
      <t xml:space="preserve">份额 </t>
    </r>
    <r>
      <rPr>
        <b val="true"/>
        <sz val="10"/>
        <color rgb="FF000000"/>
        <rFont val="Arial"/>
        <family val="0"/>
        <charset val="1"/>
      </rPr>
      <t xml:space="preserve">\ </t>
    </r>
    <r>
      <rPr>
        <b val="true"/>
        <sz val="10"/>
        <color rgb="FF000000"/>
        <rFont val="Noto Sans CJK SC"/>
        <family val="2"/>
      </rPr>
      <t xml:space="preserve">单价（元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片）</t>
    </r>
  </si>
  <si>
    <r>
      <rPr>
        <b val="true"/>
        <sz val="10"/>
        <color rgb="FF1F3864"/>
        <rFont val="Arial"/>
        <family val="0"/>
        <charset val="1"/>
      </rPr>
      <t xml:space="preserve">SOFC</t>
    </r>
    <r>
      <rPr>
        <b val="true"/>
        <sz val="10"/>
        <color rgb="FF1F3864"/>
        <rFont val="Noto Sans CJK SC"/>
        <family val="2"/>
      </rPr>
      <t xml:space="preserve">隔膜片净利润占</t>
    </r>
    <r>
      <rPr>
        <b val="true"/>
        <sz val="10"/>
        <color rgb="FF1F3864"/>
        <rFont val="Arial"/>
        <family val="0"/>
        <charset val="1"/>
      </rPr>
      <t xml:space="preserve">2027E</t>
    </r>
    <r>
      <rPr>
        <b val="true"/>
        <sz val="10"/>
        <color rgb="FF1F3864"/>
        <rFont val="Noto Sans CJK SC"/>
        <family val="2"/>
      </rPr>
      <t xml:space="preserve">归母净利润比例</t>
    </r>
  </si>
  <si>
    <r>
      <rPr>
        <b val="true"/>
        <sz val="10"/>
        <color rgb="FF1F3864"/>
        <rFont val="Arial"/>
        <family val="0"/>
        <charset val="1"/>
      </rPr>
      <t xml:space="preserve">Bloom</t>
    </r>
    <r>
      <rPr>
        <b val="true"/>
        <sz val="10"/>
        <color rgb="FF1F3864"/>
        <rFont val="Noto Sans CJK SC"/>
        <family val="2"/>
      </rPr>
      <t xml:space="preserve">需求（</t>
    </r>
    <r>
      <rPr>
        <b val="true"/>
        <sz val="10"/>
        <color rgb="FF1F3864"/>
        <rFont val="Arial"/>
        <family val="0"/>
        <charset val="1"/>
      </rPr>
      <t xml:space="preserve">GW</t>
    </r>
    <r>
      <rPr>
        <b val="true"/>
        <sz val="10"/>
        <color rgb="FF1F3864"/>
        <rFont val="Noto Sans CJK SC"/>
        <family val="2"/>
      </rPr>
      <t xml:space="preserve">，行）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单片功率（</t>
    </r>
    <r>
      <rPr>
        <b val="true"/>
        <sz val="10"/>
        <color rgb="FF1F3864"/>
        <rFont val="Arial"/>
        <family val="0"/>
        <charset val="1"/>
      </rPr>
      <t xml:space="preserve">W</t>
    </r>
    <r>
      <rPr>
        <b val="true"/>
        <sz val="10"/>
        <color rgb="FF1F3864"/>
        <rFont val="Noto Sans CJK SC"/>
        <family val="2"/>
      </rPr>
      <t xml:space="preserve">，列）：</t>
    </r>
    <r>
      <rPr>
        <b val="true"/>
        <sz val="10"/>
        <color rgb="FF1F3864"/>
        <rFont val="Arial"/>
        <family val="0"/>
        <charset val="1"/>
      </rPr>
      <t xml:space="preserve">2027E SOFC</t>
    </r>
    <r>
      <rPr>
        <b val="true"/>
        <sz val="10"/>
        <color rgb="FF1F3864"/>
        <rFont val="Noto Sans CJK SC"/>
        <family val="2"/>
      </rPr>
      <t xml:space="preserve">收入（份额与单价取当前情景）</t>
    </r>
  </si>
  <si>
    <t xml:space="preserve">GW \ W</t>
  </si>
  <si>
    <r>
      <rPr>
        <b val="true"/>
        <sz val="14"/>
        <color rgb="FF1F3864"/>
        <rFont val="Noto Sans CJK SC"/>
        <family val="2"/>
      </rPr>
      <t xml:space="preserve">模型与</t>
    </r>
    <r>
      <rPr>
        <b val="true"/>
        <sz val="14"/>
        <color rgb="FF1F3864"/>
        <rFont val="Arial"/>
        <family val="0"/>
        <charset val="1"/>
      </rPr>
      <t xml:space="preserve">Wind</t>
    </r>
    <r>
      <rPr>
        <b val="true"/>
        <sz val="14"/>
        <color rgb="FF1F3864"/>
        <rFont val="Noto Sans CJK SC"/>
        <family val="2"/>
      </rPr>
      <t xml:space="preserve">一致预期对比（仅作参照，不作为模型输入）</t>
    </r>
  </si>
  <si>
    <r>
      <rPr>
        <i val="true"/>
        <sz val="10"/>
        <color rgb="FF595959"/>
        <rFont val="Noto Sans CJK SC"/>
        <family val="2"/>
      </rPr>
      <t xml:space="preserve">资料来源：</t>
    </r>
    <r>
      <rPr>
        <i val="true"/>
        <sz val="10"/>
        <color rgb="FF595959"/>
        <rFont val="Arial"/>
        <family val="0"/>
        <charset val="1"/>
      </rPr>
      <t xml:space="preserve">Wind</t>
    </r>
    <r>
      <rPr>
        <i val="true"/>
        <sz val="10"/>
        <color rgb="FF595959"/>
        <rFont val="Noto Sans CJK SC"/>
        <family val="2"/>
      </rPr>
      <t xml:space="preserve">盈利预测（截至</t>
    </r>
    <r>
      <rPr>
        <i val="true"/>
        <sz val="10"/>
        <color rgb="FF595959"/>
        <rFont val="Arial"/>
        <family val="0"/>
        <charset val="1"/>
      </rPr>
      <t xml:space="preserve">2026-09-30</t>
    </r>
    <r>
      <rPr>
        <i val="true"/>
        <sz val="10"/>
        <color rgb="FF595959"/>
        <rFont val="Noto Sans CJK SC"/>
        <family val="2"/>
      </rPr>
      <t xml:space="preserve">，</t>
    </r>
    <r>
      <rPr>
        <i val="true"/>
        <sz val="10"/>
        <color rgb="FF595959"/>
        <rFont val="Arial"/>
        <family val="0"/>
        <charset val="1"/>
      </rPr>
      <t xml:space="preserve">12</t>
    </r>
    <r>
      <rPr>
        <i val="true"/>
        <sz val="10"/>
        <color rgb="FF595959"/>
        <rFont val="Noto Sans CJK SC"/>
        <family val="2"/>
      </rPr>
      <t xml:space="preserve">家机构）。</t>
    </r>
  </si>
  <si>
    <t xml:space="preserve">营业收入（一致预期）</t>
  </si>
  <si>
    <t xml:space="preserve">归母净利润（一致预期）</t>
  </si>
  <si>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Noto Sans CJK SC"/>
        <family val="2"/>
      </rPr>
      <t xml:space="preserve">（一致预期，元）</t>
    </r>
  </si>
  <si>
    <t xml:space="preserve">营业收入（模型）</t>
  </si>
  <si>
    <t xml:space="preserve">归母净利润（模型）</t>
  </si>
  <si>
    <r>
      <rPr>
        <b val="true"/>
        <sz val="10"/>
        <color rgb="FF000000"/>
        <rFont val="Arial"/>
        <family val="0"/>
        <charset val="1"/>
      </rPr>
      <t xml:space="preserve">EPS</t>
    </r>
    <r>
      <rPr>
        <b val="true"/>
        <sz val="10"/>
        <color rgb="FF000000"/>
        <rFont val="Noto Sans CJK SC"/>
        <family val="2"/>
      </rPr>
      <t xml:space="preserve">（模型，元）</t>
    </r>
  </si>
  <si>
    <r>
      <rPr>
        <sz val="10"/>
        <color rgb="FF000000"/>
        <rFont val="Noto Sans CJK SC"/>
        <family val="2"/>
      </rPr>
      <t xml:space="preserve">营业收入：模型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一致预期</t>
    </r>
    <r>
      <rPr>
        <sz val="10"/>
        <color rgb="FF000000"/>
        <rFont val="Arial"/>
        <family val="0"/>
        <charset val="1"/>
      </rPr>
      <t xml:space="preserve">-1</t>
    </r>
  </si>
  <si>
    <r>
      <rPr>
        <sz val="10"/>
        <color rgb="FF000000"/>
        <rFont val="Noto Sans CJK SC"/>
        <family val="2"/>
      </rPr>
      <t xml:space="preserve">归母净利润：模型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一致预期</t>
    </r>
    <r>
      <rPr>
        <sz val="10"/>
        <color rgb="FF000000"/>
        <rFont val="Arial"/>
        <family val="0"/>
        <charset val="1"/>
      </rPr>
      <t xml:space="preserve">-1</t>
    </r>
  </si>
  <si>
    <r>
      <rPr>
        <sz val="10"/>
        <color rgb="FF000000"/>
        <rFont val="Arial"/>
        <family val="0"/>
        <charset val="1"/>
      </rPr>
      <t xml:space="preserve">EPS</t>
    </r>
    <r>
      <rPr>
        <sz val="10"/>
        <color rgb="FF000000"/>
        <rFont val="Noto Sans CJK SC"/>
        <family val="2"/>
      </rPr>
      <t xml:space="preserve">：模型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一致预期</t>
    </r>
    <r>
      <rPr>
        <sz val="10"/>
        <color rgb="FF000000"/>
        <rFont val="Arial"/>
        <family val="0"/>
        <charset val="1"/>
      </rPr>
      <t xml:space="preserve">-1</t>
    </r>
  </si>
  <si>
    <r>
      <rPr>
        <b val="true"/>
        <sz val="10"/>
        <color rgb="FF1F3864"/>
        <rFont val="Noto Sans CJK SC"/>
        <family val="2"/>
      </rPr>
      <t xml:space="preserve">一致预期分布（</t>
    </r>
    <r>
      <rPr>
        <b val="true"/>
        <sz val="10"/>
        <color rgb="FF1F3864"/>
        <rFont val="Arial"/>
        <family val="0"/>
        <charset val="1"/>
      </rPr>
      <t xml:space="preserve">2026E</t>
    </r>
    <r>
      <rPr>
        <b val="true"/>
        <sz val="10"/>
        <color rgb="FF1F3864"/>
        <rFont val="Noto Sans CJK SC"/>
        <family val="2"/>
      </rPr>
      <t xml:space="preserve">归母净利润，百万元）</t>
    </r>
  </si>
  <si>
    <t xml:space="preserve">中值</t>
  </si>
  <si>
    <t xml:space="preserve">最大值</t>
  </si>
  <si>
    <t xml:space="preserve">最小值</t>
  </si>
  <si>
    <t xml:space="preserve">标准差</t>
  </si>
  <si>
    <t xml:space="preserve">预测机构数</t>
  </si>
  <si>
    <t xml:space="preserve">三环集团 单季度利润表与利润率</t>
  </si>
  <si>
    <r>
      <rPr>
        <i val="true"/>
        <sz val="10"/>
        <color rgb="FF595959"/>
        <rFont val="Noto Sans CJK SC"/>
        <family val="2"/>
      </rPr>
      <t xml:space="preserve">资料来源：</t>
    </r>
    <r>
      <rPr>
        <i val="true"/>
        <sz val="10"/>
        <color rgb="FF595959"/>
        <rFont val="Arial"/>
        <family val="0"/>
        <charset val="1"/>
      </rPr>
      <t xml:space="preserve">Wind</t>
    </r>
    <r>
      <rPr>
        <i val="true"/>
        <sz val="10"/>
        <color rgb="FF595959"/>
        <rFont val="Noto Sans CJK SC"/>
        <family val="2"/>
      </rPr>
      <t xml:space="preserve">单季度利润表（公司公告值），万元</t>
    </r>
    <r>
      <rPr>
        <i val="true"/>
        <sz val="10"/>
        <color rgb="FF595959"/>
        <rFont val="Arial"/>
        <family val="0"/>
        <charset val="1"/>
      </rPr>
      <t xml:space="preserve">÷100=</t>
    </r>
    <r>
      <rPr>
        <i val="true"/>
        <sz val="10"/>
        <color rgb="FF595959"/>
        <rFont val="Noto Sans CJK SC"/>
        <family val="2"/>
      </rPr>
      <t xml:space="preserve">百万元。增速与利润率为公式。</t>
    </r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</si>
  <si>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</si>
  <si>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</si>
  <si>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</si>
  <si>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</si>
  <si>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</si>
  <si>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</si>
  <si>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</si>
  <si>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</si>
  <si>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</si>
  <si>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</si>
  <si>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财务费用</t>
  </si>
  <si>
    <t xml:space="preserve">利润率与增速（公式）</t>
  </si>
  <si>
    <r>
      <rPr>
        <sz val="10"/>
        <color rgb="FF000000"/>
        <rFont val="Noto Sans CJK SC"/>
        <family val="2"/>
      </rPr>
      <t xml:space="preserve">期间费用率（销售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管理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研发）</t>
    </r>
  </si>
  <si>
    <t xml:space="preserve">营业利润率</t>
  </si>
  <si>
    <t xml:space="preserve">归母净利率</t>
  </si>
  <si>
    <t xml:space="preserve">营业收入同比</t>
  </si>
  <si>
    <t xml:space="preserve">营业收入环比</t>
  </si>
  <si>
    <t xml:space="preserve">归母净利润同比</t>
  </si>
  <si>
    <t xml:space="preserve">归母净利润环比</t>
  </si>
  <si>
    <t xml:space="preserve">三环集团 历史利润表（合并）</t>
  </si>
  <si>
    <r>
      <rPr>
        <i val="true"/>
        <sz val="10"/>
        <color rgb="FF595959"/>
        <rFont val="Noto Sans CJK SC"/>
        <family val="2"/>
      </rPr>
      <t xml:space="preserve">资料来源：</t>
    </r>
    <r>
      <rPr>
        <i val="true"/>
        <sz val="10"/>
        <color rgb="FF595959"/>
        <rFont val="Arial"/>
        <family val="0"/>
        <charset val="1"/>
      </rPr>
      <t xml:space="preserve">Wind</t>
    </r>
    <r>
      <rPr>
        <i val="true"/>
        <sz val="10"/>
        <color rgb="FF595959"/>
        <rFont val="Noto Sans CJK SC"/>
        <family val="2"/>
      </rPr>
      <t xml:space="preserve">，公司定期报告（公司公告值）；原始单位万元，已除以</t>
    </r>
    <r>
      <rPr>
        <i val="true"/>
        <sz val="10"/>
        <color rgb="FF595959"/>
        <rFont val="Arial"/>
        <family val="0"/>
        <charset val="1"/>
      </rPr>
      <t xml:space="preserve">100</t>
    </r>
    <r>
      <rPr>
        <i val="true"/>
        <sz val="10"/>
        <color rgb="FF595959"/>
        <rFont val="Noto Sans CJK SC"/>
        <family val="2"/>
      </rPr>
      <t xml:space="preserve">换算为百万元。蓝字为历史数据录入值。</t>
    </r>
  </si>
  <si>
    <t xml:space="preserve">2019A</t>
  </si>
  <si>
    <t xml:space="preserve">2020A</t>
  </si>
  <si>
    <t xml:space="preserve">2025H1</t>
  </si>
  <si>
    <t xml:space="preserve">2026H1</t>
  </si>
  <si>
    <t xml:space="preserve">营业总收入</t>
  </si>
  <si>
    <t xml:space="preserve">    营业收入</t>
  </si>
  <si>
    <t xml:space="preserve">营业总成本</t>
  </si>
  <si>
    <t xml:space="preserve">    营业成本</t>
  </si>
  <si>
    <t xml:space="preserve">    税金及附加</t>
  </si>
  <si>
    <t xml:space="preserve">    销售费用</t>
  </si>
  <si>
    <t xml:space="preserve">    管理费用</t>
  </si>
  <si>
    <t xml:space="preserve">    研发费用</t>
  </si>
  <si>
    <t xml:space="preserve">    财务费用</t>
  </si>
  <si>
    <t xml:space="preserve">    其中：利息费用</t>
  </si>
  <si>
    <t xml:space="preserve">          减：利息收入</t>
  </si>
  <si>
    <t xml:space="preserve">    加：其他收益</t>
  </si>
  <si>
    <t xml:space="preserve">    投资净收益</t>
  </si>
  <si>
    <t xml:space="preserve">    其中：对联营企业和合营企业的投资收益</t>
  </si>
  <si>
    <t xml:space="preserve">    公允价值变动净收益</t>
  </si>
  <si>
    <t xml:space="preserve">    资产减值损失</t>
  </si>
  <si>
    <t xml:space="preserve">    信用减值损失</t>
  </si>
  <si>
    <t xml:space="preserve">    资产处置收益</t>
  </si>
  <si>
    <t xml:space="preserve">    加：营业外收入</t>
  </si>
  <si>
    <t xml:space="preserve">    减：营业外支出</t>
  </si>
  <si>
    <t xml:space="preserve">    减：所得税</t>
  </si>
  <si>
    <t xml:space="preserve">    持续经营净利润</t>
  </si>
  <si>
    <t xml:space="preserve">    减：少数股东损益</t>
  </si>
  <si>
    <t xml:space="preserve">    归属于母公司所有者的净利润</t>
  </si>
  <si>
    <t xml:space="preserve">    加：其他综合收益</t>
  </si>
  <si>
    <t xml:space="preserve">综合收益总额</t>
  </si>
  <si>
    <t xml:space="preserve">    减：归属于少数股东的综合收益总额</t>
  </si>
  <si>
    <t xml:space="preserve">    归属于母公司普通股东综合收益总额</t>
  </si>
  <si>
    <t xml:space="preserve">    基本每股收益</t>
  </si>
  <si>
    <t xml:space="preserve">    稀释每股收益</t>
  </si>
  <si>
    <t xml:space="preserve">三环集团 历史资产负债表（合并）</t>
  </si>
  <si>
    <t xml:space="preserve">    货币资金</t>
  </si>
  <si>
    <t xml:space="preserve">    交易性金融资产</t>
  </si>
  <si>
    <t xml:space="preserve">    应收票据及应收账款</t>
  </si>
  <si>
    <t xml:space="preserve">      应收票据</t>
  </si>
  <si>
    <t xml:space="preserve">      应收账款</t>
  </si>
  <si>
    <t xml:space="preserve">    应收款项融资</t>
  </si>
  <si>
    <t xml:space="preserve">    预付款项</t>
  </si>
  <si>
    <r>
      <rPr>
        <sz val="10"/>
        <color rgb="FF000000"/>
        <rFont val="Noto Sans CJK SC"/>
        <family val="2"/>
      </rPr>
      <t xml:space="preserve">    其他应收款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</si>
  <si>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      应收股利</t>
  </si>
  <si>
    <t xml:space="preserve">      应收利息</t>
  </si>
  <si>
    <t xml:space="preserve">      其他应收款</t>
  </si>
  <si>
    <t xml:space="preserve">    存货</t>
  </si>
  <si>
    <t xml:space="preserve">    其他流动资产</t>
  </si>
  <si>
    <t xml:space="preserve">    流动资产合计</t>
  </si>
  <si>
    <t xml:space="preserve">    长期股权投资</t>
  </si>
  <si>
    <t xml:space="preserve">    其他权益工具投资</t>
  </si>
  <si>
    <t xml:space="preserve">    投资性房地产</t>
  </si>
  <si>
    <r>
      <rPr>
        <sz val="10"/>
        <color rgb="FF000000"/>
        <rFont val="Noto Sans CJK SC"/>
        <family val="2"/>
      </rPr>
      <t xml:space="preserve">    固定资产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</si>
  <si>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      固定资产</t>
  </si>
  <si>
    <t xml:space="preserve">      固定资产清理</t>
  </si>
  <si>
    <r>
      <rPr>
        <sz val="10"/>
        <color rgb="FF000000"/>
        <rFont val="Noto Sans CJK SC"/>
        <family val="2"/>
      </rPr>
      <t xml:space="preserve">    在建工程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</si>
  <si>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      在建工程</t>
  </si>
  <si>
    <t xml:space="preserve">    使用权资产</t>
  </si>
  <si>
    <t xml:space="preserve">    无形资产</t>
  </si>
  <si>
    <t xml:space="preserve">    商誉</t>
  </si>
  <si>
    <t xml:space="preserve">    长期待摊费用</t>
  </si>
  <si>
    <t xml:space="preserve">    递延所得税资产</t>
  </si>
  <si>
    <t xml:space="preserve">    其他非流动资产</t>
  </si>
  <si>
    <t xml:space="preserve">    非流动资产合计</t>
  </si>
  <si>
    <t xml:space="preserve">    短期借款</t>
  </si>
  <si>
    <t xml:space="preserve">    应付票据及应付账款</t>
  </si>
  <si>
    <t xml:space="preserve">      应付票据</t>
  </si>
  <si>
    <t xml:space="preserve">      应付账款</t>
  </si>
  <si>
    <t xml:space="preserve">    预收款项</t>
  </si>
  <si>
    <t xml:space="preserve">    合同负债</t>
  </si>
  <si>
    <t xml:space="preserve">    应付职工薪酬</t>
  </si>
  <si>
    <t xml:space="preserve">    应交税费</t>
  </si>
  <si>
    <r>
      <rPr>
        <sz val="10"/>
        <color rgb="FF000000"/>
        <rFont val="Noto Sans CJK SC"/>
        <family val="2"/>
      </rPr>
      <t xml:space="preserve">    其他应付款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</si>
  <si>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      应付股利</t>
  </si>
  <si>
    <t xml:space="preserve">      其他应付款</t>
  </si>
  <si>
    <t xml:space="preserve">    一年内到期的非流动负债</t>
  </si>
  <si>
    <t xml:space="preserve">    其他流动负债</t>
  </si>
  <si>
    <t xml:space="preserve">    流动负债合计</t>
  </si>
  <si>
    <t xml:space="preserve">    长期借款</t>
  </si>
  <si>
    <t xml:space="preserve">    租赁负债</t>
  </si>
  <si>
    <r>
      <rPr>
        <sz val="10"/>
        <color rgb="FF000000"/>
        <rFont val="Noto Sans CJK SC"/>
        <family val="2"/>
      </rPr>
      <t xml:space="preserve">    长期应付款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合计</t>
    </r>
    <r>
      <rPr>
        <sz val="10"/>
        <color rgb="FF000000"/>
        <rFont val="Arial"/>
        <family val="0"/>
        <charset val="1"/>
      </rPr>
      <t xml:space="preserve">)</t>
    </r>
  </si>
  <si>
    <t xml:space="preserve">      长期应付款</t>
  </si>
  <si>
    <t xml:space="preserve">      专项应付款</t>
  </si>
  <si>
    <t xml:space="preserve">    预计负债</t>
  </si>
  <si>
    <t xml:space="preserve">    递延所得税负债</t>
  </si>
  <si>
    <r>
      <rPr>
        <sz val="10"/>
        <color rgb="FF000000"/>
        <rFont val="Noto Sans CJK SC"/>
        <family val="2"/>
      </rPr>
      <t xml:space="preserve">    递延收益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非流动负债</t>
    </r>
  </si>
  <si>
    <t xml:space="preserve">    其他非流动负债</t>
  </si>
  <si>
    <t xml:space="preserve">    非流动负债合计</t>
  </si>
  <si>
    <t xml:space="preserve">    负债合计</t>
  </si>
  <si>
    <r>
      <rPr>
        <sz val="10"/>
        <color rgb="FF000000"/>
        <rFont val="Noto Sans CJK SC"/>
        <family val="2"/>
      </rPr>
      <t xml:space="preserve">    实收资本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或股本</t>
    </r>
    <r>
      <rPr>
        <sz val="10"/>
        <color rgb="FF000000"/>
        <rFont val="Arial"/>
        <family val="0"/>
        <charset val="1"/>
      </rPr>
      <t xml:space="preserve">)</t>
    </r>
  </si>
  <si>
    <t xml:space="preserve">    资本公积</t>
  </si>
  <si>
    <t xml:space="preserve">    减：库存股</t>
  </si>
  <si>
    <t xml:space="preserve">    其他综合收益</t>
  </si>
  <si>
    <t xml:space="preserve">    盈余公积</t>
  </si>
  <si>
    <t xml:space="preserve">    未分配利润</t>
  </si>
  <si>
    <t xml:space="preserve">    归属于母公司所有者权益合计</t>
  </si>
  <si>
    <t xml:space="preserve">    少数股东权益</t>
  </si>
  <si>
    <t xml:space="preserve">    所有者权益合计</t>
  </si>
  <si>
    <t xml:space="preserve">三环集团 历史现金流量表（合并）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</si>
  <si>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</si>
  <si>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</si>
  <si>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</si>
  <si>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 xml:space="preserve">    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</si>
  <si>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</si>
  <si>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</si>
  <si>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</si>
  <si>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</si>
  <si>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 xml:space="preserve">    经营活动现金流出小计</t>
  </si>
  <si>
    <t xml:space="preserve">    经营活动产生的现金流量净额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</si>
  <si>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</si>
  <si>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</si>
  <si>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</si>
  <si>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收到其他与投资活动有关的现金</t>
  </si>
  <si>
    <t xml:space="preserve">    投资活动现金流入小计</t>
  </si>
  <si>
    <t xml:space="preserve">    购建固定资产、无形资产和其他长期资产支付的现金</t>
  </si>
  <si>
    <t xml:space="preserve">    投资支付的现金</t>
  </si>
  <si>
    <t xml:space="preserve">    支付其他与投资活动有关的现金</t>
  </si>
  <si>
    <t xml:space="preserve">    投资活动现金流出小计</t>
  </si>
  <si>
    <t xml:space="preserve">    投资活动产生的现金流量净额</t>
  </si>
  <si>
    <t xml:space="preserve">    吸收投资收到的现金</t>
  </si>
  <si>
    <t xml:space="preserve">    其中：子公司吸收少数股东投资收到的现金</t>
  </si>
  <si>
    <t xml:space="preserve">    取得借款收到的现金</t>
  </si>
  <si>
    <t xml:space="preserve">    收到其他与筹资活动有关的现金</t>
  </si>
  <si>
    <t xml:space="preserve">    筹资活动现金流入小计</t>
  </si>
  <si>
    <t xml:space="preserve">    偿还债务支付的现金</t>
  </si>
  <si>
    <t xml:space="preserve">    分配股利、利润或偿付利息支付的现金</t>
  </si>
  <si>
    <t xml:space="preserve">    其中：子公司支付给少数股东的股利、利润</t>
  </si>
  <si>
    <t xml:space="preserve">    支付其他与筹资活动有关的现金</t>
  </si>
  <si>
    <t xml:space="preserve">    筹资活动现金流出小计</t>
  </si>
  <si>
    <t xml:space="preserve">    筹资活动产生的现金流量净额</t>
  </si>
  <si>
    <t xml:space="preserve">汇率变动对现金的影响</t>
  </si>
  <si>
    <t xml:space="preserve">现金及现金等价物净增加额</t>
  </si>
  <si>
    <t xml:space="preserve">    期初现金及现金等价物余额</t>
  </si>
  <si>
    <t xml:space="preserve">    期末现金及现金等价物余额</t>
  </si>
  <si>
    <t xml:space="preserve">    净利润</t>
  </si>
  <si>
    <t xml:space="preserve">    加：资产减值准备</t>
  </si>
  <si>
    <t xml:space="preserve">        信用减值损失</t>
  </si>
  <si>
    <t xml:space="preserve">        固定资产折旧、油气资产折耗、生产性生物资产折旧</t>
  </si>
  <si>
    <t xml:space="preserve">        无形资产摊销</t>
  </si>
  <si>
    <t xml:space="preserve">        使用权资产折旧</t>
  </si>
  <si>
    <t xml:space="preserve">        长期待摊费用摊销</t>
  </si>
  <si>
    <t xml:space="preserve">        处置固定资产、无形资产和其他长期资产的损失</t>
  </si>
  <si>
    <t xml:space="preserve">        固定资产报废损失</t>
  </si>
  <si>
    <t xml:space="preserve">        公允价值变动损失</t>
  </si>
  <si>
    <t xml:space="preserve">        财务费用</t>
  </si>
  <si>
    <t xml:space="preserve">        投资损失</t>
  </si>
  <si>
    <t xml:space="preserve">        递延所得税资产减少</t>
  </si>
  <si>
    <t xml:space="preserve">        递延所得税负债增加</t>
  </si>
  <si>
    <t xml:space="preserve">        存货的减少</t>
  </si>
  <si>
    <t xml:space="preserve">        经营性应收项目的减少</t>
  </si>
  <si>
    <t xml:space="preserve">        经营性应付项目的增加</t>
  </si>
  <si>
    <r>
      <rPr>
        <sz val="10"/>
        <color rgb="FF000000"/>
        <rFont val="Noto Sans CJK SC"/>
        <family val="2"/>
      </rPr>
      <t xml:space="preserve">    间接法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经营活动产生的现金流量净额</t>
    </r>
  </si>
  <si>
    <t xml:space="preserve">    现金的期末余额</t>
  </si>
  <si>
    <t xml:space="preserve">    减：现金的期初余额</t>
  </si>
  <si>
    <r>
      <rPr>
        <sz val="10"/>
        <color rgb="FF000000"/>
        <rFont val="Noto Sans CJK SC"/>
        <family val="2"/>
      </rPr>
      <t xml:space="preserve">    间接法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现金及现金等价物净增加额</t>
    </r>
  </si>
  <si>
    <r>
      <rPr>
        <b val="true"/>
        <sz val="14"/>
        <color rgb="FF1F3864"/>
        <rFont val="Noto Sans CJK SC"/>
        <family val="2"/>
      </rPr>
      <t xml:space="preserve">产业链调研与公开信息要点（用于</t>
    </r>
    <r>
      <rPr>
        <b val="true"/>
        <sz val="14"/>
        <color rgb="FF1F3864"/>
        <rFont val="Arial"/>
        <family val="0"/>
        <charset val="1"/>
      </rPr>
      <t xml:space="preserve">SOFC</t>
    </r>
    <r>
      <rPr>
        <b val="true"/>
        <sz val="14"/>
        <color rgb="FF1F3864"/>
        <rFont val="Noto Sans CJK SC"/>
        <family val="2"/>
      </rPr>
      <t xml:space="preserve">子模型与</t>
    </r>
    <r>
      <rPr>
        <b val="true"/>
        <sz val="14"/>
        <color rgb="FF1F3864"/>
        <rFont val="Arial"/>
        <family val="0"/>
        <charset val="1"/>
      </rPr>
      <t xml:space="preserve">Bloom</t>
    </r>
    <r>
      <rPr>
        <b val="true"/>
        <sz val="14"/>
        <color rgb="FF1F3864"/>
        <rFont val="Noto Sans CJK SC"/>
        <family val="2"/>
      </rPr>
      <t xml:space="preserve">需求假设）</t>
    </r>
  </si>
  <si>
    <r>
      <rPr>
        <i val="true"/>
        <sz val="10"/>
        <color rgb="FF595959"/>
        <rFont val="Noto Sans CJK SC"/>
        <family val="2"/>
      </rPr>
      <t xml:space="preserve">来源：</t>
    </r>
    <r>
      <rPr>
        <i val="true"/>
        <sz val="10"/>
        <color rgb="FF595959"/>
        <rFont val="Arial"/>
        <family val="0"/>
        <charset val="1"/>
      </rPr>
      <t xml:space="preserve">Third Bridge</t>
    </r>
    <r>
      <rPr>
        <i val="true"/>
        <sz val="10"/>
        <color rgb="FF595959"/>
        <rFont val="Noto Sans CJK SC"/>
        <family val="2"/>
      </rPr>
      <t xml:space="preserve">访谈纪要（</t>
    </r>
    <r>
      <rPr>
        <i val="true"/>
        <sz val="10"/>
        <color rgb="FF595959"/>
        <rFont val="Arial"/>
        <family val="0"/>
        <charset val="1"/>
      </rPr>
      <t xml:space="preserve">2026-04-03</t>
    </r>
    <r>
      <rPr>
        <i val="true"/>
        <sz val="10"/>
        <color rgb="FF595959"/>
        <rFont val="Noto Sans CJK SC"/>
        <family val="2"/>
      </rPr>
      <t xml:space="preserve">、</t>
    </r>
    <r>
      <rPr>
        <i val="true"/>
        <sz val="10"/>
        <color rgb="FF595959"/>
        <rFont val="Arial"/>
        <family val="0"/>
        <charset val="1"/>
      </rPr>
      <t xml:space="preserve">2026-06-11</t>
    </r>
    <r>
      <rPr>
        <i val="true"/>
        <sz val="10"/>
        <color rgb="FF595959"/>
        <rFont val="Noto Sans CJK SC"/>
        <family val="2"/>
      </rPr>
      <t xml:space="preserve">、</t>
    </r>
    <r>
      <rPr>
        <i val="true"/>
        <sz val="10"/>
        <color rgb="FF595959"/>
        <rFont val="Arial"/>
        <family val="0"/>
        <charset val="1"/>
      </rPr>
      <t xml:space="preserve">2026-07-22</t>
    </r>
    <r>
      <rPr>
        <i val="true"/>
        <sz val="10"/>
        <color rgb="FF595959"/>
        <rFont val="Noto Sans CJK SC"/>
        <family val="2"/>
      </rPr>
      <t xml:space="preserve">）及公开资料；访谈观点为专家个人判断，仅作假设参考。</t>
    </r>
  </si>
  <si>
    <t xml:space="preserve">日期</t>
  </si>
  <si>
    <t xml:space="preserve">来源</t>
  </si>
  <si>
    <t xml:space="preserve">要点</t>
  </si>
  <si>
    <t xml:space="preserve">模型中的用途</t>
  </si>
  <si>
    <t xml:space="preserve">2026-04-03</t>
  </si>
  <si>
    <r>
      <rPr>
        <sz val="10"/>
        <color rgb="FF000000"/>
        <rFont val="Arial"/>
        <family val="0"/>
        <charset val="1"/>
      </rPr>
      <t xml:space="preserve">Bloom</t>
    </r>
    <r>
      <rPr>
        <sz val="10"/>
        <color rgb="FF000000"/>
        <rFont val="Noto Sans CJK SC"/>
        <family val="2"/>
      </rPr>
      <t xml:space="preserve">前高级工程经理</t>
    </r>
  </si>
  <si>
    <r>
      <rPr>
        <sz val="10"/>
        <color rgb="FF000000"/>
        <rFont val="Arial"/>
        <family val="0"/>
        <charset val="1"/>
      </rPr>
      <t xml:space="preserve">Bloom</t>
    </r>
    <r>
      <rPr>
        <sz val="10"/>
        <color rgb="FF000000"/>
        <rFont val="Noto Sans CJK SC"/>
        <family val="2"/>
      </rPr>
      <t xml:space="preserve">对外产能指电池片与电堆层；其中约</t>
    </r>
    <r>
      <rPr>
        <sz val="10"/>
        <color rgb="FF000000"/>
        <rFont val="Arial"/>
        <family val="0"/>
        <charset val="1"/>
      </rPr>
      <t xml:space="preserve">25%-30%</t>
    </r>
    <r>
      <rPr>
        <sz val="10"/>
        <color rgb="FF000000"/>
        <rFont val="Noto Sans CJK SC"/>
        <family val="2"/>
      </rPr>
      <t xml:space="preserve">用于翻新与现场更换；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年底电池片与电堆产能约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，收入端上限约</t>
    </r>
    <r>
      <rPr>
        <sz val="10"/>
        <color rgb="FF000000"/>
        <rFont val="Arial"/>
        <family val="0"/>
        <charset val="1"/>
      </rPr>
      <t xml:space="preserve">1.5GW</t>
    </r>
  </si>
  <si>
    <t xml:space="preserve">电池片层需求与验收量的换算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</si>
  <si>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年验收约</t>
    </r>
    <r>
      <rPr>
        <sz val="10"/>
        <color rgb="FF000000"/>
        <rFont val="Arial"/>
        <family val="0"/>
        <charset val="1"/>
      </rPr>
      <t xml:space="preserve">500MW</t>
    </r>
    <r>
      <rPr>
        <sz val="10"/>
        <color rgb="FF000000"/>
        <rFont val="Noto Sans CJK SC"/>
        <family val="2"/>
      </rPr>
      <t xml:space="preserve">，四季度产能折年约</t>
    </r>
    <r>
      <rPr>
        <sz val="10"/>
        <color rgb="FF000000"/>
        <rFont val="Arial"/>
        <family val="0"/>
        <charset val="1"/>
      </rPr>
      <t xml:space="preserve">800MW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年实际验收约</t>
    </r>
    <r>
      <rPr>
        <sz val="10"/>
        <color rgb="FF000000"/>
        <rFont val="Arial"/>
        <family val="0"/>
        <charset val="1"/>
      </rPr>
      <t xml:space="preserve">1.25-1.5GW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年底收入端产能</t>
    </r>
    <r>
      <rPr>
        <sz val="10"/>
        <color rgb="FF000000"/>
        <rFont val="Arial"/>
        <family val="0"/>
        <charset val="1"/>
      </rPr>
      <t xml:space="preserve">2.5-3GW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2028-29</t>
    </r>
    <r>
      <rPr>
        <sz val="10"/>
        <color rgb="FF000000"/>
        <rFont val="Noto Sans CJK SC"/>
        <family val="2"/>
      </rPr>
      <t xml:space="preserve">年电堆产能目标约</t>
    </r>
    <r>
      <rPr>
        <sz val="10"/>
        <color rgb="FF000000"/>
        <rFont val="Arial"/>
        <family val="0"/>
        <charset val="1"/>
      </rPr>
      <t xml:space="preserve">5GW</t>
    </r>
  </si>
  <si>
    <r>
      <rPr>
        <sz val="10"/>
        <color rgb="FF000000"/>
        <rFont val="Arial"/>
        <family val="0"/>
        <charset val="1"/>
      </rPr>
      <t xml:space="preserve">Bloom</t>
    </r>
    <r>
      <rPr>
        <sz val="10"/>
        <color rgb="FF000000"/>
        <rFont val="Noto Sans CJK SC"/>
        <family val="2"/>
      </rPr>
      <t xml:space="preserve">电池片层需求（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）各情景</t>
    </r>
  </si>
  <si>
    <r>
      <rPr>
        <sz val="10"/>
        <color rgb="FF000000"/>
        <rFont val="Noto Sans CJK SC"/>
        <family val="2"/>
      </rPr>
      <t xml:space="preserve">约两年后推出新一代产品，单位产能对应更多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；未来两年首次面临电池片与电堆的制造约束</t>
    </r>
  </si>
  <si>
    <t xml:space="preserve">单片功率提升假设；份额下降时点</t>
  </si>
  <si>
    <r>
      <rPr>
        <sz val="10"/>
        <color rgb="FF000000"/>
        <rFont val="Noto Sans CJK SC"/>
        <family val="2"/>
      </rPr>
      <t xml:space="preserve">系统价格（含激励后）约</t>
    </r>
    <r>
      <rPr>
        <sz val="10"/>
        <color rgb="FF000000"/>
        <rFont val="Arial"/>
        <family val="0"/>
        <charset val="1"/>
      </rPr>
      <t xml:space="preserve">3,300-3,600</t>
    </r>
    <r>
      <rPr>
        <sz val="10"/>
        <color rgb="FF000000"/>
        <rFont val="Noto Sans CJK SC"/>
        <family val="2"/>
      </rPr>
      <t xml:space="preserve">美元</t>
    </r>
    <r>
      <rPr>
        <sz val="10"/>
        <color rgb="FF000000"/>
        <rFont val="Arial"/>
        <family val="0"/>
        <charset val="1"/>
      </rPr>
      <t xml:space="preserve">/kW</t>
    </r>
    <r>
      <rPr>
        <sz val="10"/>
        <color rgb="FF000000"/>
        <rFont val="Noto Sans CJK SC"/>
        <family val="2"/>
      </rPr>
      <t xml:space="preserve">；部分合约发货即确认验收，现场服务与特种焊接人手是验收瓶颈</t>
    </r>
  </si>
  <si>
    <t xml:space="preserve">采购与验收时差（库存）</t>
  </si>
  <si>
    <t xml:space="preserve">2026-06-11</t>
  </si>
  <si>
    <t xml:space="preserve">三环前业务拓展负责人</t>
  </si>
  <si>
    <r>
      <rPr>
        <sz val="10"/>
        <color rgb="FF000000"/>
        <rFont val="Noto Sans CJK SC"/>
        <family val="2"/>
      </rPr>
      <t xml:space="preserve">与</t>
    </r>
    <r>
      <rPr>
        <sz val="10"/>
        <color rgb="FF000000"/>
        <rFont val="Arial"/>
        <family val="0"/>
        <charset val="1"/>
      </rPr>
      <t xml:space="preserve">Bloom</t>
    </r>
    <r>
      <rPr>
        <sz val="10"/>
        <color rgb="FF000000"/>
        <rFont val="Noto Sans CJK SC"/>
        <family val="2"/>
      </rPr>
      <t xml:space="preserve">的隔膜片合作十几年，从氧化铝陶瓷开始；隔膜片市场体量小，三环利用富余产能改造设备切入；</t>
    </r>
    <r>
      <rPr>
        <sz val="10"/>
        <color rgb="FF000000"/>
        <rFont val="Arial"/>
        <family val="0"/>
        <charset val="1"/>
      </rPr>
      <t xml:space="preserve">CoorsTek</t>
    </r>
    <r>
      <rPr>
        <sz val="10"/>
        <color rgb="FF000000"/>
        <rFont val="Noto Sans CJK SC"/>
        <family val="2"/>
      </rPr>
      <t xml:space="preserve">具备制造能力，日本厂商成本不占优</t>
    </r>
  </si>
  <si>
    <t xml:space="preserve">二供进入节奏；第一大客户销售额口径</t>
  </si>
  <si>
    <r>
      <rPr>
        <sz val="10"/>
        <color rgb="FF000000"/>
        <rFont val="Noto Sans CJK SC"/>
        <family val="2"/>
      </rPr>
      <t xml:space="preserve">隔膜片对三环整体营收、利润贡献不大；三环同时自研</t>
    </r>
    <r>
      <rPr>
        <sz val="10"/>
        <color rgb="FF000000"/>
        <rFont val="Arial"/>
        <family val="0"/>
        <charset val="1"/>
      </rPr>
      <t xml:space="preserve">SOFC</t>
    </r>
    <r>
      <rPr>
        <sz val="10"/>
        <color rgb="FF000000"/>
        <rFont val="Noto Sans CJK SC"/>
        <family val="2"/>
      </rPr>
      <t xml:space="preserve">电堆，已出货</t>
    </r>
  </si>
  <si>
    <r>
      <rPr>
        <sz val="10"/>
        <color rgb="FF000000"/>
        <rFont val="Arial"/>
        <family val="0"/>
        <charset val="1"/>
      </rPr>
      <t xml:space="preserve">SOFC</t>
    </r>
    <r>
      <rPr>
        <sz val="10"/>
        <color rgb="FF000000"/>
        <rFont val="Noto Sans CJK SC"/>
        <family val="2"/>
      </rPr>
      <t xml:space="preserve">对利润贡献的交叉验证</t>
    </r>
  </si>
  <si>
    <r>
      <rPr>
        <sz val="10"/>
        <color rgb="FF000000"/>
        <rFont val="Noto Sans CJK SC"/>
        <family val="2"/>
      </rPr>
      <t xml:space="preserve">国内</t>
    </r>
    <r>
      <rPr>
        <sz val="10"/>
        <color rgb="FF000000"/>
        <rFont val="Arial"/>
        <family val="0"/>
        <charset val="1"/>
      </rPr>
      <t xml:space="preserve">MLCC</t>
    </r>
    <r>
      <rPr>
        <sz val="10"/>
        <color rgb="FF000000"/>
        <rFont val="Noto Sans CJK SC"/>
        <family val="2"/>
      </rPr>
      <t xml:space="preserve">涨价集中在高容产品，低容不涨；</t>
    </r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服务器高端</t>
    </r>
    <r>
      <rPr>
        <sz val="10"/>
        <color rgb="FF000000"/>
        <rFont val="Arial"/>
        <family val="0"/>
        <charset val="1"/>
      </rPr>
      <t xml:space="preserve">MLCC</t>
    </r>
    <r>
      <rPr>
        <sz val="10"/>
        <color rgb="FF000000"/>
        <rFont val="Noto Sans CJK SC"/>
        <family val="2"/>
      </rPr>
      <t xml:space="preserve">使用部分稀土材料</t>
    </r>
  </si>
  <si>
    <t xml:space="preserve">电子元件分部增速与毛利率</t>
  </si>
  <si>
    <t xml:space="preserve">2026-07-22</t>
  </si>
  <si>
    <r>
      <rPr>
        <sz val="10"/>
        <color rgb="FF000000"/>
        <rFont val="Arial"/>
        <family val="0"/>
        <charset val="1"/>
      </rPr>
      <t xml:space="preserve">Bloom</t>
    </r>
    <r>
      <rPr>
        <sz val="10"/>
        <color rgb="FF000000"/>
        <rFont val="Noto Sans CJK SC"/>
        <family val="2"/>
      </rPr>
      <t xml:space="preserve">前国际业务高级管理人员</t>
    </r>
  </si>
  <si>
    <r>
      <rPr>
        <sz val="10"/>
        <color rgb="FF000000"/>
        <rFont val="Arial"/>
        <family val="0"/>
        <charset val="1"/>
      </rPr>
      <t xml:space="preserve">65kW</t>
    </r>
    <r>
      <rPr>
        <sz val="10"/>
        <color rgb="FF000000"/>
        <rFont val="Noto Sans CJK SC"/>
        <family val="2"/>
      </rPr>
      <t xml:space="preserve">约用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片电池片（约</t>
    </r>
    <r>
      <rPr>
        <sz val="10"/>
        <color rgb="FF000000"/>
        <rFont val="Arial"/>
        <family val="0"/>
        <charset val="1"/>
      </rPr>
      <t xml:space="preserve">32.5W/</t>
    </r>
    <r>
      <rPr>
        <sz val="10"/>
        <color rgb="FF000000"/>
        <rFont val="Noto Sans CJK SC"/>
        <family val="2"/>
      </rPr>
      <t xml:space="preserve">片），</t>
    </r>
    <r>
      <rPr>
        <sz val="10"/>
        <color rgb="FF000000"/>
        <rFont val="Arial"/>
        <family val="0"/>
        <charset val="1"/>
      </rPr>
      <t xml:space="preserve">650kW</t>
    </r>
    <r>
      <rPr>
        <sz val="10"/>
        <color rgb="FF000000"/>
        <rFont val="Noto Sans CJK SC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万片；瓶颈在电池片烧结速度，</t>
    </r>
    <r>
      <rPr>
        <sz val="10"/>
        <color rgb="FF000000"/>
        <rFont val="Arial"/>
        <family val="0"/>
        <charset val="1"/>
      </rPr>
      <t xml:space="preserve">Bloom</t>
    </r>
    <r>
      <rPr>
        <sz val="10"/>
        <color rgb="FF000000"/>
        <rFont val="Noto Sans CJK SC"/>
        <family val="2"/>
      </rPr>
      <t xml:space="preserve">已在找第二来源</t>
    </r>
  </si>
  <si>
    <t xml:space="preserve">单片功率口径；二供</t>
  </si>
  <si>
    <r>
      <rPr>
        <sz val="10"/>
        <color rgb="FF000000"/>
        <rFont val="Arial"/>
        <family val="0"/>
        <charset val="1"/>
      </rPr>
      <t xml:space="preserve">SOFC</t>
    </r>
    <r>
      <rPr>
        <sz val="10"/>
        <color rgb="FF000000"/>
        <rFont val="Noto Sans CJK SC"/>
        <family val="2"/>
      </rPr>
      <t xml:space="preserve">在北美大型数据中心发电中约占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年前后或升至约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；数据中心负载波动使反应器温度变化增多</t>
    </r>
  </si>
  <si>
    <r>
      <rPr>
        <sz val="10"/>
        <color rgb="FF000000"/>
        <rFont val="Arial"/>
        <family val="0"/>
        <charset val="1"/>
      </rPr>
      <t xml:space="preserve">Bloom</t>
    </r>
    <r>
      <rPr>
        <sz val="10"/>
        <color rgb="FF000000"/>
        <rFont val="Noto Sans CJK SC"/>
        <family val="2"/>
      </rPr>
      <t xml:space="preserve">需求上限；翻新需求</t>
    </r>
  </si>
  <si>
    <t xml:space="preserve">2026-07-28</t>
  </si>
  <si>
    <r>
      <rPr>
        <sz val="10"/>
        <color rgb="FF000000"/>
        <rFont val="Arial"/>
        <family val="0"/>
        <charset val="1"/>
      </rPr>
      <t xml:space="preserve">Bloom</t>
    </r>
    <r>
      <rPr>
        <sz val="10"/>
        <color rgb="FF000000"/>
        <rFont val="Noto Sans CJK SC"/>
        <family val="2"/>
      </rPr>
      <t xml:space="preserve">二季度业绩公告</t>
    </r>
  </si>
  <si>
    <r>
      <rPr>
        <sz val="10"/>
        <color rgb="FF000000"/>
        <rFont val="Noto Sans CJK SC"/>
        <family val="2"/>
      </rPr>
      <t xml:space="preserve">二季度收入</t>
    </r>
    <r>
      <rPr>
        <sz val="10"/>
        <color rgb="FF000000"/>
        <rFont val="Arial"/>
        <family val="0"/>
        <charset val="1"/>
      </rPr>
      <t xml:space="preserve">10.65</t>
    </r>
    <r>
      <rPr>
        <sz val="10"/>
        <color rgb="FF000000"/>
        <rFont val="Noto Sans CJK SC"/>
        <family val="2"/>
      </rPr>
      <t xml:space="preserve">亿美元，同比</t>
    </r>
    <r>
      <rPr>
        <sz val="10"/>
        <color rgb="FF000000"/>
        <rFont val="Arial"/>
        <family val="0"/>
        <charset val="1"/>
      </rPr>
      <t xml:space="preserve">+166%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年收入指引上调至</t>
    </r>
    <r>
      <rPr>
        <sz val="10"/>
        <color rgb="FF000000"/>
        <rFont val="Arial"/>
        <family val="0"/>
        <charset val="1"/>
      </rPr>
      <t xml:space="preserve">39-42</t>
    </r>
    <r>
      <rPr>
        <sz val="10"/>
        <color rgb="FF000000"/>
        <rFont val="Noto Sans CJK SC"/>
        <family val="2"/>
      </rPr>
      <t xml:space="preserve">亿美元（中值同比约翻倍）</t>
    </r>
  </si>
  <si>
    <r>
      <rPr>
        <sz val="10"/>
        <color rgb="FF000000"/>
        <rFont val="Arial"/>
        <family val="0"/>
        <charset val="1"/>
      </rPr>
      <t xml:space="preserve">2026E Bloom</t>
    </r>
    <r>
      <rPr>
        <sz val="10"/>
        <color rgb="FF000000"/>
        <rFont val="Noto Sans CJK SC"/>
        <family val="2"/>
      </rPr>
      <t xml:space="preserve">需求约为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年两倍</t>
    </r>
  </si>
  <si>
    <t xml:space="preserve">2026-07-29</t>
  </si>
  <si>
    <t xml:space="preserve">首尔经济新闻</t>
  </si>
  <si>
    <r>
      <rPr>
        <sz val="10"/>
        <color rgb="FF000000"/>
        <rFont val="Arial"/>
        <family val="0"/>
        <charset val="1"/>
      </rPr>
      <t xml:space="preserve">Amosense</t>
    </r>
    <r>
      <rPr>
        <sz val="10"/>
        <color rgb="FF000000"/>
        <rFont val="Noto Sans CJK SC"/>
        <family val="2"/>
      </rPr>
      <t xml:space="preserve">已向</t>
    </r>
    <r>
      <rPr>
        <sz val="10"/>
        <color rgb="FF000000"/>
        <rFont val="Arial"/>
        <family val="0"/>
        <charset val="1"/>
      </rPr>
      <t xml:space="preserve">Bloom</t>
    </r>
    <r>
      <rPr>
        <sz val="10"/>
        <color rgb="FF000000"/>
        <rFont val="Noto Sans CJK SC"/>
        <family val="2"/>
      </rPr>
      <t xml:space="preserve">交付首批</t>
    </r>
    <r>
      <rPr>
        <sz val="10"/>
        <color rgb="FF000000"/>
        <rFont val="Arial"/>
        <family val="0"/>
        <charset val="1"/>
      </rPr>
      <t xml:space="preserve">SOFC</t>
    </r>
    <r>
      <rPr>
        <sz val="10"/>
        <color rgb="FF000000"/>
        <rFont val="Noto Sans CJK SC"/>
        <family val="2"/>
      </rPr>
      <t xml:space="preserve">陶瓷基板，三季度内月产能由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万片扩至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万片</t>
    </r>
  </si>
  <si>
    <t xml:space="preserve">二供产能（份额假设）</t>
  </si>
  <si>
    <t xml:space="preserve">2026-08-28</t>
  </si>
  <si>
    <r>
      <rPr>
        <sz val="10"/>
        <color rgb="FF000000"/>
        <rFont val="Noto Sans CJK SC"/>
        <family val="2"/>
      </rPr>
      <t xml:space="preserve">三环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年半年报</t>
    </r>
  </si>
  <si>
    <r>
      <rPr>
        <sz val="10"/>
        <color rgb="FF000000"/>
        <rFont val="Noto Sans CJK SC"/>
        <family val="2"/>
      </rPr>
      <t xml:space="preserve">营收</t>
    </r>
    <r>
      <rPr>
        <sz val="10"/>
        <color rgb="FF000000"/>
        <rFont val="Arial"/>
        <family val="0"/>
        <charset val="1"/>
      </rPr>
      <t xml:space="preserve">64.23</t>
    </r>
    <r>
      <rPr>
        <sz val="10"/>
        <color rgb="FF000000"/>
        <rFont val="Noto Sans CJK SC"/>
        <family val="2"/>
      </rPr>
      <t xml:space="preserve">亿元（</t>
    </r>
    <r>
      <rPr>
        <sz val="10"/>
        <color rgb="FF000000"/>
        <rFont val="Arial"/>
        <family val="0"/>
        <charset val="1"/>
      </rPr>
      <t xml:space="preserve">+54.82%</t>
    </r>
    <r>
      <rPr>
        <sz val="10"/>
        <color rgb="FF000000"/>
        <rFont val="Noto Sans CJK SC"/>
        <family val="2"/>
      </rPr>
      <t xml:space="preserve">），归母净利</t>
    </r>
    <r>
      <rPr>
        <sz val="10"/>
        <color rgb="FF000000"/>
        <rFont val="Arial"/>
        <family val="0"/>
        <charset val="1"/>
      </rPr>
      <t xml:space="preserve">19.32</t>
    </r>
    <r>
      <rPr>
        <sz val="10"/>
        <color rgb="FF000000"/>
        <rFont val="Noto Sans CJK SC"/>
        <family val="2"/>
      </rPr>
      <t xml:space="preserve">亿元（</t>
    </r>
    <r>
      <rPr>
        <sz val="10"/>
        <color rgb="FF000000"/>
        <rFont val="Arial"/>
        <family val="0"/>
        <charset val="1"/>
      </rPr>
      <t xml:space="preserve">+56.18%</t>
    </r>
    <r>
      <rPr>
        <sz val="10"/>
        <color rgb="FF000000"/>
        <rFont val="Noto Sans CJK SC"/>
        <family val="2"/>
      </rPr>
      <t xml:space="preserve">）；增长来自</t>
    </r>
    <r>
      <rPr>
        <sz val="10"/>
        <color rgb="FF000000"/>
        <rFont val="Arial"/>
        <family val="0"/>
        <charset val="1"/>
      </rPr>
      <t xml:space="preserve">MLCC</t>
    </r>
    <r>
      <rPr>
        <sz val="10"/>
        <color rgb="FF000000"/>
        <rFont val="Noto Sans CJK SC"/>
        <family val="2"/>
      </rPr>
      <t xml:space="preserve">与插芯、套筒等光通信产品；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股共发行</t>
    </r>
    <r>
      <rPr>
        <sz val="10"/>
        <color rgb="FF000000"/>
        <rFont val="Arial"/>
        <family val="0"/>
        <charset val="1"/>
      </rPr>
      <t xml:space="preserve">80,221,200</t>
    </r>
    <r>
      <rPr>
        <sz val="10"/>
        <color rgb="FF000000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</si>
  <si>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2026E</t>
    </r>
    <r>
      <rPr>
        <sz val="10"/>
        <color rgb="FF000000"/>
        <rFont val="Noto Sans CJK SC"/>
        <family val="2"/>
      </rPr>
      <t xml:space="preserve">收入基数与股本</t>
    </r>
  </si>
  <si>
    <r>
      <rPr>
        <b val="true"/>
        <sz val="14"/>
        <color rgb="FF1F3864"/>
        <rFont val="Noto Sans CJK SC"/>
        <family val="2"/>
      </rPr>
      <t xml:space="preserve">模型校验（全部应为</t>
    </r>
    <r>
      <rPr>
        <b val="true"/>
        <sz val="14"/>
        <color rgb="FF1F3864"/>
        <rFont val="Arial"/>
        <family val="0"/>
        <charset val="1"/>
      </rPr>
      <t xml:space="preserve">0</t>
    </r>
    <r>
      <rPr>
        <b val="true"/>
        <sz val="14"/>
        <color rgb="FF1F3864"/>
        <rFont val="Noto Sans CJK SC"/>
        <family val="2"/>
      </rPr>
      <t xml:space="preserve">）</t>
    </r>
  </si>
  <si>
    <t xml:space="preserve">任何非零值表示勾稽关系出错。</t>
  </si>
  <si>
    <t xml:space="preserve">校验项</t>
  </si>
  <si>
    <r>
      <rPr>
        <sz val="10"/>
        <color rgb="FF000000"/>
        <rFont val="Noto Sans CJK SC"/>
        <family val="2"/>
      </rPr>
      <t xml:space="preserve">资产负债表配平（资产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负债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权益）</t>
    </r>
  </si>
  <si>
    <t xml:space="preserve">历史资产总计与报告值差异</t>
  </si>
  <si>
    <t xml:space="preserve">历史营业利润重算与报告值差异</t>
  </si>
  <si>
    <t xml:space="preserve">历史现金净增加额与报告值差异</t>
  </si>
  <si>
    <t xml:space="preserve">分部收入合计与利润表收入差异（预测）</t>
  </si>
  <si>
    <r>
      <rPr>
        <sz val="10"/>
        <color rgb="FF000000"/>
        <rFont val="Noto Sans CJK SC"/>
        <family val="2"/>
      </rPr>
      <t xml:space="preserve">分部收入合计与年报差异（</t>
    </r>
    <r>
      <rPr>
        <sz val="10"/>
        <color rgb="FF000000"/>
        <rFont val="Arial"/>
        <family val="0"/>
        <charset val="1"/>
      </rPr>
      <t xml:space="preserve">2024A/2025A</t>
    </r>
    <r>
      <rPr>
        <sz val="10"/>
        <color rgb="FF000000"/>
        <rFont val="Noto Sans CJK SC"/>
        <family val="2"/>
      </rPr>
      <t xml:space="preserve">）</t>
    </r>
  </si>
  <si>
    <t xml:space="preserve">现金流量表期末现金与资产负债表货币资金变动差异（预测）</t>
  </si>
  <si>
    <t xml:space="preserve">校验汇总（所有校验绝对值之和）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</si>
</sst>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;\(#,##0.0\);\-"/>
    <numFmt numFmtId="166" formatCode="0.0%;\(0.0%\);\-"/>
    <numFmt numFmtId="167" formatCode="0.00;\(0.00\);\-"/>
    <numFmt numFmtId="168" formatCode="0.0\x"/>
    <numFmt numFmtId="169" formatCode="0"/>
    <numFmt numFmtId="170" formatCode="0.000"/>
    <numFmt numFmtId="171" formatCode="#,##0;\(#,##0\);\-"/>
    <numFmt numFmtId="172" formatCode="0.00"/>
    <numFmt numFmtId="173" formatCode="0.0"/>
    <numFmt numFmtId="174" formatCode="0.00\x"/>
    <numFmt numFmtId="175" formatCode="0.00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  <font>
      <sz val="1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"/>
    <col collapsed="false" customWidth="true" hidden="false" outlineLevel="0" max="8" min="3" style="0" width="1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5" t="s">
        <v>8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7" t="s">
        <v>9</v>
      </c>
      <c r="B12" s="8"/>
      <c r="C12" s="8" t="s">
        <v>10</v>
      </c>
      <c r="D12" s="8" t="s">
        <v>11</v>
      </c>
      <c r="E12" s="8" t="s">
        <v>12</v>
      </c>
      <c r="F12" s="8" t="s">
        <v>13</v>
      </c>
      <c r="G12" s="8" t="s">
        <v>14</v>
      </c>
      <c r="H12" s="8" t="s">
        <v>15</v>
      </c>
    </row>
    <row r="13" customFormat="false" ht="15" hidden="false" customHeight="false" outlineLevel="0" collapsed="false">
      <c r="A13" s="9" t="s">
        <v>16</v>
      </c>
      <c r="C13" s="10" t="n">
        <f aca="false">三表预测!G6</f>
        <v>9007.1539</v>
      </c>
      <c r="D13" s="10" t="n">
        <f aca="false">三表预测!H6</f>
        <v>13715.0918333333</v>
      </c>
      <c r="E13" s="10" t="n">
        <f aca="false">三表预测!I6</f>
        <v>17294.0437966667</v>
      </c>
      <c r="F13" s="10" t="n">
        <f aca="false">三表预测!J6</f>
        <v>19666.7274691538</v>
      </c>
      <c r="G13" s="10" t="n">
        <f aca="false">三表预测!K6</f>
        <v>21594.73968474</v>
      </c>
      <c r="H13" s="10" t="n">
        <f aca="false">三表预测!L6</f>
        <v>23011.8333185098</v>
      </c>
    </row>
    <row r="14" customFormat="false" ht="15" hidden="false" customHeight="false" outlineLevel="0" collapsed="false">
      <c r="A14" s="11" t="s">
        <v>17</v>
      </c>
      <c r="C14" s="12" t="n">
        <f aca="false">三表预测!G7</f>
        <v>0.221310526922962</v>
      </c>
      <c r="D14" s="12" t="n">
        <f aca="false">三表预测!H7</f>
        <v>0.522688741149781</v>
      </c>
      <c r="E14" s="12" t="n">
        <f aca="false">三表预测!I7</f>
        <v>0.260949908817599</v>
      </c>
      <c r="F14" s="12" t="n">
        <f aca="false">三表预测!J7</f>
        <v>0.137196580532802</v>
      </c>
      <c r="G14" s="12" t="n">
        <f aca="false">三表预测!K7</f>
        <v>0.0980342163489139</v>
      </c>
      <c r="H14" s="12" t="n">
        <f aca="false">三表预测!L7</f>
        <v>0.0656221679194968</v>
      </c>
    </row>
    <row r="15" customFormat="false" ht="15" hidden="false" customHeight="false" outlineLevel="0" collapsed="false">
      <c r="A15" s="9" t="s">
        <v>18</v>
      </c>
      <c r="C15" s="12" t="n">
        <f aca="false">三表预测!G10</f>
        <v>0.421375302580319</v>
      </c>
      <c r="D15" s="12" t="n">
        <f aca="false">三表预测!H10</f>
        <v>0.43987580226556</v>
      </c>
      <c r="E15" s="12" t="n">
        <f aca="false">三表预测!I10</f>
        <v>0.44668385580564</v>
      </c>
      <c r="F15" s="12" t="n">
        <f aca="false">三表预测!J10</f>
        <v>0.440820979819222</v>
      </c>
      <c r="G15" s="12" t="n">
        <f aca="false">三表预测!K10</f>
        <v>0.432777908371315</v>
      </c>
      <c r="H15" s="12" t="n">
        <f aca="false">三表预测!L10</f>
        <v>0.428478286845882</v>
      </c>
    </row>
    <row r="16" customFormat="false" ht="15" hidden="false" customHeight="false" outlineLevel="0" collapsed="false">
      <c r="A16" s="9" t="s">
        <v>19</v>
      </c>
      <c r="C16" s="10" t="n">
        <f aca="false">三表预测!G29</f>
        <v>2618.3839</v>
      </c>
      <c r="D16" s="10" t="n">
        <f aca="false">三表预测!H29</f>
        <v>4201.963477193</v>
      </c>
      <c r="E16" s="10" t="n">
        <f aca="false">三表预测!I29</f>
        <v>5460.66683465823</v>
      </c>
      <c r="F16" s="10" t="n">
        <f aca="false">三表预测!J29</f>
        <v>6023.76515516423</v>
      </c>
      <c r="G16" s="10" t="n">
        <f aca="false">三表预测!K29</f>
        <v>6417.43990002857</v>
      </c>
      <c r="H16" s="10" t="n">
        <f aca="false">三表预测!L29</f>
        <v>6761.93575179593</v>
      </c>
    </row>
    <row r="17" customFormat="false" ht="15" hidden="false" customHeight="false" outlineLevel="0" collapsed="false">
      <c r="A17" s="11" t="s">
        <v>17</v>
      </c>
      <c r="C17" s="12" t="n">
        <f aca="false">三表预测!G30</f>
        <v>0.195363900701281</v>
      </c>
      <c r="D17" s="12" t="n">
        <f aca="false">三表预测!H30</f>
        <v>0.604792741504789</v>
      </c>
      <c r="E17" s="12" t="n">
        <f aca="false">三表预测!I30</f>
        <v>0.299551237010292</v>
      </c>
      <c r="F17" s="12" t="n">
        <f aca="false">三表预测!J30</f>
        <v>0.103118966521099</v>
      </c>
      <c r="G17" s="12" t="n">
        <f aca="false">三表预测!K30</f>
        <v>0.0653536010657447</v>
      </c>
      <c r="H17" s="12" t="n">
        <f aca="false">三表预测!L30</f>
        <v>0.0536811964169435</v>
      </c>
    </row>
    <row r="18" customFormat="false" ht="15" hidden="false" customHeight="false" outlineLevel="0" collapsed="false">
      <c r="A18" s="13" t="s">
        <v>20</v>
      </c>
      <c r="C18" s="14" t="n">
        <f aca="false">三表预测!G32</f>
        <v>1.36990363305402</v>
      </c>
      <c r="D18" s="14" t="n">
        <f aca="false">三表预测!H32</f>
        <v>2.12573770032964</v>
      </c>
      <c r="E18" s="14" t="n">
        <f aca="false">三表预测!I32</f>
        <v>2.76250505802279</v>
      </c>
      <c r="F18" s="14" t="n">
        <f aca="false">三表预测!J32</f>
        <v>3.04737172461541</v>
      </c>
      <c r="G18" s="14" t="n">
        <f aca="false">三表预测!K32</f>
        <v>3.24652844060496</v>
      </c>
      <c r="H18" s="14" t="n">
        <f aca="false">三表预测!L32</f>
        <v>3.42080597149826</v>
      </c>
    </row>
    <row r="19" customFormat="false" ht="15" hidden="false" customHeight="false" outlineLevel="0" collapsed="false">
      <c r="A19" s="13" t="s">
        <v>21</v>
      </c>
      <c r="C19" s="12" t="n">
        <f aca="false">三表预测!G87</f>
        <v>0.126111690004232</v>
      </c>
      <c r="D19" s="12" t="n">
        <f aca="false">三表预测!H87</f>
        <v>0.161017669273953</v>
      </c>
      <c r="E19" s="12" t="n">
        <f aca="false">三表预测!I87</f>
        <v>0.167655152392111</v>
      </c>
      <c r="F19" s="12" t="n">
        <f aca="false">三表预测!J87</f>
        <v>0.164051663227509</v>
      </c>
      <c r="G19" s="12" t="n">
        <f aca="false">三表预测!K87</f>
        <v>0.156353683084181</v>
      </c>
      <c r="H19" s="12" t="n">
        <f aca="false">三表预测!L87</f>
        <v>0.148349003439257</v>
      </c>
    </row>
    <row r="20" customFormat="false" ht="15" hidden="false" customHeight="false" outlineLevel="0" collapsed="false">
      <c r="A20" s="9" t="s">
        <v>22</v>
      </c>
      <c r="C20" s="10" t="n">
        <f aca="false">三表预测!G83</f>
        <v>2297.5171</v>
      </c>
      <c r="D20" s="10" t="n">
        <f aca="false">三表预测!H83</f>
        <v>1883.50800712679</v>
      </c>
      <c r="E20" s="10" t="n">
        <f aca="false">三表预测!I83</f>
        <v>2647.77052083206</v>
      </c>
      <c r="F20" s="10" t="n">
        <f aca="false">三表预测!J83</f>
        <v>4164.57110376577</v>
      </c>
      <c r="G20" s="10" t="n">
        <f aca="false">三表预测!K83</f>
        <v>5271.32238436617</v>
      </c>
      <c r="H20" s="10" t="n">
        <f aca="false">三表预测!L83</f>
        <v>6268.19979284811</v>
      </c>
    </row>
    <row r="21" customFormat="false" ht="15" hidden="false" customHeight="false" outlineLevel="0" collapsed="false">
      <c r="A21" s="9" t="s">
        <v>23</v>
      </c>
      <c r="C21" s="10" t="n">
        <f aca="false">三表预测!G93</f>
        <v>11544.36287</v>
      </c>
      <c r="D21" s="10" t="n">
        <f aca="false">三表预测!H93</f>
        <v>18100.9648835418</v>
      </c>
      <c r="E21" s="10" t="n">
        <f aca="false">三表预测!I93</f>
        <v>19362.0874569002</v>
      </c>
      <c r="F21" s="10" t="n">
        <f aca="false">三表预测!J93</f>
        <v>21724.6385052287</v>
      </c>
      <c r="G21" s="10" t="n">
        <f aca="false">三表预测!K93</f>
        <v>25008.1183883907</v>
      </c>
      <c r="H21" s="10" t="n">
        <f aca="false">三表预测!L93</f>
        <v>29158.5630142294</v>
      </c>
    </row>
    <row r="22" customFormat="false" ht="15" hidden="false" customHeight="false" outlineLevel="0" collapsed="false">
      <c r="A22" s="13" t="s">
        <v>24</v>
      </c>
      <c r="C22" s="15" t="n">
        <f aca="false">三表预测!G97</f>
        <v>86.5024350186006</v>
      </c>
      <c r="D22" s="15" t="n">
        <f aca="false">三表预测!H97</f>
        <v>55.7453537102082</v>
      </c>
      <c r="E22" s="15" t="n">
        <f aca="false">三表预测!I97</f>
        <v>42.8958490612915</v>
      </c>
      <c r="F22" s="15" t="n">
        <f aca="false">三表预测!J97</f>
        <v>38.885968207556</v>
      </c>
      <c r="G22" s="15" t="n">
        <f aca="false">三表预测!K97</f>
        <v>36.50052730723</v>
      </c>
      <c r="H22" s="15" t="n">
        <f aca="false">三表预测!L97</f>
        <v>34.6409591737525</v>
      </c>
    </row>
    <row r="23" customFormat="false" ht="15" hidden="false" customHeight="false" outlineLevel="0" collapsed="false">
      <c r="A23" s="13" t="s">
        <v>25</v>
      </c>
      <c r="C23" s="10" t="n">
        <f aca="false">分部预测!G13</f>
        <v>330.72</v>
      </c>
      <c r="D23" s="10" t="n">
        <f aca="false">分部预测!H13</f>
        <v>889.333333333334</v>
      </c>
      <c r="E23" s="10" t="n">
        <f aca="false">分部预测!I13</f>
        <v>1254.16666666667</v>
      </c>
      <c r="F23" s="10" t="n">
        <f aca="false">分部预测!J13</f>
        <v>1110.15384615385</v>
      </c>
      <c r="G23" s="10" t="n">
        <f aca="false">分部预测!K13</f>
        <v>1140</v>
      </c>
      <c r="H23" s="10" t="n">
        <f aca="false">分部预测!L13</f>
        <v>1046.57142857143</v>
      </c>
    </row>
    <row r="24" customFormat="false" ht="15" hidden="false" customHeight="false" outlineLevel="0" collapsed="false">
      <c r="A24" s="4" t="s">
        <v>26</v>
      </c>
      <c r="D24" s="12" t="n">
        <f aca="false">IFERROR(分部预测!H16/分部预测!H44,0)</f>
        <v>0.0589651991985792</v>
      </c>
      <c r="E24" s="12" t="n">
        <f aca="false">IFERROR(分部预测!I16/分部预测!I44,0)</f>
        <v>0.0649409196300588</v>
      </c>
      <c r="F24" s="12" t="n">
        <f aca="false">IFERROR(分部预测!J16/分部预测!J44,0)</f>
        <v>0.0499405613612617</v>
      </c>
      <c r="G24" s="12" t="n">
        <f aca="false">IFERROR(分部预测!K16/分部预测!K44,0)</f>
        <v>0.0463527378573851</v>
      </c>
      <c r="H24" s="12" t="n">
        <f aca="false">IFERROR(分部预测!L16/分部预测!L44,0)</f>
        <v>0.0403341057264988</v>
      </c>
    </row>
    <row r="26" customFormat="false" ht="15" hidden="false" customHeight="false" outlineLevel="0" collapsed="false">
      <c r="A26" s="5" t="s">
        <v>27</v>
      </c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11" t="s">
        <v>28</v>
      </c>
      <c r="C27" s="16" t="n">
        <f aca="false">假设!$C$5</f>
        <v>1</v>
      </c>
    </row>
    <row r="28" customFormat="false" ht="15" hidden="false" customHeight="false" outlineLevel="0" collapsed="false">
      <c r="A28" s="4" t="s">
        <v>29</v>
      </c>
      <c r="C28" s="17" t="n">
        <f aca="false">假设!$C$6</f>
        <v>118.5</v>
      </c>
    </row>
    <row r="29" customFormat="false" ht="15" hidden="false" customHeight="false" outlineLevel="0" collapsed="false">
      <c r="A29" s="4" t="s">
        <v>30</v>
      </c>
      <c r="C29" s="18" t="n">
        <f aca="false">DCF估值!$C$7</f>
        <v>0.089299</v>
      </c>
    </row>
    <row r="30" customFormat="false" ht="15" hidden="false" customHeight="false" outlineLevel="0" collapsed="false">
      <c r="A30" s="11" t="s">
        <v>31</v>
      </c>
      <c r="C30" s="18" t="n">
        <f aca="false">DCF估值!$C$8</f>
        <v>0.03</v>
      </c>
    </row>
    <row r="31" customFormat="false" ht="15" hidden="false" customHeight="false" outlineLevel="0" collapsed="false">
      <c r="A31" s="4" t="s">
        <v>32</v>
      </c>
      <c r="C31" s="17" t="n">
        <f aca="false">DCF估值!$C$33</f>
        <v>60.6690600757412</v>
      </c>
    </row>
    <row r="32" customFormat="false" ht="15" hidden="false" customHeight="false" outlineLevel="0" collapsed="false">
      <c r="A32" s="4" t="s">
        <v>33</v>
      </c>
      <c r="C32" s="17" t="n">
        <f aca="false">DCF估值!$C$34</f>
        <v>59.3691524684832</v>
      </c>
    </row>
    <row r="33" customFormat="false" ht="15" hidden="false" customHeight="false" outlineLevel="0" collapsed="false">
      <c r="A33" s="11" t="s">
        <v>34</v>
      </c>
      <c r="C33" s="18" t="n">
        <f aca="false">DCF估值!$C$36</f>
        <v>-0.498994493936851</v>
      </c>
    </row>
    <row r="34" customFormat="false" ht="15" hidden="false" customHeight="false" outlineLevel="0" collapsed="false">
      <c r="A34" s="4" t="s">
        <v>35</v>
      </c>
      <c r="C34" s="19" t="n">
        <f aca="false">DCF估值!$C$38</f>
        <v>21.9616104953538</v>
      </c>
    </row>
    <row r="35" customFormat="false" ht="15" hidden="false" customHeight="false" outlineLevel="0" collapsed="false">
      <c r="A35" s="4" t="s">
        <v>36</v>
      </c>
      <c r="C35" s="20" t="str">
        <f aca="false">TEXT(假设!$C$31*三表预测!I32,"0.0")&amp;" - "&amp;TEXT(假设!$C$32*三表预测!I32,"0.0")</f>
        <v>82.9 - 151.9</v>
      </c>
    </row>
    <row r="36" customFormat="false" ht="15" hidden="false" customHeight="false" outlineLevel="0" collapsed="false">
      <c r="A36" s="11" t="s">
        <v>37</v>
      </c>
      <c r="C36" s="21" t="n">
        <f aca="false">校验!C13</f>
        <v>0</v>
      </c>
    </row>
    <row r="38" customFormat="false" ht="15" hidden="false" customHeight="false" outlineLevel="0" collapsed="false">
      <c r="A38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8"/>
    <col collapsed="false" customWidth="true" hidden="false" outlineLevel="0" max="12" min="3" style="0" width="11"/>
    <col collapsed="false" customWidth="true" hidden="false" outlineLevel="0" max="13" min="13" style="0" width="90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5" t="s">
        <v>41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11" t="s">
        <v>42</v>
      </c>
      <c r="C5" s="22" t="n">
        <v>1</v>
      </c>
      <c r="D5" s="2" t="s">
        <v>43</v>
      </c>
    </row>
    <row r="6" customFormat="false" ht="15" hidden="false" customHeight="false" outlineLevel="0" collapsed="false">
      <c r="A6" s="4" t="s">
        <v>44</v>
      </c>
      <c r="C6" s="23" t="n">
        <v>118.5</v>
      </c>
      <c r="D6" s="24" t="s">
        <v>45</v>
      </c>
    </row>
    <row r="7" customFormat="false" ht="15" hidden="false" customHeight="false" outlineLevel="0" collapsed="false">
      <c r="A7" s="4" t="s">
        <v>46</v>
      </c>
      <c r="C7" s="25" t="n">
        <v>100.3</v>
      </c>
      <c r="D7" s="2" t="s">
        <v>47</v>
      </c>
    </row>
    <row r="8" customFormat="false" ht="15" hidden="false" customHeight="false" outlineLevel="0" collapsed="false">
      <c r="A8" s="11" t="s">
        <v>48</v>
      </c>
      <c r="C8" s="26" t="n">
        <v>0.915</v>
      </c>
      <c r="D8" s="2" t="s">
        <v>49</v>
      </c>
    </row>
    <row r="9" customFormat="false" ht="15" hidden="false" customHeight="false" outlineLevel="0" collapsed="false">
      <c r="A9" s="4" t="s">
        <v>50</v>
      </c>
      <c r="C9" s="27" t="n">
        <v>80221200</v>
      </c>
      <c r="D9" s="24" t="s">
        <v>51</v>
      </c>
    </row>
    <row r="10" customFormat="false" ht="15" hidden="false" customHeight="false" outlineLevel="0" collapsed="false">
      <c r="A10" s="4" t="s">
        <v>52</v>
      </c>
      <c r="C10" s="28" t="n">
        <v>0.025</v>
      </c>
      <c r="D10" s="2" t="s">
        <v>53</v>
      </c>
    </row>
    <row r="11" customFormat="false" ht="15" hidden="false" customHeight="false" outlineLevel="0" collapsed="false">
      <c r="A11" s="4" t="s">
        <v>54</v>
      </c>
      <c r="C11" s="27" t="n">
        <v>1916497371</v>
      </c>
      <c r="D11" s="24" t="s">
        <v>55</v>
      </c>
    </row>
    <row r="12" customFormat="false" ht="15" hidden="false" customHeight="false" outlineLevel="0" collapsed="false">
      <c r="A12" s="4" t="s">
        <v>56</v>
      </c>
      <c r="C12" s="27" t="n">
        <v>5133800</v>
      </c>
      <c r="D12" s="24" t="s">
        <v>57</v>
      </c>
    </row>
    <row r="13" customFormat="false" ht="15" hidden="false" customHeight="false" outlineLevel="0" collapsed="false">
      <c r="A13" s="4" t="s">
        <v>58</v>
      </c>
      <c r="C13" s="27" t="n">
        <v>8547300</v>
      </c>
      <c r="D13" s="24" t="s">
        <v>59</v>
      </c>
    </row>
    <row r="14" customFormat="false" ht="15" hidden="false" customHeight="false" outlineLevel="0" collapsed="false">
      <c r="A14" s="4" t="s">
        <v>60</v>
      </c>
      <c r="C14" s="29" t="n">
        <v>895</v>
      </c>
      <c r="D14" s="24" t="s">
        <v>61</v>
      </c>
    </row>
    <row r="15" customFormat="false" ht="15" hidden="false" customHeight="false" outlineLevel="0" collapsed="false">
      <c r="A15" s="4" t="s">
        <v>62</v>
      </c>
      <c r="C15" s="30" t="n">
        <v>750</v>
      </c>
      <c r="D15" s="24" t="s">
        <v>63</v>
      </c>
    </row>
    <row r="16" customFormat="false" ht="15" hidden="false" customHeight="false" outlineLevel="0" collapsed="false">
      <c r="A16" s="4" t="s">
        <v>64</v>
      </c>
      <c r="C16" s="29" t="n">
        <v>860.11</v>
      </c>
      <c r="D16" s="24" t="s">
        <v>65</v>
      </c>
    </row>
    <row r="17" customFormat="false" ht="15" hidden="false" customHeight="false" outlineLevel="0" collapsed="false">
      <c r="A17" s="11" t="s">
        <v>66</v>
      </c>
      <c r="C17" s="31" t="n">
        <v>0.33</v>
      </c>
      <c r="D17" s="24" t="s">
        <v>67</v>
      </c>
    </row>
    <row r="18" customFormat="false" ht="15" hidden="false" customHeight="false" outlineLevel="0" collapsed="false">
      <c r="A18" s="11" t="s">
        <v>68</v>
      </c>
      <c r="C18" s="28" t="n">
        <v>0.13</v>
      </c>
      <c r="D18" s="24" t="s">
        <v>69</v>
      </c>
    </row>
    <row r="19" customFormat="false" ht="15" hidden="false" customHeight="false" outlineLevel="0" collapsed="false">
      <c r="A19" s="11" t="s">
        <v>70</v>
      </c>
      <c r="C19" s="28" t="n">
        <v>0</v>
      </c>
      <c r="D19" s="2" t="s">
        <v>71</v>
      </c>
    </row>
    <row r="21" customFormat="false" ht="15" hidden="false" customHeight="false" outlineLevel="0" collapsed="false">
      <c r="A21" s="5" t="s">
        <v>72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false" outlineLevel="0" collapsed="false">
      <c r="A22" s="11" t="s">
        <v>73</v>
      </c>
      <c r="C22" s="31" t="n">
        <v>0.019</v>
      </c>
      <c r="D22" s="2" t="s">
        <v>74</v>
      </c>
    </row>
    <row r="23" customFormat="false" ht="15" hidden="false" customHeight="false" outlineLevel="0" collapsed="false">
      <c r="A23" s="4" t="s">
        <v>75</v>
      </c>
      <c r="C23" s="32" t="n">
        <v>1.1</v>
      </c>
      <c r="D23" s="2" t="s">
        <v>76</v>
      </c>
    </row>
    <row r="24" customFormat="false" ht="15" hidden="false" customHeight="false" outlineLevel="0" collapsed="false">
      <c r="A24" s="11" t="s">
        <v>77</v>
      </c>
      <c r="C24" s="31" t="n">
        <v>0.065</v>
      </c>
      <c r="D24" s="2" t="s">
        <v>76</v>
      </c>
    </row>
    <row r="25" customFormat="false" ht="15" hidden="false" customHeight="false" outlineLevel="0" collapsed="false">
      <c r="A25" s="11" t="s">
        <v>78</v>
      </c>
      <c r="C25" s="28" t="n">
        <v>0.035</v>
      </c>
      <c r="D25" s="24" t="s">
        <v>79</v>
      </c>
    </row>
    <row r="26" customFormat="false" ht="15" hidden="false" customHeight="false" outlineLevel="0" collapsed="false">
      <c r="A26" s="11" t="s">
        <v>80</v>
      </c>
      <c r="C26" s="28" t="n">
        <v>0.02</v>
      </c>
      <c r="D26" s="2" t="s">
        <v>81</v>
      </c>
    </row>
    <row r="27" customFormat="false" ht="15" hidden="false" customHeight="false" outlineLevel="0" collapsed="false">
      <c r="A27" s="11" t="s">
        <v>31</v>
      </c>
      <c r="C27" s="31" t="n">
        <v>0.03</v>
      </c>
      <c r="D27" s="2" t="s">
        <v>76</v>
      </c>
    </row>
    <row r="28" customFormat="false" ht="15" hidden="false" customHeight="false" outlineLevel="0" collapsed="false">
      <c r="A28" s="11" t="s">
        <v>82</v>
      </c>
      <c r="C28" s="31" t="n">
        <v>0.1</v>
      </c>
      <c r="D28" s="2" t="s">
        <v>83</v>
      </c>
    </row>
    <row r="29" customFormat="false" ht="15" hidden="false" customHeight="false" outlineLevel="0" collapsed="false">
      <c r="A29" s="11" t="s">
        <v>84</v>
      </c>
      <c r="C29" s="28" t="n">
        <v>0.05</v>
      </c>
      <c r="D29" s="2" t="s">
        <v>76</v>
      </c>
    </row>
    <row r="30" customFormat="false" ht="15" hidden="false" customHeight="false" outlineLevel="0" collapsed="false">
      <c r="A30" s="11" t="s">
        <v>85</v>
      </c>
      <c r="C30" s="31" t="n">
        <v>0.9</v>
      </c>
      <c r="D30" s="2" t="s">
        <v>86</v>
      </c>
    </row>
    <row r="31" customFormat="false" ht="15" hidden="false" customHeight="false" outlineLevel="0" collapsed="false">
      <c r="A31" s="11" t="s">
        <v>87</v>
      </c>
      <c r="C31" s="33" t="n">
        <v>30</v>
      </c>
      <c r="D31" s="2" t="s">
        <v>88</v>
      </c>
    </row>
    <row r="32" customFormat="false" ht="15" hidden="false" customHeight="false" outlineLevel="0" collapsed="false">
      <c r="A32" s="11" t="s">
        <v>89</v>
      </c>
      <c r="C32" s="33" t="n">
        <v>55</v>
      </c>
      <c r="D32" s="2" t="s">
        <v>88</v>
      </c>
    </row>
    <row r="34" customFormat="false" ht="15" hidden="false" customHeight="false" outlineLevel="0" collapsed="false">
      <c r="A34" s="7" t="s">
        <v>90</v>
      </c>
      <c r="B34" s="34" t="s">
        <v>91</v>
      </c>
      <c r="C34" s="8" t="s">
        <v>92</v>
      </c>
      <c r="D34" s="8" t="s">
        <v>93</v>
      </c>
      <c r="E34" s="8" t="s">
        <v>94</v>
      </c>
      <c r="F34" s="8" t="s">
        <v>95</v>
      </c>
      <c r="G34" s="8" t="s">
        <v>10</v>
      </c>
      <c r="H34" s="8" t="s">
        <v>11</v>
      </c>
      <c r="I34" s="8" t="s">
        <v>12</v>
      </c>
      <c r="J34" s="8" t="s">
        <v>13</v>
      </c>
      <c r="K34" s="8" t="s">
        <v>14</v>
      </c>
      <c r="L34" s="8" t="s">
        <v>15</v>
      </c>
    </row>
    <row r="35" customFormat="false" ht="15" hidden="false" customHeight="false" outlineLevel="0" collapsed="false">
      <c r="A35" s="5" t="s">
        <v>96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customFormat="false" ht="15" hidden="false" customHeight="false" outlineLevel="0" collapsed="false">
      <c r="A36" s="35" t="s">
        <v>97</v>
      </c>
      <c r="B36" s="4" t="s">
        <v>98</v>
      </c>
      <c r="H36" s="28" t="n">
        <v>0.7</v>
      </c>
      <c r="I36" s="28" t="n">
        <v>0.35</v>
      </c>
      <c r="J36" s="28" t="n">
        <v>0.2</v>
      </c>
      <c r="K36" s="28" t="n">
        <v>0.12</v>
      </c>
      <c r="L36" s="28" t="n">
        <v>0.08</v>
      </c>
    </row>
    <row r="37" customFormat="false" ht="15" hidden="false" customHeight="false" outlineLevel="0" collapsed="false">
      <c r="A37" s="35" t="s">
        <v>99</v>
      </c>
      <c r="B37" s="4" t="s">
        <v>98</v>
      </c>
      <c r="H37" s="28" t="n">
        <v>0.8</v>
      </c>
      <c r="I37" s="28" t="n">
        <v>0.45</v>
      </c>
      <c r="J37" s="28" t="n">
        <v>0.25</v>
      </c>
      <c r="K37" s="28" t="n">
        <v>0.15</v>
      </c>
      <c r="L37" s="28" t="n">
        <v>0.1</v>
      </c>
    </row>
    <row r="38" customFormat="false" ht="15" hidden="false" customHeight="false" outlineLevel="0" collapsed="false">
      <c r="A38" s="35" t="s">
        <v>100</v>
      </c>
      <c r="B38" s="4" t="s">
        <v>98</v>
      </c>
      <c r="H38" s="28" t="n">
        <v>0.55</v>
      </c>
      <c r="I38" s="28" t="n">
        <v>0.2</v>
      </c>
      <c r="J38" s="28" t="n">
        <v>0.1</v>
      </c>
      <c r="K38" s="28" t="n">
        <v>0.06</v>
      </c>
      <c r="L38" s="28" t="n">
        <v>0.04</v>
      </c>
    </row>
    <row r="39" customFormat="false" ht="15" hidden="false" customHeight="false" outlineLevel="0" collapsed="false">
      <c r="A39" s="9" t="s">
        <v>101</v>
      </c>
      <c r="B39" s="4" t="s">
        <v>98</v>
      </c>
      <c r="H39" s="36" t="n">
        <f aca="false">CHOOSE($C$5,H36,H37,H38)</f>
        <v>0.7</v>
      </c>
      <c r="I39" s="36" t="n">
        <f aca="false">CHOOSE($C$5,I36,I37,I38)</f>
        <v>0.35</v>
      </c>
      <c r="J39" s="36" t="n">
        <f aca="false">CHOOSE($C$5,J36,J37,J38)</f>
        <v>0.2</v>
      </c>
      <c r="K39" s="36" t="n">
        <f aca="false">CHOOSE($C$5,K36,K37,K38)</f>
        <v>0.12</v>
      </c>
      <c r="L39" s="36" t="n">
        <f aca="false">CHOOSE($C$5,L36,L37,L38)</f>
        <v>0.08</v>
      </c>
      <c r="M39" s="24" t="s">
        <v>102</v>
      </c>
    </row>
    <row r="40" customFormat="false" ht="15" hidden="false" customHeight="false" outlineLevel="0" collapsed="false">
      <c r="A40" s="35" t="s">
        <v>103</v>
      </c>
      <c r="B40" s="4" t="s">
        <v>98</v>
      </c>
      <c r="H40" s="28" t="n">
        <v>0.46</v>
      </c>
      <c r="I40" s="28" t="n">
        <v>0.47</v>
      </c>
      <c r="J40" s="28" t="n">
        <v>0.46</v>
      </c>
      <c r="K40" s="28" t="n">
        <v>0.45</v>
      </c>
      <c r="L40" s="28" t="n">
        <v>0.44</v>
      </c>
    </row>
    <row r="41" customFormat="false" ht="15" hidden="false" customHeight="false" outlineLevel="0" collapsed="false">
      <c r="A41" s="35" t="s">
        <v>104</v>
      </c>
      <c r="B41" s="4" t="s">
        <v>98</v>
      </c>
      <c r="H41" s="28" t="n">
        <v>0.48</v>
      </c>
      <c r="I41" s="28" t="n">
        <v>0.49</v>
      </c>
      <c r="J41" s="28" t="n">
        <v>0.48</v>
      </c>
      <c r="K41" s="28" t="n">
        <v>0.47</v>
      </c>
      <c r="L41" s="28" t="n">
        <v>0.46</v>
      </c>
    </row>
    <row r="42" customFormat="false" ht="15" hidden="false" customHeight="false" outlineLevel="0" collapsed="false">
      <c r="A42" s="35" t="s">
        <v>105</v>
      </c>
      <c r="B42" s="4" t="s">
        <v>98</v>
      </c>
      <c r="H42" s="28" t="n">
        <v>0.44</v>
      </c>
      <c r="I42" s="28" t="n">
        <v>0.43</v>
      </c>
      <c r="J42" s="28" t="n">
        <v>0.42</v>
      </c>
      <c r="K42" s="28" t="n">
        <v>0.41</v>
      </c>
      <c r="L42" s="28" t="n">
        <v>0.4</v>
      </c>
    </row>
    <row r="43" customFormat="false" ht="15" hidden="false" customHeight="false" outlineLevel="0" collapsed="false">
      <c r="A43" s="9" t="s">
        <v>106</v>
      </c>
      <c r="B43" s="4" t="s">
        <v>98</v>
      </c>
      <c r="H43" s="36" t="n">
        <f aca="false">CHOOSE($C$5,H40,H41,H42)</f>
        <v>0.46</v>
      </c>
      <c r="I43" s="36" t="n">
        <f aca="false">CHOOSE($C$5,I40,I41,I42)</f>
        <v>0.47</v>
      </c>
      <c r="J43" s="36" t="n">
        <f aca="false">CHOOSE($C$5,J40,J41,J42)</f>
        <v>0.46</v>
      </c>
      <c r="K43" s="36" t="n">
        <f aca="false">CHOOSE($C$5,K40,K41,K42)</f>
        <v>0.45</v>
      </c>
      <c r="L43" s="36" t="n">
        <f aca="false">CHOOSE($C$5,L40,L41,L42)</f>
        <v>0.44</v>
      </c>
      <c r="M43" s="24" t="s">
        <v>107</v>
      </c>
    </row>
    <row r="44" customFormat="false" ht="15" hidden="false" customHeight="false" outlineLevel="0" collapsed="false">
      <c r="A44" s="35" t="s">
        <v>108</v>
      </c>
      <c r="B44" s="4" t="s">
        <v>98</v>
      </c>
      <c r="H44" s="28" t="n">
        <v>0.4</v>
      </c>
      <c r="I44" s="28" t="n">
        <v>0.25</v>
      </c>
      <c r="J44" s="28" t="n">
        <v>0.15</v>
      </c>
      <c r="K44" s="28" t="n">
        <v>0.1</v>
      </c>
      <c r="L44" s="28" t="n">
        <v>0.08</v>
      </c>
    </row>
    <row r="45" customFormat="false" ht="15" hidden="false" customHeight="false" outlineLevel="0" collapsed="false">
      <c r="A45" s="35" t="s">
        <v>109</v>
      </c>
      <c r="B45" s="4" t="s">
        <v>98</v>
      </c>
      <c r="H45" s="28" t="n">
        <v>0.5</v>
      </c>
      <c r="I45" s="28" t="n">
        <v>0.35</v>
      </c>
      <c r="J45" s="28" t="n">
        <v>0.2</v>
      </c>
      <c r="K45" s="28" t="n">
        <v>0.12</v>
      </c>
      <c r="L45" s="28" t="n">
        <v>0.1</v>
      </c>
    </row>
    <row r="46" customFormat="false" ht="15" hidden="false" customHeight="false" outlineLevel="0" collapsed="false">
      <c r="A46" s="35" t="s">
        <v>110</v>
      </c>
      <c r="B46" s="4" t="s">
        <v>98</v>
      </c>
      <c r="H46" s="28" t="n">
        <v>0.25</v>
      </c>
      <c r="I46" s="28" t="n">
        <v>0.12</v>
      </c>
      <c r="J46" s="28" t="n">
        <v>0.08</v>
      </c>
      <c r="K46" s="28" t="n">
        <v>0.05</v>
      </c>
      <c r="L46" s="28" t="n">
        <v>0.04</v>
      </c>
    </row>
    <row r="47" customFormat="false" ht="15" hidden="false" customHeight="false" outlineLevel="0" collapsed="false">
      <c r="A47" s="9" t="s">
        <v>111</v>
      </c>
      <c r="B47" s="4" t="s">
        <v>98</v>
      </c>
      <c r="H47" s="36" t="n">
        <f aca="false">CHOOSE($C$5,H44,H45,H46)</f>
        <v>0.4</v>
      </c>
      <c r="I47" s="36" t="n">
        <f aca="false">CHOOSE($C$5,I44,I45,I46)</f>
        <v>0.25</v>
      </c>
      <c r="J47" s="36" t="n">
        <f aca="false">CHOOSE($C$5,J44,J45,J46)</f>
        <v>0.15</v>
      </c>
      <c r="K47" s="36" t="n">
        <f aca="false">CHOOSE($C$5,K44,K45,K46)</f>
        <v>0.1</v>
      </c>
      <c r="L47" s="36" t="n">
        <f aca="false">CHOOSE($C$5,L44,L45,L46)</f>
        <v>0.08</v>
      </c>
      <c r="M47" s="24" t="s">
        <v>112</v>
      </c>
    </row>
    <row r="48" customFormat="false" ht="15" hidden="false" customHeight="false" outlineLevel="0" collapsed="false">
      <c r="A48" s="35" t="s">
        <v>113</v>
      </c>
      <c r="B48" s="4" t="s">
        <v>98</v>
      </c>
      <c r="H48" s="28" t="n">
        <v>0.46</v>
      </c>
      <c r="I48" s="28" t="n">
        <v>0.46</v>
      </c>
      <c r="J48" s="28" t="n">
        <v>0.45</v>
      </c>
      <c r="K48" s="28" t="n">
        <v>0.44</v>
      </c>
      <c r="L48" s="28" t="n">
        <v>0.44</v>
      </c>
    </row>
    <row r="49" customFormat="false" ht="15" hidden="false" customHeight="false" outlineLevel="0" collapsed="false">
      <c r="A49" s="35" t="s">
        <v>114</v>
      </c>
      <c r="B49" s="4" t="s">
        <v>98</v>
      </c>
      <c r="H49" s="28" t="n">
        <v>0.48</v>
      </c>
      <c r="I49" s="28" t="n">
        <v>0.48</v>
      </c>
      <c r="J49" s="28" t="n">
        <v>0.47</v>
      </c>
      <c r="K49" s="28" t="n">
        <v>0.46</v>
      </c>
      <c r="L49" s="28" t="n">
        <v>0.46</v>
      </c>
    </row>
    <row r="50" customFormat="false" ht="15" hidden="false" customHeight="false" outlineLevel="0" collapsed="false">
      <c r="A50" s="35" t="s">
        <v>115</v>
      </c>
      <c r="B50" s="4" t="s">
        <v>98</v>
      </c>
      <c r="H50" s="28" t="n">
        <v>0.44</v>
      </c>
      <c r="I50" s="28" t="n">
        <v>0.43</v>
      </c>
      <c r="J50" s="28" t="n">
        <v>0.42</v>
      </c>
      <c r="K50" s="28" t="n">
        <v>0.42</v>
      </c>
      <c r="L50" s="28" t="n">
        <v>0.41</v>
      </c>
    </row>
    <row r="51" customFormat="false" ht="15" hidden="false" customHeight="false" outlineLevel="0" collapsed="false">
      <c r="A51" s="9" t="s">
        <v>116</v>
      </c>
      <c r="B51" s="4" t="s">
        <v>98</v>
      </c>
      <c r="H51" s="36" t="n">
        <f aca="false">CHOOSE($C$5,H48,H49,H50)</f>
        <v>0.46</v>
      </c>
      <c r="I51" s="36" t="n">
        <f aca="false">CHOOSE($C$5,I48,I49,I50)</f>
        <v>0.46</v>
      </c>
      <c r="J51" s="36" t="n">
        <f aca="false">CHOOSE($C$5,J48,J49,J50)</f>
        <v>0.45</v>
      </c>
      <c r="K51" s="36" t="n">
        <f aca="false">CHOOSE($C$5,K48,K49,K50)</f>
        <v>0.44</v>
      </c>
      <c r="L51" s="36" t="n">
        <f aca="false">CHOOSE($C$5,L48,L49,L50)</f>
        <v>0.44</v>
      </c>
      <c r="M51" s="24" t="s">
        <v>117</v>
      </c>
    </row>
    <row r="52" customFormat="false" ht="15" hidden="false" customHeight="false" outlineLevel="0" collapsed="false">
      <c r="A52" s="35" t="s">
        <v>118</v>
      </c>
      <c r="B52" s="4" t="s">
        <v>98</v>
      </c>
      <c r="H52" s="28" t="n">
        <v>0.15</v>
      </c>
      <c r="I52" s="28" t="n">
        <v>0.12</v>
      </c>
      <c r="J52" s="28" t="n">
        <v>0.1</v>
      </c>
      <c r="K52" s="28" t="n">
        <v>0.08</v>
      </c>
      <c r="L52" s="28" t="n">
        <v>0.06</v>
      </c>
    </row>
    <row r="53" customFormat="false" ht="15" hidden="false" customHeight="false" outlineLevel="0" collapsed="false">
      <c r="A53" s="35" t="s">
        <v>119</v>
      </c>
      <c r="B53" s="4" t="s">
        <v>98</v>
      </c>
      <c r="H53" s="28" t="n">
        <v>0.2</v>
      </c>
      <c r="I53" s="28" t="n">
        <v>0.15</v>
      </c>
      <c r="J53" s="28" t="n">
        <v>0.12</v>
      </c>
      <c r="K53" s="28" t="n">
        <v>0.1</v>
      </c>
      <c r="L53" s="28" t="n">
        <v>0.08</v>
      </c>
    </row>
    <row r="54" customFormat="false" ht="15" hidden="false" customHeight="false" outlineLevel="0" collapsed="false">
      <c r="A54" s="35" t="s">
        <v>120</v>
      </c>
      <c r="B54" s="4" t="s">
        <v>98</v>
      </c>
      <c r="H54" s="28" t="n">
        <v>0.08</v>
      </c>
      <c r="I54" s="28" t="n">
        <v>0.06</v>
      </c>
      <c r="J54" s="28" t="n">
        <v>0.05</v>
      </c>
      <c r="K54" s="28" t="n">
        <v>0.04</v>
      </c>
      <c r="L54" s="28" t="n">
        <v>0.03</v>
      </c>
    </row>
    <row r="55" customFormat="false" ht="15" hidden="false" customHeight="false" outlineLevel="0" collapsed="false">
      <c r="A55" s="9" t="s">
        <v>121</v>
      </c>
      <c r="B55" s="4" t="s">
        <v>98</v>
      </c>
      <c r="H55" s="36" t="n">
        <f aca="false">CHOOSE($C$5,H52,H53,H54)</f>
        <v>0.15</v>
      </c>
      <c r="I55" s="36" t="n">
        <f aca="false">CHOOSE($C$5,I52,I53,I54)</f>
        <v>0.12</v>
      </c>
      <c r="J55" s="36" t="n">
        <f aca="false">CHOOSE($C$5,J52,J53,J54)</f>
        <v>0.1</v>
      </c>
      <c r="K55" s="36" t="n">
        <f aca="false">CHOOSE($C$5,K52,K53,K54)</f>
        <v>0.08</v>
      </c>
      <c r="L55" s="36" t="n">
        <f aca="false">CHOOSE($C$5,L52,L53,L54)</f>
        <v>0.06</v>
      </c>
      <c r="M55" s="24" t="s">
        <v>122</v>
      </c>
    </row>
    <row r="56" customFormat="false" ht="15" hidden="false" customHeight="false" outlineLevel="0" collapsed="false">
      <c r="A56" s="35" t="s">
        <v>123</v>
      </c>
      <c r="B56" s="4" t="s">
        <v>98</v>
      </c>
      <c r="H56" s="28" t="n">
        <v>0.38</v>
      </c>
      <c r="I56" s="28" t="n">
        <v>0.38</v>
      </c>
      <c r="J56" s="28" t="n">
        <v>0.38</v>
      </c>
      <c r="K56" s="28" t="n">
        <v>0.37</v>
      </c>
      <c r="L56" s="28" t="n">
        <v>0.37</v>
      </c>
    </row>
    <row r="57" customFormat="false" ht="15" hidden="false" customHeight="false" outlineLevel="0" collapsed="false">
      <c r="A57" s="35" t="s">
        <v>124</v>
      </c>
      <c r="B57" s="4" t="s">
        <v>98</v>
      </c>
      <c r="H57" s="28" t="n">
        <v>0.4</v>
      </c>
      <c r="I57" s="28" t="n">
        <v>0.4</v>
      </c>
      <c r="J57" s="28" t="n">
        <v>0.4</v>
      </c>
      <c r="K57" s="28" t="n">
        <v>0.39</v>
      </c>
      <c r="L57" s="28" t="n">
        <v>0.39</v>
      </c>
    </row>
    <row r="58" customFormat="false" ht="15" hidden="false" customHeight="false" outlineLevel="0" collapsed="false">
      <c r="A58" s="35" t="s">
        <v>125</v>
      </c>
      <c r="B58" s="4" t="s">
        <v>98</v>
      </c>
      <c r="H58" s="28" t="n">
        <v>0.36</v>
      </c>
      <c r="I58" s="28" t="n">
        <v>0.35</v>
      </c>
      <c r="J58" s="28" t="n">
        <v>0.35</v>
      </c>
      <c r="K58" s="28" t="n">
        <v>0.34</v>
      </c>
      <c r="L58" s="28" t="n">
        <v>0.34</v>
      </c>
    </row>
    <row r="59" customFormat="false" ht="15" hidden="false" customHeight="false" outlineLevel="0" collapsed="false">
      <c r="A59" s="9" t="s">
        <v>126</v>
      </c>
      <c r="B59" s="4" t="s">
        <v>98</v>
      </c>
      <c r="H59" s="36" t="n">
        <f aca="false">CHOOSE($C$5,H56,H57,H58)</f>
        <v>0.38</v>
      </c>
      <c r="I59" s="36" t="n">
        <f aca="false">CHOOSE($C$5,I56,I57,I58)</f>
        <v>0.38</v>
      </c>
      <c r="J59" s="36" t="n">
        <f aca="false">CHOOSE($C$5,J56,J57,J58)</f>
        <v>0.38</v>
      </c>
      <c r="K59" s="36" t="n">
        <f aca="false">CHOOSE($C$5,K56,K57,K58)</f>
        <v>0.37</v>
      </c>
      <c r="L59" s="36" t="n">
        <f aca="false">CHOOSE($C$5,L56,L57,L58)</f>
        <v>0.37</v>
      </c>
      <c r="M59" s="24" t="s">
        <v>127</v>
      </c>
    </row>
    <row r="60" customFormat="false" ht="15" hidden="false" customHeight="false" outlineLevel="0" collapsed="false">
      <c r="A60" s="35" t="s">
        <v>128</v>
      </c>
      <c r="B60" s="4" t="s">
        <v>98</v>
      </c>
      <c r="H60" s="28" t="n">
        <v>0.15</v>
      </c>
      <c r="I60" s="28" t="n">
        <v>0.12</v>
      </c>
      <c r="J60" s="28" t="n">
        <v>0.1</v>
      </c>
      <c r="K60" s="28" t="n">
        <v>0.08</v>
      </c>
      <c r="L60" s="28" t="n">
        <v>0.06</v>
      </c>
    </row>
    <row r="61" customFormat="false" ht="15" hidden="false" customHeight="false" outlineLevel="0" collapsed="false">
      <c r="A61" s="35" t="s">
        <v>129</v>
      </c>
      <c r="B61" s="4" t="s">
        <v>98</v>
      </c>
      <c r="H61" s="28" t="n">
        <v>0.2</v>
      </c>
      <c r="I61" s="28" t="n">
        <v>0.15</v>
      </c>
      <c r="J61" s="28" t="n">
        <v>0.12</v>
      </c>
      <c r="K61" s="28" t="n">
        <v>0.1</v>
      </c>
      <c r="L61" s="28" t="n">
        <v>0.08</v>
      </c>
    </row>
    <row r="62" customFormat="false" ht="15" hidden="false" customHeight="false" outlineLevel="0" collapsed="false">
      <c r="A62" s="35" t="s">
        <v>130</v>
      </c>
      <c r="B62" s="4" t="s">
        <v>98</v>
      </c>
      <c r="H62" s="28" t="n">
        <v>0.08</v>
      </c>
      <c r="I62" s="28" t="n">
        <v>0.06</v>
      </c>
      <c r="J62" s="28" t="n">
        <v>0.05</v>
      </c>
      <c r="K62" s="28" t="n">
        <v>0.04</v>
      </c>
      <c r="L62" s="28" t="n">
        <v>0.03</v>
      </c>
    </row>
    <row r="63" customFormat="false" ht="15" hidden="false" customHeight="false" outlineLevel="0" collapsed="false">
      <c r="A63" s="9" t="s">
        <v>131</v>
      </c>
      <c r="B63" s="4" t="s">
        <v>98</v>
      </c>
      <c r="H63" s="36" t="n">
        <f aca="false">CHOOSE($C$5,H60,H61,H62)</f>
        <v>0.15</v>
      </c>
      <c r="I63" s="36" t="n">
        <f aca="false">CHOOSE($C$5,I60,I61,I62)</f>
        <v>0.12</v>
      </c>
      <c r="J63" s="36" t="n">
        <f aca="false">CHOOSE($C$5,J60,J61,J62)</f>
        <v>0.1</v>
      </c>
      <c r="K63" s="36" t="n">
        <f aca="false">CHOOSE($C$5,K60,K61,K62)</f>
        <v>0.08</v>
      </c>
      <c r="L63" s="36" t="n">
        <f aca="false">CHOOSE($C$5,L60,L61,L62)</f>
        <v>0.06</v>
      </c>
      <c r="M63" s="24" t="s">
        <v>132</v>
      </c>
    </row>
    <row r="64" customFormat="false" ht="15" hidden="false" customHeight="false" outlineLevel="0" collapsed="false">
      <c r="A64" s="35" t="s">
        <v>133</v>
      </c>
      <c r="B64" s="4" t="s">
        <v>98</v>
      </c>
      <c r="H64" s="28" t="n">
        <v>0.58</v>
      </c>
      <c r="I64" s="28" t="n">
        <v>0.58</v>
      </c>
      <c r="J64" s="28" t="n">
        <v>0.57</v>
      </c>
      <c r="K64" s="28" t="n">
        <v>0.57</v>
      </c>
      <c r="L64" s="28" t="n">
        <v>0.56</v>
      </c>
    </row>
    <row r="65" customFormat="false" ht="15" hidden="false" customHeight="false" outlineLevel="0" collapsed="false">
      <c r="A65" s="35" t="s">
        <v>134</v>
      </c>
      <c r="B65" s="4" t="s">
        <v>98</v>
      </c>
      <c r="H65" s="28" t="n">
        <v>0.6</v>
      </c>
      <c r="I65" s="28" t="n">
        <v>0.6</v>
      </c>
      <c r="J65" s="28" t="n">
        <v>0.59</v>
      </c>
      <c r="K65" s="28" t="n">
        <v>0.59</v>
      </c>
      <c r="L65" s="28" t="n">
        <v>0.58</v>
      </c>
    </row>
    <row r="66" customFormat="false" ht="15" hidden="false" customHeight="false" outlineLevel="0" collapsed="false">
      <c r="A66" s="35" t="s">
        <v>135</v>
      </c>
      <c r="B66" s="4" t="s">
        <v>98</v>
      </c>
      <c r="H66" s="28" t="n">
        <v>0.55</v>
      </c>
      <c r="I66" s="28" t="n">
        <v>0.54</v>
      </c>
      <c r="J66" s="28" t="n">
        <v>0.54</v>
      </c>
      <c r="K66" s="28" t="n">
        <v>0.53</v>
      </c>
      <c r="L66" s="28" t="n">
        <v>0.53</v>
      </c>
    </row>
    <row r="67" customFormat="false" ht="15" hidden="false" customHeight="false" outlineLevel="0" collapsed="false">
      <c r="A67" s="9" t="s">
        <v>136</v>
      </c>
      <c r="B67" s="4" t="s">
        <v>98</v>
      </c>
      <c r="H67" s="36" t="n">
        <f aca="false">CHOOSE($C$5,H64,H65,H66)</f>
        <v>0.58</v>
      </c>
      <c r="I67" s="36" t="n">
        <f aca="false">CHOOSE($C$5,I64,I65,I66)</f>
        <v>0.58</v>
      </c>
      <c r="J67" s="36" t="n">
        <f aca="false">CHOOSE($C$5,J64,J65,J66)</f>
        <v>0.57</v>
      </c>
      <c r="K67" s="36" t="n">
        <f aca="false">CHOOSE($C$5,K64,K65,K66)</f>
        <v>0.57</v>
      </c>
      <c r="L67" s="36" t="n">
        <f aca="false">CHOOSE($C$5,L64,L65,L66)</f>
        <v>0.56</v>
      </c>
      <c r="M67" s="24" t="s">
        <v>137</v>
      </c>
    </row>
    <row r="68" customFormat="false" ht="15" hidden="false" customHeight="false" outlineLevel="0" collapsed="false">
      <c r="A68" s="9" t="s">
        <v>138</v>
      </c>
      <c r="B68" s="4" t="s">
        <v>98</v>
      </c>
      <c r="H68" s="28" t="n">
        <v>0</v>
      </c>
      <c r="I68" s="28" t="n">
        <v>0</v>
      </c>
      <c r="J68" s="28" t="n">
        <v>0</v>
      </c>
      <c r="K68" s="28" t="n">
        <v>0</v>
      </c>
      <c r="L68" s="28" t="n">
        <v>0</v>
      </c>
      <c r="M68" s="24" t="s">
        <v>139</v>
      </c>
    </row>
    <row r="69" customFormat="false" ht="15" hidden="false" customHeight="false" outlineLevel="0" collapsed="false">
      <c r="A69" s="9" t="s">
        <v>140</v>
      </c>
      <c r="B69" s="4" t="s">
        <v>98</v>
      </c>
      <c r="H69" s="28" t="n">
        <v>0.09</v>
      </c>
      <c r="I69" s="28" t="n">
        <v>0.09</v>
      </c>
      <c r="J69" s="28" t="n">
        <v>0.09</v>
      </c>
      <c r="K69" s="28" t="n">
        <v>0.09</v>
      </c>
      <c r="L69" s="28" t="n">
        <v>0.09</v>
      </c>
      <c r="M69" s="24" t="s">
        <v>141</v>
      </c>
    </row>
    <row r="70" customFormat="false" ht="15" hidden="false" customHeight="false" outlineLevel="0" collapsed="false">
      <c r="A70" s="35" t="s">
        <v>142</v>
      </c>
      <c r="B70" s="11" t="s">
        <v>143</v>
      </c>
      <c r="H70" s="29" t="n">
        <v>600</v>
      </c>
      <c r="I70" s="29" t="n">
        <v>630</v>
      </c>
      <c r="J70" s="29" t="n">
        <v>660</v>
      </c>
      <c r="K70" s="29" t="n">
        <v>690</v>
      </c>
      <c r="L70" s="29" t="n">
        <v>720</v>
      </c>
    </row>
    <row r="71" customFormat="false" ht="15" hidden="false" customHeight="false" outlineLevel="0" collapsed="false">
      <c r="A71" s="35" t="s">
        <v>144</v>
      </c>
      <c r="B71" s="11" t="s">
        <v>143</v>
      </c>
      <c r="H71" s="29" t="n">
        <v>650</v>
      </c>
      <c r="I71" s="29" t="n">
        <v>700</v>
      </c>
      <c r="J71" s="29" t="n">
        <v>750</v>
      </c>
      <c r="K71" s="29" t="n">
        <v>800</v>
      </c>
      <c r="L71" s="29" t="n">
        <v>850</v>
      </c>
    </row>
    <row r="72" customFormat="false" ht="15" hidden="false" customHeight="false" outlineLevel="0" collapsed="false">
      <c r="A72" s="35" t="s">
        <v>145</v>
      </c>
      <c r="B72" s="11" t="s">
        <v>143</v>
      </c>
      <c r="H72" s="29" t="n">
        <v>450</v>
      </c>
      <c r="I72" s="29" t="n">
        <v>450</v>
      </c>
      <c r="J72" s="29" t="n">
        <v>450</v>
      </c>
      <c r="K72" s="29" t="n">
        <v>450</v>
      </c>
      <c r="L72" s="29" t="n">
        <v>450</v>
      </c>
    </row>
    <row r="73" customFormat="false" ht="15" hidden="false" customHeight="false" outlineLevel="0" collapsed="false">
      <c r="A73" s="9" t="s">
        <v>146</v>
      </c>
      <c r="B73" s="11" t="s">
        <v>143</v>
      </c>
      <c r="H73" s="37" t="n">
        <f aca="false">CHOOSE($C$5,H70,H71,H72)</f>
        <v>600</v>
      </c>
      <c r="I73" s="37" t="n">
        <f aca="false">CHOOSE($C$5,I70,I71,I72)</f>
        <v>630</v>
      </c>
      <c r="J73" s="37" t="n">
        <f aca="false">CHOOSE($C$5,J70,J71,J72)</f>
        <v>660</v>
      </c>
      <c r="K73" s="37" t="n">
        <f aca="false">CHOOSE($C$5,K70,K71,K72)</f>
        <v>690</v>
      </c>
      <c r="L73" s="37" t="n">
        <f aca="false">CHOOSE($C$5,L70,L71,L72)</f>
        <v>720</v>
      </c>
      <c r="M73" s="24" t="s">
        <v>147</v>
      </c>
    </row>
    <row r="74" customFormat="false" ht="15" hidden="false" customHeight="false" outlineLevel="0" collapsed="false">
      <c r="A74" s="9" t="s">
        <v>148</v>
      </c>
      <c r="B74" s="4" t="s">
        <v>98</v>
      </c>
      <c r="H74" s="28" t="n">
        <v>0.45</v>
      </c>
      <c r="I74" s="28" t="n">
        <v>0.45</v>
      </c>
      <c r="J74" s="28" t="n">
        <v>0.45</v>
      </c>
      <c r="K74" s="28" t="n">
        <v>0.45</v>
      </c>
      <c r="L74" s="28" t="n">
        <v>0.45</v>
      </c>
      <c r="M74" s="24" t="s">
        <v>149</v>
      </c>
    </row>
    <row r="75" customFormat="false" ht="15" hidden="false" customHeight="false" outlineLevel="0" collapsed="false">
      <c r="A75" s="5" t="s">
        <v>150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customFormat="false" ht="15" hidden="false" customHeight="false" outlineLevel="0" collapsed="false">
      <c r="A76" s="38" t="s">
        <v>151</v>
      </c>
      <c r="B76" s="4" t="s">
        <v>152</v>
      </c>
      <c r="H76" s="39" t="n">
        <v>1.45</v>
      </c>
      <c r="I76" s="39" t="n">
        <v>2.5</v>
      </c>
      <c r="J76" s="39" t="n">
        <v>3.2</v>
      </c>
      <c r="K76" s="39" t="n">
        <v>3.8</v>
      </c>
      <c r="L76" s="39" t="n">
        <v>4.4</v>
      </c>
    </row>
    <row r="77" customFormat="false" ht="15" hidden="false" customHeight="false" outlineLevel="0" collapsed="false">
      <c r="A77" s="38" t="s">
        <v>153</v>
      </c>
      <c r="B77" s="4" t="s">
        <v>152</v>
      </c>
      <c r="H77" s="39" t="n">
        <v>1.6</v>
      </c>
      <c r="I77" s="39" t="n">
        <v>3</v>
      </c>
      <c r="J77" s="39" t="n">
        <v>4</v>
      </c>
      <c r="K77" s="39" t="n">
        <v>4.8</v>
      </c>
      <c r="L77" s="39" t="n">
        <v>5.5</v>
      </c>
    </row>
    <row r="78" customFormat="false" ht="15" hidden="false" customHeight="false" outlineLevel="0" collapsed="false">
      <c r="A78" s="38" t="s">
        <v>154</v>
      </c>
      <c r="B78" s="4" t="s">
        <v>152</v>
      </c>
      <c r="H78" s="39" t="n">
        <v>1.3</v>
      </c>
      <c r="I78" s="39" t="n">
        <v>2</v>
      </c>
      <c r="J78" s="39" t="n">
        <v>2.4</v>
      </c>
      <c r="K78" s="39" t="n">
        <v>2.8</v>
      </c>
      <c r="L78" s="39" t="n">
        <v>3.2</v>
      </c>
    </row>
    <row r="79" customFormat="false" ht="15" hidden="false" customHeight="false" outlineLevel="0" collapsed="false">
      <c r="A79" s="13" t="s">
        <v>155</v>
      </c>
      <c r="B79" s="4" t="s">
        <v>152</v>
      </c>
      <c r="G79" s="40" t="n">
        <v>0.725</v>
      </c>
      <c r="H79" s="41" t="n">
        <f aca="false">CHOOSE($C$5,H76,H77,H78)</f>
        <v>1.45</v>
      </c>
      <c r="I79" s="41" t="n">
        <f aca="false">CHOOSE($C$5,I76,I77,I78)</f>
        <v>2.5</v>
      </c>
      <c r="J79" s="41" t="n">
        <f aca="false">CHOOSE($C$5,J76,J77,J78)</f>
        <v>3.2</v>
      </c>
      <c r="K79" s="41" t="n">
        <f aca="false">CHOOSE($C$5,K76,K77,K78)</f>
        <v>3.8</v>
      </c>
      <c r="L79" s="41" t="n">
        <f aca="false">CHOOSE($C$5,L76,L77,L78)</f>
        <v>4.4</v>
      </c>
      <c r="M79" s="24" t="s">
        <v>156</v>
      </c>
    </row>
    <row r="80" customFormat="false" ht="15" hidden="false" customHeight="false" outlineLevel="0" collapsed="false">
      <c r="A80" s="35" t="s">
        <v>157</v>
      </c>
      <c r="B80" s="4" t="s">
        <v>158</v>
      </c>
      <c r="H80" s="42" t="n">
        <v>30</v>
      </c>
      <c r="I80" s="42" t="n">
        <v>30</v>
      </c>
      <c r="J80" s="42" t="n">
        <v>32.5</v>
      </c>
      <c r="K80" s="42" t="n">
        <v>32.5</v>
      </c>
      <c r="L80" s="42" t="n">
        <v>35</v>
      </c>
    </row>
    <row r="81" customFormat="false" ht="15" hidden="false" customHeight="false" outlineLevel="0" collapsed="false">
      <c r="A81" s="35" t="s">
        <v>159</v>
      </c>
      <c r="B81" s="4" t="s">
        <v>158</v>
      </c>
      <c r="H81" s="42" t="n">
        <v>25</v>
      </c>
      <c r="I81" s="42" t="n">
        <v>25</v>
      </c>
      <c r="J81" s="42" t="n">
        <v>30</v>
      </c>
      <c r="K81" s="42" t="n">
        <v>30</v>
      </c>
      <c r="L81" s="42" t="n">
        <v>32.5</v>
      </c>
    </row>
    <row r="82" customFormat="false" ht="15" hidden="false" customHeight="false" outlineLevel="0" collapsed="false">
      <c r="A82" s="35" t="s">
        <v>160</v>
      </c>
      <c r="B82" s="4" t="s">
        <v>158</v>
      </c>
      <c r="H82" s="42" t="n">
        <v>32.5</v>
      </c>
      <c r="I82" s="42" t="n">
        <v>32.5</v>
      </c>
      <c r="J82" s="42" t="n">
        <v>35</v>
      </c>
      <c r="K82" s="42" t="n">
        <v>35</v>
      </c>
      <c r="L82" s="42" t="n">
        <v>37.5</v>
      </c>
    </row>
    <row r="83" customFormat="false" ht="15" hidden="false" customHeight="false" outlineLevel="0" collapsed="false">
      <c r="A83" s="9" t="s">
        <v>161</v>
      </c>
      <c r="B83" s="4" t="s">
        <v>158</v>
      </c>
      <c r="H83" s="43" t="n">
        <f aca="false">CHOOSE($C$5,H80,H81,H82)</f>
        <v>30</v>
      </c>
      <c r="I83" s="43" t="n">
        <f aca="false">CHOOSE($C$5,I80,I81,I82)</f>
        <v>30</v>
      </c>
      <c r="J83" s="43" t="n">
        <f aca="false">CHOOSE($C$5,J80,J81,J82)</f>
        <v>32.5</v>
      </c>
      <c r="K83" s="43" t="n">
        <f aca="false">CHOOSE($C$5,K80,K81,K82)</f>
        <v>32.5</v>
      </c>
      <c r="L83" s="43" t="n">
        <f aca="false">CHOOSE($C$5,L80,L81,L82)</f>
        <v>35</v>
      </c>
      <c r="M83" s="24" t="s">
        <v>162</v>
      </c>
    </row>
    <row r="84" customFormat="false" ht="15" hidden="false" customHeight="false" outlineLevel="0" collapsed="false">
      <c r="A84" s="35" t="s">
        <v>163</v>
      </c>
      <c r="B84" s="4" t="s">
        <v>98</v>
      </c>
      <c r="H84" s="28" t="n">
        <v>0.8</v>
      </c>
      <c r="I84" s="28" t="n">
        <v>0.7</v>
      </c>
      <c r="J84" s="28" t="n">
        <v>0.55</v>
      </c>
      <c r="K84" s="28" t="n">
        <v>0.5</v>
      </c>
      <c r="L84" s="28" t="n">
        <v>0.45</v>
      </c>
    </row>
    <row r="85" customFormat="false" ht="15" hidden="false" customHeight="false" outlineLevel="0" collapsed="false">
      <c r="A85" s="35" t="s">
        <v>164</v>
      </c>
      <c r="B85" s="4" t="s">
        <v>98</v>
      </c>
      <c r="H85" s="28" t="n">
        <v>0.9</v>
      </c>
      <c r="I85" s="28" t="n">
        <v>0.8</v>
      </c>
      <c r="J85" s="28" t="n">
        <v>0.7</v>
      </c>
      <c r="K85" s="28" t="n">
        <v>0.65</v>
      </c>
      <c r="L85" s="28" t="n">
        <v>0.6</v>
      </c>
    </row>
    <row r="86" customFormat="false" ht="15" hidden="false" customHeight="false" outlineLevel="0" collapsed="false">
      <c r="A86" s="35" t="s">
        <v>165</v>
      </c>
      <c r="B86" s="4" t="s">
        <v>98</v>
      </c>
      <c r="H86" s="28" t="n">
        <v>0.7</v>
      </c>
      <c r="I86" s="28" t="n">
        <v>0.55</v>
      </c>
      <c r="J86" s="28" t="n">
        <v>0.4</v>
      </c>
      <c r="K86" s="28" t="n">
        <v>0.35</v>
      </c>
      <c r="L86" s="28" t="n">
        <v>0.3</v>
      </c>
    </row>
    <row r="87" customFormat="false" ht="15" hidden="false" customHeight="false" outlineLevel="0" collapsed="false">
      <c r="A87" s="9" t="s">
        <v>166</v>
      </c>
      <c r="B87" s="4" t="s">
        <v>98</v>
      </c>
      <c r="H87" s="36" t="n">
        <f aca="false">CHOOSE($C$5,H84,H85,H86)</f>
        <v>0.8</v>
      </c>
      <c r="I87" s="36" t="n">
        <f aca="false">CHOOSE($C$5,I84,I85,I86)</f>
        <v>0.7</v>
      </c>
      <c r="J87" s="36" t="n">
        <f aca="false">CHOOSE($C$5,J84,J85,J86)</f>
        <v>0.55</v>
      </c>
      <c r="K87" s="36" t="n">
        <f aca="false">CHOOSE($C$5,K84,K85,K86)</f>
        <v>0.5</v>
      </c>
      <c r="L87" s="36" t="n">
        <f aca="false">CHOOSE($C$5,L84,L85,L86)</f>
        <v>0.45</v>
      </c>
      <c r="M87" s="2" t="s">
        <v>167</v>
      </c>
    </row>
    <row r="88" customFormat="false" ht="15" hidden="false" customHeight="false" outlineLevel="0" collapsed="false">
      <c r="A88" s="35" t="s">
        <v>168</v>
      </c>
      <c r="B88" s="11" t="s">
        <v>169</v>
      </c>
      <c r="H88" s="39" t="n">
        <v>23</v>
      </c>
      <c r="I88" s="39" t="n">
        <v>21.5</v>
      </c>
      <c r="J88" s="39" t="n">
        <v>20.5</v>
      </c>
      <c r="K88" s="39" t="n">
        <v>19.5</v>
      </c>
      <c r="L88" s="39" t="n">
        <v>18.5</v>
      </c>
    </row>
    <row r="89" customFormat="false" ht="15" hidden="false" customHeight="false" outlineLevel="0" collapsed="false">
      <c r="A89" s="35" t="s">
        <v>170</v>
      </c>
      <c r="B89" s="11" t="s">
        <v>169</v>
      </c>
      <c r="H89" s="39" t="n">
        <v>25</v>
      </c>
      <c r="I89" s="39" t="n">
        <v>23.5</v>
      </c>
      <c r="J89" s="39" t="n">
        <v>22.5</v>
      </c>
      <c r="K89" s="39" t="n">
        <v>21.5</v>
      </c>
      <c r="L89" s="39" t="n">
        <v>20.5</v>
      </c>
    </row>
    <row r="90" customFormat="false" ht="15" hidden="false" customHeight="false" outlineLevel="0" collapsed="false">
      <c r="A90" s="35" t="s">
        <v>171</v>
      </c>
      <c r="B90" s="11" t="s">
        <v>169</v>
      </c>
      <c r="H90" s="39" t="n">
        <v>20</v>
      </c>
      <c r="I90" s="39" t="n">
        <v>19</v>
      </c>
      <c r="J90" s="39" t="n">
        <v>18</v>
      </c>
      <c r="K90" s="39" t="n">
        <v>17</v>
      </c>
      <c r="L90" s="39" t="n">
        <v>16</v>
      </c>
    </row>
    <row r="91" customFormat="false" ht="15" hidden="false" customHeight="false" outlineLevel="0" collapsed="false">
      <c r="A91" s="9" t="s">
        <v>172</v>
      </c>
      <c r="B91" s="11" t="s">
        <v>169</v>
      </c>
      <c r="H91" s="41" t="n">
        <f aca="false">CHOOSE($C$5,H88,H89,H90)</f>
        <v>23</v>
      </c>
      <c r="I91" s="41" t="n">
        <f aca="false">CHOOSE($C$5,I88,I89,I90)</f>
        <v>21.5</v>
      </c>
      <c r="J91" s="41" t="n">
        <f aca="false">CHOOSE($C$5,J88,J89,J90)</f>
        <v>20.5</v>
      </c>
      <c r="K91" s="41" t="n">
        <f aca="false">CHOOSE($C$5,K88,K89,K90)</f>
        <v>19.5</v>
      </c>
      <c r="L91" s="41" t="n">
        <f aca="false">CHOOSE($C$5,L88,L89,L90)</f>
        <v>18.5</v>
      </c>
      <c r="M91" s="2" t="s">
        <v>173</v>
      </c>
    </row>
    <row r="92" customFormat="false" ht="15" hidden="false" customHeight="false" outlineLevel="0" collapsed="false">
      <c r="A92" s="38" t="s">
        <v>174</v>
      </c>
      <c r="B92" s="4" t="s">
        <v>98</v>
      </c>
      <c r="H92" s="28" t="n">
        <v>0.4</v>
      </c>
      <c r="I92" s="28" t="n">
        <v>0.4</v>
      </c>
      <c r="J92" s="28" t="n">
        <v>0.39</v>
      </c>
      <c r="K92" s="28" t="n">
        <v>0.38</v>
      </c>
      <c r="L92" s="28" t="n">
        <v>0.38</v>
      </c>
    </row>
    <row r="93" customFormat="false" ht="15" hidden="false" customHeight="false" outlineLevel="0" collapsed="false">
      <c r="A93" s="38" t="s">
        <v>175</v>
      </c>
      <c r="B93" s="4" t="s">
        <v>98</v>
      </c>
      <c r="H93" s="28" t="n">
        <v>0.42</v>
      </c>
      <c r="I93" s="28" t="n">
        <v>0.42</v>
      </c>
      <c r="J93" s="28" t="n">
        <v>0.41</v>
      </c>
      <c r="K93" s="28" t="n">
        <v>0.4</v>
      </c>
      <c r="L93" s="28" t="n">
        <v>0.4</v>
      </c>
    </row>
    <row r="94" customFormat="false" ht="15" hidden="false" customHeight="false" outlineLevel="0" collapsed="false">
      <c r="A94" s="38" t="s">
        <v>176</v>
      </c>
      <c r="B94" s="4" t="s">
        <v>98</v>
      </c>
      <c r="H94" s="28" t="n">
        <v>0.36</v>
      </c>
      <c r="I94" s="28" t="n">
        <v>0.35</v>
      </c>
      <c r="J94" s="28" t="n">
        <v>0.34</v>
      </c>
      <c r="K94" s="28" t="n">
        <v>0.33</v>
      </c>
      <c r="L94" s="28" t="n">
        <v>0.33</v>
      </c>
    </row>
    <row r="95" customFormat="false" ht="15" hidden="false" customHeight="false" outlineLevel="0" collapsed="false">
      <c r="A95" s="13" t="s">
        <v>177</v>
      </c>
      <c r="B95" s="4" t="s">
        <v>98</v>
      </c>
      <c r="H95" s="36" t="n">
        <f aca="false">CHOOSE($C$5,H92,H93,H94)</f>
        <v>0.4</v>
      </c>
      <c r="I95" s="36" t="n">
        <f aca="false">CHOOSE($C$5,I92,I93,I94)</f>
        <v>0.4</v>
      </c>
      <c r="J95" s="36" t="n">
        <f aca="false">CHOOSE($C$5,J92,J93,J94)</f>
        <v>0.39</v>
      </c>
      <c r="K95" s="36" t="n">
        <f aca="false">CHOOSE($C$5,K92,K93,K94)</f>
        <v>0.38</v>
      </c>
      <c r="L95" s="36" t="n">
        <f aca="false">CHOOSE($C$5,L92,L93,L94)</f>
        <v>0.38</v>
      </c>
      <c r="M95" s="2" t="s">
        <v>178</v>
      </c>
    </row>
    <row r="97" customFormat="false" ht="15" hidden="false" customHeight="false" outlineLevel="0" collapsed="false">
      <c r="A97" s="5" t="s">
        <v>179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customFormat="false" ht="15" hidden="false" customHeight="false" outlineLevel="0" collapsed="false">
      <c r="A98" s="9" t="s">
        <v>180</v>
      </c>
      <c r="B98" s="4" t="s">
        <v>98</v>
      </c>
      <c r="H98" s="28" t="n">
        <v>0.01</v>
      </c>
      <c r="I98" s="28" t="n">
        <v>0.01</v>
      </c>
      <c r="J98" s="28" t="n">
        <v>0.01</v>
      </c>
      <c r="K98" s="28" t="n">
        <v>0.01</v>
      </c>
      <c r="L98" s="28" t="n">
        <v>0.01</v>
      </c>
      <c r="M98" s="24" t="s">
        <v>181</v>
      </c>
    </row>
    <row r="99" customFormat="false" ht="15" hidden="false" customHeight="false" outlineLevel="0" collapsed="false">
      <c r="A99" s="9" t="s">
        <v>182</v>
      </c>
      <c r="B99" s="4" t="s">
        <v>98</v>
      </c>
      <c r="H99" s="28" t="n">
        <v>0.008</v>
      </c>
      <c r="I99" s="28" t="n">
        <v>0.008</v>
      </c>
      <c r="J99" s="28" t="n">
        <v>0.008</v>
      </c>
      <c r="K99" s="28" t="n">
        <v>0.008</v>
      </c>
      <c r="L99" s="28" t="n">
        <v>0.008</v>
      </c>
      <c r="M99" s="24" t="s">
        <v>183</v>
      </c>
    </row>
    <row r="100" customFormat="false" ht="15" hidden="false" customHeight="false" outlineLevel="0" collapsed="false">
      <c r="A100" s="9" t="s">
        <v>184</v>
      </c>
      <c r="B100" s="4" t="s">
        <v>98</v>
      </c>
      <c r="H100" s="28" t="n">
        <v>0.043</v>
      </c>
      <c r="I100" s="28" t="n">
        <v>0.042</v>
      </c>
      <c r="J100" s="28" t="n">
        <v>0.042</v>
      </c>
      <c r="K100" s="28" t="n">
        <v>0.041</v>
      </c>
      <c r="L100" s="28" t="n">
        <v>0.041</v>
      </c>
      <c r="M100" s="24" t="s">
        <v>185</v>
      </c>
    </row>
    <row r="101" customFormat="false" ht="15" hidden="false" customHeight="false" outlineLevel="0" collapsed="false">
      <c r="A101" s="9" t="s">
        <v>186</v>
      </c>
      <c r="B101" s="4" t="s">
        <v>98</v>
      </c>
      <c r="H101" s="28" t="n">
        <v>0.056</v>
      </c>
      <c r="I101" s="28" t="n">
        <v>0.056</v>
      </c>
      <c r="J101" s="28" t="n">
        <v>0.057</v>
      </c>
      <c r="K101" s="28" t="n">
        <v>0.058</v>
      </c>
      <c r="L101" s="28" t="n">
        <v>0.058</v>
      </c>
      <c r="M101" s="24" t="s">
        <v>187</v>
      </c>
    </row>
    <row r="102" customFormat="false" ht="15" hidden="false" customHeight="false" outlineLevel="0" collapsed="false">
      <c r="A102" s="9" t="s">
        <v>188</v>
      </c>
      <c r="B102" s="4" t="s">
        <v>98</v>
      </c>
      <c r="H102" s="28" t="n">
        <v>0.022</v>
      </c>
      <c r="I102" s="28" t="n">
        <v>0.02</v>
      </c>
      <c r="J102" s="28" t="n">
        <v>0.018</v>
      </c>
      <c r="K102" s="28" t="n">
        <v>0.016</v>
      </c>
      <c r="L102" s="28" t="n">
        <v>0.015</v>
      </c>
      <c r="M102" s="24" t="s">
        <v>189</v>
      </c>
    </row>
    <row r="103" customFormat="false" ht="15" hidden="false" customHeight="false" outlineLevel="0" collapsed="false">
      <c r="A103" s="9" t="s">
        <v>190</v>
      </c>
      <c r="B103" s="4" t="s">
        <v>98</v>
      </c>
      <c r="H103" s="28" t="n">
        <v>0.01</v>
      </c>
      <c r="I103" s="28" t="n">
        <v>0.008</v>
      </c>
      <c r="J103" s="28" t="n">
        <v>0.008</v>
      </c>
      <c r="K103" s="28" t="n">
        <v>0.008</v>
      </c>
      <c r="L103" s="28" t="n">
        <v>0.008</v>
      </c>
      <c r="M103" s="24" t="s">
        <v>191</v>
      </c>
    </row>
    <row r="104" customFormat="false" ht="15" hidden="false" customHeight="false" outlineLevel="0" collapsed="false">
      <c r="A104" s="9" t="s">
        <v>192</v>
      </c>
      <c r="B104" s="4" t="s">
        <v>98</v>
      </c>
      <c r="H104" s="28" t="n">
        <v>0.016</v>
      </c>
      <c r="I104" s="28" t="n">
        <v>0.016</v>
      </c>
      <c r="J104" s="28" t="n">
        <v>0.016</v>
      </c>
      <c r="K104" s="28" t="n">
        <v>0.016</v>
      </c>
      <c r="L104" s="28" t="n">
        <v>0.016</v>
      </c>
      <c r="M104" s="24" t="s">
        <v>193</v>
      </c>
    </row>
    <row r="105" customFormat="false" ht="15" hidden="false" customHeight="false" outlineLevel="0" collapsed="false">
      <c r="A105" s="9" t="s">
        <v>194</v>
      </c>
      <c r="B105" s="4" t="s">
        <v>98</v>
      </c>
      <c r="H105" s="28" t="n">
        <v>0.022</v>
      </c>
      <c r="I105" s="28" t="n">
        <v>0.02</v>
      </c>
      <c r="J105" s="28" t="n">
        <v>0.019</v>
      </c>
      <c r="K105" s="28" t="n">
        <v>0.018</v>
      </c>
      <c r="L105" s="28" t="n">
        <v>0.018</v>
      </c>
      <c r="M105" s="24" t="s">
        <v>195</v>
      </c>
    </row>
    <row r="106" customFormat="false" ht="15" hidden="false" customHeight="false" outlineLevel="0" collapsed="false">
      <c r="A106" s="9" t="s">
        <v>196</v>
      </c>
      <c r="B106" s="4" t="s">
        <v>98</v>
      </c>
      <c r="H106" s="28" t="n">
        <v>0.035</v>
      </c>
      <c r="I106" s="28" t="n">
        <v>0.035</v>
      </c>
      <c r="J106" s="28" t="n">
        <v>0.035</v>
      </c>
      <c r="K106" s="28" t="n">
        <v>0.035</v>
      </c>
      <c r="L106" s="28" t="n">
        <v>0.035</v>
      </c>
      <c r="M106" s="24" t="s">
        <v>197</v>
      </c>
    </row>
    <row r="107" customFormat="false" ht="15" hidden="false" customHeight="false" outlineLevel="0" collapsed="false">
      <c r="A107" s="5" t="s">
        <v>198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customFormat="false" ht="15" hidden="false" customHeight="false" outlineLevel="0" collapsed="false">
      <c r="A108" s="9" t="s">
        <v>199</v>
      </c>
      <c r="B108" s="11" t="s">
        <v>200</v>
      </c>
      <c r="H108" s="44" t="n">
        <v>130</v>
      </c>
      <c r="I108" s="44" t="n">
        <v>130</v>
      </c>
      <c r="J108" s="44" t="n">
        <v>128</v>
      </c>
      <c r="K108" s="44" t="n">
        <v>128</v>
      </c>
      <c r="L108" s="44" t="n">
        <v>125</v>
      </c>
      <c r="M108" s="24" t="s">
        <v>201</v>
      </c>
    </row>
    <row r="109" customFormat="false" ht="15" hidden="false" customHeight="false" outlineLevel="0" collapsed="false">
      <c r="A109" s="9" t="s">
        <v>202</v>
      </c>
      <c r="B109" s="11" t="s">
        <v>200</v>
      </c>
      <c r="H109" s="44" t="n">
        <v>150</v>
      </c>
      <c r="I109" s="44" t="n">
        <v>150</v>
      </c>
      <c r="J109" s="44" t="n">
        <v>150</v>
      </c>
      <c r="K109" s="44" t="n">
        <v>148</v>
      </c>
      <c r="L109" s="44" t="n">
        <v>148</v>
      </c>
      <c r="M109" s="24" t="s">
        <v>203</v>
      </c>
    </row>
    <row r="110" customFormat="false" ht="15" hidden="false" customHeight="false" outlineLevel="0" collapsed="false">
      <c r="A110" s="9" t="s">
        <v>204</v>
      </c>
      <c r="B110" s="11" t="s">
        <v>200</v>
      </c>
      <c r="H110" s="44" t="n">
        <v>130</v>
      </c>
      <c r="I110" s="44" t="n">
        <v>128</v>
      </c>
      <c r="J110" s="44" t="n">
        <v>125</v>
      </c>
      <c r="K110" s="44" t="n">
        <v>125</v>
      </c>
      <c r="L110" s="44" t="n">
        <v>125</v>
      </c>
      <c r="M110" s="24" t="s">
        <v>205</v>
      </c>
    </row>
    <row r="111" customFormat="false" ht="15" hidden="false" customHeight="false" outlineLevel="0" collapsed="false">
      <c r="A111" s="9" t="s">
        <v>206</v>
      </c>
      <c r="B111" s="4" t="s">
        <v>98</v>
      </c>
      <c r="H111" s="28" t="n">
        <v>0.009</v>
      </c>
      <c r="I111" s="28" t="n">
        <v>0.009</v>
      </c>
      <c r="J111" s="28" t="n">
        <v>0.009</v>
      </c>
      <c r="K111" s="28" t="n">
        <v>0.009</v>
      </c>
      <c r="L111" s="28" t="n">
        <v>0.009</v>
      </c>
      <c r="M111" s="24" t="s">
        <v>207</v>
      </c>
    </row>
    <row r="112" customFormat="false" ht="15" hidden="false" customHeight="false" outlineLevel="0" collapsed="false">
      <c r="A112" s="9" t="s">
        <v>208</v>
      </c>
      <c r="B112" s="4" t="s">
        <v>98</v>
      </c>
      <c r="H112" s="28" t="n">
        <v>0.002</v>
      </c>
      <c r="I112" s="28" t="n">
        <v>0.002</v>
      </c>
      <c r="J112" s="28" t="n">
        <v>0.002</v>
      </c>
      <c r="K112" s="28" t="n">
        <v>0.002</v>
      </c>
      <c r="L112" s="28" t="n">
        <v>0.002</v>
      </c>
      <c r="M112" s="24" t="s">
        <v>209</v>
      </c>
    </row>
    <row r="113" customFormat="false" ht="15" hidden="false" customHeight="false" outlineLevel="0" collapsed="false">
      <c r="A113" s="9" t="s">
        <v>210</v>
      </c>
      <c r="B113" s="4" t="s">
        <v>98</v>
      </c>
      <c r="H113" s="28" t="n">
        <v>0.05</v>
      </c>
      <c r="I113" s="28" t="n">
        <v>0.048</v>
      </c>
      <c r="J113" s="28" t="n">
        <v>0.046</v>
      </c>
      <c r="K113" s="28" t="n">
        <v>0.045</v>
      </c>
      <c r="L113" s="28" t="n">
        <v>0.045</v>
      </c>
      <c r="M113" s="24" t="s">
        <v>211</v>
      </c>
    </row>
    <row r="114" customFormat="false" ht="15" hidden="false" customHeight="false" outlineLevel="0" collapsed="false">
      <c r="A114" s="9" t="s">
        <v>212</v>
      </c>
      <c r="B114" s="4" t="s">
        <v>98</v>
      </c>
      <c r="H114" s="28" t="n">
        <v>0.11</v>
      </c>
      <c r="I114" s="28" t="n">
        <v>0.11</v>
      </c>
      <c r="J114" s="28" t="n">
        <v>0.11</v>
      </c>
      <c r="K114" s="28" t="n">
        <v>0.11</v>
      </c>
      <c r="L114" s="28" t="n">
        <v>0.11</v>
      </c>
      <c r="M114" s="24" t="s">
        <v>213</v>
      </c>
    </row>
    <row r="115" customFormat="false" ht="15" hidden="false" customHeight="false" outlineLevel="0" collapsed="false">
      <c r="A115" s="35" t="s">
        <v>214</v>
      </c>
      <c r="B115" s="11" t="s">
        <v>143</v>
      </c>
      <c r="H115" s="29" t="n">
        <v>1800</v>
      </c>
      <c r="I115" s="29" t="n">
        <v>2500</v>
      </c>
      <c r="J115" s="29" t="n">
        <v>2200</v>
      </c>
      <c r="K115" s="29" t="n">
        <v>1800</v>
      </c>
      <c r="L115" s="29" t="n">
        <v>1500</v>
      </c>
    </row>
    <row r="116" customFormat="false" ht="15" hidden="false" customHeight="false" outlineLevel="0" collapsed="false">
      <c r="A116" s="35" t="s">
        <v>215</v>
      </c>
      <c r="B116" s="11" t="s">
        <v>143</v>
      </c>
      <c r="H116" s="29" t="n">
        <v>2000</v>
      </c>
      <c r="I116" s="29" t="n">
        <v>3000</v>
      </c>
      <c r="J116" s="29" t="n">
        <v>2600</v>
      </c>
      <c r="K116" s="29" t="n">
        <v>2000</v>
      </c>
      <c r="L116" s="29" t="n">
        <v>1700</v>
      </c>
    </row>
    <row r="117" customFormat="false" ht="15" hidden="false" customHeight="false" outlineLevel="0" collapsed="false">
      <c r="A117" s="35" t="s">
        <v>216</v>
      </c>
      <c r="B117" s="11" t="s">
        <v>143</v>
      </c>
      <c r="H117" s="29" t="n">
        <v>1500</v>
      </c>
      <c r="I117" s="29" t="n">
        <v>1800</v>
      </c>
      <c r="J117" s="29" t="n">
        <v>1500</v>
      </c>
      <c r="K117" s="29" t="n">
        <v>1300</v>
      </c>
      <c r="L117" s="29" t="n">
        <v>1200</v>
      </c>
    </row>
    <row r="118" customFormat="false" ht="15" hidden="false" customHeight="false" outlineLevel="0" collapsed="false">
      <c r="A118" s="9" t="s">
        <v>217</v>
      </c>
      <c r="B118" s="11" t="s">
        <v>143</v>
      </c>
      <c r="H118" s="37" t="n">
        <f aca="false">CHOOSE($C$5,H115,H116,H117)</f>
        <v>1800</v>
      </c>
      <c r="I118" s="37" t="n">
        <f aca="false">CHOOSE($C$5,I115,I116,I117)</f>
        <v>2500</v>
      </c>
      <c r="J118" s="37" t="n">
        <f aca="false">CHOOSE($C$5,J115,J116,J117)</f>
        <v>2200</v>
      </c>
      <c r="K118" s="37" t="n">
        <f aca="false">CHOOSE($C$5,K115,K116,K117)</f>
        <v>1800</v>
      </c>
      <c r="L118" s="37" t="n">
        <f aca="false">CHOOSE($C$5,L115,L116,L117)</f>
        <v>1500</v>
      </c>
      <c r="M118" s="24" t="s">
        <v>218</v>
      </c>
    </row>
    <row r="119" customFormat="false" ht="15" hidden="false" customHeight="false" outlineLevel="0" collapsed="false">
      <c r="A119" s="9" t="s">
        <v>219</v>
      </c>
      <c r="B119" s="4" t="s">
        <v>98</v>
      </c>
      <c r="H119" s="28" t="n">
        <v>0.115</v>
      </c>
      <c r="I119" s="28" t="n">
        <v>0.115</v>
      </c>
      <c r="J119" s="28" t="n">
        <v>0.115</v>
      </c>
      <c r="K119" s="28" t="n">
        <v>0.115</v>
      </c>
      <c r="L119" s="28" t="n">
        <v>0.115</v>
      </c>
      <c r="M119" s="24" t="s">
        <v>220</v>
      </c>
    </row>
    <row r="120" customFormat="false" ht="15" hidden="false" customHeight="false" outlineLevel="0" collapsed="false">
      <c r="A120" s="9" t="s">
        <v>221</v>
      </c>
      <c r="B120" s="11" t="s">
        <v>143</v>
      </c>
      <c r="H120" s="29" t="n">
        <v>30</v>
      </c>
      <c r="I120" s="29" t="n">
        <v>30</v>
      </c>
      <c r="J120" s="29" t="n">
        <v>30</v>
      </c>
      <c r="K120" s="29" t="n">
        <v>30</v>
      </c>
      <c r="L120" s="29" t="n">
        <v>30</v>
      </c>
      <c r="M120" s="24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1"/>
  </cols>
  <sheetData>
    <row r="1" customFormat="false" ht="21.6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4" t="s">
        <v>224</v>
      </c>
    </row>
    <row r="4" customFormat="false" ht="15" hidden="false" customHeight="false" outlineLevel="0" collapsed="false">
      <c r="A4" s="7" t="s">
        <v>225</v>
      </c>
      <c r="B4" s="34" t="s">
        <v>91</v>
      </c>
      <c r="C4" s="8" t="s">
        <v>92</v>
      </c>
      <c r="D4" s="8" t="s">
        <v>93</v>
      </c>
      <c r="E4" s="8" t="s">
        <v>94</v>
      </c>
      <c r="F4" s="8" t="s">
        <v>95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</row>
    <row r="5" customFormat="false" ht="15" hidden="false" customHeight="false" outlineLevel="0" collapsed="false">
      <c r="A5" s="45" t="s">
        <v>226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15" hidden="false" customHeight="false" outlineLevel="0" collapsed="false">
      <c r="A6" s="4" t="s">
        <v>227</v>
      </c>
      <c r="B6" s="4" t="s">
        <v>152</v>
      </c>
      <c r="G6" s="46" t="n">
        <f aca="false">假设!G79</f>
        <v>0.725</v>
      </c>
      <c r="H6" s="46" t="n">
        <f aca="false">假设!H79</f>
        <v>1.45</v>
      </c>
      <c r="I6" s="46" t="n">
        <f aca="false">假设!I79</f>
        <v>2.5</v>
      </c>
      <c r="J6" s="46" t="n">
        <f aca="false">假设!J79</f>
        <v>3.2</v>
      </c>
      <c r="K6" s="46" t="n">
        <f aca="false">假设!K79</f>
        <v>3.8</v>
      </c>
      <c r="L6" s="46" t="n">
        <f aca="false">假设!L79</f>
        <v>4.4</v>
      </c>
    </row>
    <row r="7" customFormat="false" ht="15" hidden="false" customHeight="false" outlineLevel="0" collapsed="false">
      <c r="A7" s="11" t="s">
        <v>228</v>
      </c>
      <c r="B7" s="4" t="s">
        <v>158</v>
      </c>
      <c r="G7" s="42" t="n">
        <v>30</v>
      </c>
      <c r="H7" s="47" t="n">
        <f aca="false">假设!H83</f>
        <v>30</v>
      </c>
      <c r="I7" s="47" t="n">
        <f aca="false">假设!I83</f>
        <v>30</v>
      </c>
      <c r="J7" s="47" t="n">
        <f aca="false">假设!J83</f>
        <v>32.5</v>
      </c>
      <c r="K7" s="47" t="n">
        <f aca="false">假设!K83</f>
        <v>32.5</v>
      </c>
      <c r="L7" s="47" t="n">
        <f aca="false">假设!L83</f>
        <v>35</v>
      </c>
    </row>
    <row r="8" customFormat="false" ht="15" hidden="false" customHeight="false" outlineLevel="0" collapsed="false">
      <c r="A8" s="11" t="s">
        <v>229</v>
      </c>
      <c r="B8" s="11" t="s">
        <v>230</v>
      </c>
      <c r="H8" s="48" t="n">
        <f aca="false">IFERROR(1000/H7,0)</f>
        <v>33.3333333333333</v>
      </c>
      <c r="I8" s="48" t="n">
        <f aca="false">IFERROR(1000/I7,0)</f>
        <v>33.3333333333333</v>
      </c>
      <c r="J8" s="48" t="n">
        <f aca="false">IFERROR(1000/J7,0)</f>
        <v>30.7692307692308</v>
      </c>
      <c r="K8" s="48" t="n">
        <f aca="false">IFERROR(1000/K7,0)</f>
        <v>30.7692307692308</v>
      </c>
      <c r="L8" s="48" t="n">
        <f aca="false">IFERROR(1000/L7,0)</f>
        <v>28.5714285714286</v>
      </c>
    </row>
    <row r="9" customFormat="false" ht="15" hidden="false" customHeight="false" outlineLevel="0" collapsed="false">
      <c r="A9" s="4" t="s">
        <v>231</v>
      </c>
      <c r="B9" s="11" t="s">
        <v>232</v>
      </c>
      <c r="H9" s="48" t="n">
        <f aca="false">H6*H8</f>
        <v>48.3333333333333</v>
      </c>
      <c r="I9" s="48" t="n">
        <f aca="false">I6*I8</f>
        <v>83.3333333333333</v>
      </c>
      <c r="J9" s="48" t="n">
        <f aca="false">J6*J8</f>
        <v>98.4615384615385</v>
      </c>
      <c r="K9" s="48" t="n">
        <f aca="false">K6*K8</f>
        <v>116.923076923077</v>
      </c>
      <c r="L9" s="48" t="n">
        <f aca="false">L6*L8</f>
        <v>125.714285714286</v>
      </c>
    </row>
    <row r="10" customFormat="false" ht="15" hidden="false" customHeight="false" outlineLevel="0" collapsed="false">
      <c r="A10" s="11" t="s">
        <v>233</v>
      </c>
      <c r="B10" s="4" t="s">
        <v>98</v>
      </c>
      <c r="H10" s="12" t="n">
        <f aca="false">假设!H87</f>
        <v>0.8</v>
      </c>
      <c r="I10" s="12" t="n">
        <f aca="false">假设!I87</f>
        <v>0.7</v>
      </c>
      <c r="J10" s="12" t="n">
        <f aca="false">假设!J87</f>
        <v>0.55</v>
      </c>
      <c r="K10" s="12" t="n">
        <f aca="false">假设!K87</f>
        <v>0.5</v>
      </c>
      <c r="L10" s="12" t="n">
        <f aca="false">假设!L87</f>
        <v>0.45</v>
      </c>
    </row>
    <row r="11" customFormat="false" ht="15" hidden="false" customHeight="false" outlineLevel="0" collapsed="false">
      <c r="A11" s="11" t="s">
        <v>234</v>
      </c>
      <c r="B11" s="11" t="s">
        <v>232</v>
      </c>
      <c r="H11" s="48" t="n">
        <f aca="false">H9*H10</f>
        <v>38.6666666666667</v>
      </c>
      <c r="I11" s="48" t="n">
        <f aca="false">I9*I10</f>
        <v>58.3333333333333</v>
      </c>
      <c r="J11" s="48" t="n">
        <f aca="false">J9*J10</f>
        <v>54.1538461538462</v>
      </c>
      <c r="K11" s="48" t="n">
        <f aca="false">K9*K10</f>
        <v>58.4615384615385</v>
      </c>
      <c r="L11" s="48" t="n">
        <f aca="false">L9*L10</f>
        <v>56.5714285714286</v>
      </c>
    </row>
    <row r="12" customFormat="false" ht="15" hidden="false" customHeight="false" outlineLevel="0" collapsed="false">
      <c r="A12" s="11" t="s">
        <v>235</v>
      </c>
      <c r="B12" s="11" t="s">
        <v>169</v>
      </c>
      <c r="H12" s="46" t="n">
        <f aca="false">假设!H91</f>
        <v>23</v>
      </c>
      <c r="I12" s="46" t="n">
        <f aca="false">假设!I91</f>
        <v>21.5</v>
      </c>
      <c r="J12" s="46" t="n">
        <f aca="false">假设!J91</f>
        <v>20.5</v>
      </c>
      <c r="K12" s="46" t="n">
        <f aca="false">假设!K91</f>
        <v>19.5</v>
      </c>
      <c r="L12" s="46" t="n">
        <f aca="false">假设!L91</f>
        <v>18.5</v>
      </c>
    </row>
    <row r="13" customFormat="false" ht="15" hidden="false" customHeight="false" outlineLevel="0" collapsed="false">
      <c r="A13" s="13" t="s">
        <v>25</v>
      </c>
      <c r="B13" s="11" t="s">
        <v>143</v>
      </c>
      <c r="E13" s="49" t="n">
        <v>449.32</v>
      </c>
      <c r="F13" s="49" t="n">
        <v>323.87</v>
      </c>
      <c r="G13" s="49" t="n">
        <v>330.72</v>
      </c>
      <c r="H13" s="50" t="n">
        <f aca="false">H11*H12</f>
        <v>889.333333333334</v>
      </c>
      <c r="I13" s="50" t="n">
        <f aca="false">I11*I12</f>
        <v>1254.16666666667</v>
      </c>
      <c r="J13" s="50" t="n">
        <f aca="false">J11*J12</f>
        <v>1110.15384615385</v>
      </c>
      <c r="K13" s="50" t="n">
        <f aca="false">K11*K12</f>
        <v>1140</v>
      </c>
      <c r="L13" s="50" t="n">
        <f aca="false">L11*L12</f>
        <v>1046.57142857143</v>
      </c>
    </row>
    <row r="14" customFormat="false" ht="15" hidden="false" customHeight="false" outlineLevel="0" collapsed="false">
      <c r="A14" s="11" t="s">
        <v>236</v>
      </c>
      <c r="B14" s="11" t="s">
        <v>237</v>
      </c>
      <c r="H14" s="48" t="n">
        <f aca="false">H8*H12</f>
        <v>766.666666666667</v>
      </c>
      <c r="I14" s="48" t="n">
        <f aca="false">I8*I12</f>
        <v>716.666666666667</v>
      </c>
      <c r="J14" s="48" t="n">
        <f aca="false">J8*J12</f>
        <v>630.769230769231</v>
      </c>
      <c r="K14" s="48" t="n">
        <f aca="false">K8*K12</f>
        <v>600</v>
      </c>
      <c r="L14" s="48" t="n">
        <f aca="false">L8*L12</f>
        <v>528.571428571429</v>
      </c>
    </row>
    <row r="15" customFormat="false" ht="15" hidden="false" customHeight="false" outlineLevel="0" collapsed="false">
      <c r="A15" s="4" t="s">
        <v>238</v>
      </c>
      <c r="B15" s="4" t="s">
        <v>98</v>
      </c>
      <c r="H15" s="12" t="n">
        <f aca="false">假设!H95</f>
        <v>0.4</v>
      </c>
      <c r="I15" s="12" t="n">
        <f aca="false">假设!I95</f>
        <v>0.4</v>
      </c>
      <c r="J15" s="12" t="n">
        <f aca="false">假设!J95</f>
        <v>0.39</v>
      </c>
      <c r="K15" s="12" t="n">
        <f aca="false">假设!K95</f>
        <v>0.38</v>
      </c>
      <c r="L15" s="12" t="n">
        <f aca="false">假设!L95</f>
        <v>0.38</v>
      </c>
    </row>
    <row r="16" customFormat="false" ht="15" hidden="false" customHeight="false" outlineLevel="0" collapsed="false">
      <c r="A16" s="4" t="s">
        <v>239</v>
      </c>
      <c r="B16" s="11" t="s">
        <v>143</v>
      </c>
      <c r="H16" s="48" t="n">
        <f aca="false">H13*H15</f>
        <v>355.733333333333</v>
      </c>
      <c r="I16" s="48" t="n">
        <f aca="false">I13*I15</f>
        <v>501.666666666667</v>
      </c>
      <c r="J16" s="48" t="n">
        <f aca="false">J13*J15</f>
        <v>432.96</v>
      </c>
      <c r="K16" s="48" t="n">
        <f aca="false">K13*K15</f>
        <v>433.2</v>
      </c>
      <c r="L16" s="48" t="n">
        <f aca="false">L13*L15</f>
        <v>397.697142857143</v>
      </c>
    </row>
    <row r="18" customFormat="false" ht="15" hidden="false" customHeight="false" outlineLevel="0" collapsed="false">
      <c r="A18" s="45" t="s">
        <v>240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false" outlineLevel="0" collapsed="false">
      <c r="A19" s="11" t="s">
        <v>241</v>
      </c>
      <c r="B19" s="11" t="s">
        <v>143</v>
      </c>
      <c r="F19" s="29" t="n">
        <v>2298.16</v>
      </c>
      <c r="G19" s="29" t="n">
        <v>3308.09</v>
      </c>
      <c r="H19" s="10" t="n">
        <f aca="false">G19*(1+假设!H39)</f>
        <v>5623.753</v>
      </c>
      <c r="I19" s="10" t="n">
        <f aca="false">H19*(1+假设!I39)</f>
        <v>7592.06655</v>
      </c>
      <c r="J19" s="10" t="n">
        <f aca="false">I19*(1+假设!J39)</f>
        <v>9110.47986</v>
      </c>
      <c r="K19" s="10" t="n">
        <f aca="false">J19*(1+假设!K39)</f>
        <v>10203.7374432</v>
      </c>
      <c r="L19" s="10" t="n">
        <f aca="false">K19*(1+假设!L39)</f>
        <v>11020.036438656</v>
      </c>
    </row>
    <row r="20" customFormat="false" ht="15" hidden="false" customHeight="false" outlineLevel="0" collapsed="false">
      <c r="A20" s="11" t="s">
        <v>242</v>
      </c>
      <c r="B20" s="11" t="s">
        <v>143</v>
      </c>
      <c r="F20" s="29" t="n">
        <v>2305.98</v>
      </c>
      <c r="G20" s="29" t="n">
        <v>2594.31</v>
      </c>
      <c r="H20" s="10" t="n">
        <f aca="false">G20*(1+假设!H47)</f>
        <v>3632.034</v>
      </c>
      <c r="I20" s="10" t="n">
        <f aca="false">H20*(1+假设!I47)</f>
        <v>4540.0425</v>
      </c>
      <c r="J20" s="10" t="n">
        <f aca="false">I20*(1+假设!J47)</f>
        <v>5221.048875</v>
      </c>
      <c r="K20" s="10" t="n">
        <f aca="false">J20*(1+假设!K47)</f>
        <v>5743.1537625</v>
      </c>
      <c r="L20" s="10" t="n">
        <f aca="false">K20*(1+假设!L47)</f>
        <v>6202.6060635</v>
      </c>
    </row>
    <row r="21" customFormat="false" ht="15" hidden="false" customHeight="false" outlineLevel="0" collapsed="false">
      <c r="A21" s="11" t="s">
        <v>243</v>
      </c>
      <c r="B21" s="11" t="s">
        <v>143</v>
      </c>
      <c r="F21" s="29" t="n">
        <v>1677.23</v>
      </c>
      <c r="G21" s="29" t="n">
        <v>1959.38</v>
      </c>
      <c r="H21" s="48" t="n">
        <f aca="false">H22+H13</f>
        <v>2762.29233333333</v>
      </c>
      <c r="I21" s="48" t="n">
        <f aca="false">I22+I13</f>
        <v>3351.88074666667</v>
      </c>
      <c r="J21" s="48" t="n">
        <f aca="false">J22+J13</f>
        <v>3417.63933415385</v>
      </c>
      <c r="K21" s="48" t="n">
        <f aca="false">K22+K13</f>
        <v>3632.08432704</v>
      </c>
      <c r="L21" s="48" t="n">
        <f aca="false">L22+L13</f>
        <v>3688.18081523383</v>
      </c>
    </row>
    <row r="22" customFormat="false" ht="15" hidden="false" customHeight="false" outlineLevel="0" collapsed="false">
      <c r="A22" s="11" t="s">
        <v>244</v>
      </c>
      <c r="B22" s="11" t="s">
        <v>143</v>
      </c>
      <c r="F22" s="48" t="n">
        <f aca="false">F21-F13</f>
        <v>1353.36</v>
      </c>
      <c r="G22" s="48" t="n">
        <f aca="false">G21-G13</f>
        <v>1628.66</v>
      </c>
      <c r="H22" s="10" t="n">
        <f aca="false">G22*(1+假设!H55)</f>
        <v>1872.959</v>
      </c>
      <c r="I22" s="10" t="n">
        <f aca="false">H22*(1+假设!I55)</f>
        <v>2097.71408</v>
      </c>
      <c r="J22" s="10" t="n">
        <f aca="false">I22*(1+假设!J55)</f>
        <v>2307.485488</v>
      </c>
      <c r="K22" s="10" t="n">
        <f aca="false">J22*(1+假设!K55)</f>
        <v>2492.08432704</v>
      </c>
      <c r="L22" s="10" t="n">
        <f aca="false">K22*(1+假设!L55)</f>
        <v>2641.6093866624</v>
      </c>
    </row>
    <row r="23" customFormat="false" ht="15" hidden="false" customHeight="false" outlineLevel="0" collapsed="false">
      <c r="A23" s="11" t="s">
        <v>245</v>
      </c>
      <c r="B23" s="11" t="s">
        <v>143</v>
      </c>
      <c r="F23" s="48" t="n">
        <f aca="false">F13</f>
        <v>323.87</v>
      </c>
      <c r="G23" s="48" t="n">
        <f aca="false">G13</f>
        <v>330.72</v>
      </c>
      <c r="H23" s="48" t="n">
        <f aca="false">H13</f>
        <v>889.333333333334</v>
      </c>
      <c r="I23" s="48" t="n">
        <f aca="false">I13</f>
        <v>1254.16666666667</v>
      </c>
      <c r="J23" s="48" t="n">
        <f aca="false">J13</f>
        <v>1110.15384615385</v>
      </c>
      <c r="K23" s="48" t="n">
        <f aca="false">K13</f>
        <v>1140</v>
      </c>
      <c r="L23" s="48" t="n">
        <f aca="false">L13</f>
        <v>1046.57142857143</v>
      </c>
    </row>
    <row r="24" customFormat="false" ht="15" hidden="false" customHeight="false" outlineLevel="0" collapsed="false">
      <c r="A24" s="11" t="s">
        <v>246</v>
      </c>
      <c r="B24" s="11" t="s">
        <v>143</v>
      </c>
      <c r="F24" s="29" t="n">
        <v>536.82</v>
      </c>
      <c r="G24" s="29" t="n">
        <v>601.75</v>
      </c>
      <c r="H24" s="10" t="n">
        <f aca="false">G24*(1+假设!H63)</f>
        <v>692.0125</v>
      </c>
      <c r="I24" s="10" t="n">
        <f aca="false">H24*(1+假设!I63)</f>
        <v>775.054</v>
      </c>
      <c r="J24" s="10" t="n">
        <f aca="false">I24*(1+假设!J63)</f>
        <v>852.5594</v>
      </c>
      <c r="K24" s="10" t="n">
        <f aca="false">J24*(1+假设!K63)</f>
        <v>920.764152</v>
      </c>
      <c r="L24" s="10" t="n">
        <f aca="false">K24*(1+假设!L63)</f>
        <v>976.01000112</v>
      </c>
    </row>
    <row r="25" customFormat="false" ht="15" hidden="false" customHeight="false" outlineLevel="0" collapsed="false">
      <c r="A25" s="11" t="s">
        <v>247</v>
      </c>
      <c r="B25" s="11" t="s">
        <v>143</v>
      </c>
      <c r="F25" s="29" t="n">
        <v>447.93</v>
      </c>
      <c r="G25" s="29" t="n">
        <v>405</v>
      </c>
      <c r="H25" s="10" t="n">
        <f aca="false">G25*(1+假设!H68)</f>
        <v>405</v>
      </c>
      <c r="I25" s="10" t="n">
        <f aca="false">H25*(1+假设!I68)</f>
        <v>405</v>
      </c>
      <c r="J25" s="10" t="n">
        <f aca="false">I25*(1+假设!J68)</f>
        <v>405</v>
      </c>
      <c r="K25" s="10" t="n">
        <f aca="false">J25*(1+假设!K68)</f>
        <v>405</v>
      </c>
      <c r="L25" s="10" t="n">
        <f aca="false">K25*(1+假设!L68)</f>
        <v>405</v>
      </c>
    </row>
    <row r="26" customFormat="false" ht="15" hidden="false" customHeight="false" outlineLevel="0" collapsed="false">
      <c r="A26" s="11" t="s">
        <v>248</v>
      </c>
      <c r="B26" s="11" t="s">
        <v>143</v>
      </c>
      <c r="F26" s="29" t="n">
        <v>108.86</v>
      </c>
      <c r="G26" s="29" t="n">
        <v>138.63</v>
      </c>
      <c r="H26" s="10" t="n">
        <f aca="false">假设!H73</f>
        <v>600</v>
      </c>
      <c r="I26" s="10" t="n">
        <f aca="false">假设!I73</f>
        <v>630</v>
      </c>
      <c r="J26" s="10" t="n">
        <f aca="false">假设!J73</f>
        <v>660</v>
      </c>
      <c r="K26" s="10" t="n">
        <f aca="false">假设!K73</f>
        <v>690</v>
      </c>
      <c r="L26" s="10" t="n">
        <f aca="false">假设!L73</f>
        <v>720</v>
      </c>
    </row>
    <row r="27" customFormat="false" ht="15" hidden="false" customHeight="false" outlineLevel="0" collapsed="false">
      <c r="A27" s="9" t="s">
        <v>249</v>
      </c>
      <c r="B27" s="11" t="s">
        <v>143</v>
      </c>
      <c r="F27" s="50" t="n">
        <f aca="false">F19+F20+F21+F24+F25+F26</f>
        <v>7374.98</v>
      </c>
      <c r="G27" s="50" t="n">
        <f aca="false">G19+G20+G21+G24+G25+G26</f>
        <v>9007.16</v>
      </c>
      <c r="H27" s="50" t="n">
        <f aca="false">H19+H20+H21+H24+H25+H26</f>
        <v>13715.0918333333</v>
      </c>
      <c r="I27" s="50" t="n">
        <f aca="false">I19+I20+I21+I24+I25+I26</f>
        <v>17294.0437966667</v>
      </c>
      <c r="J27" s="50" t="n">
        <f aca="false">J19+J20+J21+J24+J25+J26</f>
        <v>19666.7274691538</v>
      </c>
      <c r="K27" s="50" t="n">
        <f aca="false">K19+K20+K21+K24+K25+K26</f>
        <v>21594.73968474</v>
      </c>
      <c r="L27" s="50" t="n">
        <f aca="false">L19+L20+L21+L24+L25+L26</f>
        <v>23011.8333185098</v>
      </c>
    </row>
    <row r="29" customFormat="false" ht="15" hidden="false" customHeight="false" outlineLevel="0" collapsed="false">
      <c r="A29" s="45" t="s">
        <v>250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false" outlineLevel="0" collapsed="false">
      <c r="A30" s="11" t="s">
        <v>251</v>
      </c>
      <c r="B30" s="4" t="s">
        <v>98</v>
      </c>
      <c r="G30" s="51" t="n">
        <f aca="false">IFERROR(G19/F19-1,0)</f>
        <v>0.439451561248999</v>
      </c>
      <c r="H30" s="51" t="n">
        <f aca="false">IFERROR(H19/G19-1,0)</f>
        <v>0.7</v>
      </c>
      <c r="I30" s="51" t="n">
        <f aca="false">IFERROR(I19/H19-1,0)</f>
        <v>0.35</v>
      </c>
      <c r="J30" s="51" t="n">
        <f aca="false">IFERROR(J19/I19-1,0)</f>
        <v>0.2</v>
      </c>
      <c r="K30" s="51" t="n">
        <f aca="false">IFERROR(K19/J19-1,0)</f>
        <v>0.12</v>
      </c>
      <c r="L30" s="51" t="n">
        <f aca="false">IFERROR(L19/K19-1,0)</f>
        <v>0.0800000000000001</v>
      </c>
    </row>
    <row r="31" customFormat="false" ht="15" hidden="false" customHeight="false" outlineLevel="0" collapsed="false">
      <c r="A31" s="11" t="s">
        <v>252</v>
      </c>
      <c r="B31" s="4" t="s">
        <v>98</v>
      </c>
      <c r="G31" s="51" t="n">
        <f aca="false">IFERROR(G20/F20-1,0)</f>
        <v>0.125035776546197</v>
      </c>
      <c r="H31" s="51" t="n">
        <f aca="false">IFERROR(H20/G20-1,0)</f>
        <v>0.4</v>
      </c>
      <c r="I31" s="51" t="n">
        <f aca="false">IFERROR(I20/H20-1,0)</f>
        <v>0.25</v>
      </c>
      <c r="J31" s="51" t="n">
        <f aca="false">IFERROR(J20/I20-1,0)</f>
        <v>0.15</v>
      </c>
      <c r="K31" s="51" t="n">
        <f aca="false">IFERROR(K20/J20-1,0)</f>
        <v>0.1</v>
      </c>
      <c r="L31" s="51" t="n">
        <f aca="false">IFERROR(L20/K20-1,0)</f>
        <v>0.0800000000000001</v>
      </c>
    </row>
    <row r="32" customFormat="false" ht="15" hidden="false" customHeight="false" outlineLevel="0" collapsed="false">
      <c r="A32" s="11" t="s">
        <v>253</v>
      </c>
      <c r="B32" s="4" t="s">
        <v>98</v>
      </c>
      <c r="G32" s="51" t="n">
        <f aca="false">IFERROR(G21/F21-1,0)</f>
        <v>0.168223797570995</v>
      </c>
      <c r="H32" s="51" t="n">
        <f aca="false">IFERROR(H21/G21-1,0)</f>
        <v>0.409778773557622</v>
      </c>
      <c r="I32" s="51" t="n">
        <f aca="false">IFERROR(I21/H21-1,0)</f>
        <v>0.213441715135871</v>
      </c>
      <c r="J32" s="51" t="n">
        <f aca="false">IFERROR(J21/I21-1,0)</f>
        <v>0.0196184149906211</v>
      </c>
      <c r="K32" s="51" t="n">
        <f aca="false">IFERROR(K21/J21-1,0)</f>
        <v>0.062746525282267</v>
      </c>
      <c r="L32" s="51" t="n">
        <f aca="false">IFERROR(L21/K21-1,0)</f>
        <v>0.0154447097431643</v>
      </c>
    </row>
    <row r="33" customFormat="false" ht="15" hidden="false" customHeight="false" outlineLevel="0" collapsed="false">
      <c r="A33" s="4" t="s">
        <v>254</v>
      </c>
      <c r="B33" s="4" t="s">
        <v>98</v>
      </c>
      <c r="F33" s="51" t="n">
        <f aca="false">IFERROR(F13/E13-1,0)</f>
        <v>-0.279199679515713</v>
      </c>
      <c r="G33" s="51" t="n">
        <f aca="false">IFERROR(G13/F13-1,0)</f>
        <v>0.0211504616049649</v>
      </c>
      <c r="H33" s="51" t="n">
        <f aca="false">IFERROR(H13/G13-1,0)</f>
        <v>1.68908240606354</v>
      </c>
      <c r="I33" s="51" t="n">
        <f aca="false">IFERROR(I13/H13-1,0)</f>
        <v>0.410232383808096</v>
      </c>
      <c r="J33" s="51" t="n">
        <f aca="false">IFERROR(J13/I13-1,0)</f>
        <v>-0.114827498083312</v>
      </c>
      <c r="K33" s="51" t="n">
        <f aca="false">IFERROR(K13/J13-1,0)</f>
        <v>0.0268847006651884</v>
      </c>
      <c r="L33" s="51" t="n">
        <f aca="false">IFERROR(L13/K13-1,0)</f>
        <v>-0.0819548872180448</v>
      </c>
    </row>
    <row r="34" customFormat="false" ht="15" hidden="false" customHeight="false" outlineLevel="0" collapsed="false">
      <c r="A34" s="11" t="s">
        <v>255</v>
      </c>
      <c r="B34" s="4" t="s">
        <v>98</v>
      </c>
      <c r="G34" s="51" t="n">
        <f aca="false">IFERROR(G24/F24-1,0)</f>
        <v>0.120953019634142</v>
      </c>
      <c r="H34" s="51" t="n">
        <f aca="false">IFERROR(H24/G24-1,0)</f>
        <v>0.15</v>
      </c>
      <c r="I34" s="51" t="n">
        <f aca="false">IFERROR(I24/H24-1,0)</f>
        <v>0.12</v>
      </c>
      <c r="J34" s="51" t="n">
        <f aca="false">IFERROR(J24/I24-1,0)</f>
        <v>0.1</v>
      </c>
      <c r="K34" s="51" t="n">
        <f aca="false">IFERROR(K24/J24-1,0)</f>
        <v>0.0800000000000001</v>
      </c>
      <c r="L34" s="51" t="n">
        <f aca="false">IFERROR(L24/K24-1,0)</f>
        <v>0.0600000000000001</v>
      </c>
    </row>
    <row r="35" customFormat="false" ht="15" hidden="false" customHeight="false" outlineLevel="0" collapsed="false">
      <c r="A35" s="11" t="s">
        <v>256</v>
      </c>
      <c r="B35" s="4" t="s">
        <v>98</v>
      </c>
      <c r="G35" s="51" t="n">
        <f aca="false">IFERROR(G27/F27-1,0)</f>
        <v>0.221313142544115</v>
      </c>
      <c r="H35" s="51" t="n">
        <f aca="false">IFERROR(H27/G27-1,0)</f>
        <v>0.522687709925586</v>
      </c>
      <c r="I35" s="51" t="n">
        <f aca="false">IFERROR(I27/H27-1,0)</f>
        <v>0.260949908817599</v>
      </c>
      <c r="J35" s="51" t="n">
        <f aca="false">IFERROR(J27/I27-1,0)</f>
        <v>0.137196580532802</v>
      </c>
      <c r="K35" s="51" t="n">
        <f aca="false">IFERROR(K27/J27-1,0)</f>
        <v>0.0980342163489139</v>
      </c>
      <c r="L35" s="51" t="n">
        <f aca="false">IFERROR(L27/K27-1,0)</f>
        <v>0.0656221679194968</v>
      </c>
    </row>
    <row r="37" customFormat="false" ht="15" hidden="false" customHeight="false" outlineLevel="0" collapsed="false">
      <c r="A37" s="45" t="s">
        <v>257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false" outlineLevel="0" collapsed="false">
      <c r="A38" s="11" t="s">
        <v>258</v>
      </c>
      <c r="B38" s="11" t="s">
        <v>143</v>
      </c>
      <c r="F38" s="48" t="n">
        <f aca="false">F19*F46</f>
        <v>1019.693592</v>
      </c>
      <c r="G38" s="29" t="n">
        <v>1399.45</v>
      </c>
      <c r="H38" s="10" t="n">
        <f aca="false">H19*假设!H43</f>
        <v>2586.92638</v>
      </c>
      <c r="I38" s="10" t="n">
        <f aca="false">I19*假设!I43</f>
        <v>3568.2712785</v>
      </c>
      <c r="J38" s="10" t="n">
        <f aca="false">J19*假设!J43</f>
        <v>4190.8207356</v>
      </c>
      <c r="K38" s="10" t="n">
        <f aca="false">K19*假设!K43</f>
        <v>4591.68184944</v>
      </c>
      <c r="L38" s="10" t="n">
        <f aca="false">L19*假设!L43</f>
        <v>4848.81603300864</v>
      </c>
    </row>
    <row r="39" customFormat="false" ht="15" hidden="false" customHeight="false" outlineLevel="0" collapsed="false">
      <c r="A39" s="11" t="s">
        <v>259</v>
      </c>
      <c r="B39" s="11" t="s">
        <v>143</v>
      </c>
      <c r="F39" s="48" t="n">
        <f aca="false">F20*F47</f>
        <v>1013.017014</v>
      </c>
      <c r="G39" s="29" t="n">
        <v>1150.71</v>
      </c>
      <c r="H39" s="10" t="n">
        <f aca="false">H20*假设!H51</f>
        <v>1670.73564</v>
      </c>
      <c r="I39" s="10" t="n">
        <f aca="false">I20*假设!I51</f>
        <v>2088.41955</v>
      </c>
      <c r="J39" s="10" t="n">
        <f aca="false">J20*假设!J51</f>
        <v>2349.47199375</v>
      </c>
      <c r="K39" s="10" t="n">
        <f aca="false">K20*假设!K51</f>
        <v>2526.9876555</v>
      </c>
      <c r="L39" s="10" t="n">
        <f aca="false">L20*假设!L51</f>
        <v>2729.14666794</v>
      </c>
    </row>
    <row r="40" customFormat="false" ht="15" hidden="false" customHeight="false" outlineLevel="0" collapsed="false">
      <c r="A40" s="11" t="s">
        <v>260</v>
      </c>
      <c r="B40" s="11" t="s">
        <v>143</v>
      </c>
      <c r="F40" s="48" t="n">
        <f aca="false">F21*F48</f>
        <v>680.452211</v>
      </c>
      <c r="G40" s="29" t="n">
        <v>746.26</v>
      </c>
      <c r="H40" s="10" t="n">
        <f aca="false">H22*假设!H59+H16</f>
        <v>1067.45775333333</v>
      </c>
      <c r="I40" s="10" t="n">
        <f aca="false">I22*假设!I59+I16</f>
        <v>1298.79801706667</v>
      </c>
      <c r="J40" s="10" t="n">
        <f aca="false">J22*假设!J59+J16</f>
        <v>1309.80448544</v>
      </c>
      <c r="K40" s="10" t="n">
        <f aca="false">K22*假设!K59+K16</f>
        <v>1355.2712010048</v>
      </c>
      <c r="L40" s="10" t="n">
        <f aca="false">L22*假设!L59+L16</f>
        <v>1375.09261592223</v>
      </c>
    </row>
    <row r="41" customFormat="false" ht="15" hidden="false" customHeight="false" outlineLevel="0" collapsed="false">
      <c r="A41" s="11" t="s">
        <v>261</v>
      </c>
      <c r="B41" s="11" t="s">
        <v>143</v>
      </c>
      <c r="G41" s="29" t="n">
        <v>351.8</v>
      </c>
      <c r="H41" s="10" t="n">
        <f aca="false">H24*假设!H67</f>
        <v>401.36725</v>
      </c>
      <c r="I41" s="10" t="n">
        <f aca="false">I24*假设!I67</f>
        <v>449.53132</v>
      </c>
      <c r="J41" s="10" t="n">
        <f aca="false">J24*假设!J67</f>
        <v>485.958858</v>
      </c>
      <c r="K41" s="10" t="n">
        <f aca="false">K24*假设!K67</f>
        <v>524.83556664</v>
      </c>
      <c r="L41" s="10" t="n">
        <f aca="false">L24*假设!L67</f>
        <v>546.5656006272</v>
      </c>
    </row>
    <row r="42" customFormat="false" ht="15" hidden="false" customHeight="false" outlineLevel="0" collapsed="false">
      <c r="A42" s="11" t="s">
        <v>262</v>
      </c>
      <c r="B42" s="11" t="s">
        <v>143</v>
      </c>
      <c r="G42" s="29" t="n">
        <v>36.88</v>
      </c>
      <c r="H42" s="10" t="n">
        <f aca="false">H25*假设!H69</f>
        <v>36.45</v>
      </c>
      <c r="I42" s="10" t="n">
        <f aca="false">I25*假设!I69</f>
        <v>36.45</v>
      </c>
      <c r="J42" s="10" t="n">
        <f aca="false">J25*假设!J69</f>
        <v>36.45</v>
      </c>
      <c r="K42" s="10" t="n">
        <f aca="false">K25*假设!K69</f>
        <v>36.45</v>
      </c>
      <c r="L42" s="10" t="n">
        <f aca="false">L25*假设!L69</f>
        <v>36.45</v>
      </c>
    </row>
    <row r="43" customFormat="false" ht="15" hidden="false" customHeight="false" outlineLevel="0" collapsed="false">
      <c r="A43" s="11" t="s">
        <v>263</v>
      </c>
      <c r="B43" s="11" t="s">
        <v>143</v>
      </c>
      <c r="G43" s="29" t="n">
        <v>110.3</v>
      </c>
      <c r="H43" s="10" t="n">
        <f aca="false">H26*假设!H74</f>
        <v>270</v>
      </c>
      <c r="I43" s="10" t="n">
        <f aca="false">I26*假设!I74</f>
        <v>283.5</v>
      </c>
      <c r="J43" s="10" t="n">
        <f aca="false">J26*假设!J74</f>
        <v>297</v>
      </c>
      <c r="K43" s="10" t="n">
        <f aca="false">K26*假设!K74</f>
        <v>310.5</v>
      </c>
      <c r="L43" s="10" t="n">
        <f aca="false">L26*假设!L74</f>
        <v>324</v>
      </c>
    </row>
    <row r="44" customFormat="false" ht="15" hidden="false" customHeight="false" outlineLevel="0" collapsed="false">
      <c r="A44" s="9" t="s">
        <v>264</v>
      </c>
      <c r="B44" s="11" t="s">
        <v>143</v>
      </c>
      <c r="G44" s="50" t="n">
        <f aca="false">SUM(G38:G43)</f>
        <v>3795.4</v>
      </c>
      <c r="H44" s="50" t="n">
        <f aca="false">SUM(H38:H43)</f>
        <v>6032.93702333333</v>
      </c>
      <c r="I44" s="50" t="n">
        <f aca="false">SUM(I38:I43)</f>
        <v>7724.97016556667</v>
      </c>
      <c r="J44" s="50" t="n">
        <f aca="false">SUM(J38:J43)</f>
        <v>8669.50607279</v>
      </c>
      <c r="K44" s="50" t="n">
        <f aca="false">SUM(K38:K43)</f>
        <v>9345.7262725848</v>
      </c>
      <c r="L44" s="50" t="n">
        <f aca="false">SUM(L38:L43)</f>
        <v>9860.07091749807</v>
      </c>
    </row>
    <row r="45" customFormat="false" ht="15" hidden="false" customHeight="false" outlineLevel="0" collapsed="false">
      <c r="A45" s="9" t="s">
        <v>265</v>
      </c>
    </row>
    <row r="46" customFormat="false" ht="15" hidden="false" customHeight="false" outlineLevel="0" collapsed="false">
      <c r="A46" s="11" t="s">
        <v>266</v>
      </c>
      <c r="B46" s="4" t="s">
        <v>98</v>
      </c>
      <c r="F46" s="28" t="n">
        <v>0.4437</v>
      </c>
      <c r="G46" s="51" t="n">
        <f aca="false">IFERROR(G38/G19,0)</f>
        <v>0.423038671862011</v>
      </c>
      <c r="H46" s="51" t="n">
        <f aca="false">IFERROR(H38/H19,0)</f>
        <v>0.46</v>
      </c>
      <c r="I46" s="51" t="n">
        <f aca="false">IFERROR(I38/I19,0)</f>
        <v>0.47</v>
      </c>
      <c r="J46" s="51" t="n">
        <f aca="false">IFERROR(J38/J19,0)</f>
        <v>0.46</v>
      </c>
      <c r="K46" s="51" t="n">
        <f aca="false">IFERROR(K38/K19,0)</f>
        <v>0.45</v>
      </c>
      <c r="L46" s="51" t="n">
        <f aca="false">IFERROR(L38/L19,0)</f>
        <v>0.44</v>
      </c>
    </row>
    <row r="47" customFormat="false" ht="15" hidden="false" customHeight="false" outlineLevel="0" collapsed="false">
      <c r="A47" s="11" t="s">
        <v>267</v>
      </c>
      <c r="B47" s="4" t="s">
        <v>98</v>
      </c>
      <c r="F47" s="28" t="n">
        <v>0.4393</v>
      </c>
      <c r="G47" s="51" t="n">
        <f aca="false">IFERROR(G39/G20,0)</f>
        <v>0.443551464551268</v>
      </c>
      <c r="H47" s="51" t="n">
        <f aca="false">IFERROR(H39/H20,0)</f>
        <v>0.46</v>
      </c>
      <c r="I47" s="51" t="n">
        <f aca="false">IFERROR(I39/I20,0)</f>
        <v>0.46</v>
      </c>
      <c r="J47" s="51" t="n">
        <f aca="false">IFERROR(J39/J20,0)</f>
        <v>0.45</v>
      </c>
      <c r="K47" s="51" t="n">
        <f aca="false">IFERROR(K39/K20,0)</f>
        <v>0.44</v>
      </c>
      <c r="L47" s="51" t="n">
        <f aca="false">IFERROR(L39/L20,0)</f>
        <v>0.44</v>
      </c>
    </row>
    <row r="48" customFormat="false" ht="15" hidden="false" customHeight="false" outlineLevel="0" collapsed="false">
      <c r="A48" s="11" t="s">
        <v>268</v>
      </c>
      <c r="B48" s="4" t="s">
        <v>98</v>
      </c>
      <c r="F48" s="28" t="n">
        <v>0.4057</v>
      </c>
      <c r="G48" s="51" t="n">
        <f aca="false">IFERROR(G40/G21,0)</f>
        <v>0.380865375782135</v>
      </c>
      <c r="H48" s="51" t="n">
        <f aca="false">IFERROR(H40/H21,0)</f>
        <v>0.386439096417142</v>
      </c>
      <c r="I48" s="51" t="n">
        <f aca="false">IFERROR(I40/I21,0)</f>
        <v>0.387483360903659</v>
      </c>
      <c r="J48" s="51" t="n">
        <f aca="false">IFERROR(J40/J21,0)</f>
        <v>0.383248306031183</v>
      </c>
      <c r="K48" s="51" t="n">
        <f aca="false">IFERROR(K40/K21,0)</f>
        <v>0.373138693646271</v>
      </c>
      <c r="L48" s="51" t="n">
        <f aca="false">IFERROR(L40/L21,0)</f>
        <v>0.372837635899652</v>
      </c>
    </row>
    <row r="49" customFormat="false" ht="15" hidden="false" customHeight="false" outlineLevel="0" collapsed="false">
      <c r="A49" s="11" t="s">
        <v>269</v>
      </c>
      <c r="B49" s="4" t="s">
        <v>98</v>
      </c>
      <c r="G49" s="51" t="n">
        <f aca="false">IFERROR(G41/G24,0)</f>
        <v>0.584628167843789</v>
      </c>
      <c r="H49" s="51" t="n">
        <f aca="false">IFERROR(H41/H24,0)</f>
        <v>0.58</v>
      </c>
      <c r="I49" s="51" t="n">
        <f aca="false">IFERROR(I41/I24,0)</f>
        <v>0.58</v>
      </c>
      <c r="J49" s="51" t="n">
        <f aca="false">IFERROR(J41/J24,0)</f>
        <v>0.57</v>
      </c>
      <c r="K49" s="51" t="n">
        <f aca="false">IFERROR(K41/K24,0)</f>
        <v>0.57</v>
      </c>
      <c r="L49" s="51" t="n">
        <f aca="false">IFERROR(L41/L24,0)</f>
        <v>0.56</v>
      </c>
    </row>
    <row r="50" customFormat="false" ht="15" hidden="false" customHeight="false" outlineLevel="0" collapsed="false">
      <c r="A50" s="11" t="s">
        <v>270</v>
      </c>
      <c r="B50" s="4" t="s">
        <v>98</v>
      </c>
      <c r="G50" s="51" t="n">
        <f aca="false">IFERROR(G42/G25,0)</f>
        <v>0.0910617283950617</v>
      </c>
      <c r="H50" s="51" t="n">
        <f aca="false">IFERROR(H42/H25,0)</f>
        <v>0.09</v>
      </c>
      <c r="I50" s="51" t="n">
        <f aca="false">IFERROR(I42/I25,0)</f>
        <v>0.09</v>
      </c>
      <c r="J50" s="51" t="n">
        <f aca="false">IFERROR(J42/J25,0)</f>
        <v>0.09</v>
      </c>
      <c r="K50" s="51" t="n">
        <f aca="false">IFERROR(K42/K25,0)</f>
        <v>0.09</v>
      </c>
      <c r="L50" s="51" t="n">
        <f aca="false">IFERROR(L42/L25,0)</f>
        <v>0.09</v>
      </c>
    </row>
    <row r="51" customFormat="false" ht="15" hidden="false" customHeight="false" outlineLevel="0" collapsed="false">
      <c r="A51" s="11" t="s">
        <v>271</v>
      </c>
      <c r="B51" s="4" t="s">
        <v>98</v>
      </c>
      <c r="G51" s="51" t="n">
        <f aca="false">IFERROR(G43/G26,0)</f>
        <v>0.795643078698694</v>
      </c>
      <c r="H51" s="51" t="n">
        <f aca="false">IFERROR(H43/H26,0)</f>
        <v>0.45</v>
      </c>
      <c r="I51" s="51" t="n">
        <f aca="false">IFERROR(I43/I26,0)</f>
        <v>0.45</v>
      </c>
      <c r="J51" s="51" t="n">
        <f aca="false">IFERROR(J43/J26,0)</f>
        <v>0.45</v>
      </c>
      <c r="K51" s="51" t="n">
        <f aca="false">IFERROR(K43/K26,0)</f>
        <v>0.45</v>
      </c>
      <c r="L51" s="51" t="n">
        <f aca="false">IFERROR(L43/L26,0)</f>
        <v>0.45</v>
      </c>
    </row>
    <row r="52" customFormat="false" ht="15" hidden="false" customHeight="false" outlineLevel="0" collapsed="false">
      <c r="A52" s="11" t="s">
        <v>272</v>
      </c>
      <c r="B52" s="4" t="s">
        <v>98</v>
      </c>
      <c r="G52" s="51" t="n">
        <f aca="false">IFERROR(G44/G27,0)</f>
        <v>0.421375883186265</v>
      </c>
      <c r="H52" s="51" t="n">
        <f aca="false">IFERROR(H44/H27,0)</f>
        <v>0.43987580226556</v>
      </c>
      <c r="I52" s="51" t="n">
        <f aca="false">IFERROR(I44/I27,0)</f>
        <v>0.44668385580564</v>
      </c>
      <c r="J52" s="51" t="n">
        <f aca="false">IFERROR(J44/J27,0)</f>
        <v>0.440820979819222</v>
      </c>
      <c r="K52" s="51" t="n">
        <f aca="false">IFERROR(K44/K27,0)</f>
        <v>0.432777908371315</v>
      </c>
      <c r="L52" s="51" t="n">
        <f aca="false">IFERROR(L44/L27,0)</f>
        <v>0.428478286845882</v>
      </c>
    </row>
    <row r="54" customFormat="false" ht="15" hidden="false" customHeight="false" outlineLevel="0" collapsed="false">
      <c r="A54" s="45" t="s">
        <v>273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customFormat="false" ht="15" hidden="false" customHeight="false" outlineLevel="0" collapsed="false">
      <c r="A55" s="4" t="s">
        <v>274</v>
      </c>
      <c r="H55" s="10" t="n">
        <f aca="false">历史利润表!K6</f>
        <v>6423.3318</v>
      </c>
    </row>
    <row r="56" customFormat="false" ht="15" hidden="false" customHeight="false" outlineLevel="0" collapsed="false">
      <c r="A56" s="4" t="s">
        <v>275</v>
      </c>
      <c r="H56" s="48" t="n">
        <f aca="false">H27-H55</f>
        <v>7291.76003333334</v>
      </c>
    </row>
    <row r="57" customFormat="false" ht="15" hidden="false" customHeight="false" outlineLevel="0" collapsed="false">
      <c r="A57" s="4" t="s">
        <v>276</v>
      </c>
      <c r="H57" s="52" t="n">
        <f aca="false">IFERROR(H56/H55,0)</f>
        <v>1.13519903071695</v>
      </c>
    </row>
    <row r="58" customFormat="false" ht="15" hidden="false" customHeight="false" outlineLevel="0" collapsed="false">
      <c r="A58" s="4" t="s">
        <v>277</v>
      </c>
      <c r="H58" s="10" t="n">
        <f aca="false">季度数据!L5*2</f>
        <v>7484.6768</v>
      </c>
    </row>
    <row r="59" customFormat="false" ht="15" hidden="false" customHeight="false" outlineLevel="0" collapsed="false">
      <c r="A59" s="11" t="s">
        <v>278</v>
      </c>
      <c r="H59" s="53" t="n">
        <f aca="false">IFERROR((历史利润表!I6-历史利润表!J6)/历史利润表!J6,0)</f>
        <v>1.17102886088542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12" min="3" style="0" width="12"/>
  </cols>
  <sheetData>
    <row r="1" customFormat="false" ht="17.35" hidden="false" customHeight="false" outlineLevel="0" collapsed="false">
      <c r="A1" s="1" t="s">
        <v>279</v>
      </c>
    </row>
    <row r="2" customFormat="false" ht="15" hidden="false" customHeight="false" outlineLevel="0" collapsed="false">
      <c r="A2" s="24" t="s">
        <v>280</v>
      </c>
    </row>
    <row r="4" customFormat="false" ht="15" hidden="false" customHeight="false" outlineLevel="0" collapsed="false">
      <c r="A4" s="7" t="s">
        <v>225</v>
      </c>
      <c r="B4" s="34" t="s">
        <v>281</v>
      </c>
      <c r="C4" s="8" t="s">
        <v>92</v>
      </c>
      <c r="D4" s="8" t="s">
        <v>93</v>
      </c>
      <c r="E4" s="8" t="s">
        <v>94</v>
      </c>
      <c r="F4" s="8" t="s">
        <v>95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</row>
    <row r="5" customFormat="false" ht="15" hidden="false" customHeight="false" outlineLevel="0" collapsed="false">
      <c r="A5" s="5" t="s">
        <v>282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15" hidden="false" customHeight="false" outlineLevel="0" collapsed="false">
      <c r="A6" s="9" t="s">
        <v>16</v>
      </c>
      <c r="C6" s="21" t="n">
        <f aca="false">N(历史利润表!E6)</f>
        <v>6218.042</v>
      </c>
      <c r="D6" s="21" t="n">
        <f aca="false">N(历史利润表!F6)</f>
        <v>5149.3869</v>
      </c>
      <c r="E6" s="21" t="n">
        <f aca="false">N(历史利润表!G6)</f>
        <v>5726.6885</v>
      </c>
      <c r="F6" s="21" t="n">
        <f aca="false">N(历史利润表!H6)</f>
        <v>7374.9908</v>
      </c>
      <c r="G6" s="21" t="n">
        <f aca="false">N(历史利润表!I6)</f>
        <v>9007.1539</v>
      </c>
      <c r="H6" s="54" t="n">
        <f aca="false">分部预测!H27</f>
        <v>13715.0918333333</v>
      </c>
      <c r="I6" s="54" t="n">
        <f aca="false">分部预测!I27</f>
        <v>17294.0437966667</v>
      </c>
      <c r="J6" s="54" t="n">
        <f aca="false">分部预测!J27</f>
        <v>19666.7274691538</v>
      </c>
      <c r="K6" s="54" t="n">
        <f aca="false">分部预测!K27</f>
        <v>21594.73968474</v>
      </c>
      <c r="L6" s="54" t="n">
        <f aca="false">分部预测!L27</f>
        <v>23011.8333185098</v>
      </c>
    </row>
    <row r="7" customFormat="false" ht="15" hidden="false" customHeight="false" outlineLevel="0" collapsed="false">
      <c r="A7" s="11" t="s">
        <v>283</v>
      </c>
      <c r="D7" s="51" t="n">
        <f aca="false">IFERROR(D6/C6-1,0)</f>
        <v>-0.171863602722529</v>
      </c>
      <c r="E7" s="51" t="n">
        <f aca="false">IFERROR(E6/D6-1,0)</f>
        <v>0.112110744679138</v>
      </c>
      <c r="F7" s="51" t="n">
        <f aca="false">IFERROR(F6/E6-1,0)</f>
        <v>0.287828175043919</v>
      </c>
      <c r="G7" s="51" t="n">
        <f aca="false">IFERROR(G6/F6-1,0)</f>
        <v>0.221310526922962</v>
      </c>
      <c r="H7" s="55" t="n">
        <f aca="false">IFERROR(H6/G6-1,0)</f>
        <v>0.522688741149781</v>
      </c>
      <c r="I7" s="55" t="n">
        <f aca="false">IFERROR(I6/H6-1,0)</f>
        <v>0.260949908817599</v>
      </c>
      <c r="J7" s="55" t="n">
        <f aca="false">IFERROR(J6/I6-1,0)</f>
        <v>0.137196580532802</v>
      </c>
      <c r="K7" s="55" t="n">
        <f aca="false">IFERROR(K6/J6-1,0)</f>
        <v>0.0980342163489139</v>
      </c>
      <c r="L7" s="55" t="n">
        <f aca="false">IFERROR(L6/K6-1,0)</f>
        <v>0.0656221679194968</v>
      </c>
    </row>
    <row r="8" customFormat="false" ht="15" hidden="false" customHeight="false" outlineLevel="0" collapsed="false">
      <c r="A8" s="11" t="s">
        <v>284</v>
      </c>
      <c r="C8" s="10" t="n">
        <f aca="false">N(历史利润表!E8)</f>
        <v>3186.5095</v>
      </c>
      <c r="D8" s="10" t="n">
        <f aca="false">N(历史利润表!F8)</f>
        <v>2878.3209</v>
      </c>
      <c r="E8" s="10" t="n">
        <f aca="false">N(历史利润表!G8)</f>
        <v>3445.5299</v>
      </c>
      <c r="F8" s="10" t="n">
        <f aca="false">N(历史利润表!H8)</f>
        <v>4204.8637</v>
      </c>
      <c r="G8" s="10" t="n">
        <f aca="false">N(历史利润表!I8)</f>
        <v>5211.7617</v>
      </c>
      <c r="H8" s="56" t="n">
        <f aca="false">H6-分部预测!H44</f>
        <v>7682.15481</v>
      </c>
      <c r="I8" s="56" t="n">
        <f aca="false">I6-分部预测!I44</f>
        <v>9569.0736311</v>
      </c>
      <c r="J8" s="56" t="n">
        <f aca="false">J6-分部预测!J44</f>
        <v>10997.2213963638</v>
      </c>
      <c r="K8" s="56" t="n">
        <f aca="false">K6-分部预测!K44</f>
        <v>12249.0134121552</v>
      </c>
      <c r="L8" s="56" t="n">
        <f aca="false">L6-分部预测!L44</f>
        <v>13151.7624010118</v>
      </c>
    </row>
    <row r="9" customFormat="false" ht="15" hidden="false" customHeight="false" outlineLevel="0" collapsed="false">
      <c r="A9" s="9" t="s">
        <v>285</v>
      </c>
      <c r="C9" s="50" t="n">
        <f aca="false">C6-C8</f>
        <v>3031.5325</v>
      </c>
      <c r="D9" s="50" t="n">
        <f aca="false">D6-D8</f>
        <v>2271.066</v>
      </c>
      <c r="E9" s="50" t="n">
        <f aca="false">E6-E8</f>
        <v>2281.1586</v>
      </c>
      <c r="F9" s="50" t="n">
        <f aca="false">F6-F8</f>
        <v>3170.1271</v>
      </c>
      <c r="G9" s="50" t="n">
        <f aca="false">G6-G8</f>
        <v>3795.3922</v>
      </c>
      <c r="H9" s="57" t="n">
        <f aca="false">H6-H8</f>
        <v>6032.93702333333</v>
      </c>
      <c r="I9" s="57" t="n">
        <f aca="false">I6-I8</f>
        <v>7724.97016556667</v>
      </c>
      <c r="J9" s="57" t="n">
        <f aca="false">J6-J8</f>
        <v>8669.50607279</v>
      </c>
      <c r="K9" s="57" t="n">
        <f aca="false">K6-K8</f>
        <v>9345.7262725848</v>
      </c>
      <c r="L9" s="57" t="n">
        <f aca="false">L6-L8</f>
        <v>9860.07091749807</v>
      </c>
    </row>
    <row r="10" customFormat="false" ht="15" hidden="false" customHeight="false" outlineLevel="0" collapsed="false">
      <c r="A10" s="11" t="s">
        <v>286</v>
      </c>
      <c r="C10" s="51" t="n">
        <f aca="false">IFERROR(C9/C6,0)</f>
        <v>0.487538118912674</v>
      </c>
      <c r="D10" s="51" t="n">
        <f aca="false">IFERROR(D9/D6,0)</f>
        <v>0.441036194037003</v>
      </c>
      <c r="E10" s="51" t="n">
        <f aca="false">IFERROR(E9/E6,0)</f>
        <v>0.39833816698778</v>
      </c>
      <c r="F10" s="51" t="n">
        <f aca="false">IFERROR(F9/F6,0)</f>
        <v>0.429848278590395</v>
      </c>
      <c r="G10" s="51" t="n">
        <f aca="false">IFERROR(G9/G6,0)</f>
        <v>0.421375302580319</v>
      </c>
      <c r="H10" s="55" t="n">
        <f aca="false">IFERROR(H9/H6,0)</f>
        <v>0.43987580226556</v>
      </c>
      <c r="I10" s="55" t="n">
        <f aca="false">IFERROR(I9/I6,0)</f>
        <v>0.44668385580564</v>
      </c>
      <c r="J10" s="55" t="n">
        <f aca="false">IFERROR(J9/J6,0)</f>
        <v>0.440820979819222</v>
      </c>
      <c r="K10" s="55" t="n">
        <f aca="false">IFERROR(K9/K6,0)</f>
        <v>0.432777908371315</v>
      </c>
      <c r="L10" s="55" t="n">
        <f aca="false">IFERROR(L9/L6,0)</f>
        <v>0.428478286845882</v>
      </c>
    </row>
    <row r="11" customFormat="false" ht="15" hidden="false" customHeight="false" outlineLevel="0" collapsed="false">
      <c r="A11" s="11" t="s">
        <v>287</v>
      </c>
      <c r="C11" s="10" t="n">
        <f aca="false">N(历史利润表!E9)</f>
        <v>58.7828</v>
      </c>
      <c r="D11" s="10" t="n">
        <f aca="false">N(历史利润表!F9)</f>
        <v>63.2677</v>
      </c>
      <c r="E11" s="10" t="n">
        <f aca="false">N(历史利润表!G9)</f>
        <v>84.2832</v>
      </c>
      <c r="F11" s="10" t="n">
        <f aca="false">N(历史利润表!H9)</f>
        <v>79.1745</v>
      </c>
      <c r="G11" s="10" t="n">
        <f aca="false">N(历史利润表!I9)</f>
        <v>107.7827</v>
      </c>
      <c r="H11" s="56" t="n">
        <f aca="false">H6*假设!H98</f>
        <v>137.150918333333</v>
      </c>
      <c r="I11" s="56" t="n">
        <f aca="false">I6*假设!I98</f>
        <v>172.940437966667</v>
      </c>
      <c r="J11" s="56" t="n">
        <f aca="false">J6*假设!J98</f>
        <v>196.667274691539</v>
      </c>
      <c r="K11" s="56" t="n">
        <f aca="false">K6*假设!K98</f>
        <v>215.9473968474</v>
      </c>
      <c r="L11" s="56" t="n">
        <f aca="false">L6*假设!L98</f>
        <v>230.118333185098</v>
      </c>
    </row>
    <row r="12" customFormat="false" ht="15" hidden="false" customHeight="false" outlineLevel="0" collapsed="false">
      <c r="A12" s="11" t="s">
        <v>288</v>
      </c>
      <c r="C12" s="10" t="n">
        <f aca="false">N(历史利润表!E10)</f>
        <v>51.3154</v>
      </c>
      <c r="D12" s="10" t="n">
        <f aca="false">N(历史利润表!F10)</f>
        <v>57.308</v>
      </c>
      <c r="E12" s="10" t="n">
        <f aca="false">N(历史利润表!G10)</f>
        <v>74.3431</v>
      </c>
      <c r="F12" s="10" t="n">
        <f aca="false">N(历史利润表!H10)</f>
        <v>79.3918</v>
      </c>
      <c r="G12" s="10" t="n">
        <f aca="false">N(历史利润表!I10)</f>
        <v>93.1993</v>
      </c>
      <c r="H12" s="56" t="n">
        <f aca="false">H6*假设!H99</f>
        <v>109.720734666667</v>
      </c>
      <c r="I12" s="56" t="n">
        <f aca="false">I6*假设!I99</f>
        <v>138.352350373333</v>
      </c>
      <c r="J12" s="56" t="n">
        <f aca="false">J6*假设!J99</f>
        <v>157.333819753231</v>
      </c>
      <c r="K12" s="56" t="n">
        <f aca="false">K6*假设!K99</f>
        <v>172.75791747792</v>
      </c>
      <c r="L12" s="56" t="n">
        <f aca="false">L6*假设!L99</f>
        <v>184.094666548079</v>
      </c>
    </row>
    <row r="13" customFormat="false" ht="15" hidden="false" customHeight="false" outlineLevel="0" collapsed="false">
      <c r="A13" s="11" t="s">
        <v>289</v>
      </c>
      <c r="C13" s="10" t="n">
        <f aca="false">N(历史利润表!E11)</f>
        <v>453.2391</v>
      </c>
      <c r="D13" s="10" t="n">
        <f aca="false">N(历史利润表!F11)</f>
        <v>479.3491</v>
      </c>
      <c r="E13" s="10" t="n">
        <f aca="false">N(历史利润表!G11)</f>
        <v>429.4141</v>
      </c>
      <c r="F13" s="10" t="n">
        <f aca="false">N(历史利润表!H11)</f>
        <v>409.8445</v>
      </c>
      <c r="G13" s="10" t="n">
        <f aca="false">N(历史利润表!I11)</f>
        <v>480.9502</v>
      </c>
      <c r="H13" s="56" t="n">
        <f aca="false">H6*假设!H100</f>
        <v>589.748948833333</v>
      </c>
      <c r="I13" s="56" t="n">
        <f aca="false">I6*假设!I100</f>
        <v>726.34983946</v>
      </c>
      <c r="J13" s="56" t="n">
        <f aca="false">J6*假设!J100</f>
        <v>826.002553704462</v>
      </c>
      <c r="K13" s="56" t="n">
        <f aca="false">K6*假设!K100</f>
        <v>885.38432707434</v>
      </c>
      <c r="L13" s="56" t="n">
        <f aca="false">L6*假设!L100</f>
        <v>943.485166058903</v>
      </c>
    </row>
    <row r="14" customFormat="false" ht="15" hidden="false" customHeight="false" outlineLevel="0" collapsed="false">
      <c r="A14" s="11" t="s">
        <v>290</v>
      </c>
      <c r="C14" s="10" t="n">
        <f aca="false">N(历史利润表!E12)</f>
        <v>418.5388</v>
      </c>
      <c r="D14" s="10" t="n">
        <f aca="false">N(历史利润表!F12)</f>
        <v>452.1724</v>
      </c>
      <c r="E14" s="10" t="n">
        <f aca="false">N(历史利润表!G12)</f>
        <v>545.8062</v>
      </c>
      <c r="F14" s="10" t="n">
        <f aca="false">N(历史利润表!H12)</f>
        <v>583.0724</v>
      </c>
      <c r="G14" s="10" t="n">
        <f aca="false">N(历史利润表!I12)</f>
        <v>653.4367</v>
      </c>
      <c r="H14" s="56" t="n">
        <f aca="false">H6*假设!H101</f>
        <v>768.045142666667</v>
      </c>
      <c r="I14" s="56" t="n">
        <f aca="false">I6*假设!I101</f>
        <v>968.466452613333</v>
      </c>
      <c r="J14" s="56" t="n">
        <f aca="false">J6*假设!J101</f>
        <v>1121.00346574177</v>
      </c>
      <c r="K14" s="56" t="n">
        <f aca="false">K6*假设!K101</f>
        <v>1252.49490171492</v>
      </c>
      <c r="L14" s="56" t="n">
        <f aca="false">L6*假设!L101</f>
        <v>1334.68633247357</v>
      </c>
    </row>
    <row r="15" customFormat="false" ht="15" hidden="false" customHeight="false" outlineLevel="0" collapsed="false">
      <c r="A15" s="11" t="s">
        <v>291</v>
      </c>
      <c r="C15" s="10" t="n">
        <f aca="false">N(历史利润表!E13)</f>
        <v>-96.1326</v>
      </c>
      <c r="D15" s="10" t="n">
        <f aca="false">N(历史利润表!F13)</f>
        <v>-174.2752</v>
      </c>
      <c r="E15" s="10" t="n">
        <f aca="false">N(历史利润表!G13)</f>
        <v>-161.5113</v>
      </c>
      <c r="F15" s="10" t="n">
        <f aca="false">N(历史利润表!H13)</f>
        <v>-172.5019</v>
      </c>
      <c r="G15" s="10" t="n">
        <f aca="false">N(历史利润表!I13)</f>
        <v>-127.772</v>
      </c>
      <c r="H15" s="58" t="n">
        <f aca="false">H17-H16</f>
        <v>-176.8545108</v>
      </c>
      <c r="I15" s="58" t="n">
        <f aca="false">I17-I16</f>
        <v>-290.102749270836</v>
      </c>
      <c r="J15" s="58" t="n">
        <f aca="false">J17-J16</f>
        <v>-298.565575251103</v>
      </c>
      <c r="K15" s="58" t="n">
        <f aca="false">K17-K16</f>
        <v>-324.331868634117</v>
      </c>
      <c r="L15" s="58" t="n">
        <f aca="false">L17-L16</f>
        <v>-383.434506531032</v>
      </c>
    </row>
    <row r="16" customFormat="false" ht="15" hidden="false" customHeight="false" outlineLevel="0" collapsed="false">
      <c r="A16" s="11" t="s">
        <v>292</v>
      </c>
      <c r="C16" s="10" t="n">
        <f aca="false">N(历史利润表!E15)</f>
        <v>103.223</v>
      </c>
      <c r="D16" s="10" t="n">
        <f aca="false">N(历史利润表!F15)</f>
        <v>154.5883</v>
      </c>
      <c r="E16" s="10" t="n">
        <f aca="false">N(历史利润表!G15)</f>
        <v>174.943</v>
      </c>
      <c r="F16" s="10" t="n">
        <f aca="false">N(历史利润表!H15)</f>
        <v>203.5985</v>
      </c>
      <c r="G16" s="10" t="n">
        <f aca="false">N(历史利润表!I15)</f>
        <v>196.88</v>
      </c>
      <c r="H16" s="56" t="n">
        <f aca="false">(G41+G52)*假设!H105</f>
        <v>196.7218198</v>
      </c>
      <c r="I16" s="56" t="n">
        <f aca="false">(H41+H52)*假设!I105</f>
        <v>309.970058270836</v>
      </c>
      <c r="J16" s="56" t="n">
        <f aca="false">(I41+I52)*假设!J105</f>
        <v>318.432884251103</v>
      </c>
      <c r="K16" s="56" t="n">
        <f aca="false">(J41+J52)*假设!K105</f>
        <v>344.199177634117</v>
      </c>
      <c r="L16" s="56" t="n">
        <f aca="false">(K41+K52)*假设!L105</f>
        <v>403.301815531032</v>
      </c>
    </row>
    <row r="17" customFormat="false" ht="15" hidden="false" customHeight="false" outlineLevel="0" collapsed="false">
      <c r="A17" s="11" t="s">
        <v>293</v>
      </c>
      <c r="C17" s="10" t="n">
        <f aca="false">N(历史利润表!E14)</f>
        <v>5.6211</v>
      </c>
      <c r="D17" s="10" t="n">
        <f aca="false">N(历史利润表!F14)</f>
        <v>8.8993</v>
      </c>
      <c r="E17" s="10" t="n">
        <f aca="false">N(历史利润表!G14)</f>
        <v>22.4881</v>
      </c>
      <c r="F17" s="10" t="n">
        <f aca="false">N(历史利润表!H14)</f>
        <v>27.7001</v>
      </c>
      <c r="G17" s="10" t="n">
        <f aca="false">N(历史利润表!I14)</f>
        <v>20.396</v>
      </c>
      <c r="H17" s="56" t="n">
        <f aca="false">G55*假设!H106</f>
        <v>19.867309</v>
      </c>
      <c r="I17" s="56" t="n">
        <f aca="false">H55*假设!I106</f>
        <v>19.867309</v>
      </c>
      <c r="J17" s="56" t="n">
        <f aca="false">I55*假设!J106</f>
        <v>19.867309</v>
      </c>
      <c r="K17" s="56" t="n">
        <f aca="false">J55*假设!K106</f>
        <v>19.867309</v>
      </c>
      <c r="L17" s="56" t="n">
        <f aca="false">K55*假设!L106</f>
        <v>19.867309</v>
      </c>
    </row>
    <row r="18" customFormat="false" ht="15" hidden="false" customHeight="false" outlineLevel="0" collapsed="false">
      <c r="A18" s="11" t="s">
        <v>294</v>
      </c>
      <c r="C18" s="10" t="n">
        <f aca="false">N(历史利润表!E16)</f>
        <v>136.3169</v>
      </c>
      <c r="D18" s="10" t="n">
        <f aca="false">N(历史利润表!F16)</f>
        <v>218.1716</v>
      </c>
      <c r="E18" s="10" t="n">
        <f aca="false">N(历史利润表!G16)</f>
        <v>348.6995</v>
      </c>
      <c r="F18" s="10" t="n">
        <f aca="false">N(历史利润表!H16)</f>
        <v>305.0967</v>
      </c>
      <c r="G18" s="10" t="n">
        <f aca="false">N(历史利润表!I16)</f>
        <v>390.1677</v>
      </c>
      <c r="H18" s="56" t="n">
        <f aca="false">H6*假设!H102</f>
        <v>301.732020333333</v>
      </c>
      <c r="I18" s="56" t="n">
        <f aca="false">I6*假设!I102</f>
        <v>345.880875933333</v>
      </c>
      <c r="J18" s="56" t="n">
        <f aca="false">J6*假设!J102</f>
        <v>354.001094444769</v>
      </c>
      <c r="K18" s="56" t="n">
        <f aca="false">K6*假设!K102</f>
        <v>345.51583495584</v>
      </c>
      <c r="L18" s="56" t="n">
        <f aca="false">L6*假设!L102</f>
        <v>345.177499777647</v>
      </c>
    </row>
    <row r="19" customFormat="false" ht="15" hidden="false" customHeight="false" outlineLevel="0" collapsed="false">
      <c r="A19" s="11" t="s">
        <v>295</v>
      </c>
      <c r="C19" s="10" t="n">
        <f aca="false">N(历史利润表!E17)+N(历史利润表!E19)</f>
        <v>74.986</v>
      </c>
      <c r="D19" s="10" t="n">
        <f aca="false">N(历史利润表!F17)+N(历史利润表!F19)</f>
        <v>117.738</v>
      </c>
      <c r="E19" s="10" t="n">
        <f aca="false">N(历史利润表!G17)+N(历史利润表!G19)</f>
        <v>111.5562</v>
      </c>
      <c r="F19" s="10" t="n">
        <f aca="false">N(历史利润表!H17)+N(历史利润表!H19)</f>
        <v>66.8886</v>
      </c>
      <c r="G19" s="10" t="n">
        <f aca="false">N(历史利润表!I17)+N(历史利润表!I19)</f>
        <v>72.1716</v>
      </c>
      <c r="H19" s="56" t="n">
        <f aca="false">G42*假设!H104</f>
        <v>60.1361856</v>
      </c>
      <c r="I19" s="56" t="n">
        <f aca="false">H42*假设!I104</f>
        <v>60.1361856</v>
      </c>
      <c r="J19" s="56" t="n">
        <f aca="false">I42*假设!J104</f>
        <v>60.1361856</v>
      </c>
      <c r="K19" s="56" t="n">
        <f aca="false">J42*假设!K104</f>
        <v>60.1361856</v>
      </c>
      <c r="L19" s="56" t="n">
        <f aca="false">K42*假设!L104</f>
        <v>60.1361856</v>
      </c>
    </row>
    <row r="20" customFormat="false" ht="15" hidden="false" customHeight="false" outlineLevel="0" collapsed="false">
      <c r="A20" s="11" t="s">
        <v>296</v>
      </c>
      <c r="C20" s="10" t="n">
        <f aca="false">N(历史利润表!E20)+N(历史利润表!E21)</f>
        <v>-58.719</v>
      </c>
      <c r="D20" s="10" t="n">
        <f aca="false">N(历史利润表!F20)+N(历史利润表!F21)</f>
        <v>-66.4599</v>
      </c>
      <c r="E20" s="10" t="n">
        <f aca="false">N(历史利润表!G20)+N(历史利润表!G21)</f>
        <v>6.6362</v>
      </c>
      <c r="F20" s="10" t="n">
        <f aca="false">N(历史利润表!H20)+N(历史利润表!H21)</f>
        <v>-39.0838</v>
      </c>
      <c r="G20" s="10" t="n">
        <f aca="false">N(历史利润表!I20)+N(历史利润表!I21)</f>
        <v>-42.0392</v>
      </c>
      <c r="H20" s="56" t="n">
        <f aca="false">-H6*假设!H103</f>
        <v>-137.150918333333</v>
      </c>
      <c r="I20" s="56" t="n">
        <f aca="false">-I6*假设!I103</f>
        <v>-138.352350373333</v>
      </c>
      <c r="J20" s="56" t="n">
        <f aca="false">-J6*假设!J103</f>
        <v>-157.333819753231</v>
      </c>
      <c r="K20" s="56" t="n">
        <f aca="false">-K6*假设!K103</f>
        <v>-172.75791747792</v>
      </c>
      <c r="L20" s="56" t="n">
        <f aca="false">-L6*假设!L103</f>
        <v>-184.094666548079</v>
      </c>
    </row>
    <row r="21" customFormat="false" ht="15" hidden="false" customHeight="false" outlineLevel="0" collapsed="false">
      <c r="A21" s="11" t="s">
        <v>297</v>
      </c>
      <c r="C21" s="10" t="n">
        <f aca="false">N(历史利润表!E22)</f>
        <v>-3.8453</v>
      </c>
      <c r="D21" s="10" t="n">
        <f aca="false">N(历史利润表!F22)</f>
        <v>-1.2666</v>
      </c>
      <c r="E21" s="10" t="n">
        <f aca="false">N(历史利润表!G22)</f>
        <v>1.9312</v>
      </c>
      <c r="F21" s="10" t="n">
        <f aca="false">N(历史利润表!H22)</f>
        <v>-1.3421</v>
      </c>
      <c r="G21" s="10" t="n">
        <f aca="false">N(历史利润表!I22)</f>
        <v>0.3699</v>
      </c>
      <c r="H21" s="58" t="n">
        <f aca="false">0</f>
        <v>0</v>
      </c>
      <c r="I21" s="58" t="n">
        <f aca="false">0</f>
        <v>0</v>
      </c>
      <c r="J21" s="58" t="n">
        <f aca="false">0</f>
        <v>0</v>
      </c>
      <c r="K21" s="58" t="n">
        <f aca="false">0</f>
        <v>0</v>
      </c>
      <c r="L21" s="58" t="n">
        <f aca="false">0</f>
        <v>0</v>
      </c>
    </row>
    <row r="22" customFormat="false" ht="15" hidden="false" customHeight="false" outlineLevel="0" collapsed="false">
      <c r="A22" s="9" t="s">
        <v>298</v>
      </c>
      <c r="C22" s="50" t="n">
        <f aca="false">C9-C11-C12-C13-C14-C15+C18+C19+C20+C21</f>
        <v>2294.5276</v>
      </c>
      <c r="D22" s="50" t="n">
        <f aca="false">D9-D11-D12-D13-D14-D15+D18+D19+D20+D21</f>
        <v>1661.4271</v>
      </c>
      <c r="E22" s="50" t="n">
        <f aca="false">E9-E11-E12-E13-E14-E15+E18+E19+E20+E21</f>
        <v>1777.6464</v>
      </c>
      <c r="F22" s="50" t="n">
        <f aca="false">F9-F11-F12-F13-F14-F15+F18+F19+F20+F21</f>
        <v>2522.7052</v>
      </c>
      <c r="G22" s="50" t="n">
        <f aca="false">G9-G11-G12-G13-G14-G15+G18+G19+G20+G21</f>
        <v>3008.4653</v>
      </c>
      <c r="H22" s="57" t="n">
        <f aca="false">H9-H11-H12-H13-H14-H15+H18+H19+H20+H21</f>
        <v>4829.84307723333</v>
      </c>
      <c r="I22" s="57" t="n">
        <f aca="false">I9-I11-I12-I13-I14-I15+I18+I19+I20+I21</f>
        <v>6276.62854558417</v>
      </c>
      <c r="J22" s="57" t="n">
        <f aca="false">J9-J11-J12-J13-J14-J15+J18+J19+J20+J21</f>
        <v>6923.86799444164</v>
      </c>
      <c r="K22" s="57" t="n">
        <f aca="false">K9-K11-K12-K13-K14-K15+K18+K19+K20+K21</f>
        <v>7376.36770118226</v>
      </c>
      <c r="L22" s="57" t="n">
        <f aca="false">L9-L11-L12-L13-L14-L15+L18+L19+L20+L21</f>
        <v>7772.33994459302</v>
      </c>
    </row>
    <row r="23" customFormat="false" ht="15" hidden="false" customHeight="false" outlineLevel="0" collapsed="false">
      <c r="A23" s="11" t="s">
        <v>299</v>
      </c>
      <c r="C23" s="10" t="n">
        <f aca="false">历史利润表!E24-历史利润表!E25</f>
        <v>9.0005</v>
      </c>
      <c r="D23" s="10" t="n">
        <f aca="false">历史利润表!F24-历史利润表!F25</f>
        <v>4.8907</v>
      </c>
      <c r="E23" s="10" t="n">
        <f aca="false">历史利润表!G24-历史利润表!G25</f>
        <v>5.201</v>
      </c>
      <c r="F23" s="10" t="n">
        <f aca="false">历史利润表!H24-历史利润表!H25</f>
        <v>-3.7615</v>
      </c>
      <c r="G23" s="10" t="n">
        <f aca="false">历史利润表!I24-历史利润表!I25</f>
        <v>-0.289200000000001</v>
      </c>
      <c r="H23" s="58" t="n">
        <f aca="false">0</f>
        <v>0</v>
      </c>
      <c r="I23" s="58" t="n">
        <f aca="false">0</f>
        <v>0</v>
      </c>
      <c r="J23" s="58" t="n">
        <f aca="false">0</f>
        <v>0</v>
      </c>
      <c r="K23" s="58" t="n">
        <f aca="false">0</f>
        <v>0</v>
      </c>
      <c r="L23" s="58" t="n">
        <f aca="false">0</f>
        <v>0</v>
      </c>
    </row>
    <row r="24" customFormat="false" ht="15" hidden="false" customHeight="false" outlineLevel="0" collapsed="false">
      <c r="A24" s="9" t="s">
        <v>300</v>
      </c>
      <c r="C24" s="50" t="n">
        <f aca="false">C22+C23</f>
        <v>2303.5281</v>
      </c>
      <c r="D24" s="50" t="n">
        <f aca="false">D22+D23</f>
        <v>1666.3178</v>
      </c>
      <c r="E24" s="50" t="n">
        <f aca="false">E22+E23</f>
        <v>1782.8474</v>
      </c>
      <c r="F24" s="50" t="n">
        <f aca="false">F22+F23</f>
        <v>2518.9437</v>
      </c>
      <c r="G24" s="50" t="n">
        <f aca="false">G22+G23</f>
        <v>3008.1761</v>
      </c>
      <c r="H24" s="57" t="n">
        <f aca="false">H22+H23</f>
        <v>4829.84307723333</v>
      </c>
      <c r="I24" s="57" t="n">
        <f aca="false">I22+I23</f>
        <v>6276.62854558417</v>
      </c>
      <c r="J24" s="57" t="n">
        <f aca="false">J22+J23</f>
        <v>6923.86799444164</v>
      </c>
      <c r="K24" s="57" t="n">
        <f aca="false">K22+K23</f>
        <v>7376.36770118226</v>
      </c>
      <c r="L24" s="57" t="n">
        <f aca="false">L22+L23</f>
        <v>7772.33994459302</v>
      </c>
    </row>
    <row r="25" customFormat="false" ht="15" hidden="false" customHeight="false" outlineLevel="0" collapsed="false">
      <c r="A25" s="11" t="s">
        <v>301</v>
      </c>
      <c r="C25" s="10" t="n">
        <f aca="false">N(历史利润表!E27)</f>
        <v>290.216</v>
      </c>
      <c r="D25" s="10" t="n">
        <f aca="false">N(历史利润表!F27)</f>
        <v>160.2146</v>
      </c>
      <c r="E25" s="10" t="n">
        <f aca="false">N(历史利润表!G27)</f>
        <v>199.697</v>
      </c>
      <c r="F25" s="10" t="n">
        <f aca="false">N(历史利润表!H27)</f>
        <v>328.7101</v>
      </c>
      <c r="G25" s="10" t="n">
        <f aca="false">N(历史利润表!I27)</f>
        <v>391.1963</v>
      </c>
      <c r="H25" s="56" t="n">
        <f aca="false">H24*假设!$C$18</f>
        <v>627.879600040333</v>
      </c>
      <c r="I25" s="56" t="n">
        <f aca="false">I24*假设!$C$18</f>
        <v>815.961710925942</v>
      </c>
      <c r="J25" s="56" t="n">
        <f aca="false">J24*假设!$C$18</f>
        <v>900.102839277413</v>
      </c>
      <c r="K25" s="56" t="n">
        <f aca="false">K24*假设!$C$18</f>
        <v>958.927801153694</v>
      </c>
      <c r="L25" s="56" t="n">
        <f aca="false">L24*假设!$C$18</f>
        <v>1010.40419279709</v>
      </c>
    </row>
    <row r="26" customFormat="false" ht="15" hidden="false" customHeight="false" outlineLevel="0" collapsed="false">
      <c r="A26" s="11" t="s">
        <v>302</v>
      </c>
      <c r="C26" s="51" t="n">
        <f aca="false">IFERROR(C25/C24,0)</f>
        <v>0.125987610049124</v>
      </c>
      <c r="D26" s="51" t="n">
        <f aca="false">IFERROR(D25/D24,0)</f>
        <v>0.0961488858847934</v>
      </c>
      <c r="E26" s="51" t="n">
        <f aca="false">IFERROR(E25/E24,0)</f>
        <v>0.112010147363145</v>
      </c>
      <c r="F26" s="51" t="n">
        <f aca="false">IFERROR(F25/F24,0)</f>
        <v>0.130495215117353</v>
      </c>
      <c r="G26" s="51" t="n">
        <f aca="false">IFERROR(G25/G24,0)</f>
        <v>0.130044348135071</v>
      </c>
      <c r="H26" s="55" t="n">
        <f aca="false">IFERROR(H25/H24,0)</f>
        <v>0.13</v>
      </c>
      <c r="I26" s="55" t="n">
        <f aca="false">IFERROR(I25/I24,0)</f>
        <v>0.13</v>
      </c>
      <c r="J26" s="55" t="n">
        <f aca="false">IFERROR(J25/J24,0)</f>
        <v>0.13</v>
      </c>
      <c r="K26" s="55" t="n">
        <f aca="false">IFERROR(K25/K24,0)</f>
        <v>0.13</v>
      </c>
      <c r="L26" s="55" t="n">
        <f aca="false">IFERROR(L25/L24,0)</f>
        <v>0.13</v>
      </c>
    </row>
    <row r="27" customFormat="false" ht="15" hidden="false" customHeight="false" outlineLevel="0" collapsed="false">
      <c r="A27" s="9" t="s">
        <v>303</v>
      </c>
      <c r="C27" s="50" t="n">
        <f aca="false">C24-C25</f>
        <v>2013.3121</v>
      </c>
      <c r="D27" s="50" t="n">
        <f aca="false">D24-D25</f>
        <v>1506.1032</v>
      </c>
      <c r="E27" s="50" t="n">
        <f aca="false">E24-E25</f>
        <v>1583.1504</v>
      </c>
      <c r="F27" s="50" t="n">
        <f aca="false">F24-F25</f>
        <v>2190.2336</v>
      </c>
      <c r="G27" s="50" t="n">
        <f aca="false">G24-G25</f>
        <v>2616.9798</v>
      </c>
      <c r="H27" s="57" t="n">
        <f aca="false">H24-H25</f>
        <v>4201.963477193</v>
      </c>
      <c r="I27" s="57" t="n">
        <f aca="false">I24-I25</f>
        <v>5460.66683465823</v>
      </c>
      <c r="J27" s="57" t="n">
        <f aca="false">J24-J25</f>
        <v>6023.76515516423</v>
      </c>
      <c r="K27" s="57" t="n">
        <f aca="false">K24-K25</f>
        <v>6417.43990002857</v>
      </c>
      <c r="L27" s="57" t="n">
        <f aca="false">L24-L25</f>
        <v>6761.93575179593</v>
      </c>
    </row>
    <row r="28" customFormat="false" ht="15" hidden="false" customHeight="false" outlineLevel="0" collapsed="false">
      <c r="A28" s="11" t="s">
        <v>304</v>
      </c>
      <c r="C28" s="10" t="n">
        <f aca="false">N(历史利润表!E30)</f>
        <v>2.5006</v>
      </c>
      <c r="D28" s="10" t="n">
        <f aca="false">N(历史利润表!F30)</f>
        <v>1.3972</v>
      </c>
      <c r="E28" s="10" t="n">
        <f aca="false">N(历史利润表!G30)</f>
        <v>2.1646</v>
      </c>
      <c r="F28" s="10" t="n">
        <f aca="false">N(历史利润表!H30)</f>
        <v>-0.2156</v>
      </c>
      <c r="G28" s="10" t="n">
        <f aca="false">N(历史利润表!I30)</f>
        <v>-1.4041</v>
      </c>
      <c r="H28" s="56" t="n">
        <f aca="false">H27*假设!$C$19</f>
        <v>0</v>
      </c>
      <c r="I28" s="56" t="n">
        <f aca="false">I27*假设!$C$19</f>
        <v>0</v>
      </c>
      <c r="J28" s="56" t="n">
        <f aca="false">J27*假设!$C$19</f>
        <v>0</v>
      </c>
      <c r="K28" s="56" t="n">
        <f aca="false">K27*假设!$C$19</f>
        <v>0</v>
      </c>
      <c r="L28" s="56" t="n">
        <f aca="false">L27*假设!$C$19</f>
        <v>0</v>
      </c>
    </row>
    <row r="29" customFormat="false" ht="15" hidden="false" customHeight="false" outlineLevel="0" collapsed="false">
      <c r="A29" s="9" t="s">
        <v>19</v>
      </c>
      <c r="C29" s="50" t="n">
        <f aca="false">C27-C28</f>
        <v>2010.8115</v>
      </c>
      <c r="D29" s="50" t="n">
        <f aca="false">D27-D28</f>
        <v>1504.706</v>
      </c>
      <c r="E29" s="50" t="n">
        <f aca="false">E27-E28</f>
        <v>1580.9858</v>
      </c>
      <c r="F29" s="50" t="n">
        <f aca="false">F27-F28</f>
        <v>2190.4492</v>
      </c>
      <c r="G29" s="50" t="n">
        <f aca="false">G27-G28</f>
        <v>2618.3839</v>
      </c>
      <c r="H29" s="57" t="n">
        <f aca="false">H27-H28</f>
        <v>4201.963477193</v>
      </c>
      <c r="I29" s="57" t="n">
        <f aca="false">I27-I28</f>
        <v>5460.66683465823</v>
      </c>
      <c r="J29" s="57" t="n">
        <f aca="false">J27-J28</f>
        <v>6023.76515516423</v>
      </c>
      <c r="K29" s="57" t="n">
        <f aca="false">K27-K28</f>
        <v>6417.43990002857</v>
      </c>
      <c r="L29" s="57" t="n">
        <f aca="false">L27-L28</f>
        <v>6761.93575179593</v>
      </c>
    </row>
    <row r="30" customFormat="false" ht="15" hidden="false" customHeight="false" outlineLevel="0" collapsed="false">
      <c r="A30" s="11" t="s">
        <v>283</v>
      </c>
      <c r="D30" s="51" t="n">
        <f aca="false">IFERROR(D29/C29-1,0)</f>
        <v>-0.251692165078626</v>
      </c>
      <c r="E30" s="51" t="n">
        <f aca="false">IFERROR(E29/D29-1,0)</f>
        <v>0.0506941555360314</v>
      </c>
      <c r="F30" s="51" t="n">
        <f aca="false">IFERROR(F29/E29-1,0)</f>
        <v>0.385495809007266</v>
      </c>
      <c r="G30" s="51" t="n">
        <f aca="false">IFERROR(G29/F29-1,0)</f>
        <v>0.195363900701281</v>
      </c>
      <c r="H30" s="55" t="n">
        <f aca="false">IFERROR(H29/G29-1,0)</f>
        <v>0.604792741504789</v>
      </c>
      <c r="I30" s="55" t="n">
        <f aca="false">IFERROR(I29/H29-1,0)</f>
        <v>0.299551237010292</v>
      </c>
      <c r="J30" s="55" t="n">
        <f aca="false">IFERROR(J29/I29-1,0)</f>
        <v>0.103118966521099</v>
      </c>
      <c r="K30" s="55" t="n">
        <f aca="false">IFERROR(K29/J29-1,0)</f>
        <v>0.0653536010657447</v>
      </c>
      <c r="L30" s="55" t="n">
        <f aca="false">IFERROR(L29/K29-1,0)</f>
        <v>0.0536811964169435</v>
      </c>
    </row>
    <row r="31" customFormat="false" ht="15" hidden="false" customHeight="false" outlineLevel="0" collapsed="false">
      <c r="A31" s="11" t="s">
        <v>305</v>
      </c>
      <c r="C31" s="51" t="n">
        <f aca="false">IFERROR(C29/C6,0)</f>
        <v>0.323383389819496</v>
      </c>
      <c r="D31" s="51" t="n">
        <f aca="false">IFERROR(D29/D6,0)</f>
        <v>0.292210709589524</v>
      </c>
      <c r="E31" s="51" t="n">
        <f aca="false">IFERROR(E29/E6,0)</f>
        <v>0.276073301350335</v>
      </c>
      <c r="F31" s="51" t="n">
        <f aca="false">IFERROR(F29/F6,0)</f>
        <v>0.297010431524877</v>
      </c>
      <c r="G31" s="51" t="n">
        <f aca="false">IFERROR(G29/G6,0)</f>
        <v>0.290700473098389</v>
      </c>
      <c r="H31" s="55" t="n">
        <f aca="false">IFERROR(H29/H6,0)</f>
        <v>0.306375161628921</v>
      </c>
      <c r="I31" s="55" t="n">
        <f aca="false">IFERROR(I29/I6,0)</f>
        <v>0.31575419253366</v>
      </c>
      <c r="J31" s="55" t="n">
        <f aca="false">IFERROR(J29/J6,0)</f>
        <v>0.306292196534078</v>
      </c>
      <c r="K31" s="55" t="n">
        <f aca="false">IFERROR(K29/K6,0)</f>
        <v>0.297176071289411</v>
      </c>
      <c r="L31" s="55" t="n">
        <f aca="false">IFERROR(L29/L6,0)</f>
        <v>0.293846025138592</v>
      </c>
    </row>
    <row r="32" customFormat="false" ht="15" hidden="false" customHeight="false" outlineLevel="0" collapsed="false">
      <c r="A32" s="13" t="s">
        <v>306</v>
      </c>
      <c r="C32" s="17" t="n">
        <f aca="false">IFERROR(C29/股本与每股!C11,0)</f>
        <v>1.0492117184334</v>
      </c>
      <c r="D32" s="17" t="n">
        <f aca="false">IFERROR(D29/股本与每股!D11,0)</f>
        <v>0.785133349395031</v>
      </c>
      <c r="E32" s="17" t="n">
        <f aca="false">IFERROR(E29/股本与每股!E11,0)</f>
        <v>0.824935021525788</v>
      </c>
      <c r="F32" s="17" t="n">
        <f aca="false">IFERROR(F29/股本与每股!F11,0)</f>
        <v>1.1429440150273</v>
      </c>
      <c r="G32" s="17" t="n">
        <f aca="false">IFERROR(G29/股本与每股!G11,0)</f>
        <v>1.36990363305402</v>
      </c>
      <c r="H32" s="59" t="n">
        <f aca="false">IFERROR(H29/股本与每股!H11,0)</f>
        <v>2.12573770032964</v>
      </c>
      <c r="I32" s="59" t="n">
        <f aca="false">IFERROR(I29/股本与每股!I11,0)</f>
        <v>2.76250505802279</v>
      </c>
      <c r="J32" s="59" t="n">
        <f aca="false">IFERROR(J29/股本与每股!J11,0)</f>
        <v>3.04737172461541</v>
      </c>
      <c r="K32" s="59" t="n">
        <f aca="false">IFERROR(K29/股本与每股!K11,0)</f>
        <v>3.24652844060496</v>
      </c>
      <c r="L32" s="59" t="n">
        <f aca="false">IFERROR(L29/股本与每股!L11,0)</f>
        <v>3.42080597149826</v>
      </c>
    </row>
    <row r="33" customFormat="false" ht="15" hidden="false" customHeight="false" outlineLevel="0" collapsed="false">
      <c r="A33" s="5" t="s">
        <v>307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false" outlineLevel="0" collapsed="false">
      <c r="A34" s="13" t="s">
        <v>308</v>
      </c>
      <c r="C34" s="50" t="n">
        <f aca="false">C22+C15-C19</f>
        <v>2123.409</v>
      </c>
      <c r="D34" s="50" t="n">
        <f aca="false">D22+D15-D19</f>
        <v>1369.4139</v>
      </c>
      <c r="E34" s="50" t="n">
        <f aca="false">E22+E15-E19</f>
        <v>1504.5789</v>
      </c>
      <c r="F34" s="50" t="n">
        <f aca="false">F22+F15-F19</f>
        <v>2283.3147</v>
      </c>
      <c r="G34" s="50" t="n">
        <f aca="false">G22+G15-G19</f>
        <v>2808.5217</v>
      </c>
      <c r="H34" s="57" t="n">
        <f aca="false">H22+H15-H19</f>
        <v>4592.85238083333</v>
      </c>
      <c r="I34" s="57" t="n">
        <f aca="false">I22+I15-I19</f>
        <v>5926.38961071334</v>
      </c>
      <c r="J34" s="57" t="n">
        <f aca="false">J22+J15-J19</f>
        <v>6565.16623359054</v>
      </c>
      <c r="K34" s="57" t="n">
        <f aca="false">K22+K15-K19</f>
        <v>6991.89964694814</v>
      </c>
      <c r="L34" s="57" t="n">
        <f aca="false">L22+L15-L19</f>
        <v>7328.76925246199</v>
      </c>
    </row>
    <row r="35" customFormat="false" ht="15" hidden="false" customHeight="false" outlineLevel="0" collapsed="false">
      <c r="A35" s="11" t="s">
        <v>309</v>
      </c>
      <c r="C35" s="10" t="n">
        <f aca="false">N(历史现金流量表!E43)+N(历史现金流量表!E44)+N(历史现金流量表!E45)+N(历史现金流量表!E46)</f>
        <v>387.5088</v>
      </c>
      <c r="D35" s="10" t="n">
        <f aca="false">N(历史现金流量表!F43)+N(历史现金流量表!F44)+N(历史现金流量表!F45)+N(历史现金流量表!F46)</f>
        <v>544.3751</v>
      </c>
      <c r="E35" s="10" t="n">
        <f aca="false">N(历史现金流量表!G43)+N(历史现金流量表!G44)+N(历史现金流量表!G45)+N(历史现金流量表!G46)</f>
        <v>609.4324</v>
      </c>
      <c r="F35" s="10" t="n">
        <f aca="false">N(历史现金流量表!H43)+N(历史现金流量表!H44)+N(历史现金流量表!H45)+N(历史现金流量表!H46)</f>
        <v>659.1195</v>
      </c>
      <c r="G35" s="10" t="n">
        <f aca="false">N(历史现金流量表!I43)+N(历史现金流量表!I44)+N(历史现金流量表!I45)+N(历史现金流量表!I46)</f>
        <v>744.1504</v>
      </c>
      <c r="H35" s="58" t="n">
        <f aca="false">H68+H69</f>
        <v>787.817248</v>
      </c>
      <c r="I35" s="58" t="n">
        <f aca="false">I68+I69</f>
        <v>907.66826448</v>
      </c>
      <c r="J35" s="58" t="n">
        <f aca="false">J68+J69</f>
        <v>1094.2364140648</v>
      </c>
      <c r="K35" s="58" t="n">
        <f aca="false">K68+K69</f>
        <v>1224.84922644735</v>
      </c>
      <c r="L35" s="58" t="n">
        <f aca="false">L68+L69</f>
        <v>1294.4415654059</v>
      </c>
    </row>
    <row r="36" customFormat="false" ht="15" hidden="false" customHeight="false" outlineLevel="0" collapsed="false">
      <c r="A36" s="13" t="s">
        <v>310</v>
      </c>
      <c r="C36" s="50" t="n">
        <f aca="false">C34+C35</f>
        <v>2510.9178</v>
      </c>
      <c r="D36" s="50" t="n">
        <f aca="false">D34+D35</f>
        <v>1913.789</v>
      </c>
      <c r="E36" s="50" t="n">
        <f aca="false">E34+E35</f>
        <v>2114.0113</v>
      </c>
      <c r="F36" s="50" t="n">
        <f aca="false">F34+F35</f>
        <v>2942.4342</v>
      </c>
      <c r="G36" s="50" t="n">
        <f aca="false">G34+G35</f>
        <v>3552.6721</v>
      </c>
      <c r="H36" s="57" t="n">
        <f aca="false">H34+H35</f>
        <v>5380.66962883333</v>
      </c>
      <c r="I36" s="57" t="n">
        <f aca="false">I34+I35</f>
        <v>6834.05787519334</v>
      </c>
      <c r="J36" s="57" t="n">
        <f aca="false">J34+J35</f>
        <v>7659.40264765534</v>
      </c>
      <c r="K36" s="57" t="n">
        <f aca="false">K34+K35</f>
        <v>8216.74887339549</v>
      </c>
      <c r="L36" s="57" t="n">
        <f aca="false">L34+L35</f>
        <v>8623.21081786789</v>
      </c>
    </row>
    <row r="37" customFormat="false" ht="15" hidden="false" customHeight="false" outlineLevel="0" collapsed="false">
      <c r="A37" s="4" t="s">
        <v>311</v>
      </c>
      <c r="C37" s="51" t="n">
        <f aca="false">IFERROR(C36/C6,0)</f>
        <v>0.403811650033885</v>
      </c>
      <c r="D37" s="51" t="n">
        <f aca="false">IFERROR(D36/D6,0)</f>
        <v>0.37165375940192</v>
      </c>
      <c r="E37" s="51" t="n">
        <f aca="false">IFERROR(E36/E6,0)</f>
        <v>0.369150740432276</v>
      </c>
      <c r="F37" s="51" t="n">
        <f aca="false">IFERROR(F36/F6,0)</f>
        <v>0.3989746265175</v>
      </c>
      <c r="G37" s="51" t="n">
        <f aca="false">IFERROR(G36/G6,0)</f>
        <v>0.394427822533375</v>
      </c>
      <c r="H37" s="55" t="n">
        <f aca="false">IFERROR(H36/H6,0)</f>
        <v>0.392317433541063</v>
      </c>
      <c r="I37" s="55" t="n">
        <f aca="false">IFERROR(I36/I6,0)</f>
        <v>0.395168299302594</v>
      </c>
      <c r="J37" s="55" t="n">
        <f aca="false">IFERROR(J36/J6,0)</f>
        <v>0.389459947501112</v>
      </c>
      <c r="K37" s="55" t="n">
        <f aca="false">IFERROR(K36/K6,0)</f>
        <v>0.380497704225714</v>
      </c>
      <c r="L37" s="55" t="n">
        <f aca="false">IFERROR(L36/L6,0)</f>
        <v>0.374729414145883</v>
      </c>
    </row>
    <row r="38" customFormat="false" ht="15" hidden="false" customHeight="false" outlineLevel="0" collapsed="false">
      <c r="A38" s="11" t="s">
        <v>312</v>
      </c>
      <c r="C38" s="51" t="n">
        <f aca="false">IFERROR((C12+C13+C14)/C6,0)</f>
        <v>0.148454014945541</v>
      </c>
      <c r="D38" s="51" t="n">
        <f aca="false">IFERROR((D12+D13+D14)/D6,0)</f>
        <v>0.192028588879193</v>
      </c>
      <c r="E38" s="51" t="n">
        <f aca="false">IFERROR((E12+E13+E14)/E6,0)</f>
        <v>0.183275797173183</v>
      </c>
      <c r="F38" s="51" t="n">
        <f aca="false">IFERROR((F12+F13+F14)/F6,0)</f>
        <v>0.145397971208317</v>
      </c>
      <c r="G38" s="51" t="n">
        <f aca="false">IFERROR((G12+G13+G14)/G6,0)</f>
        <v>0.136290132668878</v>
      </c>
      <c r="H38" s="55" t="n">
        <f aca="false">IFERROR((H12+H13+H14)/H6,0)</f>
        <v>0.107</v>
      </c>
      <c r="I38" s="55" t="n">
        <f aca="false">IFERROR((I12+I13+I14)/I6,0)</f>
        <v>0.106</v>
      </c>
      <c r="J38" s="55" t="n">
        <f aca="false">IFERROR((J12+J13+J14)/J6,0)</f>
        <v>0.107</v>
      </c>
      <c r="K38" s="55" t="n">
        <f aca="false">IFERROR((K12+K13+K14)/K6,0)</f>
        <v>0.107</v>
      </c>
      <c r="L38" s="55" t="n">
        <f aca="false">IFERROR((L12+L13+L14)/L6,0)</f>
        <v>0.107</v>
      </c>
    </row>
    <row r="39" customFormat="false" ht="15" hidden="false" customHeight="false" outlineLevel="0" collapsed="false">
      <c r="A39" s="11" t="s">
        <v>313</v>
      </c>
      <c r="C39" s="10" t="n">
        <f aca="false">C22-历史利润表!E23</f>
        <v>0</v>
      </c>
      <c r="D39" s="10" t="n">
        <f aca="false">D22-历史利润表!F23</f>
        <v>0.000100000000884393</v>
      </c>
      <c r="E39" s="10" t="n">
        <f aca="false">E22-历史利润表!G23</f>
        <v>-9.99999997475243E-005</v>
      </c>
      <c r="F39" s="10" t="n">
        <f aca="false">F22-历史利润表!H23</f>
        <v>-0.000100000000202272</v>
      </c>
      <c r="G39" s="10" t="n">
        <f aca="false">G22-历史利润表!I23</f>
        <v>-0.000300000001061562</v>
      </c>
    </row>
    <row r="40" customFormat="false" ht="15" hidden="false" customHeight="false" outlineLevel="0" collapsed="false">
      <c r="A40" s="5" t="s">
        <v>314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5" hidden="false" customHeight="false" outlineLevel="0" collapsed="false">
      <c r="A41" s="9" t="s">
        <v>315</v>
      </c>
      <c r="C41" s="21" t="n">
        <f aca="false">N(历史资产负债表!E5)</f>
        <v>5552.412</v>
      </c>
      <c r="D41" s="21" t="n">
        <f aca="false">N(历史资产负债表!F5)</f>
        <v>4509.4292</v>
      </c>
      <c r="E41" s="21" t="n">
        <f aca="false">N(历史资产负债表!G5)</f>
        <v>2841.6149</v>
      </c>
      <c r="F41" s="21" t="n">
        <f aca="false">N(历史资产负债表!H5)</f>
        <v>3062.8452</v>
      </c>
      <c r="G41" s="21" t="n">
        <f aca="false">N(历史资产负债表!I5)</f>
        <v>3057.7786</v>
      </c>
      <c r="H41" s="57" t="n">
        <f aca="false">G41+H82</f>
        <v>9614.38061354179</v>
      </c>
      <c r="I41" s="57" t="n">
        <f aca="false">H41+I82</f>
        <v>10875.5031869002</v>
      </c>
      <c r="J41" s="57" t="n">
        <f aca="false">I41+J82</f>
        <v>13238.0542352287</v>
      </c>
      <c r="K41" s="57" t="n">
        <f aca="false">J41+K82</f>
        <v>16521.5341183907</v>
      </c>
      <c r="L41" s="57" t="n">
        <f aca="false">K41+L82</f>
        <v>20671.9787442294</v>
      </c>
    </row>
    <row r="42" customFormat="false" ht="15" hidden="false" customHeight="false" outlineLevel="0" collapsed="false">
      <c r="A42" s="11" t="s">
        <v>316</v>
      </c>
      <c r="C42" s="10" t="n">
        <f aca="false">N(历史资产负债表!E6)</f>
        <v>2693.5949</v>
      </c>
      <c r="D42" s="10" t="n">
        <f aca="false">N(历史资产负债表!F6)</f>
        <v>4255.0144</v>
      </c>
      <c r="E42" s="10" t="n">
        <f aca="false">N(历史资产负债表!G6)</f>
        <v>3846.7081</v>
      </c>
      <c r="F42" s="10" t="n">
        <f aca="false">N(历史资产负债表!H6)</f>
        <v>5053.3869</v>
      </c>
      <c r="G42" s="10" t="n">
        <f aca="false">N(历史资产负债表!I6)</f>
        <v>3758.5116</v>
      </c>
      <c r="H42" s="58" t="n">
        <f aca="false">G42</f>
        <v>3758.5116</v>
      </c>
      <c r="I42" s="58" t="n">
        <f aca="false">H42</f>
        <v>3758.5116</v>
      </c>
      <c r="J42" s="58" t="n">
        <f aca="false">I42</f>
        <v>3758.5116</v>
      </c>
      <c r="K42" s="58" t="n">
        <f aca="false">J42</f>
        <v>3758.5116</v>
      </c>
      <c r="L42" s="58" t="n">
        <f aca="false">K42</f>
        <v>3758.5116</v>
      </c>
    </row>
    <row r="43" customFormat="false" ht="15" hidden="false" customHeight="false" outlineLevel="0" collapsed="false">
      <c r="A43" s="11" t="s">
        <v>317</v>
      </c>
      <c r="C43" s="10" t="n">
        <f aca="false">N(历史资产负债表!E7)+N(历史资产负债表!E10)</f>
        <v>2276.8328</v>
      </c>
      <c r="D43" s="10" t="n">
        <f aca="false">N(历史资产负债表!F7)+N(历史资产负债表!F10)</f>
        <v>1714.9956</v>
      </c>
      <c r="E43" s="10" t="n">
        <f aca="false">N(历史资产负债表!G7)+N(历史资产负债表!G10)</f>
        <v>2259.271</v>
      </c>
      <c r="F43" s="10" t="n">
        <f aca="false">N(历史资产负债表!H7)+N(历史资产负债表!H10)</f>
        <v>2686.3347</v>
      </c>
      <c r="G43" s="10" t="n">
        <f aca="false">N(历史资产负债表!I7)+N(历史资产负债表!I10)</f>
        <v>3259.9217</v>
      </c>
      <c r="H43" s="56" t="n">
        <f aca="false">H6*假设!H108/365</f>
        <v>4884.8272283105</v>
      </c>
      <c r="I43" s="56" t="n">
        <f aca="false">I6*假设!I108/365</f>
        <v>6159.52244812785</v>
      </c>
      <c r="J43" s="56" t="n">
        <f aca="false">J6*假设!J108/365</f>
        <v>6896.82497548409</v>
      </c>
      <c r="K43" s="56" t="n">
        <f aca="false">K6*假设!K108/365</f>
        <v>7572.94980725129</v>
      </c>
      <c r="L43" s="56" t="n">
        <f aca="false">L6*假设!L108/365</f>
        <v>7880.76483510611</v>
      </c>
    </row>
    <row r="44" customFormat="false" ht="15" hidden="false" customHeight="false" outlineLevel="0" collapsed="false">
      <c r="A44" s="11" t="s">
        <v>318</v>
      </c>
      <c r="C44" s="10" t="n">
        <f aca="false">N(历史资产负债表!E11)</f>
        <v>56.4665</v>
      </c>
      <c r="D44" s="10" t="n">
        <f aca="false">N(历史资产负债表!F11)</f>
        <v>22.8533</v>
      </c>
      <c r="E44" s="10" t="n">
        <f aca="false">N(历史资产负债表!G11)</f>
        <v>45.7734</v>
      </c>
      <c r="F44" s="10" t="n">
        <f aca="false">N(历史资产负债表!H11)</f>
        <v>62.2607</v>
      </c>
      <c r="G44" s="10" t="n">
        <f aca="false">N(历史资产负债表!I11)</f>
        <v>75.5091</v>
      </c>
      <c r="H44" s="56" t="n">
        <f aca="false">H6*假设!H111</f>
        <v>123.4358265</v>
      </c>
      <c r="I44" s="56" t="n">
        <f aca="false">I6*假设!I111</f>
        <v>155.64639417</v>
      </c>
      <c r="J44" s="56" t="n">
        <f aca="false">J6*假设!J111</f>
        <v>177.000547222385</v>
      </c>
      <c r="K44" s="56" t="n">
        <f aca="false">K6*假设!K111</f>
        <v>194.35265716266</v>
      </c>
      <c r="L44" s="56" t="n">
        <f aca="false">L6*假设!L111</f>
        <v>207.106499866588</v>
      </c>
    </row>
    <row r="45" customFormat="false" ht="15" hidden="false" customHeight="false" outlineLevel="0" collapsed="false">
      <c r="A45" s="11" t="s">
        <v>319</v>
      </c>
      <c r="C45" s="10" t="n">
        <f aca="false">N(历史资产负债表!E12)</f>
        <v>151.249</v>
      </c>
      <c r="D45" s="10" t="n">
        <f aca="false">N(历史资产负债表!F12)</f>
        <v>83.7475</v>
      </c>
      <c r="E45" s="10" t="n">
        <f aca="false">N(历史资产负债表!G12)</f>
        <v>44.234</v>
      </c>
      <c r="F45" s="10" t="n">
        <f aca="false">N(历史资产负债表!H12)</f>
        <v>28.6627</v>
      </c>
      <c r="G45" s="10" t="n">
        <f aca="false">N(历史资产负债表!I12)</f>
        <v>18.4395</v>
      </c>
      <c r="H45" s="56" t="n">
        <f aca="false">H6*假设!H112</f>
        <v>27.4301836666667</v>
      </c>
      <c r="I45" s="56" t="n">
        <f aca="false">I6*假设!I112</f>
        <v>34.5880875933333</v>
      </c>
      <c r="J45" s="56" t="n">
        <f aca="false">J6*假设!J112</f>
        <v>39.3334549383077</v>
      </c>
      <c r="K45" s="56" t="n">
        <f aca="false">K6*假设!K112</f>
        <v>43.18947936948</v>
      </c>
      <c r="L45" s="56" t="n">
        <f aca="false">L6*假设!L112</f>
        <v>46.0236666370197</v>
      </c>
    </row>
    <row r="46" customFormat="false" ht="15" hidden="false" customHeight="false" outlineLevel="0" collapsed="false">
      <c r="A46" s="11" t="s">
        <v>320</v>
      </c>
      <c r="C46" s="10" t="n">
        <f aca="false">N(历史资产负债表!E16)</f>
        <v>1796.5411</v>
      </c>
      <c r="D46" s="10" t="n">
        <f aca="false">N(历史资产负债表!F16)</f>
        <v>1885.8512</v>
      </c>
      <c r="E46" s="10" t="n">
        <f aca="false">N(历史资产负债表!G16)</f>
        <v>1753.5978</v>
      </c>
      <c r="F46" s="10" t="n">
        <f aca="false">N(历史资产负债表!H16)</f>
        <v>2180.7115</v>
      </c>
      <c r="G46" s="10" t="n">
        <f aca="false">N(历史资产负债表!I16)</f>
        <v>2391.7224</v>
      </c>
      <c r="H46" s="56" t="n">
        <f aca="false">H8*假设!H109/365</f>
        <v>3157.04992191781</v>
      </c>
      <c r="I46" s="56" t="n">
        <f aca="false">I8*假设!I109/365</f>
        <v>3932.49601278082</v>
      </c>
      <c r="J46" s="56" t="n">
        <f aca="false">J8*假设!J109/365</f>
        <v>4519.40605330021</v>
      </c>
      <c r="K46" s="56" t="n">
        <f aca="false">K8*假设!K109/365</f>
        <v>4966.72324657252</v>
      </c>
      <c r="L46" s="56" t="n">
        <f aca="false">L8*假设!L109/365</f>
        <v>5332.7694119171</v>
      </c>
    </row>
    <row r="47" customFormat="false" ht="15" hidden="false" customHeight="false" outlineLevel="0" collapsed="false">
      <c r="A47" s="11" t="s">
        <v>321</v>
      </c>
      <c r="C47" s="10" t="n">
        <f aca="false">N(历史资产负债表!E17)</f>
        <v>259.4314</v>
      </c>
      <c r="D47" s="10" t="n">
        <f aca="false">N(历史资产负债表!F17)</f>
        <v>348.8942</v>
      </c>
      <c r="E47" s="10" t="n">
        <f aca="false">N(历史资产负债表!G17)</f>
        <v>488.1799</v>
      </c>
      <c r="F47" s="10" t="n">
        <f aca="false">N(历史资产负债表!H17)</f>
        <v>527.8337</v>
      </c>
      <c r="G47" s="10" t="n">
        <f aca="false">N(历史资产负债表!I17)</f>
        <v>519.6397</v>
      </c>
      <c r="H47" s="56" t="n">
        <f aca="false">H6*假设!H113</f>
        <v>685.754591666667</v>
      </c>
      <c r="I47" s="56" t="n">
        <f aca="false">I6*假设!I113</f>
        <v>830.11410224</v>
      </c>
      <c r="J47" s="56" t="n">
        <f aca="false">J6*假设!J113</f>
        <v>904.669463581077</v>
      </c>
      <c r="K47" s="56" t="n">
        <f aca="false">K6*假设!K113</f>
        <v>971.7632858133</v>
      </c>
      <c r="L47" s="56" t="n">
        <f aca="false">L6*假设!L113</f>
        <v>1035.53249933294</v>
      </c>
    </row>
    <row r="48" customFormat="false" ht="15" hidden="false" customHeight="false" outlineLevel="0" collapsed="false">
      <c r="A48" s="9" t="s">
        <v>322</v>
      </c>
      <c r="C48" s="50" t="n">
        <f aca="false">SUM(C41:C47)</f>
        <v>12786.5277</v>
      </c>
      <c r="D48" s="50" t="n">
        <f aca="false">SUM(D41:D47)</f>
        <v>12820.7854</v>
      </c>
      <c r="E48" s="50" t="n">
        <f aca="false">SUM(E41:E47)</f>
        <v>11279.3791</v>
      </c>
      <c r="F48" s="50" t="n">
        <f aca="false">SUM(F41:F47)</f>
        <v>13602.0354</v>
      </c>
      <c r="G48" s="50" t="n">
        <f aca="false">SUM(G41:G47)</f>
        <v>13081.5226</v>
      </c>
      <c r="H48" s="57" t="n">
        <f aca="false">SUM(H41:H47)</f>
        <v>22251.3899656034</v>
      </c>
      <c r="I48" s="57" t="n">
        <f aca="false">SUM(I41:I47)</f>
        <v>25746.3818318122</v>
      </c>
      <c r="J48" s="57" t="n">
        <f aca="false">SUM(J41:J47)</f>
        <v>29533.8003297548</v>
      </c>
      <c r="K48" s="57" t="n">
        <f aca="false">SUM(K41:K47)</f>
        <v>34029.0241945599</v>
      </c>
      <c r="L48" s="57" t="n">
        <f aca="false">SUM(L41:L47)</f>
        <v>38932.6872570891</v>
      </c>
    </row>
    <row r="49" customFormat="false" ht="15" hidden="false" customHeight="false" outlineLevel="0" collapsed="false">
      <c r="A49" s="11" t="s">
        <v>323</v>
      </c>
      <c r="C49" s="10" t="n">
        <f aca="false">N(历史资产负债表!E22)+N(历史资产负债表!E25)</f>
        <v>5037.4875</v>
      </c>
      <c r="D49" s="10" t="n">
        <f aca="false">N(历史资产负债表!F22)+N(历史资产负债表!F25)</f>
        <v>5881.0911</v>
      </c>
      <c r="E49" s="10" t="n">
        <f aca="false">N(历史资产负债表!G22)+N(历史资产负债表!G25)</f>
        <v>5783.8854</v>
      </c>
      <c r="F49" s="10" t="n">
        <f aca="false">N(历史资产负债表!H22)+N(历史资产负债表!H25)</f>
        <v>6327.452</v>
      </c>
      <c r="G49" s="10" t="n">
        <f aca="false">N(历史资产负债表!I22)+N(历史资产负债表!I25)</f>
        <v>6589.7152</v>
      </c>
      <c r="H49" s="58" t="n">
        <f aca="false">G49+H73-H68</f>
        <v>7631.897952</v>
      </c>
      <c r="I49" s="58" t="n">
        <f aca="false">H49+I73-I68</f>
        <v>9254.22968752</v>
      </c>
      <c r="J49" s="58" t="n">
        <f aca="false">I49+J73-J68</f>
        <v>10389.9932734552</v>
      </c>
      <c r="K49" s="58" t="n">
        <f aca="false">J49+K73-K68</f>
        <v>10995.1440470079</v>
      </c>
      <c r="L49" s="58" t="n">
        <f aca="false">K49+L73-L68</f>
        <v>11230.7024816019</v>
      </c>
    </row>
    <row r="50" customFormat="false" ht="15" hidden="false" customHeight="false" outlineLevel="0" collapsed="false">
      <c r="A50" s="11" t="s">
        <v>324</v>
      </c>
      <c r="C50" s="10" t="n">
        <f aca="false">N(历史资产负债表!E19)+N(历史资产负债表!E20)+N(历史资产负债表!E21)+N(历史资产负债表!E27)+N(历史资产负债表!E28)+N(历史资产负债表!E29)+N(历史资产负债表!E30)</f>
        <v>548.5102</v>
      </c>
      <c r="D50" s="10" t="n">
        <f aca="false">N(历史资产负债表!F19)+N(历史资产负债表!F20)+N(历史资产负债表!F21)+N(历史资产负债表!F27)+N(历史资产负债表!F28)+N(历史资产负债表!F29)+N(历史资产负债表!F30)</f>
        <v>651.7735</v>
      </c>
      <c r="E50" s="10" t="n">
        <f aca="false">N(历史资产负债表!G19)+N(历史资产负债表!G20)+N(历史资产负债表!G21)+N(历史资产负债表!G27)+N(历史资产负债表!G28)+N(历史资产负债表!G29)+N(历史资产负债表!G30)</f>
        <v>869.4089</v>
      </c>
      <c r="F50" s="10" t="n">
        <f aca="false">N(历史资产负债表!H19)+N(历史资产负债表!H20)+N(历史资产负债表!H21)+N(历史资产负债表!H27)+N(历史资产负债表!H28)+N(历史资产负债表!H29)+N(历史资产负债表!H30)</f>
        <v>778.2482</v>
      </c>
      <c r="G50" s="10" t="n">
        <f aca="false">N(历史资产负债表!I19)+N(历史资产负债表!I20)+N(历史资产负债表!I21)+N(历史资产负债表!I27)+N(历史资产负债表!I28)+N(历史资产负债表!I29)+N(历史资产负债表!I30)</f>
        <v>786.7931</v>
      </c>
      <c r="H50" s="58" t="n">
        <f aca="false">G50-H69</f>
        <v>756.7931</v>
      </c>
      <c r="I50" s="58" t="n">
        <f aca="false">H50-I69</f>
        <v>726.7931</v>
      </c>
      <c r="J50" s="58" t="n">
        <f aca="false">I50-J69</f>
        <v>696.7931</v>
      </c>
      <c r="K50" s="58" t="n">
        <f aca="false">J50-K69</f>
        <v>666.7931</v>
      </c>
      <c r="L50" s="58" t="n">
        <f aca="false">K50-L69</f>
        <v>636.7931</v>
      </c>
    </row>
    <row r="51" customFormat="false" ht="15" hidden="false" customHeight="false" outlineLevel="0" collapsed="false">
      <c r="A51" s="11" t="s">
        <v>325</v>
      </c>
      <c r="C51" s="10" t="n">
        <f aca="false">N(历史资产负债表!E31)</f>
        <v>98.7072</v>
      </c>
      <c r="D51" s="10" t="n">
        <f aca="false">N(历史资产负债表!F31)</f>
        <v>187.4023</v>
      </c>
      <c r="E51" s="10" t="n">
        <f aca="false">N(历史资产负债表!G31)</f>
        <v>182.164</v>
      </c>
      <c r="F51" s="10" t="n">
        <f aca="false">N(历史资产负债表!H31)</f>
        <v>247.2083</v>
      </c>
      <c r="G51" s="10" t="n">
        <f aca="false">N(历史资产负债表!I31)</f>
        <v>163.9345</v>
      </c>
      <c r="H51" s="58" t="n">
        <f aca="false">G51</f>
        <v>163.9345</v>
      </c>
      <c r="I51" s="58" t="n">
        <f aca="false">H51</f>
        <v>163.9345</v>
      </c>
      <c r="J51" s="58" t="n">
        <f aca="false">I51</f>
        <v>163.9345</v>
      </c>
      <c r="K51" s="58" t="n">
        <f aca="false">J51</f>
        <v>163.9345</v>
      </c>
      <c r="L51" s="58" t="n">
        <f aca="false">K51</f>
        <v>163.9345</v>
      </c>
    </row>
    <row r="52" customFormat="false" ht="15" hidden="false" customHeight="false" outlineLevel="0" collapsed="false">
      <c r="A52" s="11" t="s">
        <v>326</v>
      </c>
      <c r="C52" s="10" t="n">
        <f aca="false">N(历史资产负债表!E32)</f>
        <v>148.8167</v>
      </c>
      <c r="D52" s="10" t="n">
        <f aca="false">N(历史资产负债表!F32)</f>
        <v>52.3243</v>
      </c>
      <c r="E52" s="10" t="n">
        <f aca="false">N(历史资产负债表!G32)</f>
        <v>3712.1273</v>
      </c>
      <c r="F52" s="10" t="n">
        <f aca="false">N(历史资产负债表!H32)</f>
        <v>2960.8591</v>
      </c>
      <c r="G52" s="10" t="n">
        <f aca="false">N(历史资产负债表!I32)</f>
        <v>5884.1223</v>
      </c>
      <c r="H52" s="58" t="n">
        <f aca="false">G52</f>
        <v>5884.1223</v>
      </c>
      <c r="I52" s="58" t="n">
        <f aca="false">H52</f>
        <v>5884.1223</v>
      </c>
      <c r="J52" s="58" t="n">
        <f aca="false">I52</f>
        <v>5884.1223</v>
      </c>
      <c r="K52" s="58" t="n">
        <f aca="false">J52</f>
        <v>5884.1223</v>
      </c>
      <c r="L52" s="58" t="n">
        <f aca="false">K52</f>
        <v>5884.1223</v>
      </c>
    </row>
    <row r="53" customFormat="false" ht="15" hidden="false" customHeight="false" outlineLevel="0" collapsed="false">
      <c r="A53" s="9" t="s">
        <v>327</v>
      </c>
      <c r="C53" s="50" t="n">
        <f aca="false">SUM(C49:C52)</f>
        <v>5833.5216</v>
      </c>
      <c r="D53" s="50" t="n">
        <f aca="false">SUM(D49:D52)</f>
        <v>6772.5912</v>
      </c>
      <c r="E53" s="50" t="n">
        <f aca="false">SUM(E49:E52)</f>
        <v>10547.5856</v>
      </c>
      <c r="F53" s="50" t="n">
        <f aca="false">SUM(F49:F52)</f>
        <v>10313.7676</v>
      </c>
      <c r="G53" s="50" t="n">
        <f aca="false">SUM(G49:G52)</f>
        <v>13424.5651</v>
      </c>
      <c r="H53" s="57" t="n">
        <f aca="false">SUM(H49:H52)</f>
        <v>14436.747852</v>
      </c>
      <c r="I53" s="57" t="n">
        <f aca="false">SUM(I49:I52)</f>
        <v>16029.07958752</v>
      </c>
      <c r="J53" s="57" t="n">
        <f aca="false">SUM(J49:J52)</f>
        <v>17134.8431734552</v>
      </c>
      <c r="K53" s="57" t="n">
        <f aca="false">SUM(K49:K52)</f>
        <v>17709.9939470079</v>
      </c>
      <c r="L53" s="57" t="n">
        <f aca="false">SUM(L49:L52)</f>
        <v>17915.552381602</v>
      </c>
    </row>
    <row r="54" customFormat="false" ht="15" hidden="false" customHeight="false" outlineLevel="0" collapsed="false">
      <c r="A54" s="9" t="s">
        <v>328</v>
      </c>
      <c r="C54" s="50" t="n">
        <f aca="false">C48+C53</f>
        <v>18620.0493</v>
      </c>
      <c r="D54" s="50" t="n">
        <f aca="false">D48+D53</f>
        <v>19593.3766</v>
      </c>
      <c r="E54" s="50" t="n">
        <f aca="false">E48+E53</f>
        <v>21826.9647</v>
      </c>
      <c r="F54" s="50" t="n">
        <f aca="false">F48+F53</f>
        <v>23915.803</v>
      </c>
      <c r="G54" s="50" t="n">
        <f aca="false">G48+G53</f>
        <v>26506.0877</v>
      </c>
      <c r="H54" s="57" t="n">
        <f aca="false">H48+H53</f>
        <v>36688.1378176034</v>
      </c>
      <c r="I54" s="57" t="n">
        <f aca="false">I48+I53</f>
        <v>41775.4614193322</v>
      </c>
      <c r="J54" s="57" t="n">
        <f aca="false">J48+J53</f>
        <v>46668.64350321</v>
      </c>
      <c r="K54" s="57" t="n">
        <f aca="false">K48+K53</f>
        <v>51739.0181415678</v>
      </c>
      <c r="L54" s="57" t="n">
        <f aca="false">L48+L53</f>
        <v>56848.2396386911</v>
      </c>
    </row>
    <row r="55" customFormat="false" ht="15" hidden="false" customHeight="false" outlineLevel="0" collapsed="false">
      <c r="A55" s="11" t="s">
        <v>329</v>
      </c>
      <c r="C55" s="10" t="n">
        <f aca="false">N(历史资产负债表!E35)+N(历史资产负债表!E46)+N(历史资产负债表!E49)</f>
        <v>49.9492</v>
      </c>
      <c r="D55" s="10" t="n">
        <f aca="false">N(历史资产负债表!F35)+N(历史资产负债表!F46)+N(历史资产负债表!F49)</f>
        <v>185.4354</v>
      </c>
      <c r="E55" s="10" t="n">
        <f aca="false">N(历史资产负债表!G35)+N(历史资产负债表!G46)+N(历史资产负债表!G49)</f>
        <v>745.2792</v>
      </c>
      <c r="F55" s="10" t="n">
        <f aca="false">N(历史资产负债表!H35)+N(历史资产负债表!H46)+N(历史资产负债表!H49)</f>
        <v>479.3472</v>
      </c>
      <c r="G55" s="10" t="n">
        <f aca="false">N(历史资产负债表!I35)+N(历史资产负债表!I46)+N(历史资产负债表!I49)</f>
        <v>567.6374</v>
      </c>
      <c r="H55" s="58" t="n">
        <f aca="false">G55</f>
        <v>567.6374</v>
      </c>
      <c r="I55" s="58" t="n">
        <f aca="false">H55</f>
        <v>567.6374</v>
      </c>
      <c r="J55" s="58" t="n">
        <f aca="false">I55</f>
        <v>567.6374</v>
      </c>
      <c r="K55" s="58" t="n">
        <f aca="false">J55</f>
        <v>567.6374</v>
      </c>
      <c r="L55" s="58" t="n">
        <f aca="false">K55</f>
        <v>567.6374</v>
      </c>
    </row>
    <row r="56" customFormat="false" ht="15" hidden="false" customHeight="false" outlineLevel="0" collapsed="false">
      <c r="A56" s="11" t="s">
        <v>330</v>
      </c>
      <c r="C56" s="10" t="n">
        <f aca="false">N(历史资产负债表!E36)</f>
        <v>830.1951</v>
      </c>
      <c r="D56" s="10" t="n">
        <f aca="false">N(历史资产负债表!F36)</f>
        <v>635.0511</v>
      </c>
      <c r="E56" s="10" t="n">
        <f aca="false">N(历史资产负债表!G36)</f>
        <v>980.6995</v>
      </c>
      <c r="F56" s="10" t="n">
        <f aca="false">N(历史资产负债表!H36)</f>
        <v>1295.3039</v>
      </c>
      <c r="G56" s="10" t="n">
        <f aca="false">N(历史资产负债表!I36)</f>
        <v>1927.9853</v>
      </c>
      <c r="H56" s="56" t="n">
        <f aca="false">H8*假设!H110/365</f>
        <v>2736.10993232877</v>
      </c>
      <c r="I56" s="56" t="n">
        <f aca="false">I8*假设!I110/365</f>
        <v>3355.7299309063</v>
      </c>
      <c r="J56" s="56" t="n">
        <f aca="false">J8*假设!J110/365</f>
        <v>3766.17171108351</v>
      </c>
      <c r="K56" s="56" t="n">
        <f aca="false">K8*假设!K110/365</f>
        <v>4194.86760690247</v>
      </c>
      <c r="L56" s="56" t="n">
        <f aca="false">L8*假设!L110/365</f>
        <v>4504.02821952458</v>
      </c>
    </row>
    <row r="57" customFormat="false" ht="15" hidden="false" customHeight="false" outlineLevel="0" collapsed="false">
      <c r="A57" s="11" t="s">
        <v>331</v>
      </c>
      <c r="C57" s="10" t="n">
        <f aca="false">N(历史资产负债表!E39)+N(历史资产负债表!E40)+N(历史资产负债表!E41)+N(历史资产负债表!E42)+N(历史资产负债表!E43)+N(历史资产负债表!E47)</f>
        <v>693.8564</v>
      </c>
      <c r="D57" s="10" t="n">
        <f aca="false">N(历史资产负债表!F39)+N(历史资产负债表!F40)+N(历史资产负债表!F41)+N(历史资产负债表!F42)+N(历史资产负债表!F43)+N(历史资产负债表!F47)</f>
        <v>662.8052</v>
      </c>
      <c r="E57" s="10" t="n">
        <f aca="false">N(历史资产负债表!G39)+N(历史资产负债表!G40)+N(历史资产负债表!G41)+N(历史资产负债表!G42)+N(历史资产负债表!G43)+N(历史资产负债表!G47)</f>
        <v>674.5635</v>
      </c>
      <c r="F57" s="10" t="n">
        <f aca="false">N(历史资产负债表!H39)+N(历史资产负债表!H40)+N(历史资产负债表!H41)+N(历史资产负债表!H42)+N(历史资产负债表!H43)+N(历史资产负债表!H47)</f>
        <v>819.6007</v>
      </c>
      <c r="G57" s="10" t="n">
        <f aca="false">N(历史资产负债表!I39)+N(历史资产负债表!I40)+N(历史资产负债表!I41)+N(历史资产负债表!I42)+N(历史资产负债表!I43)+N(历史资产负债表!I47)</f>
        <v>1009.7921</v>
      </c>
      <c r="H57" s="56" t="n">
        <f aca="false">H6*假设!H114</f>
        <v>1508.66010166667</v>
      </c>
      <c r="I57" s="56" t="n">
        <f aca="false">I6*假设!I114</f>
        <v>1902.34481763333</v>
      </c>
      <c r="J57" s="56" t="n">
        <f aca="false">J6*假设!J114</f>
        <v>2163.34002160692</v>
      </c>
      <c r="K57" s="56" t="n">
        <f aca="false">K6*假设!K114</f>
        <v>2375.4213653214</v>
      </c>
      <c r="L57" s="56" t="n">
        <f aca="false">L6*假设!L114</f>
        <v>2531.30166503608</v>
      </c>
    </row>
    <row r="58" customFormat="false" ht="15" hidden="false" customHeight="false" outlineLevel="0" collapsed="false">
      <c r="A58" s="11" t="s">
        <v>332</v>
      </c>
      <c r="C58" s="10" t="n">
        <f aca="false">N(历史资产负债表!E50)+N(历史资产负债表!E51)+N(历史资产负债表!E54)+N(历史资产负债表!E55)+N(历史资产负债表!E56)+N(历史资产负债表!E57)</f>
        <v>854.475</v>
      </c>
      <c r="D58" s="10" t="n">
        <f aca="false">N(历史资产负债表!F50)+N(历史资产负债表!F51)+N(历史资产负债表!F54)+N(历史资产负债表!F55)+N(历史资产负债表!F56)+N(历史资产负债表!F57)</f>
        <v>1006.6733</v>
      </c>
      <c r="E58" s="10" t="n">
        <f aca="false">N(历史资产负债表!G50)+N(历史资产负债表!G51)+N(历史资产负债表!G54)+N(历史资产负债表!G55)+N(历史资产负债表!G56)+N(历史资产负债表!G57)</f>
        <v>1187.3221</v>
      </c>
      <c r="F58" s="10" t="n">
        <f aca="false">N(历史资产负债表!H50)+N(历史资产负债表!H51)+N(历史资产负债表!H54)+N(历史资产负债表!H55)+N(历史资产负债表!H56)+N(历史资产负债表!H57)</f>
        <v>1449.7828</v>
      </c>
      <c r="G58" s="10" t="n">
        <f aca="false">N(历史资产负债表!I50)+N(历史资产负债表!I51)+N(历史资产负债表!I54)+N(历史资产负债表!I55)+N(历史资产负债表!I56)+N(历史资产负债表!I57)</f>
        <v>1337.6307</v>
      </c>
      <c r="H58" s="58" t="n">
        <f aca="false">G58</f>
        <v>1337.6307</v>
      </c>
      <c r="I58" s="58" t="n">
        <f aca="false">H58</f>
        <v>1337.6307</v>
      </c>
      <c r="J58" s="58" t="n">
        <f aca="false">I58</f>
        <v>1337.6307</v>
      </c>
      <c r="K58" s="58" t="n">
        <f aca="false">J58</f>
        <v>1337.6307</v>
      </c>
      <c r="L58" s="58" t="n">
        <f aca="false">K58</f>
        <v>1337.6307</v>
      </c>
    </row>
    <row r="59" customFormat="false" ht="15" hidden="false" customHeight="false" outlineLevel="0" collapsed="false">
      <c r="A59" s="9" t="s">
        <v>333</v>
      </c>
      <c r="C59" s="50" t="n">
        <f aca="false">SUM(C55:C58)</f>
        <v>2428.4757</v>
      </c>
      <c r="D59" s="50" t="n">
        <f aca="false">SUM(D55:D58)</f>
        <v>2489.965</v>
      </c>
      <c r="E59" s="50" t="n">
        <f aca="false">SUM(E55:E58)</f>
        <v>3587.8643</v>
      </c>
      <c r="F59" s="50" t="n">
        <f aca="false">SUM(F55:F58)</f>
        <v>4044.0346</v>
      </c>
      <c r="G59" s="50" t="n">
        <f aca="false">SUM(G55:G58)</f>
        <v>4843.0455</v>
      </c>
      <c r="H59" s="57" t="n">
        <f aca="false">SUM(H55:H58)</f>
        <v>6150.03813399544</v>
      </c>
      <c r="I59" s="57" t="n">
        <f aca="false">SUM(I55:I58)</f>
        <v>7163.34284853963</v>
      </c>
      <c r="J59" s="57" t="n">
        <f aca="false">SUM(J55:J58)</f>
        <v>7834.77983269043</v>
      </c>
      <c r="K59" s="57" t="n">
        <f aca="false">SUM(K55:K58)</f>
        <v>8475.55707222387</v>
      </c>
      <c r="L59" s="57" t="n">
        <f aca="false">SUM(L55:L58)</f>
        <v>8940.59798456066</v>
      </c>
    </row>
    <row r="60" customFormat="false" ht="15" hidden="false" customHeight="false" outlineLevel="0" collapsed="false">
      <c r="A60" s="11" t="s">
        <v>334</v>
      </c>
      <c r="C60" s="10" t="n">
        <f aca="false">N(历史资产负债表!E66)</f>
        <v>16190.2966</v>
      </c>
      <c r="D60" s="10" t="n">
        <f aca="false">N(历史资产负债表!F66)</f>
        <v>17099.6736</v>
      </c>
      <c r="E60" s="10" t="n">
        <f aca="false">N(历史资产负债表!G66)</f>
        <v>18233.1976</v>
      </c>
      <c r="F60" s="10" t="n">
        <f aca="false">N(历史资产负债表!H66)</f>
        <v>19866.0811</v>
      </c>
      <c r="G60" s="10" t="n">
        <f aca="false">N(历史资产负债表!I66)</f>
        <v>21658.7593</v>
      </c>
      <c r="H60" s="58" t="n">
        <f aca="false">G60+H29-H76-H77+H78</f>
        <v>30533.816783608</v>
      </c>
      <c r="I60" s="58" t="n">
        <f aca="false">H60+I29-I76-I77+I78</f>
        <v>34607.8356707925</v>
      </c>
      <c r="J60" s="58" t="n">
        <f aca="false">I60+J29-J76-J77+J78</f>
        <v>38829.5807705196</v>
      </c>
      <c r="K60" s="58" t="n">
        <f aca="false">J60+K29-K76-K77+K78</f>
        <v>43259.1781693439</v>
      </c>
      <c r="L60" s="58" t="n">
        <f aca="false">K60+L29-L76-L77+L78</f>
        <v>47903.3587541304</v>
      </c>
    </row>
    <row r="61" customFormat="false" ht="15" hidden="false" customHeight="false" outlineLevel="0" collapsed="false">
      <c r="A61" s="11" t="s">
        <v>335</v>
      </c>
      <c r="C61" s="10" t="n">
        <f aca="false">N(历史资产负债表!E67)</f>
        <v>1.2769</v>
      </c>
      <c r="D61" s="10" t="n">
        <f aca="false">N(历史资产负债表!F67)</f>
        <v>3.7382</v>
      </c>
      <c r="E61" s="10" t="n">
        <f aca="false">N(历史资产负债表!G67)</f>
        <v>5.9029</v>
      </c>
      <c r="F61" s="10" t="n">
        <f aca="false">N(历史资产负债表!H67)</f>
        <v>5.6872</v>
      </c>
      <c r="G61" s="10" t="n">
        <f aca="false">N(历史资产负债表!I67)</f>
        <v>4.2831</v>
      </c>
      <c r="H61" s="58" t="n">
        <f aca="false">G61+H28</f>
        <v>4.2831</v>
      </c>
      <c r="I61" s="58" t="n">
        <f aca="false">H61+I28</f>
        <v>4.2831</v>
      </c>
      <c r="J61" s="58" t="n">
        <f aca="false">I61+J28</f>
        <v>4.2831</v>
      </c>
      <c r="K61" s="58" t="n">
        <f aca="false">J61+K28</f>
        <v>4.2831</v>
      </c>
      <c r="L61" s="58" t="n">
        <f aca="false">K61+L28</f>
        <v>4.2831</v>
      </c>
    </row>
    <row r="62" customFormat="false" ht="15" hidden="false" customHeight="false" outlineLevel="0" collapsed="false">
      <c r="A62" s="9" t="s">
        <v>336</v>
      </c>
      <c r="C62" s="50" t="n">
        <f aca="false">C60+C61</f>
        <v>16191.5735</v>
      </c>
      <c r="D62" s="50" t="n">
        <f aca="false">D60+D61</f>
        <v>17103.4118</v>
      </c>
      <c r="E62" s="50" t="n">
        <f aca="false">E60+E61</f>
        <v>18239.1005</v>
      </c>
      <c r="F62" s="50" t="n">
        <f aca="false">F60+F61</f>
        <v>19871.7683</v>
      </c>
      <c r="G62" s="50" t="n">
        <f aca="false">G60+G61</f>
        <v>21663.0424</v>
      </c>
      <c r="H62" s="57" t="n">
        <f aca="false">H60+H61</f>
        <v>30538.099883608</v>
      </c>
      <c r="I62" s="57" t="n">
        <f aca="false">I60+I61</f>
        <v>34612.1187707925</v>
      </c>
      <c r="J62" s="57" t="n">
        <f aca="false">J60+J61</f>
        <v>38833.8638705196</v>
      </c>
      <c r="K62" s="57" t="n">
        <f aca="false">K60+K61</f>
        <v>43263.4612693439</v>
      </c>
      <c r="L62" s="57" t="n">
        <f aca="false">L60+L61</f>
        <v>47907.6418541304</v>
      </c>
    </row>
    <row r="63" customFormat="false" ht="15" hidden="false" customHeight="false" outlineLevel="0" collapsed="false">
      <c r="A63" s="9" t="s">
        <v>337</v>
      </c>
      <c r="C63" s="50" t="n">
        <f aca="false">C59+C62</f>
        <v>18620.0492</v>
      </c>
      <c r="D63" s="50" t="n">
        <f aca="false">D59+D62</f>
        <v>19593.3768</v>
      </c>
      <c r="E63" s="50" t="n">
        <f aca="false">E59+E62</f>
        <v>21826.9648</v>
      </c>
      <c r="F63" s="50" t="n">
        <f aca="false">F59+F62</f>
        <v>23915.8029</v>
      </c>
      <c r="G63" s="50" t="n">
        <f aca="false">G59+G62</f>
        <v>26506.0879</v>
      </c>
      <c r="H63" s="57" t="n">
        <f aca="false">H59+H62</f>
        <v>36688.1380176034</v>
      </c>
      <c r="I63" s="57" t="n">
        <f aca="false">I59+I62</f>
        <v>41775.4616193322</v>
      </c>
      <c r="J63" s="57" t="n">
        <f aca="false">J59+J62</f>
        <v>46668.64370321</v>
      </c>
      <c r="K63" s="57" t="n">
        <f aca="false">K59+K62</f>
        <v>51739.0183415678</v>
      </c>
      <c r="L63" s="57" t="n">
        <f aca="false">L59+L62</f>
        <v>56848.2398386911</v>
      </c>
    </row>
    <row r="64" customFormat="false" ht="15" hidden="false" customHeight="false" outlineLevel="0" collapsed="false">
      <c r="A64" s="11" t="s">
        <v>338</v>
      </c>
      <c r="C64" s="48" t="n">
        <f aca="false">ROUND(C54-C63,3)</f>
        <v>0</v>
      </c>
      <c r="D64" s="48" t="n">
        <f aca="false">ROUND(D54-D63,3)</f>
        <v>-0</v>
      </c>
      <c r="E64" s="48" t="n">
        <f aca="false">ROUND(E54-E63,3)</f>
        <v>-0</v>
      </c>
      <c r="F64" s="48" t="n">
        <f aca="false">ROUND(F54-F63,3)</f>
        <v>0</v>
      </c>
      <c r="G64" s="48" t="n">
        <f aca="false">ROUND(G54-G63,3)</f>
        <v>-0</v>
      </c>
      <c r="H64" s="58" t="n">
        <f aca="false">ROUND(H54-H63,3)</f>
        <v>-0</v>
      </c>
      <c r="I64" s="58" t="n">
        <f aca="false">ROUND(I54-I63,3)</f>
        <v>-0</v>
      </c>
      <c r="J64" s="58" t="n">
        <f aca="false">ROUND(J54-J63,3)</f>
        <v>-0</v>
      </c>
      <c r="K64" s="58" t="n">
        <f aca="false">ROUND(K54-K63,3)</f>
        <v>-0</v>
      </c>
      <c r="L64" s="58" t="n">
        <f aca="false">ROUND(L54-L63,3)</f>
        <v>-0</v>
      </c>
    </row>
    <row r="65" customFormat="false" ht="15" hidden="false" customHeight="false" outlineLevel="0" collapsed="false">
      <c r="A65" s="11" t="s">
        <v>339</v>
      </c>
      <c r="C65" s="10" t="n">
        <f aca="false">ROUND(C54-历史资产负债表!E34,3)</f>
        <v>0</v>
      </c>
      <c r="D65" s="10" t="n">
        <f aca="false">ROUND(D54-历史资产负债表!F34,3)</f>
        <v>0</v>
      </c>
      <c r="E65" s="10" t="n">
        <f aca="false">ROUND(E54-历史资产负债表!G34,3)</f>
        <v>-0</v>
      </c>
      <c r="F65" s="10" t="n">
        <f aca="false">ROUND(F54-历史资产负债表!H34,3)</f>
        <v>-0</v>
      </c>
      <c r="G65" s="10" t="n">
        <f aca="false">ROUND(G54-历史资产负债表!I34,3)</f>
        <v>-0</v>
      </c>
    </row>
    <row r="66" customFormat="false" ht="15" hidden="false" customHeight="false" outlineLevel="0" collapsed="false">
      <c r="A66" s="5" t="s">
        <v>340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customFormat="false" ht="15" hidden="false" customHeight="false" outlineLevel="0" collapsed="false">
      <c r="A67" s="11" t="s">
        <v>303</v>
      </c>
      <c r="C67" s="10" t="n">
        <f aca="false">N(历史现金流量表!E40)</f>
        <v>2013.312</v>
      </c>
      <c r="D67" s="10" t="n">
        <f aca="false">N(历史现金流量表!F40)</f>
        <v>1506.1032</v>
      </c>
      <c r="E67" s="10" t="n">
        <f aca="false">N(历史现金流量表!G40)</f>
        <v>1583.1506</v>
      </c>
      <c r="F67" s="10" t="n">
        <f aca="false">N(历史现金流量表!H40)</f>
        <v>2190.2338</v>
      </c>
      <c r="G67" s="10" t="n">
        <f aca="false">N(历史现金流量表!I40)</f>
        <v>2616.9802</v>
      </c>
      <c r="H67" s="58" t="n">
        <f aca="false">H27</f>
        <v>4201.963477193</v>
      </c>
      <c r="I67" s="58" t="n">
        <f aca="false">I27</f>
        <v>5460.66683465823</v>
      </c>
      <c r="J67" s="58" t="n">
        <f aca="false">J27</f>
        <v>6023.76515516423</v>
      </c>
      <c r="K67" s="58" t="n">
        <f aca="false">K27</f>
        <v>6417.43990002857</v>
      </c>
      <c r="L67" s="58" t="n">
        <f aca="false">L27</f>
        <v>6761.93575179593</v>
      </c>
    </row>
    <row r="68" customFormat="false" ht="15" hidden="false" customHeight="false" outlineLevel="0" collapsed="false">
      <c r="A68" s="11" t="s">
        <v>341</v>
      </c>
      <c r="C68" s="10" t="n">
        <f aca="false">N(历史现金流量表!E43)</f>
        <v>364.7864</v>
      </c>
      <c r="D68" s="10" t="n">
        <f aca="false">N(历史现金流量表!F43)</f>
        <v>515.7214</v>
      </c>
      <c r="E68" s="10" t="n">
        <f aca="false">N(历史现金流量表!G43)</f>
        <v>583.1808</v>
      </c>
      <c r="F68" s="10" t="n">
        <f aca="false">N(历史现金流量表!H43)</f>
        <v>632.0889</v>
      </c>
      <c r="G68" s="10" t="n">
        <f aca="false">N(历史现金流量表!I43)</f>
        <v>715.1475</v>
      </c>
      <c r="H68" s="56" t="n">
        <f aca="false">G49*假设!H119</f>
        <v>757.817248</v>
      </c>
      <c r="I68" s="56" t="n">
        <f aca="false">H49*假设!I119</f>
        <v>877.66826448</v>
      </c>
      <c r="J68" s="56" t="n">
        <f aca="false">I49*假设!J119</f>
        <v>1064.2364140648</v>
      </c>
      <c r="K68" s="56" t="n">
        <f aca="false">J49*假设!K119</f>
        <v>1194.84922644735</v>
      </c>
      <c r="L68" s="56" t="n">
        <f aca="false">K49*假设!L119</f>
        <v>1264.4415654059</v>
      </c>
    </row>
    <row r="69" customFormat="false" ht="15" hidden="false" customHeight="false" outlineLevel="0" collapsed="false">
      <c r="A69" s="11" t="s">
        <v>342</v>
      </c>
      <c r="C69" s="10" t="n">
        <f aca="false">N(历史现金流量表!E44)+N(历史现金流量表!E45)+N(历史现金流量表!E46)</f>
        <v>22.7224</v>
      </c>
      <c r="D69" s="10" t="n">
        <f aca="false">N(历史现金流量表!F44)+N(历史现金流量表!F45)+N(历史现金流量表!F46)</f>
        <v>28.6537</v>
      </c>
      <c r="E69" s="10" t="n">
        <f aca="false">N(历史现金流量表!G44)+N(历史现金流量表!G45)+N(历史现金流量表!G46)</f>
        <v>26.2516</v>
      </c>
      <c r="F69" s="10" t="n">
        <f aca="false">N(历史现金流量表!H44)+N(历史现金流量表!H45)+N(历史现金流量表!H46)</f>
        <v>27.0306</v>
      </c>
      <c r="G69" s="10" t="n">
        <f aca="false">N(历史现金流量表!I44)+N(历史现金流量表!I45)+N(历史现金流量表!I46)</f>
        <v>29.0029</v>
      </c>
      <c r="H69" s="56" t="n">
        <f aca="false">假设!H120</f>
        <v>30</v>
      </c>
      <c r="I69" s="56" t="n">
        <f aca="false">假设!I120</f>
        <v>30</v>
      </c>
      <c r="J69" s="56" t="n">
        <f aca="false">假设!J120</f>
        <v>30</v>
      </c>
      <c r="K69" s="56" t="n">
        <f aca="false">假设!K120</f>
        <v>30</v>
      </c>
      <c r="L69" s="56" t="n">
        <f aca="false">假设!L120</f>
        <v>30</v>
      </c>
    </row>
    <row r="70" customFormat="false" ht="15" hidden="false" customHeight="false" outlineLevel="0" collapsed="false">
      <c r="A70" s="11" t="s">
        <v>343</v>
      </c>
      <c r="C70" s="10" t="n">
        <f aca="false">历史现金流量表!E54+历史现金流量表!E55+历史现金流量表!E56</f>
        <v>-1302.7071</v>
      </c>
      <c r="D70" s="10" t="n">
        <f aca="false">历史现金流量表!F54+历史现金流量表!F55+历史现金流量表!F56</f>
        <v>129.5803</v>
      </c>
      <c r="E70" s="10" t="n">
        <f aca="false">历史现金流量表!G54+历史现金流量表!G55+历史现金流量表!G56</f>
        <v>-335.6004</v>
      </c>
      <c r="F70" s="10" t="n">
        <f aca="false">历史现金流量表!H54+历史现金流量表!H55+历史现金流量表!H56</f>
        <v>-360.6942</v>
      </c>
      <c r="G70" s="10" t="n">
        <f aca="false">历史现金流量表!I54+历史现金流量表!I55+历史现金流量表!I56</f>
        <v>-322.7482</v>
      </c>
      <c r="H70" s="58" t="n">
        <f aca="false">-((H43+H44+H45+H46+H47-H56-H57)-(G43+G44+G45+G46+G47-G56-G57))</f>
        <v>-1306.27271806621</v>
      </c>
      <c r="I70" s="58" t="n">
        <f aca="false">-((I43+I44+I45+I46+I47-I56-I57)-(H43+H44+H45+H46+H47-H56-H57))</f>
        <v>-1220.56457830617</v>
      </c>
      <c r="J70" s="58" t="n">
        <f aca="false">-((J43+J44+J45+J46+J47-J56-J57)-(I43+I44+I45+I46+I47-I56-I57))</f>
        <v>-753.430465463262</v>
      </c>
      <c r="K70" s="58" t="n">
        <f aca="false">-((K43+K44+K45+K46+K47-K56-K57)-(J43+J44+J45+J46+J47-J56-J57))</f>
        <v>-570.966742109744</v>
      </c>
      <c r="L70" s="58" t="n">
        <f aca="false">-((L43+L44+L45+L46+L47-L56-L57)-(K43+K44+K45+K46+K47-K56-K57))</f>
        <v>-288.17752435372</v>
      </c>
    </row>
    <row r="71" customFormat="false" ht="15" hidden="false" customHeight="false" outlineLevel="0" collapsed="false">
      <c r="A71" s="11" t="s">
        <v>344</v>
      </c>
      <c r="C71" s="10" t="n">
        <f aca="false">历史现金流量表!E14-C67-C68-C69-C70</f>
        <v>56.2085</v>
      </c>
      <c r="D71" s="10" t="n">
        <f aca="false">历史现金流量表!F14-D67-D68-D69-D70</f>
        <v>-106.185</v>
      </c>
      <c r="E71" s="10" t="n">
        <f aca="false">历史现金流量表!G14-E67-E68-E69-E70</f>
        <v>-138.0146</v>
      </c>
      <c r="F71" s="10" t="n">
        <f aca="false">历史现金流量表!H14-F67-F68-F69-F70</f>
        <v>-85.5367999999999</v>
      </c>
      <c r="G71" s="10" t="n">
        <f aca="false">历史现金流量表!I14-G67-G68-G69-G70</f>
        <v>-160.7733</v>
      </c>
      <c r="H71" s="58" t="n">
        <f aca="false">0</f>
        <v>0</v>
      </c>
      <c r="I71" s="58" t="n">
        <f aca="false">0</f>
        <v>0</v>
      </c>
      <c r="J71" s="58" t="n">
        <f aca="false">0</f>
        <v>0</v>
      </c>
      <c r="K71" s="58" t="n">
        <f aca="false">0</f>
        <v>0</v>
      </c>
      <c r="L71" s="58" t="n">
        <f aca="false">0</f>
        <v>0</v>
      </c>
    </row>
    <row r="72" customFormat="false" ht="15" hidden="false" customHeight="false" outlineLevel="0" collapsed="false">
      <c r="A72" s="9" t="s">
        <v>345</v>
      </c>
      <c r="C72" s="21" t="n">
        <f aca="false">历史现金流量表!E14</f>
        <v>1154.3222</v>
      </c>
      <c r="D72" s="21" t="n">
        <f aca="false">历史现金流量表!F14</f>
        <v>2073.8736</v>
      </c>
      <c r="E72" s="21" t="n">
        <f aca="false">历史现金流量表!G14</f>
        <v>1718.968</v>
      </c>
      <c r="F72" s="21" t="n">
        <f aca="false">历史现金流量表!H14</f>
        <v>2403.1223</v>
      </c>
      <c r="G72" s="21" t="n">
        <f aca="false">历史现金流量表!I14</f>
        <v>2877.6091</v>
      </c>
      <c r="H72" s="57" t="n">
        <f aca="false">H67+H68+H69+H70+H71</f>
        <v>3683.50800712679</v>
      </c>
      <c r="I72" s="57" t="n">
        <f aca="false">I67+I68+I69+I70+I71</f>
        <v>5147.77052083206</v>
      </c>
      <c r="J72" s="57" t="n">
        <f aca="false">J67+J68+J69+J70+J71</f>
        <v>6364.57110376577</v>
      </c>
      <c r="K72" s="57" t="n">
        <f aca="false">K67+K68+K69+K70+K71</f>
        <v>7071.32238436617</v>
      </c>
      <c r="L72" s="57" t="n">
        <f aca="false">L67+L68+L69+L70+L71</f>
        <v>7768.19979284811</v>
      </c>
    </row>
    <row r="73" customFormat="false" ht="15" hidden="false" customHeight="false" outlineLevel="0" collapsed="false">
      <c r="A73" s="11" t="s">
        <v>346</v>
      </c>
      <c r="C73" s="10" t="n">
        <f aca="false">历史现金流量表!E20</f>
        <v>1910.3652</v>
      </c>
      <c r="D73" s="10" t="n">
        <f aca="false">历史现金流量表!F20</f>
        <v>1124.8091</v>
      </c>
      <c r="E73" s="10" t="n">
        <f aca="false">历史现金流量表!G20</f>
        <v>545.8847</v>
      </c>
      <c r="F73" s="10" t="n">
        <f aca="false">历史现金流量表!H20</f>
        <v>639.0352</v>
      </c>
      <c r="G73" s="10" t="n">
        <f aca="false">历史现金流量表!I20</f>
        <v>580.092</v>
      </c>
      <c r="H73" s="56" t="n">
        <f aca="false">假设!H118</f>
        <v>1800</v>
      </c>
      <c r="I73" s="56" t="n">
        <f aca="false">假设!I118</f>
        <v>2500</v>
      </c>
      <c r="J73" s="56" t="n">
        <f aca="false">假设!J118</f>
        <v>2200</v>
      </c>
      <c r="K73" s="56" t="n">
        <f aca="false">假设!K118</f>
        <v>1800</v>
      </c>
      <c r="L73" s="56" t="n">
        <f aca="false">假设!L118</f>
        <v>1500</v>
      </c>
    </row>
    <row r="74" customFormat="false" ht="15" hidden="false" customHeight="false" outlineLevel="0" collapsed="false">
      <c r="A74" s="11" t="s">
        <v>347</v>
      </c>
      <c r="C74" s="10" t="n">
        <f aca="false">历史现金流量表!E24+C73</f>
        <v>33.6009999999999</v>
      </c>
      <c r="D74" s="10" t="n">
        <f aca="false">历史现金流量表!F24+D73</f>
        <v>-2681.9178</v>
      </c>
      <c r="E74" s="10" t="n">
        <f aca="false">历史现金流量表!G24+E73</f>
        <v>-3229.0403</v>
      </c>
      <c r="F74" s="10" t="n">
        <f aca="false">历史现金流量表!H24+F73</f>
        <v>-714.8959</v>
      </c>
      <c r="G74" s="10" t="n">
        <f aca="false">历史现金流量表!I24+G73</f>
        <v>-244.2684</v>
      </c>
      <c r="H74" s="58" t="n">
        <f aca="false">-(H42-G42)-(H52-G52)-(H51-G51)</f>
        <v>-0</v>
      </c>
      <c r="I74" s="58" t="n">
        <f aca="false">-(I42-H42)-(I52-H52)-(I51-H51)</f>
        <v>-0</v>
      </c>
      <c r="J74" s="58" t="n">
        <f aca="false">-(J42-I42)-(J52-I52)-(J51-I51)</f>
        <v>-0</v>
      </c>
      <c r="K74" s="58" t="n">
        <f aca="false">-(K42-J42)-(K52-J52)-(K51-J51)</f>
        <v>-0</v>
      </c>
      <c r="L74" s="58" t="n">
        <f aca="false">-(L42-K42)-(L52-K52)-(L51-K51)</f>
        <v>-0</v>
      </c>
    </row>
    <row r="75" customFormat="false" ht="15" hidden="false" customHeight="false" outlineLevel="0" collapsed="false">
      <c r="A75" s="9" t="s">
        <v>348</v>
      </c>
      <c r="C75" s="21" t="n">
        <f aca="false">历史现金流量表!E24</f>
        <v>-1876.7642</v>
      </c>
      <c r="D75" s="21" t="n">
        <f aca="false">历史现金流量表!F24</f>
        <v>-3806.7269</v>
      </c>
      <c r="E75" s="21" t="n">
        <f aca="false">历史现金流量表!G24</f>
        <v>-3774.925</v>
      </c>
      <c r="F75" s="21" t="n">
        <f aca="false">历史现金流量表!H24</f>
        <v>-1353.9311</v>
      </c>
      <c r="G75" s="21" t="n">
        <f aca="false">历史现金流量表!I24</f>
        <v>-824.3604</v>
      </c>
      <c r="H75" s="57" t="n">
        <f aca="false">-H73+H74</f>
        <v>-1800</v>
      </c>
      <c r="I75" s="57" t="n">
        <f aca="false">-I73+I74</f>
        <v>-2500</v>
      </c>
      <c r="J75" s="57" t="n">
        <f aca="false">-J73+J74</f>
        <v>-2200</v>
      </c>
      <c r="K75" s="57" t="n">
        <f aca="false">-K73+K74</f>
        <v>-1800</v>
      </c>
      <c r="L75" s="57" t="n">
        <f aca="false">-L73+L74</f>
        <v>-1500</v>
      </c>
    </row>
    <row r="76" customFormat="false" ht="15" hidden="false" customHeight="false" outlineLevel="0" collapsed="false">
      <c r="A76" s="11" t="s">
        <v>349</v>
      </c>
      <c r="C76" s="10" t="n">
        <f aca="false">历史现金流量表!E31</f>
        <v>454.2265</v>
      </c>
      <c r="D76" s="10" t="n">
        <f aca="false">历史现金流量表!F31</f>
        <v>617.7758</v>
      </c>
      <c r="E76" s="10" t="n">
        <f aca="false">历史现金流量表!G31</f>
        <v>489.9347</v>
      </c>
      <c r="F76" s="10" t="n">
        <f aca="false">历史现金流量表!H31</f>
        <v>553.6596</v>
      </c>
      <c r="G76" s="10" t="n">
        <f aca="false">历史现金流量表!I31</f>
        <v>726.6256</v>
      </c>
      <c r="H76" s="56" t="n">
        <f aca="false">股本与每股!H12</f>
        <v>860.11</v>
      </c>
      <c r="I76" s="56" t="n">
        <f aca="false">股本与每股!I12</f>
        <v>1386.64794747369</v>
      </c>
      <c r="J76" s="56" t="n">
        <f aca="false">股本与每股!J12</f>
        <v>1802.02005543722</v>
      </c>
      <c r="K76" s="56" t="n">
        <f aca="false">股本与每股!K12</f>
        <v>1987.8425012042</v>
      </c>
      <c r="L76" s="56" t="n">
        <f aca="false">股本与每股!L12</f>
        <v>2117.75516700943</v>
      </c>
    </row>
    <row r="77" customFormat="false" ht="15" hidden="false" customHeight="false" outlineLevel="0" collapsed="false">
      <c r="A77" s="11" t="s">
        <v>350</v>
      </c>
      <c r="C77" s="48" t="n">
        <f aca="false">0</f>
        <v>0</v>
      </c>
      <c r="D77" s="48" t="n">
        <f aca="false">0</f>
        <v>0</v>
      </c>
      <c r="E77" s="48" t="n">
        <f aca="false">0</f>
        <v>0</v>
      </c>
      <c r="F77" s="48" t="n">
        <f aca="false">0</f>
        <v>0</v>
      </c>
      <c r="G77" s="10" t="n">
        <f aca="false">股本与每股!G8</f>
        <v>175.42</v>
      </c>
      <c r="H77" s="56" t="n">
        <f aca="false">股本与每股!H8</f>
        <v>1645</v>
      </c>
      <c r="I77" s="56" t="n">
        <f aca="false">股本与每股!I8</f>
        <v>0</v>
      </c>
      <c r="J77" s="56" t="n">
        <f aca="false">股本与每股!J8</f>
        <v>0</v>
      </c>
      <c r="K77" s="56" t="n">
        <f aca="false">股本与每股!K8</f>
        <v>0</v>
      </c>
      <c r="L77" s="56" t="n">
        <f aca="false">股本与每股!L8</f>
        <v>0</v>
      </c>
    </row>
    <row r="78" customFormat="false" ht="15" hidden="false" customHeight="false" outlineLevel="0" collapsed="false">
      <c r="A78" s="4" t="s">
        <v>351</v>
      </c>
      <c r="C78" s="48" t="n">
        <f aca="false">0</f>
        <v>0</v>
      </c>
      <c r="D78" s="48" t="n">
        <f aca="false">0</f>
        <v>0</v>
      </c>
      <c r="E78" s="48" t="n">
        <f aca="false">0</f>
        <v>0</v>
      </c>
      <c r="F78" s="48" t="n">
        <f aca="false">0</f>
        <v>0</v>
      </c>
      <c r="G78" s="48" t="n">
        <f aca="false">0</f>
        <v>0</v>
      </c>
      <c r="H78" s="56" t="n">
        <f aca="false">股本与每股!H6</f>
        <v>7178.204006415</v>
      </c>
      <c r="I78" s="56" t="n">
        <f aca="false">股本与每股!I6</f>
        <v>0</v>
      </c>
      <c r="J78" s="56" t="n">
        <f aca="false">股本与每股!J6</f>
        <v>0</v>
      </c>
      <c r="K78" s="56" t="n">
        <f aca="false">股本与每股!K6</f>
        <v>0</v>
      </c>
      <c r="L78" s="56" t="n">
        <f aca="false">股本与每股!L6</f>
        <v>0</v>
      </c>
    </row>
    <row r="79" customFormat="false" ht="15" hidden="false" customHeight="false" outlineLevel="0" collapsed="false">
      <c r="A79" s="11" t="s">
        <v>352</v>
      </c>
      <c r="C79" s="10" t="n">
        <f aca="false">历史现金流量表!E35+C76+C77-C78</f>
        <v>3782.3355</v>
      </c>
      <c r="D79" s="10" t="n">
        <f aca="false">历史现金流量表!F35+D76+D77-D78</f>
        <v>-11.1512</v>
      </c>
      <c r="E79" s="10" t="n">
        <f aca="false">历史现金流量表!G35+E76+E77-E78</f>
        <v>643.8705</v>
      </c>
      <c r="F79" s="10" t="n">
        <f aca="false">历史现金流量表!H35+F76+F77-F78</f>
        <v>-651.8675</v>
      </c>
      <c r="G79" s="10" t="n">
        <f aca="false">历史现金流量表!I35+G76+G77-G78</f>
        <v>8.36499999999992</v>
      </c>
      <c r="H79" s="58" t="n">
        <f aca="false">(H55-G55)+(H58-G58)</f>
        <v>0</v>
      </c>
      <c r="I79" s="58" t="n">
        <f aca="false">(I55-H55)+(I58-H58)</f>
        <v>0</v>
      </c>
      <c r="J79" s="58" t="n">
        <f aca="false">(J55-I55)+(J58-I58)</f>
        <v>0</v>
      </c>
      <c r="K79" s="58" t="n">
        <f aca="false">(K55-J55)+(K58-J58)</f>
        <v>0</v>
      </c>
      <c r="L79" s="58" t="n">
        <f aca="false">(L55-K55)+(L58-K58)</f>
        <v>0</v>
      </c>
    </row>
    <row r="80" customFormat="false" ht="15" hidden="false" customHeight="false" outlineLevel="0" collapsed="false">
      <c r="A80" s="9" t="s">
        <v>353</v>
      </c>
      <c r="C80" s="21" t="n">
        <f aca="false">历史现金流量表!E35</f>
        <v>3328.109</v>
      </c>
      <c r="D80" s="21" t="n">
        <f aca="false">历史现金流量表!F35</f>
        <v>-628.927</v>
      </c>
      <c r="E80" s="21" t="n">
        <f aca="false">历史现金流量表!G35</f>
        <v>153.9358</v>
      </c>
      <c r="F80" s="21" t="n">
        <f aca="false">历史现金流量表!H35</f>
        <v>-1205.5271</v>
      </c>
      <c r="G80" s="21" t="n">
        <f aca="false">历史现金流量表!I35</f>
        <v>-893.6806</v>
      </c>
      <c r="H80" s="57" t="n">
        <f aca="false">-H76-H77+H78+H79</f>
        <v>4673.094006415</v>
      </c>
      <c r="I80" s="57" t="n">
        <f aca="false">-I76-I77+I78+I79</f>
        <v>-1386.64794747369</v>
      </c>
      <c r="J80" s="57" t="n">
        <f aca="false">-J76-J77+J78+J79</f>
        <v>-1802.02005543722</v>
      </c>
      <c r="K80" s="57" t="n">
        <f aca="false">-K76-K77+K78+K79</f>
        <v>-1987.8425012042</v>
      </c>
      <c r="L80" s="57" t="n">
        <f aca="false">-L76-L77+L78+L79</f>
        <v>-2117.75516700943</v>
      </c>
    </row>
    <row r="81" customFormat="false" ht="15" hidden="false" customHeight="false" outlineLevel="0" collapsed="false">
      <c r="A81" s="11" t="s">
        <v>354</v>
      </c>
      <c r="C81" s="10" t="n">
        <f aca="false">历史现金流量表!E36</f>
        <v>-8.1464</v>
      </c>
      <c r="D81" s="10" t="n">
        <f aca="false">历史现金流量表!F36</f>
        <v>9.9994</v>
      </c>
      <c r="E81" s="10" t="n">
        <f aca="false">历史现金流量表!G36</f>
        <v>7.436</v>
      </c>
      <c r="F81" s="10" t="n">
        <f aca="false">历史现金流量表!H36</f>
        <v>-0.4631</v>
      </c>
      <c r="G81" s="10" t="n">
        <f aca="false">历史现金流量表!I36</f>
        <v>-14.4299</v>
      </c>
      <c r="H81" s="58" t="n">
        <f aca="false">0</f>
        <v>0</v>
      </c>
      <c r="I81" s="58" t="n">
        <f aca="false">0</f>
        <v>0</v>
      </c>
      <c r="J81" s="58" t="n">
        <f aca="false">0</f>
        <v>0</v>
      </c>
      <c r="K81" s="58" t="n">
        <f aca="false">0</f>
        <v>0</v>
      </c>
      <c r="L81" s="58" t="n">
        <f aca="false">0</f>
        <v>0</v>
      </c>
    </row>
    <row r="82" customFormat="false" ht="15" hidden="false" customHeight="false" outlineLevel="0" collapsed="false">
      <c r="A82" s="9" t="s">
        <v>355</v>
      </c>
      <c r="C82" s="50" t="n">
        <f aca="false">C72+C75+C80+C81</f>
        <v>2597.5206</v>
      </c>
      <c r="D82" s="50" t="n">
        <f aca="false">D72+D75+D80+D81</f>
        <v>-2351.7809</v>
      </c>
      <c r="E82" s="50" t="n">
        <f aca="false">E72+E75+E80+E81</f>
        <v>-1894.5852</v>
      </c>
      <c r="F82" s="50" t="n">
        <f aca="false">F72+F75+F80+F81</f>
        <v>-156.799</v>
      </c>
      <c r="G82" s="50" t="n">
        <f aca="false">G72+G75+G80+G81</f>
        <v>1145.1382</v>
      </c>
      <c r="H82" s="57" t="n">
        <f aca="false">H72+H75+H80+H81</f>
        <v>6556.60201354179</v>
      </c>
      <c r="I82" s="57" t="n">
        <f aca="false">I72+I75+I80+I81</f>
        <v>1261.12257335837</v>
      </c>
      <c r="J82" s="57" t="n">
        <f aca="false">J72+J75+J80+J81</f>
        <v>2362.55104832855</v>
      </c>
      <c r="K82" s="57" t="n">
        <f aca="false">K72+K75+K80+K81</f>
        <v>3283.47988316197</v>
      </c>
      <c r="L82" s="57" t="n">
        <f aca="false">L72+L75+L80+L81</f>
        <v>4150.44462583869</v>
      </c>
    </row>
    <row r="83" customFormat="false" ht="15" hidden="false" customHeight="false" outlineLevel="0" collapsed="false">
      <c r="A83" s="9" t="s">
        <v>356</v>
      </c>
      <c r="C83" s="50" t="n">
        <f aca="false">C72-C73</f>
        <v>-756.043</v>
      </c>
      <c r="D83" s="50" t="n">
        <f aca="false">D72-D73</f>
        <v>949.0645</v>
      </c>
      <c r="E83" s="50" t="n">
        <f aca="false">E72-E73</f>
        <v>1173.0833</v>
      </c>
      <c r="F83" s="50" t="n">
        <f aca="false">F72-F73</f>
        <v>1764.0871</v>
      </c>
      <c r="G83" s="50" t="n">
        <f aca="false">G72-G73</f>
        <v>2297.5171</v>
      </c>
      <c r="H83" s="57" t="n">
        <f aca="false">H72-H73</f>
        <v>1883.50800712679</v>
      </c>
      <c r="I83" s="57" t="n">
        <f aca="false">I72-I73</f>
        <v>2647.77052083206</v>
      </c>
      <c r="J83" s="57" t="n">
        <f aca="false">J72-J73</f>
        <v>4164.57110376577</v>
      </c>
      <c r="K83" s="57" t="n">
        <f aca="false">K72-K73</f>
        <v>5271.32238436617</v>
      </c>
      <c r="L83" s="57" t="n">
        <f aca="false">L72-L73</f>
        <v>6268.19979284811</v>
      </c>
    </row>
    <row r="84" customFormat="false" ht="15" hidden="false" customHeight="false" outlineLevel="0" collapsed="false">
      <c r="A84" s="11" t="s">
        <v>357</v>
      </c>
      <c r="C84" s="10" t="n">
        <f aca="false">ROUND(C82-历史现金流量表!E37,3)</f>
        <v>0</v>
      </c>
      <c r="D84" s="10" t="n">
        <f aca="false">ROUND(D82-历史现金流量表!F37,3)</f>
        <v>0</v>
      </c>
      <c r="E84" s="10" t="n">
        <f aca="false">ROUND(E82-历史现金流量表!G37,3)</f>
        <v>0</v>
      </c>
      <c r="F84" s="10" t="n">
        <f aca="false">ROUND(F82-历史现金流量表!H37,3)</f>
        <v>0</v>
      </c>
      <c r="G84" s="10" t="n">
        <f aca="false">ROUND(G82-历史现金流量表!I37,3)</f>
        <v>0</v>
      </c>
    </row>
    <row r="85" customFormat="false" ht="15" hidden="false" customHeight="false" outlineLevel="0" collapsed="false">
      <c r="A85" s="5" t="s">
        <v>358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customFormat="false" ht="15" hidden="false" customHeight="false" outlineLevel="0" collapsed="false">
      <c r="A86" s="4" t="s">
        <v>359</v>
      </c>
      <c r="C86" s="51" t="n">
        <f aca="false">IFERROR(C29/C60,0)</f>
        <v>0.124198558536599</v>
      </c>
      <c r="D86" s="51" t="n">
        <f aca="false">IFERROR(D29/D60,0)</f>
        <v>0.0879961825704089</v>
      </c>
      <c r="E86" s="51" t="n">
        <f aca="false">IFERROR(E29/E60,0)</f>
        <v>0.0867091902738991</v>
      </c>
      <c r="F86" s="51" t="n">
        <f aca="false">IFERROR(F29/F60,0)</f>
        <v>0.110260759984515</v>
      </c>
      <c r="G86" s="51" t="n">
        <f aca="false">IFERROR(G29/G60,0)</f>
        <v>0.120892608100594</v>
      </c>
      <c r="H86" s="55" t="n">
        <f aca="false">IFERROR(H29/H60,0)</f>
        <v>0.137616712216889</v>
      </c>
      <c r="I86" s="55" t="n">
        <f aca="false">IFERROR(I29/I60,0)</f>
        <v>0.157787007734401</v>
      </c>
      <c r="J86" s="55" t="n">
        <f aca="false">IFERROR(J29/J60,0)</f>
        <v>0.155133406944677</v>
      </c>
      <c r="K86" s="55" t="n">
        <f aca="false">IFERROR(K29/K60,0)</f>
        <v>0.148348631934398</v>
      </c>
      <c r="L86" s="55" t="n">
        <f aca="false">IFERROR(L29/L60,0)</f>
        <v>0.141157862990409</v>
      </c>
    </row>
    <row r="87" customFormat="false" ht="15" hidden="false" customHeight="false" outlineLevel="0" collapsed="false">
      <c r="A87" s="4" t="s">
        <v>360</v>
      </c>
      <c r="D87" s="51" t="n">
        <f aca="false">IFERROR(D29/AVERAGE(C60,D60),0)</f>
        <v>0.0903999607665615</v>
      </c>
      <c r="E87" s="51" t="n">
        <f aca="false">IFERROR(E29/AVERAGE(D60,E60),0)</f>
        <v>0.0894909327380109</v>
      </c>
      <c r="F87" s="51" t="n">
        <f aca="false">IFERROR(F29/AVERAGE(E60,F60),0)</f>
        <v>0.114986386868264</v>
      </c>
      <c r="G87" s="51" t="n">
        <f aca="false">IFERROR(G29/AVERAGE(F60,G60),0)</f>
        <v>0.126111690004232</v>
      </c>
      <c r="H87" s="55" t="n">
        <f aca="false">IFERROR(H29/AVERAGE(G60,H60),0)</f>
        <v>0.161017669273953</v>
      </c>
      <c r="I87" s="55" t="n">
        <f aca="false">IFERROR(I29/AVERAGE(H60,I60),0)</f>
        <v>0.167655152392111</v>
      </c>
      <c r="J87" s="55" t="n">
        <f aca="false">IFERROR(J29/AVERAGE(I60,J60),0)</f>
        <v>0.164051663227509</v>
      </c>
      <c r="K87" s="55" t="n">
        <f aca="false">IFERROR(K29/AVERAGE(J60,K60),0)</f>
        <v>0.156353683084181</v>
      </c>
      <c r="L87" s="55" t="n">
        <f aca="false">IFERROR(L29/AVERAGE(K60,L60),0)</f>
        <v>0.148349003439257</v>
      </c>
    </row>
    <row r="88" customFormat="false" ht="15" hidden="false" customHeight="false" outlineLevel="0" collapsed="false">
      <c r="A88" s="4" t="s">
        <v>361</v>
      </c>
      <c r="C88" s="51" t="n">
        <f aca="false">IFERROR(C27/C54,0)</f>
        <v>0.108126034875751</v>
      </c>
      <c r="D88" s="51" t="n">
        <f aca="false">IFERROR(D27/D54,0)</f>
        <v>0.0768679758852796</v>
      </c>
      <c r="E88" s="51" t="n">
        <f aca="false">IFERROR(E27/E54,0)</f>
        <v>0.07253186238946</v>
      </c>
      <c r="F88" s="51" t="n">
        <f aca="false">IFERROR(F27/F54,0)</f>
        <v>0.0915810186260524</v>
      </c>
      <c r="G88" s="51" t="n">
        <f aca="false">IFERROR(G27/G54,0)</f>
        <v>0.0987312737216967</v>
      </c>
      <c r="H88" s="55" t="n">
        <f aca="false">IFERROR(H27/H54,0)</f>
        <v>0.114531936673462</v>
      </c>
      <c r="I88" s="55" t="n">
        <f aca="false">IFERROR(I27/I54,0)</f>
        <v>0.130714698273356</v>
      </c>
      <c r="J88" s="55" t="n">
        <f aca="false">IFERROR(J27/J54,0)</f>
        <v>0.129075214169229</v>
      </c>
      <c r="K88" s="55" t="n">
        <f aca="false">IFERROR(K27/K54,0)</f>
        <v>0.124034821891464</v>
      </c>
      <c r="L88" s="55" t="n">
        <f aca="false">IFERROR(L27/L54,0)</f>
        <v>0.11894714409404</v>
      </c>
    </row>
    <row r="89" customFormat="false" ht="15" hidden="false" customHeight="false" outlineLevel="0" collapsed="false">
      <c r="A89" s="4" t="s">
        <v>362</v>
      </c>
      <c r="C89" s="12" t="n">
        <f aca="false">IFERROR(C34*(1-假设!$C$18)/(C62+C55-C41-C42-C52),0)</f>
        <v>0.235432225252527</v>
      </c>
      <c r="D89" s="12" t="n">
        <f aca="false">IFERROR(D34*(1-假设!$C$18)/(D62+D55-D41-D42-D52),0)</f>
        <v>0.140625465226701</v>
      </c>
      <c r="E89" s="12" t="n">
        <f aca="false">IFERROR(E34*(1-假设!$C$18)/(E62+E55-E41-E42-E52),0)</f>
        <v>0.152492358918982</v>
      </c>
      <c r="F89" s="12" t="n">
        <f aca="false">IFERROR(F34*(1-假设!$C$18)/(F62+F55-F41-F42-F52),0)</f>
        <v>0.214198682766013</v>
      </c>
      <c r="G89" s="12" t="n">
        <f aca="false">IFERROR(G34*(1-假设!$C$18)/(G62+G55-G41-G42-G52),0)</f>
        <v>0.256384611478841</v>
      </c>
      <c r="H89" s="60" t="n">
        <f aca="false">IFERROR(H34*(1-假设!$C$18)/(H62+H55-H41-H42-H52),0)</f>
        <v>0.337233105108988</v>
      </c>
      <c r="I89" s="60" t="n">
        <f aca="false">IFERROR(I34*(1-假设!$C$18)/(I62+I55-I41-I42-I52),0)</f>
        <v>0.351663682695526</v>
      </c>
      <c r="J89" s="60" t="n">
        <f aca="false">IFERROR(J34*(1-假设!$C$18)/(J62+J55-J41-J42-J52),0)</f>
        <v>0.345727209456947</v>
      </c>
      <c r="K89" s="60" t="n">
        <f aca="false">IFERROR(K34*(1-假设!$C$18)/(K62+K55-K41-K42-K52),0)</f>
        <v>0.34431293205516</v>
      </c>
      <c r="L89" s="60" t="n">
        <f aca="false">IFERROR(L34*(1-假设!$C$18)/(L62+L55-L41-L42-L52),0)</f>
        <v>0.351090044578307</v>
      </c>
    </row>
    <row r="90" customFormat="false" ht="15" hidden="false" customHeight="false" outlineLevel="0" collapsed="false">
      <c r="A90" s="11" t="s">
        <v>363</v>
      </c>
      <c r="C90" s="61" t="n">
        <f aca="false">IFERROR(C43/C6*365,0)</f>
        <v>133.650427578328</v>
      </c>
      <c r="D90" s="61" t="n">
        <f aca="false">IFERROR(D43/D6*365,0)</f>
        <v>121.562703707504</v>
      </c>
      <c r="E90" s="61" t="n">
        <f aca="false">IFERROR(E43/E6*365,0)</f>
        <v>143.998388422908</v>
      </c>
      <c r="F90" s="61" t="n">
        <f aca="false">IFERROR(F43/F6*365,0)</f>
        <v>132.950967952394</v>
      </c>
      <c r="G90" s="61" t="n">
        <f aca="false">IFERROR(G43/G6*365,0)</f>
        <v>132.102929927732</v>
      </c>
      <c r="H90" s="62" t="n">
        <f aca="false">IFERROR(H43/H6*365,0)</f>
        <v>130</v>
      </c>
      <c r="I90" s="62" t="n">
        <f aca="false">IFERROR(I43/I6*365,0)</f>
        <v>130</v>
      </c>
      <c r="J90" s="62" t="n">
        <f aca="false">IFERROR(J43/J6*365,0)</f>
        <v>128</v>
      </c>
      <c r="K90" s="62" t="n">
        <f aca="false">IFERROR(K43/K6*365,0)</f>
        <v>128</v>
      </c>
      <c r="L90" s="62" t="n">
        <f aca="false">IFERROR(L43/L6*365,0)</f>
        <v>125</v>
      </c>
    </row>
    <row r="91" customFormat="false" ht="15" hidden="false" customHeight="false" outlineLevel="0" collapsed="false">
      <c r="A91" s="11" t="s">
        <v>364</v>
      </c>
      <c r="C91" s="61" t="n">
        <f aca="false">IFERROR(C46/C8*365,0)</f>
        <v>205.785515938365</v>
      </c>
      <c r="D91" s="61" t="n">
        <f aca="false">IFERROR(D46/D8*365,0)</f>
        <v>239.144873665754</v>
      </c>
      <c r="E91" s="61" t="n">
        <f aca="false">IFERROR(E46/E8*365,0)</f>
        <v>185.766258188617</v>
      </c>
      <c r="F91" s="61" t="n">
        <f aca="false">IFERROR(F46/F8*365,0)</f>
        <v>189.295005567006</v>
      </c>
      <c r="G91" s="61" t="n">
        <f aca="false">IFERROR(G46/G8*365,0)</f>
        <v>167.501648434924</v>
      </c>
      <c r="H91" s="62" t="n">
        <f aca="false">IFERROR(H46/H8*365,0)</f>
        <v>150</v>
      </c>
      <c r="I91" s="62" t="n">
        <f aca="false">IFERROR(I46/I8*365,0)</f>
        <v>150</v>
      </c>
      <c r="J91" s="62" t="n">
        <f aca="false">IFERROR(J46/J8*365,0)</f>
        <v>150</v>
      </c>
      <c r="K91" s="62" t="n">
        <f aca="false">IFERROR(K46/K8*365,0)</f>
        <v>148</v>
      </c>
      <c r="L91" s="62" t="n">
        <f aca="false">IFERROR(L46/L8*365,0)</f>
        <v>148</v>
      </c>
    </row>
    <row r="92" customFormat="false" ht="15" hidden="false" customHeight="false" outlineLevel="0" collapsed="false">
      <c r="A92" s="11" t="s">
        <v>365</v>
      </c>
      <c r="C92" s="61" t="n">
        <f aca="false">IFERROR(C56/C8*365,0)</f>
        <v>95.0950284315801</v>
      </c>
      <c r="D92" s="61" t="n">
        <f aca="false">IFERROR(D56/D8*365,0)</f>
        <v>80.5308579387378</v>
      </c>
      <c r="E92" s="61" t="n">
        <f aca="false">IFERROR(E56/E8*365,0)</f>
        <v>103.889772513656</v>
      </c>
      <c r="F92" s="61" t="n">
        <f aca="false">IFERROR(F56/F8*365,0)</f>
        <v>112.437871291762</v>
      </c>
      <c r="G92" s="61" t="n">
        <f aca="false">IFERROR(G56/G8*365,0)</f>
        <v>135.024330544507</v>
      </c>
      <c r="H92" s="62" t="n">
        <f aca="false">IFERROR(H56/H8*365,0)</f>
        <v>130</v>
      </c>
      <c r="I92" s="62" t="n">
        <f aca="false">IFERROR(I56/I8*365,0)</f>
        <v>128</v>
      </c>
      <c r="J92" s="62" t="n">
        <f aca="false">IFERROR(J56/J8*365,0)</f>
        <v>125</v>
      </c>
      <c r="K92" s="62" t="n">
        <f aca="false">IFERROR(K56/K8*365,0)</f>
        <v>125</v>
      </c>
      <c r="L92" s="62" t="n">
        <f aca="false">IFERROR(L56/L8*365,0)</f>
        <v>125</v>
      </c>
    </row>
    <row r="93" customFormat="false" ht="15" hidden="false" customHeight="false" outlineLevel="0" collapsed="false">
      <c r="A93" s="9" t="s">
        <v>366</v>
      </c>
      <c r="C93" s="21" t="n">
        <f aca="false">C41+C42+C52*假设!$C$30-C55</f>
        <v>8329.99273</v>
      </c>
      <c r="D93" s="21" t="n">
        <f aca="false">D41+D42+D52*假设!$C$30-D55</f>
        <v>8626.10007</v>
      </c>
      <c r="E93" s="21" t="n">
        <f aca="false">E41+E42+E52*假设!$C$30-E55</f>
        <v>9283.95837</v>
      </c>
      <c r="F93" s="21" t="n">
        <f aca="false">F41+F42+F52*假设!$C$30-F55</f>
        <v>10301.65809</v>
      </c>
      <c r="G93" s="21" t="n">
        <f aca="false">G41+G42+G52*假设!$C$30-G55</f>
        <v>11544.36287</v>
      </c>
      <c r="H93" s="54" t="n">
        <f aca="false">H41+H42+H52*假设!$C$30-H55</f>
        <v>18100.9648835418</v>
      </c>
      <c r="I93" s="54" t="n">
        <f aca="false">I41+I42+I52*假设!$C$30-I55</f>
        <v>19362.0874569002</v>
      </c>
      <c r="J93" s="54" t="n">
        <f aca="false">J41+J42+J52*假设!$C$30-J55</f>
        <v>21724.6385052287</v>
      </c>
      <c r="K93" s="54" t="n">
        <f aca="false">K41+K42+K52*假设!$C$30-K55</f>
        <v>25008.1183883907</v>
      </c>
      <c r="L93" s="54" t="n">
        <f aca="false">L41+L42+L52*假设!$C$30-L55</f>
        <v>29158.5630142294</v>
      </c>
    </row>
    <row r="94" customFormat="false" ht="15" hidden="false" customHeight="false" outlineLevel="0" collapsed="false">
      <c r="A94" s="11" t="s">
        <v>367</v>
      </c>
      <c r="C94" s="51" t="n">
        <f aca="false">IFERROR(C73/C6,0)</f>
        <v>0.307229381853645</v>
      </c>
      <c r="D94" s="51" t="n">
        <f aca="false">IFERROR(D73/D6,0)</f>
        <v>0.218435538413321</v>
      </c>
      <c r="E94" s="51" t="n">
        <f aca="false">IFERROR(E73/E6,0)</f>
        <v>0.0953229252822115</v>
      </c>
      <c r="F94" s="51" t="n">
        <f aca="false">IFERROR(F73/F6,0)</f>
        <v>0.0866489487688581</v>
      </c>
      <c r="G94" s="51" t="n">
        <f aca="false">IFERROR(G73/G6,0)</f>
        <v>0.06440347377655</v>
      </c>
      <c r="H94" s="55" t="n">
        <f aca="false">IFERROR(H73/H6,0)</f>
        <v>0.131242285642248</v>
      </c>
      <c r="I94" s="55" t="n">
        <f aca="false">IFERROR(I73/I6,0)</f>
        <v>0.144558440431489</v>
      </c>
      <c r="J94" s="55" t="n">
        <f aca="false">IFERROR(J73/J6,0)</f>
        <v>0.111864060934926</v>
      </c>
      <c r="K94" s="55" t="n">
        <f aca="false">IFERROR(K73/K6,0)</f>
        <v>0.0833536327030595</v>
      </c>
      <c r="L94" s="55" t="n">
        <f aca="false">IFERROR(L73/L6,0)</f>
        <v>0.0651838547254494</v>
      </c>
    </row>
    <row r="95" customFormat="false" ht="15" hidden="false" customHeight="false" outlineLevel="0" collapsed="false">
      <c r="A95" s="11" t="s">
        <v>368</v>
      </c>
      <c r="D95" s="51" t="n">
        <f aca="false">IFERROR(D76/C29,0)</f>
        <v>0.307227107065978</v>
      </c>
      <c r="E95" s="51" t="n">
        <f aca="false">IFERROR(E76/D29,0)</f>
        <v>0.325601612540922</v>
      </c>
      <c r="F95" s="51" t="n">
        <f aca="false">IFERROR(F76/E29,0)</f>
        <v>0.350198970794045</v>
      </c>
      <c r="G95" s="51" t="n">
        <f aca="false">IFERROR(G76/F29,0)</f>
        <v>0.331724470031079</v>
      </c>
      <c r="H95" s="55" t="n">
        <f aca="false">IFERROR(H76/G29,0)</f>
        <v>0.328488882016117</v>
      </c>
      <c r="I95" s="55" t="n">
        <f aca="false">IFERROR(I76/H29,0)</f>
        <v>0.33</v>
      </c>
      <c r="J95" s="55" t="n">
        <f aca="false">IFERROR(J76/I29,0)</f>
        <v>0.33</v>
      </c>
      <c r="K95" s="55" t="n">
        <f aca="false">IFERROR(K76/J29,0)</f>
        <v>0.33</v>
      </c>
      <c r="L95" s="55" t="n">
        <f aca="false">IFERROR(L76/K29,0)</f>
        <v>0.33</v>
      </c>
    </row>
    <row r="96" customFormat="false" ht="15" hidden="false" customHeight="false" outlineLevel="0" collapsed="false">
      <c r="A96" s="11" t="s">
        <v>369</v>
      </c>
      <c r="C96" s="14" t="n">
        <f aca="false">IFERROR(C60/股本与每股!C11,0)</f>
        <v>8.44785745338755</v>
      </c>
      <c r="D96" s="14" t="n">
        <f aca="false">IFERROR(D60/股本与每股!D11,0)</f>
        <v>8.92235693027726</v>
      </c>
      <c r="E96" s="14" t="n">
        <f aca="false">IFERROR(E60/股本与每股!E11,0)</f>
        <v>9.51381299859868</v>
      </c>
      <c r="F96" s="14" t="n">
        <f aca="false">IFERROR(F60/股本与每股!F11,0)</f>
        <v>10.3658274728726</v>
      </c>
      <c r="G96" s="14" t="n">
        <f aca="false">IFERROR(G60/股本与每股!G11,0)</f>
        <v>11.3315748131939</v>
      </c>
      <c r="H96" s="63" t="n">
        <f aca="false">IFERROR(H60/股本与每股!H11,0)</f>
        <v>15.4467990557672</v>
      </c>
      <c r="I96" s="63" t="n">
        <f aca="false">IFERROR(I60/股本与每股!I11,0)</f>
        <v>17.5078106726813</v>
      </c>
      <c r="J96" s="63" t="n">
        <f aca="false">IFERROR(J60/股本与每股!J11,0)</f>
        <v>19.6435557281491</v>
      </c>
      <c r="K96" s="63" t="n">
        <f aca="false">IFERROR(K60/股本与每股!K11,0)</f>
        <v>21.884451499631</v>
      </c>
      <c r="L96" s="63" t="n">
        <f aca="false">IFERROR(L60/股本与每股!L11,0)</f>
        <v>24.2339030857296</v>
      </c>
    </row>
    <row r="97" customFormat="false" ht="15" hidden="false" customHeight="false" outlineLevel="0" collapsed="false">
      <c r="A97" s="4" t="s">
        <v>370</v>
      </c>
      <c r="C97" s="15" t="n">
        <f aca="false">IFERROR(假设!$C$6/C32,0)</f>
        <v>112.941933375406</v>
      </c>
      <c r="D97" s="15" t="n">
        <f aca="false">IFERROR(假设!$C$6/D32,0)</f>
        <v>150.929775293978</v>
      </c>
      <c r="E97" s="15" t="n">
        <f aca="false">IFERROR(假设!$C$6/E32,0)</f>
        <v>143.647677584138</v>
      </c>
      <c r="F97" s="15" t="n">
        <f aca="false">IFERROR(假设!$C$6/F32,0)</f>
        <v>103.679618985686</v>
      </c>
      <c r="G97" s="15" t="n">
        <f aca="false">IFERROR(假设!$C$6/G32,0)</f>
        <v>86.5024350186006</v>
      </c>
      <c r="H97" s="64" t="n">
        <f aca="false">IFERROR(假设!$C$6/H32,0)</f>
        <v>55.7453537102082</v>
      </c>
      <c r="I97" s="64" t="n">
        <f aca="false">IFERROR(假设!$C$6/I32,0)</f>
        <v>42.8958490612915</v>
      </c>
      <c r="J97" s="64" t="n">
        <f aca="false">IFERROR(假设!$C$6/J32,0)</f>
        <v>38.885968207556</v>
      </c>
      <c r="K97" s="64" t="n">
        <f aca="false">IFERROR(假设!$C$6/K32,0)</f>
        <v>36.50052730723</v>
      </c>
      <c r="L97" s="64" t="n">
        <f aca="false">IFERROR(假设!$C$6/L32,0)</f>
        <v>34.6409591737525</v>
      </c>
    </row>
    <row r="98" customFormat="false" ht="15" hidden="false" customHeight="false" outlineLevel="0" collapsed="false">
      <c r="A98" s="4" t="s">
        <v>371</v>
      </c>
      <c r="C98" s="15" t="n">
        <f aca="false">IFERROR(假设!$C$6/C96,0)</f>
        <v>14.027225323562</v>
      </c>
      <c r="D98" s="15" t="n">
        <f aca="false">IFERROR(假设!$C$6/D96,0)</f>
        <v>13.2812440620796</v>
      </c>
      <c r="E98" s="15" t="n">
        <f aca="false">IFERROR(假设!$C$6/E96,0)</f>
        <v>12.4555738080467</v>
      </c>
      <c r="F98" s="15" t="n">
        <f aca="false">IFERROR(假设!$C$6/F96,0)</f>
        <v>11.4317935842666</v>
      </c>
      <c r="G98" s="15" t="n">
        <f aca="false">IFERROR(假设!$C$6/G96,0)</f>
        <v>10.4575049764508</v>
      </c>
      <c r="H98" s="64" t="n">
        <f aca="false">IFERROR(假设!$C$6/H96,0)</f>
        <v>7.67149229896641</v>
      </c>
      <c r="I98" s="64" t="n">
        <f aca="false">IFERROR(假设!$C$6/I96,0)</f>
        <v>6.76840766760772</v>
      </c>
      <c r="J98" s="64" t="n">
        <f aca="false">IFERROR(假设!$C$6/J96,0)</f>
        <v>6.03251273038058</v>
      </c>
      <c r="K98" s="64" t="n">
        <f aca="false">IFERROR(假设!$C$6/K96,0)</f>
        <v>5.41480329091172</v>
      </c>
      <c r="L98" s="64" t="n">
        <f aca="false">IFERROR(假设!$C$6/L96,0)</f>
        <v>4.88984376890489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12" min="3" style="0" width="11"/>
  </cols>
  <sheetData>
    <row r="1" customFormat="false" ht="21.6" hidden="false" customHeight="false" outlineLevel="0" collapsed="false">
      <c r="A1" s="1" t="s">
        <v>372</v>
      </c>
    </row>
    <row r="2" customFormat="false" ht="15" hidden="false" customHeight="false" outlineLevel="0" collapsed="false">
      <c r="A2" s="2" t="s">
        <v>373</v>
      </c>
    </row>
    <row r="4" customFormat="false" ht="15" hidden="false" customHeight="false" outlineLevel="0" collapsed="false">
      <c r="A4" s="7" t="s">
        <v>374</v>
      </c>
      <c r="B4" s="34" t="s">
        <v>91</v>
      </c>
      <c r="C4" s="8" t="s">
        <v>92</v>
      </c>
      <c r="D4" s="8" t="s">
        <v>93</v>
      </c>
      <c r="E4" s="8" t="s">
        <v>94</v>
      </c>
      <c r="F4" s="8" t="s">
        <v>95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</row>
    <row r="5" customFormat="false" ht="15" hidden="false" customHeight="false" outlineLevel="0" collapsed="false">
      <c r="A5" s="4" t="s">
        <v>375</v>
      </c>
      <c r="B5" s="11" t="s">
        <v>376</v>
      </c>
      <c r="H5" s="10" t="n">
        <f aca="false">假设!$C$9/1000000</f>
        <v>80.2212</v>
      </c>
      <c r="I5" s="29" t="n">
        <v>0</v>
      </c>
      <c r="J5" s="29" t="n">
        <v>0</v>
      </c>
      <c r="K5" s="29" t="n">
        <v>0</v>
      </c>
      <c r="L5" s="29" t="n">
        <v>0</v>
      </c>
    </row>
    <row r="6" customFormat="false" ht="15" hidden="false" customHeight="false" outlineLevel="0" collapsed="false">
      <c r="A6" s="4" t="s">
        <v>377</v>
      </c>
      <c r="B6" s="11" t="s">
        <v>143</v>
      </c>
      <c r="H6" s="10" t="n">
        <f aca="false">假设!$C$9*假设!$C$7*假设!$C$8*(1-假设!$C$10)/1000000</f>
        <v>7178.204006415</v>
      </c>
      <c r="I6" s="29" t="n">
        <v>0</v>
      </c>
      <c r="J6" s="29" t="n">
        <v>0</v>
      </c>
      <c r="K6" s="29" t="n">
        <v>0</v>
      </c>
      <c r="L6" s="29" t="n">
        <v>0</v>
      </c>
    </row>
    <row r="7" customFormat="false" ht="15" hidden="false" customHeight="false" outlineLevel="0" collapsed="false">
      <c r="A7" s="11" t="s">
        <v>378</v>
      </c>
      <c r="B7" s="11" t="s">
        <v>376</v>
      </c>
      <c r="C7" s="29" t="n">
        <v>1916.497371</v>
      </c>
      <c r="D7" s="29" t="n">
        <v>1916.497371</v>
      </c>
      <c r="E7" s="29" t="n">
        <v>1916.497371</v>
      </c>
      <c r="F7" s="29" t="n">
        <v>1916.497371</v>
      </c>
      <c r="G7" s="10" t="n">
        <f aca="false">假设!$C$11/1000000</f>
        <v>1916.497371</v>
      </c>
      <c r="H7" s="48" t="n">
        <f aca="false">G7+H5</f>
        <v>1996.718571</v>
      </c>
      <c r="I7" s="48" t="n">
        <f aca="false">H7+I5</f>
        <v>1996.718571</v>
      </c>
      <c r="J7" s="48" t="n">
        <f aca="false">I7+J5</f>
        <v>1996.718571</v>
      </c>
      <c r="K7" s="48" t="n">
        <f aca="false">J7+K5</f>
        <v>1996.718571</v>
      </c>
      <c r="L7" s="48" t="n">
        <f aca="false">K7+L5</f>
        <v>1996.718571</v>
      </c>
    </row>
    <row r="8" customFormat="false" ht="15" hidden="false" customHeight="false" outlineLevel="0" collapsed="false">
      <c r="A8" s="11" t="s">
        <v>379</v>
      </c>
      <c r="B8" s="11" t="s">
        <v>143</v>
      </c>
      <c r="G8" s="29" t="n">
        <v>175.42</v>
      </c>
      <c r="H8" s="10" t="n">
        <f aca="false">假设!$C$14+假设!$C$15</f>
        <v>1645</v>
      </c>
      <c r="I8" s="29" t="n">
        <v>0</v>
      </c>
      <c r="J8" s="29" t="n">
        <v>0</v>
      </c>
      <c r="K8" s="29" t="n">
        <v>0</v>
      </c>
      <c r="L8" s="29" t="n">
        <v>0</v>
      </c>
    </row>
    <row r="9" customFormat="false" ht="15" hidden="false" customHeight="false" outlineLevel="0" collapsed="false">
      <c r="A9" s="11" t="s">
        <v>380</v>
      </c>
      <c r="B9" s="11" t="s">
        <v>376</v>
      </c>
      <c r="G9" s="29" t="n">
        <v>5.1338</v>
      </c>
      <c r="H9" s="10" t="n">
        <f aca="false">假设!$C$13/1000000+IFERROR(假设!$C$15/假设!$C$6,0)</f>
        <v>14.8764139240506</v>
      </c>
      <c r="I9" s="29" t="n">
        <v>0</v>
      </c>
      <c r="J9" s="29" t="n">
        <v>0</v>
      </c>
      <c r="K9" s="29" t="n">
        <v>0</v>
      </c>
      <c r="L9" s="29" t="n">
        <v>0</v>
      </c>
    </row>
    <row r="10" customFormat="false" ht="15" hidden="false" customHeight="false" outlineLevel="0" collapsed="false">
      <c r="A10" s="11" t="s">
        <v>381</v>
      </c>
      <c r="B10" s="11" t="s">
        <v>376</v>
      </c>
      <c r="C10" s="29" t="n">
        <v>0</v>
      </c>
      <c r="D10" s="29" t="n">
        <v>0</v>
      </c>
      <c r="E10" s="29" t="n">
        <v>0</v>
      </c>
      <c r="F10" s="29" t="n">
        <v>0</v>
      </c>
      <c r="G10" s="10" t="n">
        <f aca="false">假设!$C$12/1000000</f>
        <v>5.1338</v>
      </c>
      <c r="H10" s="48" t="n">
        <f aca="false">G10+H9</f>
        <v>20.0102139240506</v>
      </c>
      <c r="I10" s="48" t="n">
        <f aca="false">H10+I9</f>
        <v>20.0102139240506</v>
      </c>
      <c r="J10" s="48" t="n">
        <f aca="false">I10+J9</f>
        <v>20.0102139240506</v>
      </c>
      <c r="K10" s="48" t="n">
        <f aca="false">J10+K9</f>
        <v>20.0102139240506</v>
      </c>
      <c r="L10" s="48" t="n">
        <f aca="false">K10+L9</f>
        <v>20.0102139240506</v>
      </c>
    </row>
    <row r="11" customFormat="false" ht="15" hidden="false" customHeight="false" outlineLevel="0" collapsed="false">
      <c r="A11" s="9" t="s">
        <v>382</v>
      </c>
      <c r="B11" s="11" t="s">
        <v>376</v>
      </c>
      <c r="C11" s="50" t="n">
        <f aca="false">C7-C10</f>
        <v>1916.497371</v>
      </c>
      <c r="D11" s="50" t="n">
        <f aca="false">D7-D10</f>
        <v>1916.497371</v>
      </c>
      <c r="E11" s="50" t="n">
        <f aca="false">E7-E10</f>
        <v>1916.497371</v>
      </c>
      <c r="F11" s="50" t="n">
        <f aca="false">F7-F10</f>
        <v>1916.497371</v>
      </c>
      <c r="G11" s="50" t="n">
        <f aca="false">G7-G10</f>
        <v>1911.363571</v>
      </c>
      <c r="H11" s="50" t="n">
        <f aca="false">H7-H10</f>
        <v>1976.70835707595</v>
      </c>
      <c r="I11" s="50" t="n">
        <f aca="false">I7-I10</f>
        <v>1976.70835707595</v>
      </c>
      <c r="J11" s="50" t="n">
        <f aca="false">J7-J10</f>
        <v>1976.70835707595</v>
      </c>
      <c r="K11" s="50" t="n">
        <f aca="false">K7-K10</f>
        <v>1976.70835707595</v>
      </c>
      <c r="L11" s="50" t="n">
        <f aca="false">L7-L10</f>
        <v>1976.70835707595</v>
      </c>
    </row>
    <row r="12" customFormat="false" ht="15" hidden="false" customHeight="false" outlineLevel="0" collapsed="false">
      <c r="A12" s="11" t="s">
        <v>383</v>
      </c>
      <c r="B12" s="11" t="s">
        <v>143</v>
      </c>
      <c r="G12" s="29" t="n">
        <v>726.63</v>
      </c>
      <c r="H12" s="10" t="n">
        <f aca="false">假设!$C$16</f>
        <v>860.11</v>
      </c>
      <c r="I12" s="10" t="n">
        <f aca="false">假设!$C$17*三表预测!H29</f>
        <v>1386.64794747369</v>
      </c>
      <c r="J12" s="10" t="n">
        <f aca="false">假设!$C$17*三表预测!I29</f>
        <v>1802.02005543722</v>
      </c>
      <c r="K12" s="10" t="n">
        <f aca="false">假设!$C$17*三表预测!J29</f>
        <v>1987.8425012042</v>
      </c>
      <c r="L12" s="10" t="n">
        <f aca="false">假设!$C$17*三表预测!K29</f>
        <v>2117.75516700943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11" min="3" style="0" width="12"/>
  </cols>
  <sheetData>
    <row r="1" customFormat="false" ht="21.6" hidden="false" customHeight="false" outlineLevel="0" collapsed="false">
      <c r="A1" s="65" t="s">
        <v>384</v>
      </c>
    </row>
    <row r="2" customFormat="false" ht="15" hidden="false" customHeight="false" outlineLevel="0" collapsed="false">
      <c r="A2" s="2" t="s">
        <v>385</v>
      </c>
    </row>
    <row r="4" customFormat="false" ht="15" hidden="false" customHeight="false" outlineLevel="0" collapsed="false">
      <c r="A4" s="45" t="s">
        <v>30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15" hidden="false" customHeight="false" outlineLevel="0" collapsed="false">
      <c r="A5" s="11" t="s">
        <v>386</v>
      </c>
      <c r="C5" s="12" t="n">
        <f aca="false">假设!$C$22+假设!$C$23*假设!$C$24</f>
        <v>0.0905</v>
      </c>
    </row>
    <row r="6" customFormat="false" ht="15" hidden="false" customHeight="false" outlineLevel="0" collapsed="false">
      <c r="A6" s="11" t="s">
        <v>387</v>
      </c>
      <c r="C6" s="12" t="n">
        <f aca="false">假设!$C$25*(1-假设!$C$18)</f>
        <v>0.03045</v>
      </c>
    </row>
    <row r="7" customFormat="false" ht="15" hidden="false" customHeight="false" outlineLevel="0" collapsed="false">
      <c r="A7" s="4" t="s">
        <v>30</v>
      </c>
      <c r="C7" s="66" t="n">
        <f aca="false">(1-假设!$C$26)*$C$5+假设!$C$26*$C$6</f>
        <v>0.089299</v>
      </c>
    </row>
    <row r="8" customFormat="false" ht="15" hidden="false" customHeight="false" outlineLevel="0" collapsed="false">
      <c r="A8" s="11" t="s">
        <v>31</v>
      </c>
      <c r="C8" s="12" t="n">
        <f aca="false">假设!$C$27</f>
        <v>0.03</v>
      </c>
    </row>
    <row r="10" customFormat="false" ht="15" hidden="false" customHeight="false" outlineLevel="0" collapsed="false">
      <c r="A10" s="5" t="s">
        <v>388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A11" s="7" t="s">
        <v>225</v>
      </c>
      <c r="B11" s="34"/>
      <c r="C11" s="8" t="s">
        <v>12</v>
      </c>
      <c r="D11" s="8" t="s">
        <v>13</v>
      </c>
      <c r="E11" s="8" t="s">
        <v>14</v>
      </c>
      <c r="F11" s="8" t="s">
        <v>15</v>
      </c>
      <c r="G11" s="8" t="s">
        <v>389</v>
      </c>
      <c r="H11" s="8" t="s">
        <v>390</v>
      </c>
      <c r="I11" s="8" t="s">
        <v>391</v>
      </c>
      <c r="J11" s="8" t="s">
        <v>392</v>
      </c>
      <c r="K11" s="8" t="s">
        <v>393</v>
      </c>
    </row>
    <row r="12" customFormat="false" ht="15" hidden="false" customHeight="false" outlineLevel="0" collapsed="false">
      <c r="A12" s="11" t="s">
        <v>394</v>
      </c>
      <c r="C12" s="44" t="n">
        <v>1</v>
      </c>
      <c r="D12" s="44" t="n">
        <v>2</v>
      </c>
      <c r="E12" s="44" t="n">
        <v>3</v>
      </c>
      <c r="F12" s="44" t="n">
        <v>4</v>
      </c>
      <c r="G12" s="44" t="n">
        <v>5</v>
      </c>
      <c r="H12" s="44" t="n">
        <v>6</v>
      </c>
      <c r="I12" s="44" t="n">
        <v>7</v>
      </c>
      <c r="J12" s="44" t="n">
        <v>8</v>
      </c>
      <c r="K12" s="44" t="n">
        <v>9</v>
      </c>
    </row>
    <row r="13" customFormat="false" ht="15" hidden="false" customHeight="false" outlineLevel="0" collapsed="false">
      <c r="A13" s="4" t="s">
        <v>395</v>
      </c>
      <c r="C13" s="10" t="n">
        <f aca="false">三表预测!I34</f>
        <v>5926.38961071334</v>
      </c>
      <c r="D13" s="10" t="n">
        <f aca="false">三表预测!J34</f>
        <v>6565.16623359054</v>
      </c>
      <c r="E13" s="10" t="n">
        <f aca="false">三表预测!K34</f>
        <v>6991.89964694814</v>
      </c>
      <c r="F13" s="10" t="n">
        <f aca="false">三表预测!L34</f>
        <v>7328.76925246199</v>
      </c>
    </row>
    <row r="14" customFormat="false" ht="15" hidden="false" customHeight="false" outlineLevel="0" collapsed="false">
      <c r="A14" s="11" t="s">
        <v>396</v>
      </c>
      <c r="C14" s="10" t="n">
        <f aca="false">-C13*假设!$C$18</f>
        <v>-770.430649392734</v>
      </c>
      <c r="D14" s="10" t="n">
        <f aca="false">-D13*假设!$C$18</f>
        <v>-853.47161036677</v>
      </c>
      <c r="E14" s="10" t="n">
        <f aca="false">-E13*假设!$C$18</f>
        <v>-908.946954103258</v>
      </c>
      <c r="F14" s="10" t="n">
        <f aca="false">-F13*假设!$C$18</f>
        <v>-952.740002820059</v>
      </c>
    </row>
    <row r="15" customFormat="false" ht="15" hidden="false" customHeight="false" outlineLevel="0" collapsed="false">
      <c r="A15" s="11" t="s">
        <v>397</v>
      </c>
      <c r="C15" s="10" t="n">
        <f aca="false">三表预测!I35</f>
        <v>907.66826448</v>
      </c>
      <c r="D15" s="10" t="n">
        <f aca="false">三表预测!J35</f>
        <v>1094.2364140648</v>
      </c>
      <c r="E15" s="10" t="n">
        <f aca="false">三表预测!K35</f>
        <v>1224.84922644735</v>
      </c>
      <c r="F15" s="10" t="n">
        <f aca="false">三表预测!L35</f>
        <v>1294.4415654059</v>
      </c>
    </row>
    <row r="16" customFormat="false" ht="15" hidden="false" customHeight="false" outlineLevel="0" collapsed="false">
      <c r="A16" s="11" t="s">
        <v>398</v>
      </c>
      <c r="C16" s="10" t="n">
        <f aca="false">-三表预测!I73</f>
        <v>-2500</v>
      </c>
      <c r="D16" s="10" t="n">
        <f aca="false">-三表预测!J73</f>
        <v>-2200</v>
      </c>
      <c r="E16" s="10" t="n">
        <f aca="false">-三表预测!K73</f>
        <v>-1800</v>
      </c>
      <c r="F16" s="10" t="n">
        <f aca="false">-三表预测!L73</f>
        <v>-1500</v>
      </c>
    </row>
    <row r="17" customFormat="false" ht="15" hidden="false" customHeight="false" outlineLevel="0" collapsed="false">
      <c r="A17" s="11" t="s">
        <v>399</v>
      </c>
      <c r="C17" s="10" t="n">
        <f aca="false">三表预测!I70</f>
        <v>-1220.56457830617</v>
      </c>
      <c r="D17" s="10" t="n">
        <f aca="false">三表预测!J70</f>
        <v>-753.430465463262</v>
      </c>
      <c r="E17" s="10" t="n">
        <f aca="false">三表预测!K70</f>
        <v>-570.966742109744</v>
      </c>
      <c r="F17" s="10" t="n">
        <f aca="false">三表预测!L70</f>
        <v>-288.17752435372</v>
      </c>
    </row>
    <row r="18" customFormat="false" ht="15" hidden="false" customHeight="false" outlineLevel="0" collapsed="false">
      <c r="A18" s="4" t="s">
        <v>400</v>
      </c>
      <c r="G18" s="12" t="n">
        <f aca="false">假设!$C$28+(假设!$C$29-假设!$C$28)*0/4</f>
        <v>0.1</v>
      </c>
      <c r="H18" s="12" t="n">
        <f aca="false">假设!$C$28+(假设!$C$29-假设!$C$28)*1/4</f>
        <v>0.0875</v>
      </c>
      <c r="I18" s="12" t="n">
        <f aca="false">假设!$C$28+(假设!$C$29-假设!$C$28)*2/4</f>
        <v>0.075</v>
      </c>
      <c r="J18" s="12" t="n">
        <f aca="false">假设!$C$28+(假设!$C$29-假设!$C$28)*3/4</f>
        <v>0.0625</v>
      </c>
      <c r="K18" s="12" t="n">
        <f aca="false">假设!$C$28+(假设!$C$29-假设!$C$28)*4/4</f>
        <v>0.05</v>
      </c>
    </row>
    <row r="19" customFormat="false" ht="15" hidden="false" customHeight="false" outlineLevel="0" collapsed="false">
      <c r="A19" s="13" t="s">
        <v>401</v>
      </c>
      <c r="C19" s="50" t="n">
        <f aca="false">C13+C14+C15+C16+C17</f>
        <v>2343.06264749444</v>
      </c>
      <c r="D19" s="50" t="n">
        <f aca="false">D13+D14+D15+D16+D17</f>
        <v>3852.50057182531</v>
      </c>
      <c r="E19" s="50" t="n">
        <f aca="false">E13+E14+E15+E16+E17</f>
        <v>4936.83517718249</v>
      </c>
      <c r="F19" s="50" t="n">
        <f aca="false">F13+F14+F15+F16+F17</f>
        <v>5882.29329069411</v>
      </c>
      <c r="G19" s="50" t="n">
        <f aca="false">F19*(1+G18)</f>
        <v>6470.52261976353</v>
      </c>
      <c r="H19" s="50" t="n">
        <f aca="false">G19*(1+H18)</f>
        <v>7036.69334899283</v>
      </c>
      <c r="I19" s="50" t="n">
        <f aca="false">H19*(1+I18)</f>
        <v>7564.4453501673</v>
      </c>
      <c r="J19" s="50" t="n">
        <f aca="false">I19*(1+J18)</f>
        <v>8037.22318455275</v>
      </c>
      <c r="K19" s="50" t="n">
        <f aca="false">J19*(1+K18)</f>
        <v>8439.08434378039</v>
      </c>
    </row>
    <row r="20" customFormat="false" ht="15" hidden="false" customHeight="false" outlineLevel="0" collapsed="false">
      <c r="A20" s="11" t="s">
        <v>402</v>
      </c>
      <c r="C20" s="67" t="n">
        <f aca="false">1/(1+$C$7)^C12</f>
        <v>0.918021590031754</v>
      </c>
      <c r="D20" s="67" t="n">
        <f aca="false">1/(1+$C$7)^D12</f>
        <v>0.842763639764431</v>
      </c>
      <c r="E20" s="67" t="n">
        <f aca="false">1/(1+$C$7)^E12</f>
        <v>0.773675216597491</v>
      </c>
      <c r="F20" s="67" t="n">
        <f aca="false">1/(1+$C$7)^F12</f>
        <v>0.710250552508991</v>
      </c>
      <c r="G20" s="67" t="n">
        <f aca="false">1/(1+$C$7)^G12</f>
        <v>0.652025341535236</v>
      </c>
      <c r="H20" s="67" t="n">
        <f aca="false">1/(1+$C$7)^H12</f>
        <v>0.598573340777175</v>
      </c>
      <c r="I20" s="67" t="n">
        <f aca="false">1/(1+$C$7)^I12</f>
        <v>0.549503250050881</v>
      </c>
      <c r="J20" s="67" t="n">
        <f aca="false">1/(1+$C$7)^J12</f>
        <v>0.504455847339327</v>
      </c>
      <c r="K20" s="67" t="n">
        <f aca="false">1/(1+$C$7)^K12</f>
        <v>0.463101359075265</v>
      </c>
    </row>
    <row r="21" customFormat="false" ht="15" hidden="false" customHeight="false" outlineLevel="0" collapsed="false">
      <c r="A21" s="4" t="s">
        <v>403</v>
      </c>
      <c r="C21" s="48" t="n">
        <f aca="false">C19*C20</f>
        <v>2150.98209719685</v>
      </c>
      <c r="D21" s="48" t="n">
        <f aca="false">D19*D20</f>
        <v>3246.74740410604</v>
      </c>
      <c r="E21" s="48" t="n">
        <f aca="false">E19*E20</f>
        <v>3819.50702501277</v>
      </c>
      <c r="F21" s="48" t="n">
        <f aca="false">F19*F20</f>
        <v>4177.90205973542</v>
      </c>
      <c r="G21" s="48" t="n">
        <f aca="false">G19*G20</f>
        <v>4218.94472106278</v>
      </c>
      <c r="H21" s="48" t="n">
        <f aca="false">H19*H20</f>
        <v>4211.97704593117</v>
      </c>
      <c r="I21" s="48" t="n">
        <f aca="false">I19*I20</f>
        <v>4156.6873047492</v>
      </c>
      <c r="J21" s="48" t="n">
        <f aca="false">J19*J20</f>
        <v>4054.42423181884</v>
      </c>
      <c r="K21" s="48" t="n">
        <f aca="false">K19*K20</f>
        <v>3908.15142895549</v>
      </c>
    </row>
    <row r="23" customFormat="false" ht="15" hidden="false" customHeight="false" outlineLevel="0" collapsed="false">
      <c r="A23" s="5" t="s">
        <v>404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customFormat="false" ht="15" hidden="false" customHeight="false" outlineLevel="0" collapsed="false">
      <c r="A24" s="4" t="s">
        <v>405</v>
      </c>
      <c r="C24" s="48" t="n">
        <f aca="false">SUM(C21:K21)</f>
        <v>33945.3233185686</v>
      </c>
    </row>
    <row r="25" customFormat="false" ht="15" hidden="false" customHeight="false" outlineLevel="0" collapsed="false">
      <c r="A25" s="11" t="s">
        <v>406</v>
      </c>
      <c r="C25" s="48" t="n">
        <f aca="false">K19*(1+$C$8)/($C$7-$C$8)</f>
        <v>146583.532169072</v>
      </c>
    </row>
    <row r="26" customFormat="false" ht="15" hidden="false" customHeight="false" outlineLevel="0" collapsed="false">
      <c r="A26" s="11" t="s">
        <v>407</v>
      </c>
      <c r="C26" s="48" t="n">
        <f aca="false">$C$25*K20</f>
        <v>67883.03296555</v>
      </c>
    </row>
    <row r="27" customFormat="false" ht="15" hidden="false" customHeight="false" outlineLevel="0" collapsed="false">
      <c r="A27" s="11" t="s">
        <v>408</v>
      </c>
      <c r="C27" s="48" t="n">
        <f aca="false">$C$24+$C$26</f>
        <v>101828.356284119</v>
      </c>
    </row>
    <row r="28" customFormat="false" ht="15" hidden="false" customHeight="false" outlineLevel="0" collapsed="false">
      <c r="A28" s="11" t="s">
        <v>409</v>
      </c>
      <c r="C28" s="51" t="n">
        <f aca="false">IFERROR($C$26/$C$27,0)</f>
        <v>0.666641743446636</v>
      </c>
    </row>
    <row r="29" customFormat="false" ht="15" hidden="false" customHeight="false" outlineLevel="0" collapsed="false">
      <c r="A29" s="11" t="s">
        <v>410</v>
      </c>
      <c r="C29" s="10" t="n">
        <f aca="false">三表预测!H93</f>
        <v>18100.9648835418</v>
      </c>
    </row>
    <row r="30" customFormat="false" ht="15" hidden="false" customHeight="false" outlineLevel="0" collapsed="false">
      <c r="A30" s="11" t="s">
        <v>411</v>
      </c>
      <c r="C30" s="10" t="n">
        <f aca="false">三表预测!H61</f>
        <v>4.2831</v>
      </c>
    </row>
    <row r="31" customFormat="false" ht="15" hidden="false" customHeight="false" outlineLevel="0" collapsed="false">
      <c r="A31" s="11" t="s">
        <v>412</v>
      </c>
      <c r="C31" s="48" t="n">
        <f aca="false">$C$27+$C$29-$C$30</f>
        <v>119925.03806766</v>
      </c>
    </row>
    <row r="32" customFormat="false" ht="15" hidden="false" customHeight="false" outlineLevel="0" collapsed="false">
      <c r="A32" s="11" t="s">
        <v>413</v>
      </c>
      <c r="C32" s="10" t="n">
        <f aca="false">股本与每股!H11</f>
        <v>1976.70835707595</v>
      </c>
    </row>
    <row r="33" customFormat="false" ht="15" hidden="false" customHeight="false" outlineLevel="0" collapsed="false">
      <c r="A33" s="11" t="s">
        <v>414</v>
      </c>
      <c r="C33" s="68" t="n">
        <f aca="false">IFERROR($C$31/$C$32,0)</f>
        <v>60.6690600757412</v>
      </c>
    </row>
    <row r="34" customFormat="false" ht="15" hidden="false" customHeight="false" outlineLevel="0" collapsed="false">
      <c r="A34" s="11" t="s">
        <v>415</v>
      </c>
      <c r="C34" s="69" t="n">
        <f aca="false">$C$33/(1+$C$5)^0.25</f>
        <v>59.3691524684832</v>
      </c>
    </row>
    <row r="35" customFormat="false" ht="15" hidden="false" customHeight="false" outlineLevel="0" collapsed="false">
      <c r="A35" s="11" t="s">
        <v>416</v>
      </c>
      <c r="C35" s="14" t="n">
        <f aca="false">假设!$C$6</f>
        <v>118.5</v>
      </c>
    </row>
    <row r="36" customFormat="false" ht="15" hidden="false" customHeight="false" outlineLevel="0" collapsed="false">
      <c r="A36" s="11" t="s">
        <v>34</v>
      </c>
      <c r="C36" s="51" t="n">
        <f aca="false">IFERROR($C$34/$C$35-1,0)</f>
        <v>-0.498994493936851</v>
      </c>
    </row>
    <row r="37" customFormat="false" ht="15" hidden="false" customHeight="false" outlineLevel="0" collapsed="false">
      <c r="A37" s="11" t="s">
        <v>417</v>
      </c>
      <c r="C37" s="15" t="n">
        <f aca="false">IFERROR($C$27/三表预测!I36,0)</f>
        <v>14.9001308071653</v>
      </c>
    </row>
    <row r="38" customFormat="false" ht="15" hidden="false" customHeight="false" outlineLevel="0" collapsed="false">
      <c r="A38" s="11" t="s">
        <v>418</v>
      </c>
      <c r="C38" s="15" t="n">
        <f aca="false">IFERROR($C$33/三表预测!I32,0)</f>
        <v>21.9616104953538</v>
      </c>
    </row>
    <row r="40" customFormat="false" ht="15" hidden="false" customHeight="false" outlineLevel="0" collapsed="false">
      <c r="A40" s="5" t="s">
        <v>419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customFormat="false" ht="15" hidden="false" customHeight="false" outlineLevel="0" collapsed="false">
      <c r="A41" s="13" t="s">
        <v>420</v>
      </c>
      <c r="C41" s="70" t="n">
        <f aca="false">$C$8+(-0.01)</f>
        <v>0.02</v>
      </c>
      <c r="D41" s="70" t="n">
        <f aca="false">$C$8+(-0.005)</f>
        <v>0.025</v>
      </c>
      <c r="E41" s="70" t="n">
        <f aca="false">$C$8+(0)</f>
        <v>0.03</v>
      </c>
      <c r="F41" s="70" t="n">
        <f aca="false">$C$8+(0.005)</f>
        <v>0.035</v>
      </c>
      <c r="G41" s="70" t="n">
        <f aca="false">$C$8+(0.01)</f>
        <v>0.04</v>
      </c>
    </row>
    <row r="42" customFormat="false" ht="15" hidden="false" customHeight="false" outlineLevel="0" collapsed="false">
      <c r="B42" s="70" t="n">
        <f aca="false">$C$7+(-0.01)</f>
        <v>0.079299</v>
      </c>
      <c r="C42" s="69" t="n">
        <f aca="false">IFERROR((SUMPRODUCT($C$19:$K$19/(1+$B42)^$C$12:$K$12)+$K$19*(1+C$41)/($B42-C$41)/(1+$B42)^$K$12+$C$29-$C$30)/$C$32,0)</f>
        <v>64.1435440325429</v>
      </c>
      <c r="D42" s="69" t="n">
        <f aca="false">IFERROR((SUMPRODUCT($C$19:$K$19/(1+$B42)^$C$12:$K$12)+$K$19*(1+D$41)/($B42-D$41)/(1+$B42)^$K$12+$C$29-$C$30)/$C$32,0)</f>
        <v>67.7439322760984</v>
      </c>
      <c r="E42" s="69" t="n">
        <f aca="false">IFERROR((SUMPRODUCT($C$19:$K$19/(1+$B42)^$C$12:$K$12)+$K$19*(1+E$41)/($B42-E$41)/(1+$B42)^$K$12+$C$29-$C$30)/$C$32,0)</f>
        <v>72.0746372083405</v>
      </c>
      <c r="F42" s="69" t="n">
        <f aca="false">IFERROR((SUMPRODUCT($C$19:$K$19/(1+$B42)^$C$12:$K$12)+$K$19*(1+F$41)/($B42-F$41)/(1+$B42)^$K$12+$C$29-$C$30)/$C$32,0)</f>
        <v>77.3829499719653</v>
      </c>
      <c r="G42" s="69" t="n">
        <f aca="false">IFERROR((SUMPRODUCT($C$19:$K$19/(1+$B42)^$C$12:$K$12)+$K$19*(1+G$41)/($B42-G$41)/(1+$B42)^$K$12+$C$29-$C$30)/$C$32,0)</f>
        <v>84.0420128217563</v>
      </c>
    </row>
    <row r="43" customFormat="false" ht="15" hidden="false" customHeight="false" outlineLevel="0" collapsed="false">
      <c r="B43" s="70" t="n">
        <f aca="false">$C$7+(-0.005)</f>
        <v>0.084299</v>
      </c>
      <c r="C43" s="69" t="n">
        <f aca="false">IFERROR((SUMPRODUCT($C$19:$K$19/(1+$B43)^$C$12:$K$12)+$K$19*(1+C$41)/($B43-C$41)/(1+$B43)^$K$12+$C$29-$C$30)/$C$32,0)</f>
        <v>59.4419434847336</v>
      </c>
      <c r="D43" s="69" t="n">
        <f aca="false">IFERROR((SUMPRODUCT($C$19:$K$19/(1+$B43)^$C$12:$K$12)+$K$19*(1+D$41)/($B43-D$41)/(1+$B43)^$K$12+$C$29-$C$30)/$C$32,0)</f>
        <v>62.3720181486387</v>
      </c>
      <c r="E43" s="69" t="n">
        <f aca="false">IFERROR((SUMPRODUCT($C$19:$K$19/(1+$B43)^$C$12:$K$12)+$K$19*(1+E$41)/($B43-E$41)/(1+$B43)^$K$12+$C$29-$C$30)/$C$32,0)</f>
        <v>65.8417113439911</v>
      </c>
      <c r="F43" s="69" t="n">
        <f aca="false">IFERROR((SUMPRODUCT($C$19:$K$19/(1+$B43)^$C$12:$K$12)+$K$19*(1+F$41)/($B43-F$41)/(1+$B43)^$K$12+$C$29-$C$30)/$C$32,0)</f>
        <v>70.0152105385224</v>
      </c>
      <c r="G43" s="69" t="n">
        <f aca="false">IFERROR((SUMPRODUCT($C$19:$K$19/(1+$B43)^$C$12:$K$12)+$K$19*(1+G$41)/($B43-G$41)/(1+$B43)^$K$12+$C$29-$C$30)/$C$32,0)</f>
        <v>75.1308301408579</v>
      </c>
    </row>
    <row r="44" customFormat="false" ht="15" hidden="false" customHeight="false" outlineLevel="0" collapsed="false">
      <c r="B44" s="70" t="n">
        <f aca="false">$C$7+(0)</f>
        <v>0.089299</v>
      </c>
      <c r="C44" s="69" t="n">
        <f aca="false">IFERROR((SUMPRODUCT($C$19:$K$19/(1+$B44)^$C$12:$K$12)+$K$19*(1+C$41)/($B44-C$41)/(1+$B44)^$K$12+$C$29-$C$30)/$C$32,0)</f>
        <v>55.4282122186967</v>
      </c>
      <c r="D44" s="69" t="n">
        <f aca="false">IFERROR((SUMPRODUCT($C$19:$K$19/(1+$B44)^$C$12:$K$12)+$K$19*(1+D$41)/($B44-D$41)/(1+$B44)^$K$12+$C$29-$C$30)/$C$32,0)</f>
        <v>57.8448675094079</v>
      </c>
      <c r="E44" s="69" t="n">
        <f aca="false">IFERROR((SUMPRODUCT($C$19:$K$19/(1+$B44)^$C$12:$K$12)+$K$19*(1+E$41)/($B44-E$41)/(1+$B44)^$K$12+$C$29-$C$30)/$C$32,0)</f>
        <v>60.6690600757412</v>
      </c>
      <c r="F44" s="69" t="n">
        <f aca="false">IFERROR((SUMPRODUCT($C$19:$K$19/(1+$B44)^$C$12:$K$12)+$K$19*(1+F$41)/($B44-F$41)/(1+$B44)^$K$12+$C$29-$C$30)/$C$32,0)</f>
        <v>64.013371348926</v>
      </c>
      <c r="G44" s="69" t="n">
        <f aca="false">IFERROR((SUMPRODUCT($C$19:$K$19/(1+$B44)^$C$12:$K$12)+$K$19*(1+G$41)/($B44-G$41)/(1+$B44)^$K$12+$C$29-$C$30)/$C$32,0)</f>
        <v>68.0360556668348</v>
      </c>
    </row>
    <row r="45" customFormat="false" ht="15" hidden="false" customHeight="false" outlineLevel="0" collapsed="false">
      <c r="B45" s="70" t="n">
        <f aca="false">$C$7+(0.005)</f>
        <v>0.094299</v>
      </c>
      <c r="C45" s="69" t="n">
        <f aca="false">IFERROR((SUMPRODUCT($C$19:$K$19/(1+$B45)^$C$12:$K$12)+$K$19*(1+C$41)/($B45-C$41)/(1+$B45)^$K$12+$C$29-$C$30)/$C$32,0)</f>
        <v>51.9631947491959</v>
      </c>
      <c r="D45" s="69" t="n">
        <f aca="false">IFERROR((SUMPRODUCT($C$19:$K$19/(1+$B45)^$C$12:$K$12)+$K$19*(1+D$41)/($B45-D$41)/(1+$B45)^$K$12+$C$29-$C$30)/$C$32,0)</f>
        <v>53.9793537468661</v>
      </c>
      <c r="E45" s="69" t="n">
        <f aca="false">IFERROR((SUMPRODUCT($C$19:$K$19/(1+$B45)^$C$12:$K$12)+$K$19*(1+E$41)/($B45-E$41)/(1+$B45)^$K$12+$C$29-$C$30)/$C$32,0)</f>
        <v>56.3090726751216</v>
      </c>
      <c r="F45" s="69" t="n">
        <f aca="false">IFERROR((SUMPRODUCT($C$19:$K$19/(1+$B45)^$C$12:$K$12)+$K$19*(1+F$41)/($B45-F$41)/(1+$B45)^$K$12+$C$29-$C$30)/$C$32,0)</f>
        <v>59.0316681996528</v>
      </c>
      <c r="G45" s="69" t="n">
        <f aca="false">IFERROR((SUMPRODUCT($C$19:$K$19/(1+$B45)^$C$12:$K$12)+$K$19*(1+G$41)/($B45-G$41)/(1+$B45)^$K$12+$C$29-$C$30)/$C$32,0)</f>
        <v>62.2556717656822</v>
      </c>
    </row>
    <row r="46" customFormat="false" ht="15" hidden="false" customHeight="false" outlineLevel="0" collapsed="false">
      <c r="B46" s="70" t="n">
        <f aca="false">$C$7+(0.01)</f>
        <v>0.099299</v>
      </c>
      <c r="C46" s="69" t="n">
        <f aca="false">IFERROR((SUMPRODUCT($C$19:$K$19/(1+$B46)^$C$12:$K$12)+$K$19*(1+C$41)/($B46-C$41)/(1+$B46)^$K$12+$C$29-$C$30)/$C$32,0)</f>
        <v>48.9428424297064</v>
      </c>
      <c r="D46" s="69" t="n">
        <f aca="false">IFERROR((SUMPRODUCT($C$19:$K$19/(1+$B46)^$C$12:$K$12)+$K$19*(1+D$41)/($B46-D$41)/(1+$B46)^$K$12+$C$29-$C$30)/$C$32,0)</f>
        <v>50.6416547067339</v>
      </c>
      <c r="E46" s="69" t="n">
        <f aca="false">IFERROR((SUMPRODUCT($C$19:$K$19/(1+$B46)^$C$12:$K$12)+$K$19*(1+E$41)/($B46-E$41)/(1+$B46)^$K$12+$C$29-$C$30)/$C$32,0)</f>
        <v>52.5856093778837</v>
      </c>
      <c r="F46" s="69" t="n">
        <f aca="false">IFERROR((SUMPRODUCT($C$19:$K$19/(1+$B46)^$C$12:$K$12)+$K$19*(1+F$41)/($B46-F$41)/(1+$B46)^$K$12+$C$29-$C$30)/$C$32,0)</f>
        <v>54.831894516249</v>
      </c>
      <c r="G46" s="69" t="n">
        <f aca="false">IFERROR((SUMPRODUCT($C$19:$K$19/(1+$B46)^$C$12:$K$12)+$K$19*(1+G$41)/($B46-G$41)/(1+$B46)^$K$12+$C$29-$C$30)/$C$32,0)</f>
        <v>57.4569862345509</v>
      </c>
    </row>
    <row r="48" customFormat="false" ht="15" hidden="false" customHeight="false" outlineLevel="0" collapsed="false">
      <c r="A48" s="5" t="s">
        <v>421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customFormat="false" ht="15" hidden="false" customHeight="false" outlineLevel="0" collapsed="false">
      <c r="A49" s="13" t="s">
        <v>422</v>
      </c>
      <c r="C49" s="71" t="n">
        <v>0.06</v>
      </c>
      <c r="D49" s="71" t="n">
        <v>0.08</v>
      </c>
      <c r="E49" s="71" t="n">
        <v>0.1</v>
      </c>
      <c r="F49" s="71" t="n">
        <v>0.12</v>
      </c>
      <c r="G49" s="71" t="n">
        <v>0.14</v>
      </c>
    </row>
    <row r="50" customFormat="false" ht="15" hidden="false" customHeight="false" outlineLevel="0" collapsed="false">
      <c r="B50" s="70" t="n">
        <f aca="false">$C$7+(-0.01)</f>
        <v>0.079299</v>
      </c>
      <c r="C50" s="14" t="n">
        <f aca="false">IFERROR((SUMPRODUCT($C$19:$F$19/(1+$B50)^$C$12:$F$12)+$F$19*(1+(C$49+(假设!$C$29-C$49)*0/4))/(1+$B50)^5+$F$19*(1+(C$49+(假设!$C$29-C$49)*0/4))*(1+(C$49+(假设!$C$29-C$49)*1/4))/(1+$B50)^6+$F$19*(1+(C$49+(假设!$C$29-C$49)*0/4))*(1+(C$49+(假设!$C$29-C$49)*1/4))*(1+(C$49+(假设!$C$29-C$49)*2/4))/(1+$B50)^7+$F$19*(1+(C$49+(假设!$C$29-C$49)*0/4))*(1+(C$49+(假设!$C$29-C$49)*1/4))*(1+(C$49+(假设!$C$29-C$49)*2/4))*(1+(C$49+(假设!$C$29-C$49)*3/4))/(1+$B50)^8+$F$19*(1+(C$49+(假设!$C$29-C$49)*0/4))*(1+(C$49+(假设!$C$29-C$49)*1/4))*(1+(C$49+(假设!$C$29-C$49)*2/4))*(1+(C$49+(假设!$C$29-C$49)*3/4))*(1+(C$49+(假设!$C$29-C$49)*4/4))/(1+$B50)^9+$F$19*(1+(C$49+(假设!$C$29-C$49)*0/4))*(1+(C$49+(假设!$C$29-C$49)*1/4))*(1+(C$49+(假设!$C$29-C$49)*2/4))*(1+(C$49+(假设!$C$29-C$49)*3/4))*(1+(C$49+(假设!$C$29-C$49)*4/4))*(1+$C$8)/($B50-$C$8)/(1+$B50)^9+$C$29-$C$30)/$C$32,0)</f>
        <v>67.2873098254038</v>
      </c>
      <c r="D50" s="14" t="n">
        <f aca="false">IFERROR((SUMPRODUCT($C$19:$F$19/(1+$B50)^$C$12:$F$12)+$F$19*(1+(D$49+(假设!$C$29-D$49)*0/4))/(1+$B50)^5+$F$19*(1+(D$49+(假设!$C$29-D$49)*0/4))*(1+(D$49+(假设!$C$29-D$49)*1/4))/(1+$B50)^6+$F$19*(1+(D$49+(假设!$C$29-D$49)*0/4))*(1+(D$49+(假设!$C$29-D$49)*1/4))*(1+(D$49+(假设!$C$29-D$49)*2/4))/(1+$B50)^7+$F$19*(1+(D$49+(假设!$C$29-D$49)*0/4))*(1+(D$49+(假设!$C$29-D$49)*1/4))*(1+(D$49+(假设!$C$29-D$49)*2/4))*(1+(D$49+(假设!$C$29-D$49)*3/4))/(1+$B50)^8+$F$19*(1+(D$49+(假设!$C$29-D$49)*0/4))*(1+(D$49+(假设!$C$29-D$49)*1/4))*(1+(D$49+(假设!$C$29-D$49)*2/4))*(1+(D$49+(假设!$C$29-D$49)*3/4))*(1+(D$49+(假设!$C$29-D$49)*4/4))/(1+$B50)^9+$F$19*(1+(D$49+(假设!$C$29-D$49)*0/4))*(1+(D$49+(假设!$C$29-D$49)*1/4))*(1+(D$49+(假设!$C$29-D$49)*2/4))*(1+(D$49+(假设!$C$29-D$49)*3/4))*(1+(D$49+(假设!$C$29-D$49)*4/4))*(1+$C$8)/($B50-$C$8)/(1+$B50)^9+$C$29-$C$30)/$C$32,0)</f>
        <v>69.6433583224062</v>
      </c>
      <c r="E50" s="14" t="n">
        <f aca="false">IFERROR((SUMPRODUCT($C$19:$F$19/(1+$B50)^$C$12:$F$12)+$F$19*(1+(E$49+(假设!$C$29-E$49)*0/4))/(1+$B50)^5+$F$19*(1+(E$49+(假设!$C$29-E$49)*0/4))*(1+(E$49+(假设!$C$29-E$49)*1/4))/(1+$B50)^6+$F$19*(1+(E$49+(假设!$C$29-E$49)*0/4))*(1+(E$49+(假设!$C$29-E$49)*1/4))*(1+(E$49+(假设!$C$29-E$49)*2/4))/(1+$B50)^7+$F$19*(1+(E$49+(假设!$C$29-E$49)*0/4))*(1+(E$49+(假设!$C$29-E$49)*1/4))*(1+(E$49+(假设!$C$29-E$49)*2/4))*(1+(E$49+(假设!$C$29-E$49)*3/4))/(1+$B50)^8+$F$19*(1+(E$49+(假设!$C$29-E$49)*0/4))*(1+(E$49+(假设!$C$29-E$49)*1/4))*(1+(E$49+(假设!$C$29-E$49)*2/4))*(1+(E$49+(假设!$C$29-E$49)*3/4))*(1+(E$49+(假设!$C$29-E$49)*4/4))/(1+$B50)^9+$F$19*(1+(E$49+(假设!$C$29-E$49)*0/4))*(1+(E$49+(假设!$C$29-E$49)*1/4))*(1+(E$49+(假设!$C$29-E$49)*2/4))*(1+(E$49+(假设!$C$29-E$49)*3/4))*(1+(E$49+(假设!$C$29-E$49)*4/4))*(1+$C$8)/($B50-$C$8)/(1+$B50)^9+$C$29-$C$30)/$C$32,0)</f>
        <v>72.0746372083405</v>
      </c>
      <c r="F50" s="14" t="n">
        <f aca="false">IFERROR((SUMPRODUCT($C$19:$F$19/(1+$B50)^$C$12:$F$12)+$F$19*(1+(F$49+(假设!$C$29-F$49)*0/4))/(1+$B50)^5+$F$19*(1+(F$49+(假设!$C$29-F$49)*0/4))*(1+(F$49+(假设!$C$29-F$49)*1/4))/(1+$B50)^6+$F$19*(1+(F$49+(假设!$C$29-F$49)*0/4))*(1+(F$49+(假设!$C$29-F$49)*1/4))*(1+(F$49+(假设!$C$29-F$49)*2/4))/(1+$B50)^7+$F$19*(1+(F$49+(假设!$C$29-F$49)*0/4))*(1+(F$49+(假设!$C$29-F$49)*1/4))*(1+(F$49+(假设!$C$29-F$49)*2/4))*(1+(F$49+(假设!$C$29-F$49)*3/4))/(1+$B50)^8+$F$19*(1+(F$49+(假设!$C$29-F$49)*0/4))*(1+(F$49+(假设!$C$29-F$49)*1/4))*(1+(F$49+(假设!$C$29-F$49)*2/4))*(1+(F$49+(假设!$C$29-F$49)*3/4))*(1+(F$49+(假设!$C$29-F$49)*4/4))/(1+$B50)^9+$F$19*(1+(F$49+(假设!$C$29-F$49)*0/4))*(1+(F$49+(假设!$C$29-F$49)*1/4))*(1+(F$49+(假设!$C$29-F$49)*2/4))*(1+(F$49+(假设!$C$29-F$49)*3/4))*(1+(F$49+(假设!$C$29-F$49)*4/4))*(1+$C$8)/($B50-$C$8)/(1+$B50)^9+$C$29-$C$30)/$C$32,0)</f>
        <v>74.5826227800129</v>
      </c>
      <c r="G50" s="14" t="n">
        <f aca="false">IFERROR((SUMPRODUCT($C$19:$F$19/(1+$B50)^$C$12:$F$12)+$F$19*(1+(G$49+(假设!$C$29-G$49)*0/4))/(1+$B50)^5+$F$19*(1+(G$49+(假设!$C$29-G$49)*0/4))*(1+(G$49+(假设!$C$29-G$49)*1/4))/(1+$B50)^6+$F$19*(1+(G$49+(假设!$C$29-G$49)*0/4))*(1+(G$49+(假设!$C$29-G$49)*1/4))*(1+(G$49+(假设!$C$29-G$49)*2/4))/(1+$B50)^7+$F$19*(1+(G$49+(假设!$C$29-G$49)*0/4))*(1+(G$49+(假设!$C$29-G$49)*1/4))*(1+(G$49+(假设!$C$29-G$49)*2/4))*(1+(G$49+(假设!$C$29-G$49)*3/4))/(1+$B50)^8+$F$19*(1+(G$49+(假设!$C$29-G$49)*0/4))*(1+(G$49+(假设!$C$29-G$49)*1/4))*(1+(G$49+(假设!$C$29-G$49)*2/4))*(1+(G$49+(假设!$C$29-G$49)*3/4))*(1+(G$49+(假设!$C$29-G$49)*4/4))/(1+$B50)^9+$F$19*(1+(G$49+(假设!$C$29-G$49)*0/4))*(1+(G$49+(假设!$C$29-G$49)*1/4))*(1+(G$49+(假设!$C$29-G$49)*2/4))*(1+(G$49+(假设!$C$29-G$49)*3/4))*(1+(G$49+(假设!$C$29-G$49)*4/4))*(1+$C$8)/($B50-$C$8)/(1+$B50)^9+$C$29-$C$30)/$C$32,0)</f>
        <v>77.1688043075185</v>
      </c>
    </row>
    <row r="51" customFormat="false" ht="15" hidden="false" customHeight="false" outlineLevel="0" collapsed="false">
      <c r="B51" s="70" t="n">
        <f aca="false">$C$7+(-0.005)</f>
        <v>0.084299</v>
      </c>
      <c r="C51" s="14" t="n">
        <f aca="false">IFERROR((SUMPRODUCT($C$19:$F$19/(1+$B51)^$C$12:$F$12)+$F$19*(1+(C$49+(假设!$C$29-C$49)*0/4))/(1+$B51)^5+$F$19*(1+(C$49+(假设!$C$29-C$49)*0/4))*(1+(C$49+(假设!$C$29-C$49)*1/4))/(1+$B51)^6+$F$19*(1+(C$49+(假设!$C$29-C$49)*0/4))*(1+(C$49+(假设!$C$29-C$49)*1/4))*(1+(C$49+(假设!$C$29-C$49)*2/4))/(1+$B51)^7+$F$19*(1+(C$49+(假设!$C$29-C$49)*0/4))*(1+(C$49+(假设!$C$29-C$49)*1/4))*(1+(C$49+(假设!$C$29-C$49)*2/4))*(1+(C$49+(假设!$C$29-C$49)*3/4))/(1+$B51)^8+$F$19*(1+(C$49+(假设!$C$29-C$49)*0/4))*(1+(C$49+(假设!$C$29-C$49)*1/4))*(1+(C$49+(假设!$C$29-C$49)*2/4))*(1+(C$49+(假设!$C$29-C$49)*3/4))*(1+(C$49+(假设!$C$29-C$49)*4/4))/(1+$B51)^9+$F$19*(1+(C$49+(假设!$C$29-C$49)*0/4))*(1+(C$49+(假设!$C$29-C$49)*1/4))*(1+(C$49+(假设!$C$29-C$49)*2/4))*(1+(C$49+(假设!$C$29-C$49)*3/4))*(1+(C$49+(假设!$C$29-C$49)*4/4))*(1+$C$8)/($B51-$C$8)/(1+$B51)^9+$C$29-$C$30)/$C$32,0)</f>
        <v>61.5965875986622</v>
      </c>
      <c r="D51" s="14" t="n">
        <f aca="false">IFERROR((SUMPRODUCT($C$19:$F$19/(1+$B51)^$C$12:$F$12)+$F$19*(1+(D$49+(假设!$C$29-D$49)*0/4))/(1+$B51)^5+$F$19*(1+(D$49+(假设!$C$29-D$49)*0/4))*(1+(D$49+(假设!$C$29-D$49)*1/4))/(1+$B51)^6+$F$19*(1+(D$49+(假设!$C$29-D$49)*0/4))*(1+(D$49+(假设!$C$29-D$49)*1/4))*(1+(D$49+(假设!$C$29-D$49)*2/4))/(1+$B51)^7+$F$19*(1+(D$49+(假设!$C$29-D$49)*0/4))*(1+(D$49+(假设!$C$29-D$49)*1/4))*(1+(D$49+(假设!$C$29-D$49)*2/4))*(1+(D$49+(假设!$C$29-D$49)*3/4))/(1+$B51)^8+$F$19*(1+(D$49+(假设!$C$29-D$49)*0/4))*(1+(D$49+(假设!$C$29-D$49)*1/4))*(1+(D$49+(假设!$C$29-D$49)*2/4))*(1+(D$49+(假设!$C$29-D$49)*3/4))*(1+(D$49+(假设!$C$29-D$49)*4/4))/(1+$B51)^9+$F$19*(1+(D$49+(假设!$C$29-D$49)*0/4))*(1+(D$49+(假设!$C$29-D$49)*1/4))*(1+(D$49+(假设!$C$29-D$49)*2/4))*(1+(D$49+(假设!$C$29-D$49)*3/4))*(1+(D$49+(假设!$C$29-D$49)*4/4))*(1+$C$8)/($B51-$C$8)/(1+$B51)^9+$C$29-$C$30)/$C$32,0)</f>
        <v>63.6859267554636</v>
      </c>
      <c r="E51" s="14" t="n">
        <f aca="false">IFERROR((SUMPRODUCT($C$19:$F$19/(1+$B51)^$C$12:$F$12)+$F$19*(1+(E$49+(假设!$C$29-E$49)*0/4))/(1+$B51)^5+$F$19*(1+(E$49+(假设!$C$29-E$49)*0/4))*(1+(E$49+(假设!$C$29-E$49)*1/4))/(1+$B51)^6+$F$19*(1+(E$49+(假设!$C$29-E$49)*0/4))*(1+(E$49+(假设!$C$29-E$49)*1/4))*(1+(E$49+(假设!$C$29-E$49)*2/4))/(1+$B51)^7+$F$19*(1+(E$49+(假设!$C$29-E$49)*0/4))*(1+(E$49+(假设!$C$29-E$49)*1/4))*(1+(E$49+(假设!$C$29-E$49)*2/4))*(1+(E$49+(假设!$C$29-E$49)*3/4))/(1+$B51)^8+$F$19*(1+(E$49+(假设!$C$29-E$49)*0/4))*(1+(E$49+(假设!$C$29-E$49)*1/4))*(1+(E$49+(假设!$C$29-E$49)*2/4))*(1+(E$49+(假设!$C$29-E$49)*3/4))*(1+(E$49+(假设!$C$29-E$49)*4/4))/(1+$B51)^9+$F$19*(1+(E$49+(假设!$C$29-E$49)*0/4))*(1+(E$49+(假设!$C$29-E$49)*1/4))*(1+(E$49+(假设!$C$29-E$49)*2/4))*(1+(E$49+(假设!$C$29-E$49)*3/4))*(1+(E$49+(假设!$C$29-E$49)*4/4))*(1+$C$8)/($B51-$C$8)/(1+$B51)^9+$C$29-$C$30)/$C$32,0)</f>
        <v>65.8417113439911</v>
      </c>
      <c r="F51" s="14" t="n">
        <f aca="false">IFERROR((SUMPRODUCT($C$19:$F$19/(1+$B51)^$C$12:$F$12)+$F$19*(1+(F$49+(假设!$C$29-F$49)*0/4))/(1+$B51)^5+$F$19*(1+(F$49+(假设!$C$29-F$49)*0/4))*(1+(F$49+(假设!$C$29-F$49)*1/4))/(1+$B51)^6+$F$19*(1+(F$49+(假设!$C$29-F$49)*0/4))*(1+(F$49+(假设!$C$29-F$49)*1/4))*(1+(F$49+(假设!$C$29-F$49)*2/4))/(1+$B51)^7+$F$19*(1+(F$49+(假设!$C$29-F$49)*0/4))*(1+(F$49+(假设!$C$29-F$49)*1/4))*(1+(F$49+(假设!$C$29-F$49)*2/4))*(1+(F$49+(假设!$C$29-F$49)*3/4))/(1+$B51)^8+$F$19*(1+(F$49+(假设!$C$29-F$49)*0/4))*(1+(F$49+(假设!$C$29-F$49)*1/4))*(1+(F$49+(假设!$C$29-F$49)*2/4))*(1+(F$49+(假设!$C$29-F$49)*3/4))*(1+(F$49+(假设!$C$29-F$49)*4/4))/(1+$B51)^9+$F$19*(1+(F$49+(假设!$C$29-F$49)*0/4))*(1+(F$49+(假设!$C$29-F$49)*1/4))*(1+(F$49+(假设!$C$29-F$49)*2/4))*(1+(F$49+(假设!$C$29-F$49)*3/4))*(1+(F$49+(假设!$C$29-F$49)*4/4))*(1+$C$8)/($B51-$C$8)/(1+$B51)^9+$C$29-$C$30)/$C$32,0)</f>
        <v>68.0652417408375</v>
      </c>
      <c r="G51" s="14" t="n">
        <f aca="false">IFERROR((SUMPRODUCT($C$19:$F$19/(1+$B51)^$C$12:$F$12)+$F$19*(1+(G$49+(假设!$C$29-G$49)*0/4))/(1+$B51)^5+$F$19*(1+(G$49+(假设!$C$29-G$49)*0/4))*(1+(G$49+(假设!$C$29-G$49)*1/4))/(1+$B51)^6+$F$19*(1+(G$49+(假设!$C$29-G$49)*0/4))*(1+(G$49+(假设!$C$29-G$49)*1/4))*(1+(G$49+(假设!$C$29-G$49)*2/4))/(1+$B51)^7+$F$19*(1+(G$49+(假设!$C$29-G$49)*0/4))*(1+(G$49+(假设!$C$29-G$49)*1/4))*(1+(G$49+(假设!$C$29-G$49)*2/4))*(1+(G$49+(假设!$C$29-G$49)*3/4))/(1+$B51)^8+$F$19*(1+(G$49+(假设!$C$29-G$49)*0/4))*(1+(G$49+(假设!$C$29-G$49)*1/4))*(1+(G$49+(假设!$C$29-G$49)*2/4))*(1+(G$49+(假设!$C$29-G$49)*3/4))*(1+(G$49+(假设!$C$29-G$49)*4/4))/(1+$B51)^9+$F$19*(1+(G$49+(假设!$C$29-G$49)*0/4))*(1+(G$49+(假设!$C$29-G$49)*1/4))*(1+(G$49+(假设!$C$29-G$49)*2/4))*(1+(G$49+(假设!$C$29-G$49)*3/4))*(1+(G$49+(假设!$C$29-G$49)*4/4))*(1+$C$8)/($B51-$C$8)/(1+$B51)^9+$C$29-$C$30)/$C$32,0)</f>
        <v>70.3578297253286</v>
      </c>
    </row>
    <row r="52" customFormat="false" ht="15" hidden="false" customHeight="false" outlineLevel="0" collapsed="false">
      <c r="B52" s="70" t="n">
        <f aca="false">$C$7+(0)</f>
        <v>0.089299</v>
      </c>
      <c r="C52" s="14" t="n">
        <f aca="false">IFERROR((SUMPRODUCT($C$19:$F$19/(1+$B52)^$C$12:$F$12)+$F$19*(1+(C$49+(假设!$C$29-C$49)*0/4))/(1+$B52)^5+$F$19*(1+(C$49+(假设!$C$29-C$49)*0/4))*(1+(C$49+(假设!$C$29-C$49)*1/4))/(1+$B52)^6+$F$19*(1+(C$49+(假设!$C$29-C$49)*0/4))*(1+(C$49+(假设!$C$29-C$49)*1/4))*(1+(C$49+(假设!$C$29-C$49)*2/4))/(1+$B52)^7+$F$19*(1+(C$49+(假设!$C$29-C$49)*0/4))*(1+(C$49+(假设!$C$29-C$49)*1/4))*(1+(C$49+(假设!$C$29-C$49)*2/4))*(1+(C$49+(假设!$C$29-C$49)*3/4))/(1+$B52)^8+$F$19*(1+(C$49+(假设!$C$29-C$49)*0/4))*(1+(C$49+(假设!$C$29-C$49)*1/4))*(1+(C$49+(假设!$C$29-C$49)*2/4))*(1+(C$49+(假设!$C$29-C$49)*3/4))*(1+(C$49+(假设!$C$29-C$49)*4/4))/(1+$B52)^9+$F$19*(1+(C$49+(假设!$C$29-C$49)*0/4))*(1+(C$49+(假设!$C$29-C$49)*1/4))*(1+(C$49+(假设!$C$29-C$49)*2/4))*(1+(C$49+(假设!$C$29-C$49)*3/4))*(1+(C$49+(假设!$C$29-C$49)*4/4))*(1+$C$8)/($B52-$C$8)/(1+$B52)^9+$C$29-$C$30)/$C$32,0)</f>
        <v>56.8720337080504</v>
      </c>
      <c r="D52" s="14" t="n">
        <f aca="false">IFERROR((SUMPRODUCT($C$19:$F$19/(1+$B52)^$C$12:$F$12)+$F$19*(1+(D$49+(假设!$C$29-D$49)*0/4))/(1+$B52)^5+$F$19*(1+(D$49+(假设!$C$29-D$49)*0/4))*(1+(D$49+(假设!$C$29-D$49)*1/4))/(1+$B52)^6+$F$19*(1+(D$49+(假设!$C$29-D$49)*0/4))*(1+(D$49+(假设!$C$29-D$49)*1/4))*(1+(D$49+(假设!$C$29-D$49)*2/4))/(1+$B52)^7+$F$19*(1+(D$49+(假设!$C$29-D$49)*0/4))*(1+(D$49+(假设!$C$29-D$49)*1/4))*(1+(D$49+(假设!$C$29-D$49)*2/4))*(1+(D$49+(假设!$C$29-D$49)*3/4))/(1+$B52)^8+$F$19*(1+(D$49+(假设!$C$29-D$49)*0/4))*(1+(D$49+(假设!$C$29-D$49)*1/4))*(1+(D$49+(假设!$C$29-D$49)*2/4))*(1+(D$49+(假设!$C$29-D$49)*3/4))*(1+(D$49+(假设!$C$29-D$49)*4/4))/(1+$B52)^9+$F$19*(1+(D$49+(假设!$C$29-D$49)*0/4))*(1+(D$49+(假设!$C$29-D$49)*1/4))*(1+(D$49+(假设!$C$29-D$49)*2/4))*(1+(D$49+(假设!$C$29-D$49)*3/4))*(1+(D$49+(假设!$C$29-D$49)*4/4))*(1+$C$8)/($B52-$C$8)/(1+$B52)^9+$C$29-$C$30)/$C$32,0)</f>
        <v>58.7409486249046</v>
      </c>
      <c r="E52" s="14" t="n">
        <f aca="false">IFERROR((SUMPRODUCT($C$19:$F$19/(1+$B52)^$C$12:$F$12)+$F$19*(1+(E$49+(假设!$C$29-E$49)*0/4))/(1+$B52)^5+$F$19*(1+(E$49+(假设!$C$29-E$49)*0/4))*(1+(E$49+(假设!$C$29-E$49)*1/4))/(1+$B52)^6+$F$19*(1+(E$49+(假设!$C$29-E$49)*0/4))*(1+(E$49+(假设!$C$29-E$49)*1/4))*(1+(E$49+(假设!$C$29-E$49)*2/4))/(1+$B52)^7+$F$19*(1+(E$49+(假设!$C$29-E$49)*0/4))*(1+(E$49+(假设!$C$29-E$49)*1/4))*(1+(E$49+(假设!$C$29-E$49)*2/4))*(1+(E$49+(假设!$C$29-E$49)*3/4))/(1+$B52)^8+$F$19*(1+(E$49+(假设!$C$29-E$49)*0/4))*(1+(E$49+(假设!$C$29-E$49)*1/4))*(1+(E$49+(假设!$C$29-E$49)*2/4))*(1+(E$49+(假设!$C$29-E$49)*3/4))*(1+(E$49+(假设!$C$29-E$49)*4/4))/(1+$B52)^9+$F$19*(1+(E$49+(假设!$C$29-E$49)*0/4))*(1+(E$49+(假设!$C$29-E$49)*1/4))*(1+(E$49+(假设!$C$29-E$49)*2/4))*(1+(E$49+(假设!$C$29-E$49)*3/4))*(1+(E$49+(假设!$C$29-E$49)*4/4))*(1+$C$8)/($B52-$C$8)/(1+$B52)^9+$C$29-$C$30)/$C$32,0)</f>
        <v>60.6690600757412</v>
      </c>
      <c r="F52" s="14" t="n">
        <f aca="false">IFERROR((SUMPRODUCT($C$19:$F$19/(1+$B52)^$C$12:$F$12)+$F$19*(1+(F$49+(假设!$C$29-F$49)*0/4))/(1+$B52)^5+$F$19*(1+(F$49+(假设!$C$29-F$49)*0/4))*(1+(F$49+(假设!$C$29-F$49)*1/4))/(1+$B52)^6+$F$19*(1+(F$49+(假设!$C$29-F$49)*0/4))*(1+(F$49+(假设!$C$29-F$49)*1/4))*(1+(F$49+(假设!$C$29-F$49)*2/4))/(1+$B52)^7+$F$19*(1+(F$49+(假设!$C$29-F$49)*0/4))*(1+(F$49+(假设!$C$29-F$49)*1/4))*(1+(F$49+(假设!$C$29-F$49)*2/4))*(1+(F$49+(假设!$C$29-F$49)*3/4))/(1+$B52)^8+$F$19*(1+(F$49+(假设!$C$29-F$49)*0/4))*(1+(F$49+(假设!$C$29-F$49)*1/4))*(1+(F$49+(假设!$C$29-F$49)*2/4))*(1+(F$49+(假设!$C$29-F$49)*3/4))*(1+(F$49+(假设!$C$29-F$49)*4/4))/(1+$B52)^9+$F$19*(1+(F$49+(假设!$C$29-F$49)*0/4))*(1+(F$49+(假设!$C$29-F$49)*1/4))*(1+(F$49+(假设!$C$29-F$49)*2/4))*(1+(F$49+(假设!$C$29-F$49)*3/4))*(1+(F$49+(假设!$C$29-F$49)*4/4))*(1+$C$8)/($B52-$C$8)/(1+$B52)^9+$C$29-$C$30)/$C$32,0)</f>
        <v>62.6575234433607</v>
      </c>
      <c r="G52" s="14" t="n">
        <f aca="false">IFERROR((SUMPRODUCT($C$19:$F$19/(1+$B52)^$C$12:$F$12)+$F$19*(1+(G$49+(假设!$C$29-G$49)*0/4))/(1+$B52)^5+$F$19*(1+(G$49+(假设!$C$29-G$49)*0/4))*(1+(G$49+(假设!$C$29-G$49)*1/4))/(1+$B52)^6+$F$19*(1+(G$49+(假设!$C$29-G$49)*0/4))*(1+(G$49+(假设!$C$29-G$49)*1/4))*(1+(G$49+(假设!$C$29-G$49)*2/4))/(1+$B52)^7+$F$19*(1+(G$49+(假设!$C$29-G$49)*0/4))*(1+(G$49+(假设!$C$29-G$49)*1/4))*(1+(G$49+(假设!$C$29-G$49)*2/4))*(1+(G$49+(假设!$C$29-G$49)*3/4))/(1+$B52)^8+$F$19*(1+(G$49+(假设!$C$29-G$49)*0/4))*(1+(G$49+(假设!$C$29-G$49)*1/4))*(1+(G$49+(假设!$C$29-G$49)*2/4))*(1+(G$49+(假设!$C$29-G$49)*3/4))*(1+(G$49+(假设!$C$29-G$49)*4/4))/(1+$B52)^9+$F$19*(1+(G$49+(假设!$C$29-G$49)*0/4))*(1+(G$49+(假设!$C$29-G$49)*1/4))*(1+(G$49+(假设!$C$29-G$49)*2/4))*(1+(G$49+(假设!$C$29-G$49)*3/4))*(1+(G$49+(假设!$C$29-G$49)*4/4))*(1+$C$8)/($B52-$C$8)/(1+$B52)^9+$C$29-$C$30)/$C$32,0)</f>
        <v>64.7075042200943</v>
      </c>
    </row>
    <row r="53" customFormat="false" ht="15" hidden="false" customHeight="false" outlineLevel="0" collapsed="false">
      <c r="B53" s="70" t="n">
        <f aca="false">$C$7+(0.005)</f>
        <v>0.094299</v>
      </c>
      <c r="C53" s="14" t="n">
        <f aca="false">IFERROR((SUMPRODUCT($C$19:$F$19/(1+$B53)^$C$12:$F$12)+$F$19*(1+(C$49+(假设!$C$29-C$49)*0/4))/(1+$B53)^5+$F$19*(1+(C$49+(假设!$C$29-C$49)*0/4))*(1+(C$49+(假设!$C$29-C$49)*1/4))/(1+$B53)^6+$F$19*(1+(C$49+(假设!$C$29-C$49)*0/4))*(1+(C$49+(假设!$C$29-C$49)*1/4))*(1+(C$49+(假设!$C$29-C$49)*2/4))/(1+$B53)^7+$F$19*(1+(C$49+(假设!$C$29-C$49)*0/4))*(1+(C$49+(假设!$C$29-C$49)*1/4))*(1+(C$49+(假设!$C$29-C$49)*2/4))*(1+(C$49+(假设!$C$29-C$49)*3/4))/(1+$B53)^8+$F$19*(1+(C$49+(假设!$C$29-C$49)*0/4))*(1+(C$49+(假设!$C$29-C$49)*1/4))*(1+(C$49+(假设!$C$29-C$49)*2/4))*(1+(C$49+(假设!$C$29-C$49)*3/4))*(1+(C$49+(假设!$C$29-C$49)*4/4))/(1+$B53)^9+$F$19*(1+(C$49+(假设!$C$29-C$49)*0/4))*(1+(C$49+(假设!$C$29-C$49)*1/4))*(1+(C$49+(假设!$C$29-C$49)*2/4))*(1+(C$49+(假设!$C$29-C$49)*3/4))*(1+(C$49+(假设!$C$29-C$49)*4/4))*(1+$C$8)/($B53-$C$8)/(1+$B53)^9+$C$29-$C$30)/$C$32,0)</f>
        <v>52.8880748603404</v>
      </c>
      <c r="D53" s="14" t="n">
        <f aca="false">IFERROR((SUMPRODUCT($C$19:$F$19/(1+$B53)^$C$12:$F$12)+$F$19*(1+(D$49+(假设!$C$29-D$49)*0/4))/(1+$B53)^5+$F$19*(1+(D$49+(假设!$C$29-D$49)*0/4))*(1+(D$49+(假设!$C$29-D$49)*1/4))/(1+$B53)^6+$F$19*(1+(D$49+(假设!$C$29-D$49)*0/4))*(1+(D$49+(假设!$C$29-D$49)*1/4))*(1+(D$49+(假设!$C$29-D$49)*2/4))/(1+$B53)^7+$F$19*(1+(D$49+(假设!$C$29-D$49)*0/4))*(1+(D$49+(假设!$C$29-D$49)*1/4))*(1+(D$49+(假设!$C$29-D$49)*2/4))*(1+(D$49+(假设!$C$29-D$49)*3/4))/(1+$B53)^8+$F$19*(1+(D$49+(假设!$C$29-D$49)*0/4))*(1+(D$49+(假设!$C$29-D$49)*1/4))*(1+(D$49+(假设!$C$29-D$49)*2/4))*(1+(D$49+(假设!$C$29-D$49)*3/4))*(1+(D$49+(假设!$C$29-D$49)*4/4))/(1+$B53)^9+$F$19*(1+(D$49+(假设!$C$29-D$49)*0/4))*(1+(D$49+(假设!$C$29-D$49)*1/4))*(1+(D$49+(假设!$C$29-D$49)*2/4))*(1+(D$49+(假设!$C$29-D$49)*3/4))*(1+(D$49+(假设!$C$29-D$49)*4/4))*(1+$C$8)/($B53-$C$8)/(1+$B53)^9+$C$29-$C$30)/$C$32,0)</f>
        <v>54.5720120181394</v>
      </c>
      <c r="E53" s="14" t="n">
        <f aca="false">IFERROR((SUMPRODUCT($C$19:$F$19/(1+$B53)^$C$12:$F$12)+$F$19*(1+(E$49+(假设!$C$29-E$49)*0/4))/(1+$B53)^5+$F$19*(1+(E$49+(假设!$C$29-E$49)*0/4))*(1+(E$49+(假设!$C$29-E$49)*1/4))/(1+$B53)^6+$F$19*(1+(E$49+(假设!$C$29-E$49)*0/4))*(1+(E$49+(假设!$C$29-E$49)*1/4))*(1+(E$49+(假设!$C$29-E$49)*2/4))/(1+$B53)^7+$F$19*(1+(E$49+(假设!$C$29-E$49)*0/4))*(1+(E$49+(假设!$C$29-E$49)*1/4))*(1+(E$49+(假设!$C$29-E$49)*2/4))*(1+(E$49+(假设!$C$29-E$49)*3/4))/(1+$B53)^8+$F$19*(1+(E$49+(假设!$C$29-E$49)*0/4))*(1+(E$49+(假设!$C$29-E$49)*1/4))*(1+(E$49+(假设!$C$29-E$49)*2/4))*(1+(E$49+(假设!$C$29-E$49)*3/4))*(1+(E$49+(假设!$C$29-E$49)*4/4))/(1+$B53)^9+$F$19*(1+(E$49+(假设!$C$29-E$49)*0/4))*(1+(E$49+(假设!$C$29-E$49)*1/4))*(1+(E$49+(假设!$C$29-E$49)*2/4))*(1+(E$49+(假设!$C$29-E$49)*3/4))*(1+(E$49+(假设!$C$29-E$49)*4/4))*(1+$C$8)/($B53-$C$8)/(1+$B53)^9+$C$29-$C$30)/$C$32,0)</f>
        <v>56.3090726751216</v>
      </c>
      <c r="F53" s="14" t="n">
        <f aca="false">IFERROR((SUMPRODUCT($C$19:$F$19/(1+$B53)^$C$12:$F$12)+$F$19*(1+(F$49+(假设!$C$29-F$49)*0/4))/(1+$B53)^5+$F$19*(1+(F$49+(假设!$C$29-F$49)*0/4))*(1+(F$49+(假设!$C$29-F$49)*1/4))/(1+$B53)^6+$F$19*(1+(F$49+(假设!$C$29-F$49)*0/4))*(1+(F$49+(假设!$C$29-F$49)*1/4))*(1+(F$49+(假设!$C$29-F$49)*2/4))/(1+$B53)^7+$F$19*(1+(F$49+(假设!$C$29-F$49)*0/4))*(1+(F$49+(假设!$C$29-F$49)*1/4))*(1+(F$49+(假设!$C$29-F$49)*2/4))*(1+(F$49+(假设!$C$29-F$49)*3/4))/(1+$B53)^8+$F$19*(1+(F$49+(假设!$C$29-F$49)*0/4))*(1+(F$49+(假设!$C$29-F$49)*1/4))*(1+(F$49+(假设!$C$29-F$49)*2/4))*(1+(F$49+(假设!$C$29-F$49)*3/4))*(1+(F$49+(假设!$C$29-F$49)*4/4))/(1+$B53)^9+$F$19*(1+(F$49+(假设!$C$29-F$49)*0/4))*(1+(F$49+(假设!$C$29-F$49)*1/4))*(1+(F$49+(假设!$C$29-F$49)*2/4))*(1+(F$49+(假设!$C$29-F$49)*3/4))*(1+(F$49+(假设!$C$29-F$49)*4/4))*(1+$C$8)/($B53-$C$8)/(1+$B53)^9+$C$29-$C$30)/$C$32,0)</f>
        <v>58.100290886812</v>
      </c>
      <c r="G53" s="14" t="n">
        <f aca="false">IFERROR((SUMPRODUCT($C$19:$F$19/(1+$B53)^$C$12:$F$12)+$F$19*(1+(G$49+(假设!$C$29-G$49)*0/4))/(1+$B53)^5+$F$19*(1+(G$49+(假设!$C$29-G$49)*0/4))*(1+(G$49+(假设!$C$29-G$49)*1/4))/(1+$B53)^6+$F$19*(1+(G$49+(假设!$C$29-G$49)*0/4))*(1+(G$49+(假设!$C$29-G$49)*1/4))*(1+(G$49+(假设!$C$29-G$49)*2/4))/(1+$B53)^7+$F$19*(1+(G$49+(假设!$C$29-G$49)*0/4))*(1+(G$49+(假设!$C$29-G$49)*1/4))*(1+(G$49+(假设!$C$29-G$49)*2/4))*(1+(G$49+(假设!$C$29-G$49)*3/4))/(1+$B53)^8+$F$19*(1+(G$49+(假设!$C$29-G$49)*0/4))*(1+(G$49+(假设!$C$29-G$49)*1/4))*(1+(G$49+(假设!$C$29-G$49)*2/4))*(1+(G$49+(假设!$C$29-G$49)*3/4))*(1+(G$49+(假设!$C$29-G$49)*4/4))/(1+$B53)^9+$F$19*(1+(G$49+(假设!$C$29-G$49)*0/4))*(1+(G$49+(假设!$C$29-G$49)*1/4))*(1+(G$49+(假设!$C$29-G$49)*2/4))*(1+(G$49+(假设!$C$29-G$49)*3/4))*(1+(G$49+(假设!$C$29-G$49)*4/4))*(1+$C$8)/($B53-$C$8)/(1+$B53)^9+$C$29-$C$30)/$C$32,0)</f>
        <v>59.9467097372455</v>
      </c>
    </row>
    <row r="54" customFormat="false" ht="15" hidden="false" customHeight="false" outlineLevel="0" collapsed="false">
      <c r="B54" s="70" t="n">
        <f aca="false">$C$7+(0.01)</f>
        <v>0.099299</v>
      </c>
      <c r="C54" s="14" t="n">
        <f aca="false">IFERROR((SUMPRODUCT($C$19:$F$19/(1+$B54)^$C$12:$F$12)+$F$19*(1+(C$49+(假设!$C$29-C$49)*0/4))/(1+$B54)^5+$F$19*(1+(C$49+(假设!$C$29-C$49)*0/4))*(1+(C$49+(假设!$C$29-C$49)*1/4))/(1+$B54)^6+$F$19*(1+(C$49+(假设!$C$29-C$49)*0/4))*(1+(C$49+(假设!$C$29-C$49)*1/4))*(1+(C$49+(假设!$C$29-C$49)*2/4))/(1+$B54)^7+$F$19*(1+(C$49+(假设!$C$29-C$49)*0/4))*(1+(C$49+(假设!$C$29-C$49)*1/4))*(1+(C$49+(假设!$C$29-C$49)*2/4))*(1+(C$49+(假设!$C$29-C$49)*3/4))/(1+$B54)^8+$F$19*(1+(C$49+(假设!$C$29-C$49)*0/4))*(1+(C$49+(假设!$C$29-C$49)*1/4))*(1+(C$49+(假设!$C$29-C$49)*2/4))*(1+(C$49+(假设!$C$29-C$49)*3/4))*(1+(C$49+(假设!$C$29-C$49)*4/4))/(1+$B54)^9+$F$19*(1+(C$49+(假设!$C$29-C$49)*0/4))*(1+(C$49+(假设!$C$29-C$49)*1/4))*(1+(C$49+(假设!$C$29-C$49)*2/4))*(1+(C$49+(假设!$C$29-C$49)*3/4))*(1+(C$49+(假设!$C$29-C$49)*4/4))*(1+$C$8)/($B54-$C$8)/(1+$B54)^9+$C$29-$C$30)/$C$32,0)</f>
        <v>49.4842455790607</v>
      </c>
      <c r="D54" s="14" t="n">
        <f aca="false">IFERROR((SUMPRODUCT($C$19:$F$19/(1+$B54)^$C$12:$F$12)+$F$19*(1+(D$49+(假设!$C$29-D$49)*0/4))/(1+$B54)^5+$F$19*(1+(D$49+(假设!$C$29-D$49)*0/4))*(1+(D$49+(假设!$C$29-D$49)*1/4))/(1+$B54)^6+$F$19*(1+(D$49+(假设!$C$29-D$49)*0/4))*(1+(D$49+(假设!$C$29-D$49)*1/4))*(1+(D$49+(假设!$C$29-D$49)*2/4))/(1+$B54)^7+$F$19*(1+(D$49+(假设!$C$29-D$49)*0/4))*(1+(D$49+(假设!$C$29-D$49)*1/4))*(1+(D$49+(假设!$C$29-D$49)*2/4))*(1+(D$49+(假设!$C$29-D$49)*3/4))/(1+$B54)^8+$F$19*(1+(D$49+(假设!$C$29-D$49)*0/4))*(1+(D$49+(假设!$C$29-D$49)*1/4))*(1+(D$49+(假设!$C$29-D$49)*2/4))*(1+(D$49+(假设!$C$29-D$49)*3/4))*(1+(D$49+(假设!$C$29-D$49)*4/4))/(1+$B54)^9+$F$19*(1+(D$49+(假设!$C$29-D$49)*0/4))*(1+(D$49+(假设!$C$29-D$49)*1/4))*(1+(D$49+(假设!$C$29-D$49)*2/4))*(1+(D$49+(假设!$C$29-D$49)*3/4))*(1+(D$49+(假设!$C$29-D$49)*4/4))*(1+$C$8)/($B54-$C$8)/(1+$B54)^9+$C$29-$C$30)/$C$32,0)</f>
        <v>51.0109424001077</v>
      </c>
      <c r="E54" s="14" t="n">
        <f aca="false">IFERROR((SUMPRODUCT($C$19:$F$19/(1+$B54)^$C$12:$F$12)+$F$19*(1+(E$49+(假设!$C$29-E$49)*0/4))/(1+$B54)^5+$F$19*(1+(E$49+(假设!$C$29-E$49)*0/4))*(1+(E$49+(假设!$C$29-E$49)*1/4))/(1+$B54)^6+$F$19*(1+(E$49+(假设!$C$29-E$49)*0/4))*(1+(E$49+(假设!$C$29-E$49)*1/4))*(1+(E$49+(假设!$C$29-E$49)*2/4))/(1+$B54)^7+$F$19*(1+(E$49+(假设!$C$29-E$49)*0/4))*(1+(E$49+(假设!$C$29-E$49)*1/4))*(1+(E$49+(假设!$C$29-E$49)*2/4))*(1+(E$49+(假设!$C$29-E$49)*3/4))/(1+$B54)^8+$F$19*(1+(E$49+(假设!$C$29-E$49)*0/4))*(1+(E$49+(假设!$C$29-E$49)*1/4))*(1+(E$49+(假设!$C$29-E$49)*2/4))*(1+(E$49+(假设!$C$29-E$49)*3/4))*(1+(E$49+(假设!$C$29-E$49)*4/4))/(1+$B54)^9+$F$19*(1+(E$49+(假设!$C$29-E$49)*0/4))*(1+(E$49+(假设!$C$29-E$49)*1/4))*(1+(E$49+(假设!$C$29-E$49)*2/4))*(1+(E$49+(假设!$C$29-E$49)*3/4))*(1+(E$49+(假设!$C$29-E$49)*4/4))*(1+$C$8)/($B54-$C$8)/(1+$B54)^9+$C$29-$C$30)/$C$32,0)</f>
        <v>52.5856093778837</v>
      </c>
      <c r="F54" s="14" t="n">
        <f aca="false">IFERROR((SUMPRODUCT($C$19:$F$19/(1+$B54)^$C$12:$F$12)+$F$19*(1+(F$49+(假设!$C$29-F$49)*0/4))/(1+$B54)^5+$F$19*(1+(F$49+(假设!$C$29-F$49)*0/4))*(1+(F$49+(假设!$C$29-F$49)*1/4))/(1+$B54)^6+$F$19*(1+(F$49+(假设!$C$29-F$49)*0/4))*(1+(F$49+(假设!$C$29-F$49)*1/4))*(1+(F$49+(假设!$C$29-F$49)*2/4))/(1+$B54)^7+$F$19*(1+(F$49+(假设!$C$29-F$49)*0/4))*(1+(F$49+(假设!$C$29-F$49)*1/4))*(1+(F$49+(假设!$C$29-F$49)*2/4))*(1+(F$49+(假设!$C$29-F$49)*3/4))/(1+$B54)^8+$F$19*(1+(F$49+(假设!$C$29-F$49)*0/4))*(1+(F$49+(假设!$C$29-F$49)*1/4))*(1+(F$49+(假设!$C$29-F$49)*2/4))*(1+(F$49+(假设!$C$29-F$49)*3/4))*(1+(F$49+(假设!$C$29-F$49)*4/4))/(1+$B54)^9+$F$19*(1+(F$49+(假设!$C$29-F$49)*0/4))*(1+(F$49+(假设!$C$29-F$49)*1/4))*(1+(F$49+(假设!$C$29-F$49)*2/4))*(1+(F$49+(假设!$C$29-F$49)*3/4))*(1+(F$49+(假设!$C$29-F$49)*4/4))*(1+$C$8)/($B54-$C$8)/(1+$B54)^9+$C$29-$C$30)/$C$32,0)</f>
        <v>54.2091777443116</v>
      </c>
      <c r="G54" s="14" t="n">
        <f aca="false">IFERROR((SUMPRODUCT($C$19:$F$19/(1+$B54)^$C$12:$F$12)+$F$19*(1+(G$49+(假设!$C$29-G$49)*0/4))/(1+$B54)^5+$F$19*(1+(G$49+(假设!$C$29-G$49)*0/4))*(1+(G$49+(假设!$C$29-G$49)*1/4))/(1+$B54)^6+$F$19*(1+(G$49+(假设!$C$29-G$49)*0/4))*(1+(G$49+(假设!$C$29-G$49)*1/4))*(1+(G$49+(假设!$C$29-G$49)*2/4))/(1+$B54)^7+$F$19*(1+(G$49+(假设!$C$29-G$49)*0/4))*(1+(G$49+(假设!$C$29-G$49)*1/4))*(1+(G$49+(假设!$C$29-G$49)*2/4))*(1+(G$49+(假设!$C$29-G$49)*3/4))/(1+$B54)^8+$F$19*(1+(G$49+(假设!$C$29-G$49)*0/4))*(1+(G$49+(假设!$C$29-G$49)*1/4))*(1+(G$49+(假设!$C$29-G$49)*2/4))*(1+(G$49+(假设!$C$29-G$49)*3/4))*(1+(G$49+(假设!$C$29-G$49)*4/4))/(1+$B54)^9+$F$19*(1+(G$49+(假设!$C$29-G$49)*0/4))*(1+(G$49+(假设!$C$29-G$49)*1/4))*(1+(G$49+(假设!$C$29-G$49)*2/4))*(1+(G$49+(假设!$C$29-G$49)*3/4))*(1+(G$49+(假设!$C$29-G$49)*4/4))*(1+$C$8)/($B54-$C$8)/(1+$B54)^9+$C$29-$C$30)/$C$32,0)</f>
        <v>55.8825868446428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  <col collapsed="false" customWidth="true" hidden="false" outlineLevel="0" max="6" min="6" style="0" width="30"/>
  </cols>
  <sheetData>
    <row r="1" customFormat="false" ht="21.6" hidden="false" customHeight="false" outlineLevel="0" collapsed="false">
      <c r="A1" s="1" t="s">
        <v>423</v>
      </c>
    </row>
    <row r="2" customFormat="false" ht="15" hidden="false" customHeight="false" outlineLevel="0" collapsed="false">
      <c r="A2" s="2" t="s">
        <v>424</v>
      </c>
    </row>
    <row r="4" customFormat="false" ht="15" hidden="false" customHeight="false" outlineLevel="0" collapsed="false">
      <c r="A4" s="45" t="s">
        <v>425</v>
      </c>
      <c r="B4" s="6"/>
      <c r="C4" s="6"/>
      <c r="D4" s="6"/>
      <c r="E4" s="6"/>
      <c r="F4" s="6"/>
      <c r="G4" s="6"/>
      <c r="H4" s="6"/>
      <c r="I4" s="6"/>
      <c r="J4" s="6"/>
    </row>
    <row r="5" customFormat="false" ht="15" hidden="false" customHeight="false" outlineLevel="0" collapsed="false">
      <c r="A5" s="72" t="s">
        <v>426</v>
      </c>
      <c r="B5" s="34"/>
      <c r="C5" s="8" t="s">
        <v>11</v>
      </c>
      <c r="D5" s="8" t="s">
        <v>12</v>
      </c>
      <c r="E5" s="8" t="s">
        <v>13</v>
      </c>
    </row>
    <row r="6" customFormat="false" ht="15" hidden="false" customHeight="false" outlineLevel="0" collapsed="false">
      <c r="A6" s="19" t="n">
        <f aca="false">假设!$C$31+(假设!$C$32-假设!$C$31)*0/5</f>
        <v>30</v>
      </c>
      <c r="C6" s="14" t="n">
        <f aca="false">$A6*三表预测!H32</f>
        <v>63.7721310098891</v>
      </c>
      <c r="D6" s="14" t="n">
        <f aca="false">$A6*三表预测!I32</f>
        <v>82.8751517406837</v>
      </c>
      <c r="E6" s="14" t="n">
        <f aca="false">$A6*三表预测!J32</f>
        <v>91.4211517384623</v>
      </c>
    </row>
    <row r="7" customFormat="false" ht="15" hidden="false" customHeight="false" outlineLevel="0" collapsed="false">
      <c r="A7" s="19" t="n">
        <f aca="false">假设!$C$31+(假设!$C$32-假设!$C$31)*1/5</f>
        <v>35</v>
      </c>
      <c r="C7" s="14" t="n">
        <f aca="false">$A7*三表预测!H32</f>
        <v>74.4008195115372</v>
      </c>
      <c r="D7" s="14" t="n">
        <f aca="false">$A7*三表预测!I32</f>
        <v>96.6876770307976</v>
      </c>
      <c r="E7" s="14" t="n">
        <f aca="false">$A7*三表预测!J32</f>
        <v>106.658010361539</v>
      </c>
    </row>
    <row r="8" customFormat="false" ht="15" hidden="false" customHeight="false" outlineLevel="0" collapsed="false">
      <c r="A8" s="19" t="n">
        <f aca="false">假设!$C$31+(假设!$C$32-假设!$C$31)*2/5</f>
        <v>40</v>
      </c>
      <c r="C8" s="14" t="n">
        <f aca="false">$A8*三表预测!H32</f>
        <v>85.0295080131854</v>
      </c>
      <c r="D8" s="14" t="n">
        <f aca="false">$A8*三表预测!I32</f>
        <v>110.500202320912</v>
      </c>
      <c r="E8" s="14" t="n">
        <f aca="false">$A8*三表预测!J32</f>
        <v>121.894868984616</v>
      </c>
    </row>
    <row r="9" customFormat="false" ht="15" hidden="false" customHeight="false" outlineLevel="0" collapsed="false">
      <c r="A9" s="19" t="n">
        <f aca="false">假设!$C$31+(假设!$C$32-假设!$C$31)*3/5</f>
        <v>45</v>
      </c>
      <c r="C9" s="14" t="n">
        <f aca="false">$A9*三表预测!H32</f>
        <v>95.6581965148336</v>
      </c>
      <c r="D9" s="14" t="n">
        <f aca="false">$A9*三表预测!I32</f>
        <v>124.312727611026</v>
      </c>
      <c r="E9" s="14" t="n">
        <f aca="false">$A9*三表预测!J32</f>
        <v>137.131727607693</v>
      </c>
    </row>
    <row r="10" customFormat="false" ht="15" hidden="false" customHeight="false" outlineLevel="0" collapsed="false">
      <c r="A10" s="19" t="n">
        <f aca="false">假设!$C$31+(假设!$C$32-假设!$C$31)*4/5</f>
        <v>50</v>
      </c>
      <c r="C10" s="14" t="n">
        <f aca="false">$A10*三表预测!H32</f>
        <v>106.286885016482</v>
      </c>
      <c r="D10" s="14" t="n">
        <f aca="false">$A10*三表预测!I32</f>
        <v>138.125252901139</v>
      </c>
      <c r="E10" s="14" t="n">
        <f aca="false">$A10*三表预测!J32</f>
        <v>152.36858623077</v>
      </c>
    </row>
    <row r="11" customFormat="false" ht="15" hidden="false" customHeight="false" outlineLevel="0" collapsed="false">
      <c r="A11" s="19" t="n">
        <f aca="false">假设!$C$31+(假设!$C$32-假设!$C$31)*5/5</f>
        <v>55</v>
      </c>
      <c r="C11" s="14" t="n">
        <f aca="false">$A11*三表预测!H32</f>
        <v>116.91557351813</v>
      </c>
      <c r="D11" s="14" t="n">
        <f aca="false">$A11*三表预测!I32</f>
        <v>151.937778191253</v>
      </c>
      <c r="E11" s="14" t="n">
        <f aca="false">$A11*三表预测!J32</f>
        <v>167.605444853848</v>
      </c>
    </row>
    <row r="12" customFormat="false" ht="15" hidden="false" customHeight="false" outlineLevel="0" collapsed="false">
      <c r="A12" s="13" t="s">
        <v>427</v>
      </c>
      <c r="C12" s="14" t="n">
        <f aca="false">三表预测!H32</f>
        <v>2.12573770032964</v>
      </c>
      <c r="D12" s="14" t="n">
        <f aca="false">三表预测!I32</f>
        <v>2.76250505802279</v>
      </c>
      <c r="E12" s="14" t="n">
        <f aca="false">三表预测!J32</f>
        <v>3.04737172461541</v>
      </c>
    </row>
    <row r="13" customFormat="false" ht="15" hidden="false" customHeight="false" outlineLevel="0" collapsed="false">
      <c r="A13" s="9" t="s">
        <v>428</v>
      </c>
      <c r="C13" s="15" t="n">
        <f aca="false">三表预测!H97</f>
        <v>55.7453537102082</v>
      </c>
      <c r="D13" s="15" t="n">
        <f aca="false">三表预测!I97</f>
        <v>42.8958490612915</v>
      </c>
      <c r="E13" s="15" t="n">
        <f aca="false">三表预测!J97</f>
        <v>38.885968207556</v>
      </c>
    </row>
    <row r="14" customFormat="false" ht="15" hidden="false" customHeight="false" outlineLevel="0" collapsed="false">
      <c r="A14" s="9" t="s">
        <v>429</v>
      </c>
      <c r="C14" s="15" t="n">
        <f aca="false">三表预测!H98</f>
        <v>7.67149229896641</v>
      </c>
      <c r="D14" s="15" t="n">
        <f aca="false">三表预测!I98</f>
        <v>6.76840766760772</v>
      </c>
      <c r="E14" s="15" t="n">
        <f aca="false">三表预测!J98</f>
        <v>6.03251273038058</v>
      </c>
    </row>
    <row r="16" customFormat="false" ht="15" hidden="false" customHeight="false" outlineLevel="0" collapsed="false">
      <c r="A16" s="5" t="s">
        <v>430</v>
      </c>
      <c r="B16" s="6"/>
      <c r="C16" s="6"/>
      <c r="D16" s="6"/>
      <c r="E16" s="6"/>
      <c r="F16" s="6"/>
      <c r="G16" s="6"/>
      <c r="H16" s="6"/>
      <c r="I16" s="6"/>
      <c r="J16" s="6"/>
    </row>
    <row r="17" customFormat="false" ht="15" hidden="false" customHeight="false" outlineLevel="0" collapsed="false">
      <c r="A17" s="7" t="s">
        <v>431</v>
      </c>
      <c r="B17" s="34" t="s">
        <v>432</v>
      </c>
      <c r="C17" s="8" t="s">
        <v>433</v>
      </c>
      <c r="D17" s="8" t="s">
        <v>434</v>
      </c>
      <c r="E17" s="8" t="s">
        <v>435</v>
      </c>
      <c r="F17" s="34" t="s">
        <v>436</v>
      </c>
    </row>
    <row r="18" customFormat="false" ht="15" hidden="false" customHeight="false" outlineLevel="0" collapsed="false">
      <c r="A18" s="11" t="s">
        <v>437</v>
      </c>
      <c r="B18" s="4" t="s">
        <v>438</v>
      </c>
      <c r="C18" s="73"/>
      <c r="D18" s="73"/>
      <c r="E18" s="73"/>
      <c r="F18" s="24" t="s">
        <v>439</v>
      </c>
    </row>
    <row r="19" customFormat="false" ht="15" hidden="false" customHeight="false" outlineLevel="0" collapsed="false">
      <c r="A19" s="11" t="s">
        <v>440</v>
      </c>
      <c r="B19" s="4" t="s">
        <v>441</v>
      </c>
      <c r="C19" s="73"/>
      <c r="D19" s="73"/>
      <c r="E19" s="73"/>
      <c r="F19" s="2" t="s">
        <v>442</v>
      </c>
    </row>
    <row r="20" customFormat="false" ht="15" hidden="false" customHeight="false" outlineLevel="0" collapsed="false">
      <c r="A20" s="11" t="s">
        <v>443</v>
      </c>
      <c r="B20" s="4" t="s">
        <v>444</v>
      </c>
      <c r="C20" s="73"/>
      <c r="D20" s="73"/>
      <c r="E20" s="73"/>
      <c r="F20" s="2" t="s">
        <v>445</v>
      </c>
    </row>
    <row r="21" customFormat="false" ht="15" hidden="false" customHeight="false" outlineLevel="0" collapsed="false">
      <c r="A21" s="11" t="s">
        <v>446</v>
      </c>
      <c r="B21" s="4" t="s">
        <v>447</v>
      </c>
      <c r="C21" s="73"/>
      <c r="D21" s="73"/>
      <c r="E21" s="73"/>
      <c r="F21" s="24" t="s">
        <v>448</v>
      </c>
    </row>
    <row r="22" customFormat="false" ht="15" hidden="false" customHeight="false" outlineLevel="0" collapsed="false">
      <c r="A22" s="11" t="s">
        <v>449</v>
      </c>
      <c r="B22" s="4" t="s">
        <v>450</v>
      </c>
      <c r="C22" s="73"/>
      <c r="D22" s="73"/>
      <c r="E22" s="73"/>
      <c r="F22" s="24" t="s">
        <v>451</v>
      </c>
    </row>
    <row r="23" customFormat="false" ht="15" hidden="false" customHeight="false" outlineLevel="0" collapsed="false">
      <c r="A23" s="11" t="s">
        <v>452</v>
      </c>
      <c r="B23" s="4" t="s">
        <v>453</v>
      </c>
      <c r="C23" s="73"/>
      <c r="D23" s="73"/>
      <c r="E23" s="73"/>
      <c r="F23" s="2" t="s">
        <v>454</v>
      </c>
    </row>
    <row r="24" customFormat="false" ht="15" hidden="false" customHeight="false" outlineLevel="0" collapsed="false">
      <c r="A24" s="11" t="s">
        <v>455</v>
      </c>
      <c r="B24" s="4" t="s">
        <v>456</v>
      </c>
      <c r="C24" s="73"/>
      <c r="D24" s="73"/>
      <c r="E24" s="73"/>
      <c r="F24" s="24" t="s">
        <v>451</v>
      </c>
    </row>
    <row r="25" customFormat="false" ht="15" hidden="false" customHeight="false" outlineLevel="0" collapsed="false">
      <c r="A25" s="9" t="s">
        <v>457</v>
      </c>
      <c r="C25" s="74" t="n">
        <f aca="false">IFERROR(MEDIAN(C18:C24),0)</f>
        <v>0</v>
      </c>
      <c r="D25" s="74" t="n">
        <f aca="false">IFERROR(MEDIAN(D18:D24),0)</f>
        <v>0</v>
      </c>
      <c r="E25" s="74" t="n">
        <f aca="false">IFERROR(MEDIAN(E18:E24),0)</f>
        <v>0</v>
      </c>
    </row>
    <row r="26" customFormat="false" ht="15" hidden="false" customHeight="false" outlineLevel="0" collapsed="false">
      <c r="A26" s="9" t="s">
        <v>458</v>
      </c>
      <c r="C26" s="14" t="n">
        <f aca="false">C25*三表预测!H32</f>
        <v>0</v>
      </c>
      <c r="D26" s="14" t="n">
        <f aca="false">D25*三表预测!I32</f>
        <v>0</v>
      </c>
      <c r="E26" s="14" t="n">
        <f aca="false">E25*三表预测!H96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8" min="3" style="0" width="11"/>
  </cols>
  <sheetData>
    <row r="1" customFormat="false" ht="21.6" hidden="false" customHeight="false" outlineLevel="0" collapsed="false">
      <c r="A1" s="65" t="s">
        <v>459</v>
      </c>
    </row>
    <row r="2" customFormat="false" ht="15" hidden="false" customHeight="false" outlineLevel="0" collapsed="false">
      <c r="A2" s="2" t="s">
        <v>460</v>
      </c>
    </row>
    <row r="4" customFormat="false" ht="15" hidden="false" customHeight="false" outlineLevel="0" collapsed="false">
      <c r="A4" s="4" t="s">
        <v>461</v>
      </c>
      <c r="C4" s="46" t="n">
        <f aca="false">假设!I79</f>
        <v>2.5</v>
      </c>
    </row>
    <row r="5" customFormat="false" ht="15" hidden="false" customHeight="false" outlineLevel="0" collapsed="false">
      <c r="A5" s="4" t="s">
        <v>462</v>
      </c>
      <c r="C5" s="47" t="n">
        <f aca="false">假设!I83</f>
        <v>30</v>
      </c>
    </row>
    <row r="6" customFormat="false" ht="15" hidden="false" customHeight="false" outlineLevel="0" collapsed="false">
      <c r="A6" s="4" t="s">
        <v>463</v>
      </c>
      <c r="C6" s="28" t="n">
        <v>0.22</v>
      </c>
    </row>
    <row r="7" customFormat="false" ht="15" hidden="false" customHeight="false" outlineLevel="0" collapsed="false">
      <c r="A7" s="4" t="s">
        <v>464</v>
      </c>
      <c r="C7" s="10" t="n">
        <f aca="false">三表预测!I29</f>
        <v>5460.66683465823</v>
      </c>
    </row>
    <row r="9" customFormat="false" ht="15" hidden="false" customHeight="false" outlineLevel="0" collapsed="false">
      <c r="A9" s="45" t="s">
        <v>465</v>
      </c>
      <c r="B9" s="6"/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9" t="s">
        <v>466</v>
      </c>
      <c r="C10" s="75" t="n">
        <v>16</v>
      </c>
      <c r="D10" s="75" t="n">
        <v>18</v>
      </c>
      <c r="E10" s="75" t="n">
        <v>20</v>
      </c>
      <c r="F10" s="75" t="n">
        <v>22</v>
      </c>
      <c r="G10" s="75" t="n">
        <v>24</v>
      </c>
      <c r="H10" s="75" t="n">
        <v>26</v>
      </c>
    </row>
    <row r="11" customFormat="false" ht="15" hidden="false" customHeight="false" outlineLevel="0" collapsed="false">
      <c r="B11" s="71" t="n">
        <v>0.4</v>
      </c>
      <c r="C11" s="48" t="n">
        <f aca="false">$C$4*1000/$C$5*$B11*C$10</f>
        <v>533.333333333333</v>
      </c>
      <c r="D11" s="48" t="n">
        <f aca="false">$C$4*1000/$C$5*$B11*D$10</f>
        <v>600</v>
      </c>
      <c r="E11" s="48" t="n">
        <f aca="false">$C$4*1000/$C$5*$B11*E$10</f>
        <v>666.666666666667</v>
      </c>
      <c r="F11" s="48" t="n">
        <f aca="false">$C$4*1000/$C$5*$B11*F$10</f>
        <v>733.333333333333</v>
      </c>
      <c r="G11" s="48" t="n">
        <f aca="false">$C$4*1000/$C$5*$B11*G$10</f>
        <v>800</v>
      </c>
      <c r="H11" s="48" t="n">
        <f aca="false">$C$4*1000/$C$5*$B11*H$10</f>
        <v>866.666666666667</v>
      </c>
    </row>
    <row r="12" customFormat="false" ht="15" hidden="false" customHeight="false" outlineLevel="0" collapsed="false">
      <c r="B12" s="71" t="n">
        <v>0.5</v>
      </c>
      <c r="C12" s="48" t="n">
        <f aca="false">$C$4*1000/$C$5*$B12*C$10</f>
        <v>666.666666666667</v>
      </c>
      <c r="D12" s="48" t="n">
        <f aca="false">$C$4*1000/$C$5*$B12*D$10</f>
        <v>750</v>
      </c>
      <c r="E12" s="48" t="n">
        <f aca="false">$C$4*1000/$C$5*$B12*E$10</f>
        <v>833.333333333333</v>
      </c>
      <c r="F12" s="48" t="n">
        <f aca="false">$C$4*1000/$C$5*$B12*F$10</f>
        <v>916.666666666667</v>
      </c>
      <c r="G12" s="48" t="n">
        <f aca="false">$C$4*1000/$C$5*$B12*G$10</f>
        <v>1000</v>
      </c>
      <c r="H12" s="48" t="n">
        <f aca="false">$C$4*1000/$C$5*$B12*H$10</f>
        <v>1083.33333333333</v>
      </c>
    </row>
    <row r="13" customFormat="false" ht="15" hidden="false" customHeight="false" outlineLevel="0" collapsed="false">
      <c r="B13" s="71" t="n">
        <v>0.6</v>
      </c>
      <c r="C13" s="48" t="n">
        <f aca="false">$C$4*1000/$C$5*$B13*C$10</f>
        <v>800</v>
      </c>
      <c r="D13" s="48" t="n">
        <f aca="false">$C$4*1000/$C$5*$B13*D$10</f>
        <v>900</v>
      </c>
      <c r="E13" s="48" t="n">
        <f aca="false">$C$4*1000/$C$5*$B13*E$10</f>
        <v>1000</v>
      </c>
      <c r="F13" s="48" t="n">
        <f aca="false">$C$4*1000/$C$5*$B13*F$10</f>
        <v>1100</v>
      </c>
      <c r="G13" s="48" t="n">
        <f aca="false">$C$4*1000/$C$5*$B13*G$10</f>
        <v>1200</v>
      </c>
      <c r="H13" s="48" t="n">
        <f aca="false">$C$4*1000/$C$5*$B13*H$10</f>
        <v>1300</v>
      </c>
    </row>
    <row r="14" customFormat="false" ht="15" hidden="false" customHeight="false" outlineLevel="0" collapsed="false">
      <c r="B14" s="71" t="n">
        <v>0.7</v>
      </c>
      <c r="C14" s="48" t="n">
        <f aca="false">$C$4*1000/$C$5*$B14*C$10</f>
        <v>933.333333333333</v>
      </c>
      <c r="D14" s="48" t="n">
        <f aca="false">$C$4*1000/$C$5*$B14*D$10</f>
        <v>1050</v>
      </c>
      <c r="E14" s="48" t="n">
        <f aca="false">$C$4*1000/$C$5*$B14*E$10</f>
        <v>1166.66666666667</v>
      </c>
      <c r="F14" s="48" t="n">
        <f aca="false">$C$4*1000/$C$5*$B14*F$10</f>
        <v>1283.33333333333</v>
      </c>
      <c r="G14" s="48" t="n">
        <f aca="false">$C$4*1000/$C$5*$B14*G$10</f>
        <v>1400</v>
      </c>
      <c r="H14" s="48" t="n">
        <f aca="false">$C$4*1000/$C$5*$B14*H$10</f>
        <v>1516.66666666667</v>
      </c>
    </row>
    <row r="15" customFormat="false" ht="15" hidden="false" customHeight="false" outlineLevel="0" collapsed="false">
      <c r="B15" s="71" t="n">
        <v>0.8</v>
      </c>
      <c r="C15" s="48" t="n">
        <f aca="false">$C$4*1000/$C$5*$B15*C$10</f>
        <v>1066.66666666667</v>
      </c>
      <c r="D15" s="48" t="n">
        <f aca="false">$C$4*1000/$C$5*$B15*D$10</f>
        <v>1200</v>
      </c>
      <c r="E15" s="48" t="n">
        <f aca="false">$C$4*1000/$C$5*$B15*E$10</f>
        <v>1333.33333333333</v>
      </c>
      <c r="F15" s="48" t="n">
        <f aca="false">$C$4*1000/$C$5*$B15*F$10</f>
        <v>1466.66666666667</v>
      </c>
      <c r="G15" s="48" t="n">
        <f aca="false">$C$4*1000/$C$5*$B15*G$10</f>
        <v>1600</v>
      </c>
      <c r="H15" s="48" t="n">
        <f aca="false">$C$4*1000/$C$5*$B15*H$10</f>
        <v>1733.33333333333</v>
      </c>
    </row>
    <row r="16" customFormat="false" ht="15" hidden="false" customHeight="false" outlineLevel="0" collapsed="false">
      <c r="B16" s="71" t="n">
        <v>0.9</v>
      </c>
      <c r="C16" s="48" t="n">
        <f aca="false">$C$4*1000/$C$5*$B16*C$10</f>
        <v>1200</v>
      </c>
      <c r="D16" s="48" t="n">
        <f aca="false">$C$4*1000/$C$5*$B16*D$10</f>
        <v>1350</v>
      </c>
      <c r="E16" s="48" t="n">
        <f aca="false">$C$4*1000/$C$5*$B16*E$10</f>
        <v>1500</v>
      </c>
      <c r="F16" s="48" t="n">
        <f aca="false">$C$4*1000/$C$5*$B16*F$10</f>
        <v>1650</v>
      </c>
      <c r="G16" s="48" t="n">
        <f aca="false">$C$4*1000/$C$5*$B16*G$10</f>
        <v>1800</v>
      </c>
      <c r="H16" s="48" t="n">
        <f aca="false">$C$4*1000/$C$5*$B16*H$10</f>
        <v>1950</v>
      </c>
    </row>
    <row r="18" customFormat="false" ht="15" hidden="false" customHeight="false" outlineLevel="0" collapsed="false">
      <c r="A18" s="45" t="s">
        <v>467</v>
      </c>
      <c r="B18" s="6"/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A19" s="9" t="s">
        <v>466</v>
      </c>
      <c r="C19" s="75" t="n">
        <v>16</v>
      </c>
      <c r="D19" s="75" t="n">
        <v>18</v>
      </c>
      <c r="E19" s="75" t="n">
        <v>20</v>
      </c>
      <c r="F19" s="75" t="n">
        <v>22</v>
      </c>
      <c r="G19" s="75" t="n">
        <v>24</v>
      </c>
      <c r="H19" s="75" t="n">
        <v>26</v>
      </c>
    </row>
    <row r="20" customFormat="false" ht="15" hidden="false" customHeight="false" outlineLevel="0" collapsed="false">
      <c r="B20" s="71" t="n">
        <v>0.4</v>
      </c>
      <c r="C20" s="51" t="n">
        <f aca="false">IFERROR($C$4*1000/$C$5*$B20*C$19*$C$6/$C$7,0)</f>
        <v>0.0214869972635269</v>
      </c>
      <c r="D20" s="51" t="n">
        <f aca="false">IFERROR($C$4*1000/$C$5*$B20*D$19*$C$6/$C$7,0)</f>
        <v>0.0241728719214677</v>
      </c>
      <c r="E20" s="51" t="n">
        <f aca="false">IFERROR($C$4*1000/$C$5*$B20*E$19*$C$6/$C$7,0)</f>
        <v>0.0268587465794086</v>
      </c>
      <c r="F20" s="51" t="n">
        <f aca="false">IFERROR($C$4*1000/$C$5*$B20*F$19*$C$6/$C$7,0)</f>
        <v>0.0295446212373495</v>
      </c>
      <c r="G20" s="51" t="n">
        <f aca="false">IFERROR($C$4*1000/$C$5*$B20*G$19*$C$6/$C$7,0)</f>
        <v>0.0322304958952903</v>
      </c>
      <c r="H20" s="51" t="n">
        <f aca="false">IFERROR($C$4*1000/$C$5*$B20*H$19*$C$6/$C$7,0)</f>
        <v>0.0349163705532312</v>
      </c>
    </row>
    <row r="21" customFormat="false" ht="15" hidden="false" customHeight="false" outlineLevel="0" collapsed="false">
      <c r="B21" s="71" t="n">
        <v>0.5</v>
      </c>
      <c r="C21" s="51" t="n">
        <f aca="false">IFERROR($C$4*1000/$C$5*$B21*C$19*$C$6/$C$7,0)</f>
        <v>0.0268587465794086</v>
      </c>
      <c r="D21" s="51" t="n">
        <f aca="false">IFERROR($C$4*1000/$C$5*$B21*D$19*$C$6/$C$7,0)</f>
        <v>0.0302160899018347</v>
      </c>
      <c r="E21" s="51" t="n">
        <f aca="false">IFERROR($C$4*1000/$C$5*$B21*E$19*$C$6/$C$7,0)</f>
        <v>0.0335734332242607</v>
      </c>
      <c r="F21" s="51" t="n">
        <f aca="false">IFERROR($C$4*1000/$C$5*$B21*F$19*$C$6/$C$7,0)</f>
        <v>0.0369307765466868</v>
      </c>
      <c r="G21" s="51" t="n">
        <f aca="false">IFERROR($C$4*1000/$C$5*$B21*G$19*$C$6/$C$7,0)</f>
        <v>0.0402881198691129</v>
      </c>
      <c r="H21" s="51" t="n">
        <f aca="false">IFERROR($C$4*1000/$C$5*$B21*H$19*$C$6/$C$7,0)</f>
        <v>0.043645463191539</v>
      </c>
    </row>
    <row r="22" customFormat="false" ht="15" hidden="false" customHeight="false" outlineLevel="0" collapsed="false">
      <c r="B22" s="71" t="n">
        <v>0.6</v>
      </c>
      <c r="C22" s="51" t="n">
        <f aca="false">IFERROR($C$4*1000/$C$5*$B22*C$19*$C$6/$C$7,0)</f>
        <v>0.0322304958952903</v>
      </c>
      <c r="D22" s="51" t="n">
        <f aca="false">IFERROR($C$4*1000/$C$5*$B22*D$19*$C$6/$C$7,0)</f>
        <v>0.0362593078822016</v>
      </c>
      <c r="E22" s="51" t="n">
        <f aca="false">IFERROR($C$4*1000/$C$5*$B22*E$19*$C$6/$C$7,0)</f>
        <v>0.0402881198691129</v>
      </c>
      <c r="F22" s="51" t="n">
        <f aca="false">IFERROR($C$4*1000/$C$5*$B22*F$19*$C$6/$C$7,0)</f>
        <v>0.0443169318560242</v>
      </c>
      <c r="G22" s="51" t="n">
        <f aca="false">IFERROR($C$4*1000/$C$5*$B22*G$19*$C$6/$C$7,0)</f>
        <v>0.0483457438429355</v>
      </c>
      <c r="H22" s="51" t="n">
        <f aca="false">IFERROR($C$4*1000/$C$5*$B22*H$19*$C$6/$C$7,0)</f>
        <v>0.0523745558298468</v>
      </c>
    </row>
    <row r="23" customFormat="false" ht="15" hidden="false" customHeight="false" outlineLevel="0" collapsed="false">
      <c r="B23" s="71" t="n">
        <v>0.7</v>
      </c>
      <c r="C23" s="51" t="n">
        <f aca="false">IFERROR($C$4*1000/$C$5*$B23*C$19*$C$6/$C$7,0)</f>
        <v>0.037602245211172</v>
      </c>
      <c r="D23" s="51" t="n">
        <f aca="false">IFERROR($C$4*1000/$C$5*$B23*D$19*$C$6/$C$7,0)</f>
        <v>0.0423025258625685</v>
      </c>
      <c r="E23" s="51" t="n">
        <f aca="false">IFERROR($C$4*1000/$C$5*$B23*E$19*$C$6/$C$7,0)</f>
        <v>0.047002806513965</v>
      </c>
      <c r="F23" s="51" t="n">
        <f aca="false">IFERROR($C$4*1000/$C$5*$B23*F$19*$C$6/$C$7,0)</f>
        <v>0.0517030871653615</v>
      </c>
      <c r="G23" s="51" t="n">
        <f aca="false">IFERROR($C$4*1000/$C$5*$B23*G$19*$C$6/$C$7,0)</f>
        <v>0.0564033678167581</v>
      </c>
      <c r="H23" s="51" t="n">
        <f aca="false">IFERROR($C$4*1000/$C$5*$B23*H$19*$C$6/$C$7,0)</f>
        <v>0.0611036484681546</v>
      </c>
    </row>
    <row r="24" customFormat="false" ht="15" hidden="false" customHeight="false" outlineLevel="0" collapsed="false">
      <c r="B24" s="71" t="n">
        <v>0.8</v>
      </c>
      <c r="C24" s="51" t="n">
        <f aca="false">IFERROR($C$4*1000/$C$5*$B24*C$19*$C$6/$C$7,0)</f>
        <v>0.0429739945270538</v>
      </c>
      <c r="D24" s="51" t="n">
        <f aca="false">IFERROR($C$4*1000/$C$5*$B24*D$19*$C$6/$C$7,0)</f>
        <v>0.0483457438429355</v>
      </c>
      <c r="E24" s="51" t="n">
        <f aca="false">IFERROR($C$4*1000/$C$5*$B24*E$19*$C$6/$C$7,0)</f>
        <v>0.0537174931588172</v>
      </c>
      <c r="F24" s="51" t="n">
        <f aca="false">IFERROR($C$4*1000/$C$5*$B24*F$19*$C$6/$C$7,0)</f>
        <v>0.0590892424746989</v>
      </c>
      <c r="G24" s="51" t="n">
        <f aca="false">IFERROR($C$4*1000/$C$5*$B24*G$19*$C$6/$C$7,0)</f>
        <v>0.0644609917905806</v>
      </c>
      <c r="H24" s="51" t="n">
        <f aca="false">IFERROR($C$4*1000/$C$5*$B24*H$19*$C$6/$C$7,0)</f>
        <v>0.0698327411064624</v>
      </c>
    </row>
    <row r="25" customFormat="false" ht="15" hidden="false" customHeight="false" outlineLevel="0" collapsed="false">
      <c r="B25" s="71" t="n">
        <v>0.9</v>
      </c>
      <c r="C25" s="51" t="n">
        <f aca="false">IFERROR($C$4*1000/$C$5*$B25*C$19*$C$6/$C$7,0)</f>
        <v>0.0483457438429355</v>
      </c>
      <c r="D25" s="51" t="n">
        <f aca="false">IFERROR($C$4*1000/$C$5*$B25*D$19*$C$6/$C$7,0)</f>
        <v>0.0543889618233024</v>
      </c>
      <c r="E25" s="51" t="n">
        <f aca="false">IFERROR($C$4*1000/$C$5*$B25*E$19*$C$6/$C$7,0)</f>
        <v>0.0604321798036694</v>
      </c>
      <c r="F25" s="51" t="n">
        <f aca="false">IFERROR($C$4*1000/$C$5*$B25*F$19*$C$6/$C$7,0)</f>
        <v>0.0664753977840363</v>
      </c>
      <c r="G25" s="51" t="n">
        <f aca="false">IFERROR($C$4*1000/$C$5*$B25*G$19*$C$6/$C$7,0)</f>
        <v>0.0725186157644032</v>
      </c>
      <c r="H25" s="51" t="n">
        <f aca="false">IFERROR($C$4*1000/$C$5*$B25*H$19*$C$6/$C$7,0)</f>
        <v>0.0785618337447702</v>
      </c>
    </row>
    <row r="27" customFormat="false" ht="15" hidden="false" customHeight="false" outlineLevel="0" collapsed="false">
      <c r="A27" s="45" t="s">
        <v>468</v>
      </c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5" hidden="false" customHeight="false" outlineLevel="0" collapsed="false">
      <c r="A28" s="13" t="s">
        <v>469</v>
      </c>
      <c r="C28" s="76" t="n">
        <v>25</v>
      </c>
      <c r="D28" s="76" t="n">
        <v>27.5</v>
      </c>
      <c r="E28" s="76" t="n">
        <v>30</v>
      </c>
      <c r="F28" s="76" t="n">
        <v>32.5</v>
      </c>
      <c r="G28" s="76" t="n">
        <v>35</v>
      </c>
      <c r="H28" s="76" t="n">
        <v>37.5</v>
      </c>
    </row>
    <row r="29" customFormat="false" ht="15" hidden="false" customHeight="false" outlineLevel="0" collapsed="false">
      <c r="B29" s="76" t="n">
        <v>1.5</v>
      </c>
      <c r="C29" s="10" t="n">
        <f aca="false">$B29*1000/C$28*假设!I87*假设!I91</f>
        <v>903</v>
      </c>
      <c r="D29" s="10" t="n">
        <f aca="false">$B29*1000/D$28*假设!I87*假设!I91</f>
        <v>820.909090909091</v>
      </c>
      <c r="E29" s="10" t="n">
        <f aca="false">$B29*1000/E$28*假设!I87*假设!I91</f>
        <v>752.5</v>
      </c>
      <c r="F29" s="10" t="n">
        <f aca="false">$B29*1000/F$28*假设!I87*假设!I91</f>
        <v>694.615384615385</v>
      </c>
      <c r="G29" s="10" t="n">
        <f aca="false">$B29*1000/G$28*假设!I87*假设!I91</f>
        <v>645</v>
      </c>
      <c r="H29" s="10" t="n">
        <f aca="false">$B29*1000/H$28*假设!I87*假设!I91</f>
        <v>602</v>
      </c>
    </row>
    <row r="30" customFormat="false" ht="15" hidden="false" customHeight="false" outlineLevel="0" collapsed="false">
      <c r="B30" s="76" t="n">
        <v>2</v>
      </c>
      <c r="C30" s="10" t="n">
        <f aca="false">$B30*1000/C$28*假设!I87*假设!I91</f>
        <v>1204</v>
      </c>
      <c r="D30" s="10" t="n">
        <f aca="false">$B30*1000/D$28*假设!I87*假设!I91</f>
        <v>1094.54545454545</v>
      </c>
      <c r="E30" s="10" t="n">
        <f aca="false">$B30*1000/E$28*假设!I87*假设!I91</f>
        <v>1003.33333333333</v>
      </c>
      <c r="F30" s="10" t="n">
        <f aca="false">$B30*1000/F$28*假设!I87*假设!I91</f>
        <v>926.153846153846</v>
      </c>
      <c r="G30" s="10" t="n">
        <f aca="false">$B30*1000/G$28*假设!I87*假设!I91</f>
        <v>860</v>
      </c>
      <c r="H30" s="10" t="n">
        <f aca="false">$B30*1000/H$28*假设!I87*假设!I91</f>
        <v>802.666666666667</v>
      </c>
    </row>
    <row r="31" customFormat="false" ht="15" hidden="false" customHeight="false" outlineLevel="0" collapsed="false">
      <c r="B31" s="76" t="n">
        <v>2.5</v>
      </c>
      <c r="C31" s="10" t="n">
        <f aca="false">$B31*1000/C$28*假设!I87*假设!I91</f>
        <v>1505</v>
      </c>
      <c r="D31" s="10" t="n">
        <f aca="false">$B31*1000/D$28*假设!I87*假设!I91</f>
        <v>1368.18181818182</v>
      </c>
      <c r="E31" s="10" t="n">
        <f aca="false">$B31*1000/E$28*假设!I87*假设!I91</f>
        <v>1254.16666666667</v>
      </c>
      <c r="F31" s="10" t="n">
        <f aca="false">$B31*1000/F$28*假设!I87*假设!I91</f>
        <v>1157.69230769231</v>
      </c>
      <c r="G31" s="10" t="n">
        <f aca="false">$B31*1000/G$28*假设!I87*假设!I91</f>
        <v>1075</v>
      </c>
      <c r="H31" s="10" t="n">
        <f aca="false">$B31*1000/H$28*假设!I87*假设!I91</f>
        <v>1003.33333333333</v>
      </c>
    </row>
    <row r="32" customFormat="false" ht="15" hidden="false" customHeight="false" outlineLevel="0" collapsed="false">
      <c r="B32" s="76" t="n">
        <v>3</v>
      </c>
      <c r="C32" s="10" t="n">
        <f aca="false">$B32*1000/C$28*假设!I87*假设!I91</f>
        <v>1806</v>
      </c>
      <c r="D32" s="10" t="n">
        <f aca="false">$B32*1000/D$28*假设!I87*假设!I91</f>
        <v>1641.81818181818</v>
      </c>
      <c r="E32" s="10" t="n">
        <f aca="false">$B32*1000/E$28*假设!I87*假设!I91</f>
        <v>1505</v>
      </c>
      <c r="F32" s="10" t="n">
        <f aca="false">$B32*1000/F$28*假设!I87*假设!I91</f>
        <v>1389.23076923077</v>
      </c>
      <c r="G32" s="10" t="n">
        <f aca="false">$B32*1000/G$28*假设!I87*假设!I91</f>
        <v>1290</v>
      </c>
      <c r="H32" s="10" t="n">
        <f aca="false">$B32*1000/H$28*假设!I87*假设!I91</f>
        <v>1204</v>
      </c>
    </row>
    <row r="33" customFormat="false" ht="15" hidden="false" customHeight="false" outlineLevel="0" collapsed="false">
      <c r="B33" s="76" t="n">
        <v>3.5</v>
      </c>
      <c r="C33" s="10" t="n">
        <f aca="false">$B33*1000/C$28*假设!I87*假设!I91</f>
        <v>2107</v>
      </c>
      <c r="D33" s="10" t="n">
        <f aca="false">$B33*1000/D$28*假设!I87*假设!I91</f>
        <v>1915.45454545455</v>
      </c>
      <c r="E33" s="10" t="n">
        <f aca="false">$B33*1000/E$28*假设!I87*假设!I91</f>
        <v>1755.83333333333</v>
      </c>
      <c r="F33" s="10" t="n">
        <f aca="false">$B33*1000/F$28*假设!I87*假设!I91</f>
        <v>1620.76923076923</v>
      </c>
      <c r="G33" s="10" t="n">
        <f aca="false">$B33*1000/G$28*假设!I87*假设!I91</f>
        <v>1505</v>
      </c>
      <c r="H33" s="10" t="n">
        <f aca="false">$B33*1000/H$28*假设!I87*假设!I91</f>
        <v>1404.66666666667</v>
      </c>
    </row>
    <row r="34" customFormat="false" ht="15" hidden="false" customHeight="false" outlineLevel="0" collapsed="false">
      <c r="B34" s="76" t="n">
        <v>4</v>
      </c>
      <c r="C34" s="10" t="n">
        <f aca="false">$B34*1000/C$28*假设!I87*假设!I91</f>
        <v>2408</v>
      </c>
      <c r="D34" s="10" t="n">
        <f aca="false">$B34*1000/D$28*假设!I87*假设!I91</f>
        <v>2189.09090909091</v>
      </c>
      <c r="E34" s="10" t="n">
        <f aca="false">$B34*1000/E$28*假设!I87*假设!I91</f>
        <v>2006.66666666667</v>
      </c>
      <c r="F34" s="10" t="n">
        <f aca="false">$B34*1000/F$28*假设!I87*假设!I91</f>
        <v>1852.30769230769</v>
      </c>
      <c r="G34" s="10" t="n">
        <f aca="false">$B34*1000/G$28*假设!I87*假设!I91</f>
        <v>1720</v>
      </c>
      <c r="H34" s="10" t="n">
        <f aca="false">$B34*1000/H$28*假设!I87*假设!I91</f>
        <v>1605.33333333333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3" style="0" width="12"/>
  </cols>
  <sheetData>
    <row r="1" customFormat="false" ht="21.6" hidden="false" customHeight="false" outlineLevel="0" collapsed="false">
      <c r="A1" s="1" t="s">
        <v>470</v>
      </c>
    </row>
    <row r="2" customFormat="false" ht="15" hidden="false" customHeight="false" outlineLevel="0" collapsed="false">
      <c r="A2" s="2" t="s">
        <v>471</v>
      </c>
    </row>
    <row r="4" customFormat="false" ht="15" hidden="false" customHeight="false" outlineLevel="0" collapsed="false">
      <c r="A4" s="7" t="s">
        <v>225</v>
      </c>
      <c r="B4" s="34"/>
      <c r="C4" s="8" t="s">
        <v>11</v>
      </c>
      <c r="D4" s="8" t="s">
        <v>12</v>
      </c>
      <c r="E4" s="8" t="s">
        <v>13</v>
      </c>
    </row>
    <row r="5" customFormat="false" ht="15" hidden="false" customHeight="false" outlineLevel="0" collapsed="false">
      <c r="A5" s="11" t="s">
        <v>472</v>
      </c>
      <c r="C5" s="29" t="n">
        <v>13140</v>
      </c>
      <c r="D5" s="29" t="n">
        <v>17470</v>
      </c>
      <c r="E5" s="29" t="n">
        <v>20690</v>
      </c>
    </row>
    <row r="6" customFormat="false" ht="15" hidden="false" customHeight="false" outlineLevel="0" collapsed="false">
      <c r="A6" s="11" t="s">
        <v>473</v>
      </c>
      <c r="C6" s="29" t="n">
        <v>4198</v>
      </c>
      <c r="D6" s="29" t="n">
        <v>6142</v>
      </c>
      <c r="E6" s="29" t="n">
        <v>7143</v>
      </c>
    </row>
    <row r="7" customFormat="false" ht="15" hidden="false" customHeight="false" outlineLevel="0" collapsed="false">
      <c r="A7" s="4" t="s">
        <v>474</v>
      </c>
      <c r="C7" s="25" t="n">
        <v>2.1</v>
      </c>
      <c r="D7" s="25" t="n">
        <v>3.08</v>
      </c>
      <c r="E7" s="25" t="n">
        <v>3.58</v>
      </c>
    </row>
    <row r="8" customFormat="false" ht="15" hidden="false" customHeight="false" outlineLevel="0" collapsed="false">
      <c r="A8" s="9" t="s">
        <v>475</v>
      </c>
      <c r="C8" s="21" t="n">
        <f aca="false">三表预测!H6</f>
        <v>13715.0918333333</v>
      </c>
      <c r="D8" s="21" t="n">
        <f aca="false">三表预测!I6</f>
        <v>17294.0437966667</v>
      </c>
      <c r="E8" s="21" t="n">
        <f aca="false">三表预测!J6</f>
        <v>19666.7274691538</v>
      </c>
    </row>
    <row r="9" customFormat="false" ht="15" hidden="false" customHeight="false" outlineLevel="0" collapsed="false">
      <c r="A9" s="9" t="s">
        <v>476</v>
      </c>
      <c r="C9" s="21" t="n">
        <f aca="false">三表预测!H29</f>
        <v>4201.963477193</v>
      </c>
      <c r="D9" s="21" t="n">
        <f aca="false">三表预测!I29</f>
        <v>5460.66683465823</v>
      </c>
      <c r="E9" s="21" t="n">
        <f aca="false">三表预测!J29</f>
        <v>6023.76515516423</v>
      </c>
    </row>
    <row r="10" customFormat="false" ht="15" hidden="false" customHeight="false" outlineLevel="0" collapsed="false">
      <c r="A10" s="13" t="s">
        <v>477</v>
      </c>
      <c r="C10" s="17" t="n">
        <f aca="false">三表预测!H32</f>
        <v>2.12573770032964</v>
      </c>
      <c r="D10" s="17" t="n">
        <f aca="false">三表预测!I32</f>
        <v>2.76250505802279</v>
      </c>
      <c r="E10" s="17" t="n">
        <f aca="false">三表预测!J32</f>
        <v>3.04737172461541</v>
      </c>
    </row>
    <row r="11" customFormat="false" ht="15" hidden="false" customHeight="false" outlineLevel="0" collapsed="false">
      <c r="A11" s="11" t="s">
        <v>478</v>
      </c>
      <c r="C11" s="51" t="n">
        <f aca="false">IFERROR(C8/C5-1,0)</f>
        <v>0.0437665017757485</v>
      </c>
      <c r="D11" s="51" t="n">
        <f aca="false">IFERROR(D8/D5-1,0)</f>
        <v>-0.0100719063155887</v>
      </c>
      <c r="E11" s="51" t="n">
        <f aca="false">IFERROR(E8/E5-1,0)</f>
        <v>-0.0494573480350968</v>
      </c>
    </row>
    <row r="12" customFormat="false" ht="15" hidden="false" customHeight="false" outlineLevel="0" collapsed="false">
      <c r="A12" s="11" t="s">
        <v>479</v>
      </c>
      <c r="C12" s="51" t="n">
        <f aca="false">IFERROR(C9/C6-1,0)</f>
        <v>0.000944134633873217</v>
      </c>
      <c r="D12" s="51" t="n">
        <f aca="false">IFERROR(D9/D6-1,0)</f>
        <v>-0.11093017996447</v>
      </c>
      <c r="E12" s="51" t="n">
        <f aca="false">IFERROR(E9/E6-1,0)</f>
        <v>-0.156689744482118</v>
      </c>
    </row>
    <row r="13" customFormat="false" ht="15" hidden="false" customHeight="false" outlineLevel="0" collapsed="false">
      <c r="A13" s="4" t="s">
        <v>480</v>
      </c>
      <c r="C13" s="51" t="n">
        <f aca="false">IFERROR(C10/C7-1,0)</f>
        <v>0.0122560477760167</v>
      </c>
      <c r="D13" s="51" t="n">
        <f aca="false">IFERROR(D10/D7-1,0)</f>
        <v>-0.103082773369224</v>
      </c>
      <c r="E13" s="51" t="n">
        <f aca="false">IFERROR(E10/E7-1,0)</f>
        <v>-0.148778847872791</v>
      </c>
    </row>
    <row r="15" customFormat="false" ht="15" hidden="false" customHeight="false" outlineLevel="0" collapsed="false">
      <c r="A15" s="5" t="s">
        <v>481</v>
      </c>
      <c r="B15" s="6"/>
      <c r="C15" s="6"/>
      <c r="D15" s="6"/>
      <c r="E15" s="6"/>
      <c r="F15" s="6"/>
    </row>
    <row r="16" customFormat="false" ht="15" hidden="false" customHeight="false" outlineLevel="0" collapsed="false">
      <c r="A16" s="11" t="s">
        <v>482</v>
      </c>
      <c r="C16" s="29" t="n">
        <v>4206</v>
      </c>
    </row>
    <row r="17" customFormat="false" ht="15" hidden="false" customHeight="false" outlineLevel="0" collapsed="false">
      <c r="A17" s="11" t="s">
        <v>483</v>
      </c>
      <c r="C17" s="29" t="n">
        <v>5503</v>
      </c>
    </row>
    <row r="18" customFormat="false" ht="15" hidden="false" customHeight="false" outlineLevel="0" collapsed="false">
      <c r="A18" s="11" t="s">
        <v>484</v>
      </c>
      <c r="C18" s="29" t="n">
        <v>3367</v>
      </c>
    </row>
    <row r="19" customFormat="false" ht="15" hidden="false" customHeight="false" outlineLevel="0" collapsed="false">
      <c r="A19" s="11" t="s">
        <v>485</v>
      </c>
      <c r="C19" s="29" t="n">
        <v>720.8</v>
      </c>
    </row>
    <row r="20" customFormat="false" ht="15" hidden="false" customHeight="false" outlineLevel="0" collapsed="false">
      <c r="A20" s="11" t="s">
        <v>486</v>
      </c>
      <c r="C20" s="29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"/>
    <col collapsed="false" customWidth="true" hidden="false" outlineLevel="0" max="12" min="3" style="0" width="11"/>
  </cols>
  <sheetData>
    <row r="1" customFormat="false" ht="17.35" hidden="false" customHeight="false" outlineLevel="0" collapsed="false">
      <c r="A1" s="1" t="s">
        <v>487</v>
      </c>
    </row>
    <row r="2" customFormat="false" ht="15" hidden="false" customHeight="false" outlineLevel="0" collapsed="false">
      <c r="A2" s="2" t="s">
        <v>488</v>
      </c>
    </row>
    <row r="4" customFormat="false" ht="15" hidden="false" customHeight="false" outlineLevel="0" collapsed="false">
      <c r="A4" s="7" t="s">
        <v>225</v>
      </c>
      <c r="B4" s="34"/>
      <c r="C4" s="8" t="s">
        <v>489</v>
      </c>
      <c r="D4" s="8" t="s">
        <v>490</v>
      </c>
      <c r="E4" s="8" t="s">
        <v>491</v>
      </c>
      <c r="F4" s="8" t="s">
        <v>492</v>
      </c>
      <c r="G4" s="8" t="s">
        <v>493</v>
      </c>
      <c r="H4" s="8" t="s">
        <v>494</v>
      </c>
      <c r="I4" s="8" t="s">
        <v>495</v>
      </c>
      <c r="J4" s="8" t="s">
        <v>496</v>
      </c>
      <c r="K4" s="8" t="s">
        <v>497</v>
      </c>
      <c r="L4" s="8" t="s">
        <v>498</v>
      </c>
    </row>
    <row r="5" customFormat="false" ht="15" hidden="false" customHeight="false" outlineLevel="0" collapsed="false">
      <c r="A5" s="9" t="s">
        <v>16</v>
      </c>
      <c r="C5" s="29" t="n">
        <v>1563.6153</v>
      </c>
      <c r="D5" s="29" t="n">
        <v>1863.7904</v>
      </c>
      <c r="E5" s="29" t="n">
        <v>1953.374</v>
      </c>
      <c r="F5" s="29" t="n">
        <v>1994.2111</v>
      </c>
      <c r="G5" s="29" t="n">
        <v>1833.141</v>
      </c>
      <c r="H5" s="29" t="n">
        <v>2315.6541</v>
      </c>
      <c r="I5" s="29" t="n">
        <v>2359.5738</v>
      </c>
      <c r="J5" s="29" t="n">
        <v>2498.785</v>
      </c>
      <c r="K5" s="29" t="n">
        <v>2680.9934</v>
      </c>
      <c r="L5" s="29" t="n">
        <v>3742.3384</v>
      </c>
    </row>
    <row r="6" customFormat="false" ht="15" hidden="false" customHeight="false" outlineLevel="0" collapsed="false">
      <c r="A6" s="11" t="s">
        <v>284</v>
      </c>
      <c r="C6" s="29" t="n">
        <v>935.946</v>
      </c>
      <c r="D6" s="29" t="n">
        <v>1055.4619</v>
      </c>
      <c r="E6" s="29" t="n">
        <v>1088.1091</v>
      </c>
      <c r="F6" s="29" t="n">
        <v>1125.3467</v>
      </c>
      <c r="G6" s="29" t="n">
        <v>1081.3268</v>
      </c>
      <c r="H6" s="29" t="n">
        <v>1326.0529</v>
      </c>
      <c r="I6" s="29" t="n">
        <v>1335.6835</v>
      </c>
      <c r="J6" s="29" t="n">
        <v>1468.6984</v>
      </c>
      <c r="K6" s="29" t="n">
        <v>1515.058</v>
      </c>
      <c r="L6" s="29" t="n">
        <v>2061.4749</v>
      </c>
    </row>
    <row r="7" customFormat="false" ht="15" hidden="false" customHeight="false" outlineLevel="0" collapsed="false">
      <c r="A7" s="11" t="s">
        <v>287</v>
      </c>
      <c r="C7" s="29" t="n">
        <v>18.8928</v>
      </c>
      <c r="D7" s="29" t="n">
        <v>16.482</v>
      </c>
      <c r="E7" s="29" t="n">
        <v>20.0271</v>
      </c>
      <c r="F7" s="29" t="n">
        <v>23.7726</v>
      </c>
      <c r="G7" s="29" t="n">
        <v>27.3729</v>
      </c>
      <c r="H7" s="29" t="n">
        <v>27.3854</v>
      </c>
      <c r="I7" s="29" t="n">
        <v>25.8937</v>
      </c>
      <c r="J7" s="29" t="n">
        <v>27.1306</v>
      </c>
      <c r="K7" s="29" t="n">
        <v>28.1194</v>
      </c>
      <c r="L7" s="29" t="n">
        <v>32.0799</v>
      </c>
    </row>
    <row r="8" customFormat="false" ht="15" hidden="false" customHeight="false" outlineLevel="0" collapsed="false">
      <c r="A8" s="11" t="s">
        <v>288</v>
      </c>
      <c r="C8" s="29" t="n">
        <v>16.5916</v>
      </c>
      <c r="D8" s="29" t="n">
        <v>16.6425</v>
      </c>
      <c r="E8" s="29" t="n">
        <v>17.7552</v>
      </c>
      <c r="F8" s="29" t="n">
        <v>28.4024</v>
      </c>
      <c r="G8" s="29" t="n">
        <v>21.2322</v>
      </c>
      <c r="H8" s="29" t="n">
        <v>20.7534</v>
      </c>
      <c r="I8" s="29" t="n">
        <v>24.9725</v>
      </c>
      <c r="J8" s="29" t="n">
        <v>26.2412</v>
      </c>
      <c r="K8" s="29" t="n">
        <v>22.2371</v>
      </c>
      <c r="L8" s="29" t="n">
        <v>22.5728</v>
      </c>
    </row>
    <row r="9" customFormat="false" ht="15" hidden="false" customHeight="false" outlineLevel="0" collapsed="false">
      <c r="A9" s="11" t="s">
        <v>289</v>
      </c>
      <c r="C9" s="29" t="n">
        <v>79.9894</v>
      </c>
      <c r="D9" s="29" t="n">
        <v>89.2862</v>
      </c>
      <c r="E9" s="29" t="n">
        <v>93.4194</v>
      </c>
      <c r="F9" s="29" t="n">
        <v>147.1496</v>
      </c>
      <c r="G9" s="29" t="n">
        <v>93.9391</v>
      </c>
      <c r="H9" s="29" t="n">
        <v>97.5199</v>
      </c>
      <c r="I9" s="29" t="n">
        <v>108.3876</v>
      </c>
      <c r="J9" s="29" t="n">
        <v>181.1035</v>
      </c>
      <c r="K9" s="29" t="n">
        <v>123.0153</v>
      </c>
      <c r="L9" s="29" t="n">
        <v>131.9151</v>
      </c>
    </row>
    <row r="10" customFormat="false" ht="15" hidden="false" customHeight="false" outlineLevel="0" collapsed="false">
      <c r="A10" s="11" t="s">
        <v>290</v>
      </c>
      <c r="C10" s="29" t="n">
        <v>127.6636</v>
      </c>
      <c r="D10" s="29" t="n">
        <v>131.9825</v>
      </c>
      <c r="E10" s="29" t="n">
        <v>141.5881</v>
      </c>
      <c r="F10" s="29" t="n">
        <v>181.8381</v>
      </c>
      <c r="G10" s="29" t="n">
        <v>145.6916</v>
      </c>
      <c r="H10" s="29" t="n">
        <v>146.9448</v>
      </c>
      <c r="I10" s="29" t="n">
        <v>148.3194</v>
      </c>
      <c r="J10" s="29" t="n">
        <v>212.4809</v>
      </c>
      <c r="K10" s="29" t="n">
        <v>155.8096</v>
      </c>
      <c r="L10" s="29" t="n">
        <v>184.4559</v>
      </c>
    </row>
    <row r="11" customFormat="false" ht="15" hidden="false" customHeight="false" outlineLevel="0" collapsed="false">
      <c r="A11" s="11" t="s">
        <v>499</v>
      </c>
      <c r="C11" s="29" t="n">
        <v>-44.9783</v>
      </c>
      <c r="D11" s="29" t="n">
        <v>-56.7403</v>
      </c>
      <c r="E11" s="29" t="n">
        <v>-4.9306</v>
      </c>
      <c r="F11" s="29" t="n">
        <v>-65.8527</v>
      </c>
      <c r="G11" s="29" t="n">
        <v>-38.1213</v>
      </c>
      <c r="H11" s="29" t="n">
        <v>-25.072</v>
      </c>
      <c r="I11" s="29" t="n">
        <v>-38.7991</v>
      </c>
      <c r="J11" s="29" t="n">
        <v>-25.7796</v>
      </c>
      <c r="K11" s="29" t="n">
        <v>-28.973</v>
      </c>
      <c r="L11" s="29" t="n">
        <v>-12.9393</v>
      </c>
    </row>
    <row r="12" customFormat="false" ht="15" hidden="false" customHeight="false" outlineLevel="0" collapsed="false">
      <c r="A12" s="11" t="s">
        <v>294</v>
      </c>
      <c r="C12" s="29" t="n">
        <v>64.1002</v>
      </c>
      <c r="D12" s="29" t="n">
        <v>77.6604</v>
      </c>
      <c r="E12" s="29" t="n">
        <v>53.3465</v>
      </c>
      <c r="F12" s="29" t="n">
        <v>109.9897</v>
      </c>
      <c r="G12" s="29" t="n">
        <v>87.1963</v>
      </c>
      <c r="H12" s="29" t="n">
        <v>90.7529</v>
      </c>
      <c r="I12" s="29" t="n">
        <v>87.9912</v>
      </c>
      <c r="J12" s="29" t="n">
        <v>124.2274</v>
      </c>
      <c r="K12" s="29" t="n">
        <v>85.4097</v>
      </c>
      <c r="L12" s="29" t="n">
        <v>53.7199</v>
      </c>
    </row>
    <row r="13" customFormat="false" ht="15" hidden="false" customHeight="false" outlineLevel="0" collapsed="false">
      <c r="A13" s="9" t="s">
        <v>298</v>
      </c>
      <c r="C13" s="29" t="n">
        <v>505.5875</v>
      </c>
      <c r="D13" s="29" t="n">
        <v>680.0402</v>
      </c>
      <c r="E13" s="29" t="n">
        <v>655.8087</v>
      </c>
      <c r="F13" s="29" t="n">
        <v>681.2689</v>
      </c>
      <c r="G13" s="29" t="n">
        <v>616.3601</v>
      </c>
      <c r="H13" s="29" t="n">
        <v>810.5954</v>
      </c>
      <c r="I13" s="29" t="n">
        <v>831.3498</v>
      </c>
      <c r="J13" s="29" t="n">
        <v>750.1603</v>
      </c>
      <c r="K13" s="29" t="n">
        <v>911.3291</v>
      </c>
      <c r="L13" s="29" t="n">
        <v>1315.4431</v>
      </c>
    </row>
    <row r="14" customFormat="false" ht="15" hidden="false" customHeight="false" outlineLevel="0" collapsed="false">
      <c r="A14" s="11" t="s">
        <v>300</v>
      </c>
      <c r="C14" s="29" t="n">
        <v>507.556</v>
      </c>
      <c r="D14" s="29" t="n">
        <v>675.7373</v>
      </c>
      <c r="E14" s="29" t="n">
        <v>658.3478</v>
      </c>
      <c r="F14" s="29" t="n">
        <v>677.3028</v>
      </c>
      <c r="G14" s="29" t="n">
        <v>618.439</v>
      </c>
      <c r="H14" s="29" t="n">
        <v>808.6791</v>
      </c>
      <c r="I14" s="29" t="n">
        <v>834.7089</v>
      </c>
      <c r="J14" s="29" t="n">
        <v>746.3495</v>
      </c>
      <c r="K14" s="29" t="n">
        <v>907.7421</v>
      </c>
      <c r="L14" s="29" t="n">
        <v>1316.2041</v>
      </c>
    </row>
    <row r="15" customFormat="false" ht="15" hidden="false" customHeight="false" outlineLevel="0" collapsed="false">
      <c r="A15" s="11" t="s">
        <v>301</v>
      </c>
      <c r="C15" s="29" t="n">
        <v>73.8903</v>
      </c>
      <c r="D15" s="29" t="n">
        <v>82.9915</v>
      </c>
      <c r="E15" s="29" t="n">
        <v>81.0467</v>
      </c>
      <c r="F15" s="29" t="n">
        <v>90.7816</v>
      </c>
      <c r="G15" s="29" t="n">
        <v>85.5439</v>
      </c>
      <c r="H15" s="29" t="n">
        <v>104.4896</v>
      </c>
      <c r="I15" s="29" t="n">
        <v>113.8549</v>
      </c>
      <c r="J15" s="29" t="n">
        <v>87.3079</v>
      </c>
      <c r="K15" s="29" t="n">
        <v>116.937</v>
      </c>
      <c r="L15" s="29" t="n">
        <v>175.0134</v>
      </c>
    </row>
    <row r="16" customFormat="false" ht="15" hidden="false" customHeight="false" outlineLevel="0" collapsed="false">
      <c r="A16" s="11" t="s">
        <v>303</v>
      </c>
      <c r="C16" s="29" t="n">
        <v>433.6656</v>
      </c>
      <c r="D16" s="29" t="n">
        <v>592.7458</v>
      </c>
      <c r="E16" s="29" t="n">
        <v>577.3011</v>
      </c>
      <c r="F16" s="29" t="n">
        <v>586.5212</v>
      </c>
      <c r="G16" s="29" t="n">
        <v>532.8951</v>
      </c>
      <c r="H16" s="29" t="n">
        <v>704.1895</v>
      </c>
      <c r="I16" s="29" t="n">
        <v>720.8541</v>
      </c>
      <c r="J16" s="29" t="n">
        <v>659.0416</v>
      </c>
      <c r="K16" s="29" t="n">
        <v>790.8051</v>
      </c>
      <c r="L16" s="29" t="n">
        <v>1141.1907</v>
      </c>
    </row>
    <row r="17" customFormat="false" ht="15" hidden="false" customHeight="false" outlineLevel="0" collapsed="false">
      <c r="A17" s="9" t="s">
        <v>19</v>
      </c>
      <c r="C17" s="29" t="n">
        <v>432.979</v>
      </c>
      <c r="D17" s="29" t="n">
        <v>592.5672</v>
      </c>
      <c r="E17" s="29" t="n">
        <v>577.7415</v>
      </c>
      <c r="F17" s="29" t="n">
        <v>587.1617</v>
      </c>
      <c r="G17" s="29" t="n">
        <v>532.6514</v>
      </c>
      <c r="H17" s="29" t="n">
        <v>704.4865</v>
      </c>
      <c r="I17" s="29" t="n">
        <v>721.3812</v>
      </c>
      <c r="J17" s="29" t="n">
        <v>659.8652</v>
      </c>
      <c r="K17" s="29" t="n">
        <v>790.8996</v>
      </c>
      <c r="L17" s="29" t="n">
        <v>1141.2187</v>
      </c>
    </row>
    <row r="19" customFormat="false" ht="15" hidden="false" customHeight="false" outlineLevel="0" collapsed="false">
      <c r="A19" s="5" t="s">
        <v>500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false" outlineLevel="0" collapsed="false">
      <c r="A20" s="11" t="s">
        <v>18</v>
      </c>
      <c r="C20" s="51" t="n">
        <f aca="false">IFERROR(1-C6/C5,0)</f>
        <v>0.401421820316033</v>
      </c>
      <c r="D20" s="51" t="n">
        <f aca="false">IFERROR(1-D6/D5,0)</f>
        <v>0.433701396895273</v>
      </c>
      <c r="E20" s="51" t="n">
        <f aca="false">IFERROR(1-E6/E5,0)</f>
        <v>0.442959156823015</v>
      </c>
      <c r="F20" s="51" t="n">
        <f aca="false">IFERROR(1-F6/F5,0)</f>
        <v>0.435693292450333</v>
      </c>
      <c r="G20" s="51" t="n">
        <f aca="false">IFERROR(1-G6/G5,0)</f>
        <v>0.410123498410651</v>
      </c>
      <c r="H20" s="51" t="n">
        <f aca="false">IFERROR(1-H6/H5,0)</f>
        <v>0.427352772592418</v>
      </c>
      <c r="I20" s="51" t="n">
        <f aca="false">IFERROR(1-I6/I5,0)</f>
        <v>0.43393018688375</v>
      </c>
      <c r="J20" s="51" t="n">
        <f aca="false">IFERROR(1-J6/J5,0)</f>
        <v>0.412234986203295</v>
      </c>
      <c r="K20" s="51" t="n">
        <f aca="false">IFERROR(1-K6/K5,0)</f>
        <v>0.434889321249355</v>
      </c>
      <c r="L20" s="51" t="n">
        <f aca="false">IFERROR(1-L6/L5,0)</f>
        <v>0.44914791778317</v>
      </c>
    </row>
    <row r="21" customFormat="false" ht="15" hidden="false" customHeight="false" outlineLevel="0" collapsed="false">
      <c r="A21" s="11" t="s">
        <v>501</v>
      </c>
      <c r="C21" s="51" t="n">
        <f aca="false">IFERROR((C8+C9+C10)/C5,0)</f>
        <v>0.143414176108407</v>
      </c>
      <c r="D21" s="51" t="n">
        <f aca="false">IFERROR((D8+D9+D10)/D5,0)</f>
        <v>0.127649117626102</v>
      </c>
      <c r="E21" s="51" t="n">
        <f aca="false">IFERROR((E8+E9+E10)/E5,0)</f>
        <v>0.129398005707048</v>
      </c>
      <c r="F21" s="51" t="n">
        <f aca="false">IFERROR((F8+F9+F10)/F5,0)</f>
        <v>0.179213775311952</v>
      </c>
      <c r="G21" s="51" t="n">
        <f aca="false">IFERROR((G8+G9+G10)/G5,0)</f>
        <v>0.142303783506015</v>
      </c>
      <c r="H21" s="51" t="n">
        <f aca="false">IFERROR((H8+H9+H10)/H5,0)</f>
        <v>0.11453269294408</v>
      </c>
      <c r="I21" s="51" t="n">
        <f aca="false">IFERROR((I8+I9+I10)/I5,0)</f>
        <v>0.119377279066245</v>
      </c>
      <c r="J21" s="51" t="n">
        <f aca="false">IFERROR((J8+J9+J10)/J5,0)</f>
        <v>0.168011893780377</v>
      </c>
      <c r="K21" s="51" t="n">
        <f aca="false">IFERROR((K8+K9+K10)/K5,0)</f>
        <v>0.112294942613436</v>
      </c>
      <c r="L21" s="51" t="n">
        <f aca="false">IFERROR((L8+L9+L10)/L5,0)</f>
        <v>0.0905700564117879</v>
      </c>
    </row>
    <row r="22" customFormat="false" ht="15" hidden="false" customHeight="false" outlineLevel="0" collapsed="false">
      <c r="A22" s="11" t="s">
        <v>502</v>
      </c>
      <c r="C22" s="51" t="n">
        <f aca="false">IFERROR(C13/C5,0)</f>
        <v>0.32334519878387</v>
      </c>
      <c r="D22" s="51" t="n">
        <f aca="false">IFERROR(D13/D5,0)</f>
        <v>0.364869461716296</v>
      </c>
      <c r="E22" s="51" t="n">
        <f aca="false">IFERROR(E13/E5,0)</f>
        <v>0.335731252694057</v>
      </c>
      <c r="F22" s="51" t="n">
        <f aca="false">IFERROR(F13/F5,0)</f>
        <v>0.341623261449101</v>
      </c>
      <c r="G22" s="51" t="n">
        <f aca="false">IFERROR(G13/G5,0)</f>
        <v>0.336231691942955</v>
      </c>
      <c r="H22" s="51" t="n">
        <f aca="false">IFERROR(H13/H5,0)</f>
        <v>0.35005029464461</v>
      </c>
      <c r="I22" s="51" t="n">
        <f aca="false">IFERROR(I13/I5,0)</f>
        <v>0.352330492905117</v>
      </c>
      <c r="J22" s="51" t="n">
        <f aca="false">IFERROR(J13/J5,0)</f>
        <v>0.300210022070726</v>
      </c>
      <c r="K22" s="51" t="n">
        <f aca="false">IFERROR(K13/K5,0)</f>
        <v>0.339922172132166</v>
      </c>
      <c r="L22" s="51" t="n">
        <f aca="false">IFERROR(L13/L5,0)</f>
        <v>0.351502980061878</v>
      </c>
    </row>
    <row r="23" customFormat="false" ht="15" hidden="false" customHeight="false" outlineLevel="0" collapsed="false">
      <c r="A23" s="11" t="s">
        <v>503</v>
      </c>
      <c r="C23" s="51" t="n">
        <f aca="false">IFERROR(C17/C5,0)</f>
        <v>0.27690890463914</v>
      </c>
      <c r="D23" s="51" t="n">
        <f aca="false">IFERROR(D17/D5,0)</f>
        <v>0.317936609180946</v>
      </c>
      <c r="E23" s="51" t="n">
        <f aca="false">IFERROR(E17/E5,0)</f>
        <v>0.295765941391664</v>
      </c>
      <c r="F23" s="51" t="n">
        <f aca="false">IFERROR(F17/F5,0)</f>
        <v>0.294433071804685</v>
      </c>
      <c r="G23" s="51" t="n">
        <f aca="false">IFERROR(G17/G5,0)</f>
        <v>0.290567610456588</v>
      </c>
      <c r="H23" s="51" t="n">
        <f aca="false">IFERROR(H17/H5,0)</f>
        <v>0.304227863738371</v>
      </c>
      <c r="I23" s="51" t="n">
        <f aca="false">IFERROR(I17/I5,0)</f>
        <v>0.305725211900556</v>
      </c>
      <c r="J23" s="51" t="n">
        <f aca="false">IFERROR(J17/J5,0)</f>
        <v>0.264074420168202</v>
      </c>
      <c r="K23" s="51" t="n">
        <f aca="false">IFERROR(K17/K5,0)</f>
        <v>0.295002442005266</v>
      </c>
      <c r="L23" s="51" t="n">
        <f aca="false">IFERROR(L17/L5,0)</f>
        <v>0.304948023941395</v>
      </c>
    </row>
    <row r="24" customFormat="false" ht="15" hidden="false" customHeight="false" outlineLevel="0" collapsed="false">
      <c r="A24" s="11" t="s">
        <v>68</v>
      </c>
      <c r="C24" s="51" t="n">
        <f aca="false">IFERROR(C15/C14,0)</f>
        <v>0.145580586181623</v>
      </c>
      <c r="D24" s="51" t="n">
        <f aca="false">IFERROR(D15/D14,0)</f>
        <v>0.122816218669592</v>
      </c>
      <c r="E24" s="51" t="n">
        <f aca="false">IFERROR(E15/E14,0)</f>
        <v>0.123106206172482</v>
      </c>
      <c r="F24" s="51" t="n">
        <f aca="false">IFERROR(F15/F14,0)</f>
        <v>0.134033994839531</v>
      </c>
      <c r="G24" s="51" t="n">
        <f aca="false">IFERROR(G15/G14,0)</f>
        <v>0.138322292093481</v>
      </c>
      <c r="H24" s="51" t="n">
        <f aca="false">IFERROR(H15/H14,0)</f>
        <v>0.1292102145338</v>
      </c>
      <c r="I24" s="51" t="n">
        <f aca="false">IFERROR(I15/I14,0)</f>
        <v>0.136400726049525</v>
      </c>
      <c r="J24" s="51" t="n">
        <f aca="false">IFERROR(J15/J14,0)</f>
        <v>0.116979913565963</v>
      </c>
      <c r="K24" s="51" t="n">
        <f aca="false">IFERROR(K15/K14,0)</f>
        <v>0.128821831663421</v>
      </c>
      <c r="L24" s="51" t="n">
        <f aca="false">IFERROR(L15/L14,0)</f>
        <v>0.132968283566356</v>
      </c>
    </row>
    <row r="25" customFormat="false" ht="15" hidden="false" customHeight="false" outlineLevel="0" collapsed="false">
      <c r="A25" s="11" t="s">
        <v>504</v>
      </c>
      <c r="G25" s="51" t="n">
        <f aca="false">IFERROR(G5/C5-1,0)</f>
        <v>0.172373409239472</v>
      </c>
      <c r="H25" s="51" t="n">
        <f aca="false">IFERROR(H5/D5-1,0)</f>
        <v>0.242443409945668</v>
      </c>
      <c r="I25" s="51" t="n">
        <f aca="false">IFERROR(I5/E5-1,0)</f>
        <v>0.207947786752563</v>
      </c>
      <c r="J25" s="51" t="n">
        <f aca="false">IFERROR(J5/F5-1,0)</f>
        <v>0.253019301717857</v>
      </c>
      <c r="K25" s="51" t="n">
        <f aca="false">IFERROR(K5/G5-1,0)</f>
        <v>0.462513467321935</v>
      </c>
      <c r="L25" s="51" t="n">
        <f aca="false">IFERROR(L5/H5-1,0)</f>
        <v>0.616104235947847</v>
      </c>
    </row>
    <row r="26" customFormat="false" ht="15" hidden="false" customHeight="false" outlineLevel="0" collapsed="false">
      <c r="A26" s="11" t="s">
        <v>505</v>
      </c>
      <c r="D26" s="51" t="n">
        <f aca="false">IFERROR(D5/C5-1,0)</f>
        <v>0.191975033756705</v>
      </c>
      <c r="E26" s="51" t="n">
        <f aca="false">IFERROR(E5/D5-1,0)</f>
        <v>0.048065276009577</v>
      </c>
      <c r="F26" s="51" t="n">
        <f aca="false">IFERROR(F5/E5-1,0)</f>
        <v>0.0209059299448031</v>
      </c>
      <c r="G26" s="51" t="n">
        <f aca="false">IFERROR(G5/F5-1,0)</f>
        <v>-0.0807688313438832</v>
      </c>
      <c r="H26" s="51" t="n">
        <f aca="false">IFERROR(H5/G5-1,0)</f>
        <v>0.263216577448216</v>
      </c>
      <c r="I26" s="51" t="n">
        <f aca="false">IFERROR(I5/H5-1,0)</f>
        <v>0.0189664337173674</v>
      </c>
      <c r="J26" s="51" t="n">
        <f aca="false">IFERROR(J5/I5-1,0)</f>
        <v>0.0589984513304902</v>
      </c>
      <c r="K26" s="51" t="n">
        <f aca="false">IFERROR(K5/J5-1,0)</f>
        <v>0.0729187985360886</v>
      </c>
      <c r="L26" s="51" t="n">
        <f aca="false">IFERROR(L5/K5-1,0)</f>
        <v>0.395877513163591</v>
      </c>
    </row>
    <row r="27" customFormat="false" ht="15" hidden="false" customHeight="false" outlineLevel="0" collapsed="false">
      <c r="A27" s="11" t="s">
        <v>506</v>
      </c>
      <c r="G27" s="51" t="n">
        <f aca="false">IFERROR(G17/C17-1,0)</f>
        <v>0.230201464736165</v>
      </c>
      <c r="H27" s="51" t="n">
        <f aca="false">IFERROR(H17/D17-1,0)</f>
        <v>0.188871911911426</v>
      </c>
      <c r="I27" s="51" t="n">
        <f aca="false">IFERROR(I17/E17-1,0)</f>
        <v>0.248622783719016</v>
      </c>
      <c r="J27" s="51" t="n">
        <f aca="false">IFERROR(J17/F17-1,0)</f>
        <v>0.123821938658465</v>
      </c>
      <c r="K27" s="51" t="n">
        <f aca="false">IFERROR(K17/G17-1,0)</f>
        <v>0.484835297532307</v>
      </c>
      <c r="L27" s="51" t="n">
        <f aca="false">IFERROR(L17/H17-1,0)</f>
        <v>0.619929835419131</v>
      </c>
    </row>
    <row r="28" customFormat="false" ht="15" hidden="false" customHeight="false" outlineLevel="0" collapsed="false">
      <c r="A28" s="11" t="s">
        <v>507</v>
      </c>
      <c r="D28" s="51" t="n">
        <f aca="false">IFERROR(D17/C17-1,0)</f>
        <v>0.368581848080392</v>
      </c>
      <c r="E28" s="51" t="n">
        <f aca="false">IFERROR(E17/D17-1,0)</f>
        <v>-0.0250194408330396</v>
      </c>
      <c r="F28" s="51" t="n">
        <f aca="false">IFERROR(F17/E17-1,0)</f>
        <v>0.0163052160871255</v>
      </c>
      <c r="G28" s="51" t="n">
        <f aca="false">IFERROR(G17/F17-1,0)</f>
        <v>-0.0928369476415101</v>
      </c>
      <c r="H28" s="51" t="n">
        <f aca="false">IFERROR(H17/G17-1,0)</f>
        <v>0.322603301145928</v>
      </c>
      <c r="I28" s="51" t="n">
        <f aca="false">IFERROR(I17/H17-1,0)</f>
        <v>0.0239815809103512</v>
      </c>
      <c r="J28" s="51" t="n">
        <f aca="false">IFERROR(J17/I17-1,0)</f>
        <v>-0.0852753024337203</v>
      </c>
      <c r="K28" s="51" t="n">
        <f aca="false">IFERROR(K17/J17-1,0)</f>
        <v>0.198577527652618</v>
      </c>
      <c r="L28" s="51" t="n">
        <f aca="false">IFERROR(L17/K17-1,0)</f>
        <v>0.442937510652427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508</v>
      </c>
    </row>
    <row r="2" customFormat="false" ht="15" hidden="false" customHeight="false" outlineLevel="0" collapsed="false">
      <c r="A2" s="2" t="s">
        <v>509</v>
      </c>
    </row>
    <row r="4" customFormat="false" ht="15" hidden="false" customHeight="false" outlineLevel="0" collapsed="false">
      <c r="A4" s="7" t="s">
        <v>225</v>
      </c>
      <c r="B4" s="34" t="s">
        <v>281</v>
      </c>
      <c r="C4" s="8" t="s">
        <v>510</v>
      </c>
      <c r="D4" s="8" t="s">
        <v>511</v>
      </c>
      <c r="E4" s="8" t="s">
        <v>92</v>
      </c>
      <c r="F4" s="8" t="s">
        <v>93</v>
      </c>
      <c r="G4" s="8" t="s">
        <v>94</v>
      </c>
      <c r="H4" s="8" t="s">
        <v>95</v>
      </c>
      <c r="I4" s="8" t="s">
        <v>10</v>
      </c>
      <c r="J4" s="8" t="s">
        <v>512</v>
      </c>
      <c r="K4" s="8" t="s">
        <v>513</v>
      </c>
    </row>
    <row r="5" customFormat="false" ht="15" hidden="false" customHeight="false" outlineLevel="0" collapsed="false">
      <c r="A5" s="9" t="s">
        <v>514</v>
      </c>
      <c r="C5" s="29" t="n">
        <v>2726.4517</v>
      </c>
      <c r="D5" s="29" t="n">
        <v>3993.9746</v>
      </c>
      <c r="E5" s="29" t="n">
        <v>6218.042</v>
      </c>
      <c r="F5" s="29" t="n">
        <v>5149.3869</v>
      </c>
      <c r="G5" s="29" t="n">
        <v>5726.6885</v>
      </c>
      <c r="H5" s="29" t="n">
        <v>7374.9908</v>
      </c>
      <c r="I5" s="29" t="n">
        <v>9007.1539</v>
      </c>
      <c r="J5" s="29" t="n">
        <v>4148.7951</v>
      </c>
      <c r="K5" s="29" t="n">
        <v>6423.3318</v>
      </c>
    </row>
    <row r="6" customFormat="false" ht="15" hidden="false" customHeight="false" outlineLevel="0" collapsed="false">
      <c r="A6" s="11" t="s">
        <v>515</v>
      </c>
      <c r="C6" s="29" t="n">
        <v>2726.4517</v>
      </c>
      <c r="D6" s="29" t="n">
        <v>3993.9746</v>
      </c>
      <c r="E6" s="29" t="n">
        <v>6218.042</v>
      </c>
      <c r="F6" s="29" t="n">
        <v>5149.3869</v>
      </c>
      <c r="G6" s="29" t="n">
        <v>5726.6885</v>
      </c>
      <c r="H6" s="29" t="n">
        <v>7374.9908</v>
      </c>
      <c r="I6" s="29" t="n">
        <v>9007.1539</v>
      </c>
      <c r="J6" s="29" t="n">
        <v>4148.7951</v>
      </c>
      <c r="K6" s="29" t="n">
        <v>6423.3318</v>
      </c>
    </row>
    <row r="7" customFormat="false" ht="15" hidden="false" customHeight="false" outlineLevel="0" collapsed="false">
      <c r="A7" s="9" t="s">
        <v>516</v>
      </c>
      <c r="C7" s="29" t="n">
        <v>1900.6297</v>
      </c>
      <c r="D7" s="29" t="n">
        <v>2476.9546</v>
      </c>
      <c r="E7" s="29" t="n">
        <v>4072.253</v>
      </c>
      <c r="F7" s="29" t="n">
        <v>3756.1429</v>
      </c>
      <c r="G7" s="29" t="n">
        <v>4417.8651</v>
      </c>
      <c r="H7" s="29" t="n">
        <v>5183.845</v>
      </c>
      <c r="I7" s="29" t="n">
        <v>6419.3584</v>
      </c>
      <c r="J7" s="29" t="n">
        <v>2925.0258</v>
      </c>
      <c r="K7" s="29" t="n">
        <v>4234.8257</v>
      </c>
    </row>
    <row r="8" customFormat="false" ht="15" hidden="false" customHeight="false" outlineLevel="0" collapsed="false">
      <c r="A8" s="11" t="s">
        <v>517</v>
      </c>
      <c r="C8" s="29" t="n">
        <v>1388.9159</v>
      </c>
      <c r="D8" s="29" t="n">
        <v>1952.7752</v>
      </c>
      <c r="E8" s="29" t="n">
        <v>3186.5095</v>
      </c>
      <c r="F8" s="29" t="n">
        <v>2878.3209</v>
      </c>
      <c r="G8" s="29" t="n">
        <v>3445.5299</v>
      </c>
      <c r="H8" s="29" t="n">
        <v>4204.8637</v>
      </c>
      <c r="I8" s="29" t="n">
        <v>5211.7617</v>
      </c>
      <c r="J8" s="29" t="n">
        <v>2407.3798</v>
      </c>
      <c r="K8" s="29" t="n">
        <v>3576.5329</v>
      </c>
    </row>
    <row r="9" customFormat="false" ht="15" hidden="false" customHeight="false" outlineLevel="0" collapsed="false">
      <c r="A9" s="11" t="s">
        <v>518</v>
      </c>
      <c r="C9" s="29" t="n">
        <v>31.8318</v>
      </c>
      <c r="D9" s="29" t="n">
        <v>44.3371</v>
      </c>
      <c r="E9" s="29" t="n">
        <v>58.7828</v>
      </c>
      <c r="F9" s="29" t="n">
        <v>63.2677</v>
      </c>
      <c r="G9" s="29" t="n">
        <v>84.2832</v>
      </c>
      <c r="H9" s="29" t="n">
        <v>79.1745</v>
      </c>
      <c r="I9" s="29" t="n">
        <v>107.7827</v>
      </c>
      <c r="J9" s="29" t="n">
        <v>54.7584</v>
      </c>
      <c r="K9" s="29" t="n">
        <v>60.1994</v>
      </c>
    </row>
    <row r="10" customFormat="false" ht="15" hidden="false" customHeight="false" outlineLevel="0" collapsed="false">
      <c r="A10" s="11" t="s">
        <v>519</v>
      </c>
      <c r="C10" s="29" t="n">
        <v>52.3056</v>
      </c>
      <c r="D10" s="29" t="n">
        <v>35.7113</v>
      </c>
      <c r="E10" s="29" t="n">
        <v>51.3154</v>
      </c>
      <c r="F10" s="29" t="n">
        <v>57.308</v>
      </c>
      <c r="G10" s="29" t="n">
        <v>74.3431</v>
      </c>
      <c r="H10" s="29" t="n">
        <v>79.3918</v>
      </c>
      <c r="I10" s="29" t="n">
        <v>93.1993</v>
      </c>
      <c r="J10" s="29" t="n">
        <v>41.9856</v>
      </c>
      <c r="K10" s="29" t="n">
        <v>44.8099</v>
      </c>
    </row>
    <row r="11" customFormat="false" ht="15" hidden="false" customHeight="false" outlineLevel="0" collapsed="false">
      <c r="A11" s="11" t="s">
        <v>520</v>
      </c>
      <c r="C11" s="29" t="n">
        <v>238.1567</v>
      </c>
      <c r="D11" s="29" t="n">
        <v>299.4133</v>
      </c>
      <c r="E11" s="29" t="n">
        <v>453.2391</v>
      </c>
      <c r="F11" s="29" t="n">
        <v>479.3491</v>
      </c>
      <c r="G11" s="29" t="n">
        <v>429.4141</v>
      </c>
      <c r="H11" s="29" t="n">
        <v>409.8445</v>
      </c>
      <c r="I11" s="29" t="n">
        <v>480.9502</v>
      </c>
      <c r="J11" s="29" t="n">
        <v>191.459</v>
      </c>
      <c r="K11" s="29" t="n">
        <v>254.9304</v>
      </c>
    </row>
    <row r="12" customFormat="false" ht="15" hidden="false" customHeight="false" outlineLevel="0" collapsed="false">
      <c r="A12" s="11" t="s">
        <v>521</v>
      </c>
      <c r="C12" s="29" t="n">
        <v>176.5306</v>
      </c>
      <c r="D12" s="29" t="n">
        <v>239.1121</v>
      </c>
      <c r="E12" s="29" t="n">
        <v>418.5388</v>
      </c>
      <c r="F12" s="29" t="n">
        <v>452.1724</v>
      </c>
      <c r="G12" s="29" t="n">
        <v>545.8062</v>
      </c>
      <c r="H12" s="29" t="n">
        <v>583.0724</v>
      </c>
      <c r="I12" s="29" t="n">
        <v>653.4367</v>
      </c>
      <c r="J12" s="29" t="n">
        <v>292.6364</v>
      </c>
      <c r="K12" s="29" t="n">
        <v>340.2655</v>
      </c>
    </row>
    <row r="13" customFormat="false" ht="15" hidden="false" customHeight="false" outlineLevel="0" collapsed="false">
      <c r="A13" s="11" t="s">
        <v>522</v>
      </c>
      <c r="C13" s="29" t="n">
        <v>12.8891</v>
      </c>
      <c r="D13" s="29" t="n">
        <v>-94.3944</v>
      </c>
      <c r="E13" s="29" t="n">
        <v>-96.1326</v>
      </c>
      <c r="F13" s="29" t="n">
        <v>-174.2752</v>
      </c>
      <c r="G13" s="29" t="n">
        <v>-161.5113</v>
      </c>
      <c r="H13" s="29" t="n">
        <v>-172.5019</v>
      </c>
      <c r="I13" s="29" t="n">
        <v>-127.772</v>
      </c>
      <c r="J13" s="29" t="n">
        <v>-63.1933</v>
      </c>
      <c r="K13" s="29" t="n">
        <v>-41.9124</v>
      </c>
    </row>
    <row r="14" customFormat="false" ht="15" hidden="false" customHeight="false" outlineLevel="0" collapsed="false">
      <c r="A14" s="11" t="s">
        <v>523</v>
      </c>
      <c r="C14" s="29" t="n">
        <v>6.6845</v>
      </c>
      <c r="D14" s="29" t="n">
        <v>3.375</v>
      </c>
      <c r="E14" s="29" t="n">
        <v>5.6211</v>
      </c>
      <c r="F14" s="29" t="n">
        <v>8.8993</v>
      </c>
      <c r="G14" s="29" t="n">
        <v>22.4881</v>
      </c>
      <c r="H14" s="29" t="n">
        <v>27.7001</v>
      </c>
      <c r="I14" s="29" t="n">
        <v>20.396</v>
      </c>
      <c r="J14" s="29" t="n">
        <v>10.0906</v>
      </c>
      <c r="K14" s="29" t="n">
        <v>12.6989</v>
      </c>
    </row>
    <row r="15" customFormat="false" ht="15" hidden="false" customHeight="false" outlineLevel="0" collapsed="false">
      <c r="A15" s="11" t="s">
        <v>524</v>
      </c>
      <c r="C15" s="29" t="n">
        <v>5.2352</v>
      </c>
      <c r="D15" s="29" t="n">
        <v>77.3137</v>
      </c>
      <c r="E15" s="29" t="n">
        <v>103.223</v>
      </c>
      <c r="F15" s="29" t="n">
        <v>154.5883</v>
      </c>
      <c r="G15" s="29" t="n">
        <v>174.943</v>
      </c>
      <c r="H15" s="29" t="n">
        <v>203.5985</v>
      </c>
      <c r="I15" s="29" t="n">
        <v>196.88</v>
      </c>
      <c r="J15" s="29" t="n">
        <v>89.6174</v>
      </c>
      <c r="K15" s="29" t="n">
        <v>98.5122</v>
      </c>
    </row>
    <row r="16" customFormat="false" ht="15" hidden="false" customHeight="false" outlineLevel="0" collapsed="false">
      <c r="A16" s="11" t="s">
        <v>525</v>
      </c>
      <c r="C16" s="29" t="n">
        <v>92.8579</v>
      </c>
      <c r="D16" s="29" t="n">
        <v>97.5766</v>
      </c>
      <c r="E16" s="29" t="n">
        <v>136.3169</v>
      </c>
      <c r="F16" s="29" t="n">
        <v>218.1716</v>
      </c>
      <c r="G16" s="29" t="n">
        <v>348.6995</v>
      </c>
      <c r="H16" s="29" t="n">
        <v>305.0967</v>
      </c>
      <c r="I16" s="29" t="n">
        <v>390.1677</v>
      </c>
      <c r="J16" s="29" t="n">
        <v>177.9491</v>
      </c>
      <c r="K16" s="29" t="n">
        <v>139.1296</v>
      </c>
    </row>
    <row r="17" customFormat="false" ht="15" hidden="false" customHeight="false" outlineLevel="0" collapsed="false">
      <c r="A17" s="11" t="s">
        <v>526</v>
      </c>
      <c r="C17" s="29" t="n">
        <v>86.0618</v>
      </c>
      <c r="D17" s="29" t="n">
        <v>113.9112</v>
      </c>
      <c r="E17" s="29" t="n">
        <v>74.986</v>
      </c>
      <c r="F17" s="29" t="n">
        <v>97.7236</v>
      </c>
      <c r="G17" s="29" t="n">
        <v>56.5334</v>
      </c>
      <c r="H17" s="29" t="n">
        <v>17.1153</v>
      </c>
      <c r="I17" s="29" t="n">
        <v>41.7054</v>
      </c>
      <c r="J17" s="29" t="n">
        <v>21.9679</v>
      </c>
      <c r="K17" s="29" t="n">
        <v>11.3472</v>
      </c>
    </row>
    <row r="18" customFormat="false" ht="15" hidden="false" customHeight="false" outlineLevel="0" collapsed="false">
      <c r="A18" s="11" t="s">
        <v>527</v>
      </c>
      <c r="C18" s="29" t="n">
        <v>1.4965</v>
      </c>
      <c r="D18" s="29" t="n">
        <v>3.6266</v>
      </c>
      <c r="E18" s="29" t="n">
        <v>-0.1547</v>
      </c>
    </row>
    <row r="19" customFormat="false" ht="15" hidden="false" customHeight="false" outlineLevel="0" collapsed="false">
      <c r="A19" s="11" t="s">
        <v>528</v>
      </c>
      <c r="F19" s="29" t="n">
        <v>20.0144</v>
      </c>
      <c r="G19" s="29" t="n">
        <v>55.0228</v>
      </c>
      <c r="H19" s="29" t="n">
        <v>49.7733</v>
      </c>
      <c r="I19" s="29" t="n">
        <v>30.4662</v>
      </c>
      <c r="J19" s="29" t="n">
        <v>18.7085</v>
      </c>
      <c r="K19" s="29" t="n">
        <v>20.9291</v>
      </c>
    </row>
    <row r="20" customFormat="false" ht="15" hidden="false" customHeight="false" outlineLevel="0" collapsed="false">
      <c r="A20" s="11" t="s">
        <v>529</v>
      </c>
      <c r="C20" s="29" t="n">
        <v>0.1154</v>
      </c>
      <c r="D20" s="29" t="n">
        <v>-43.9714</v>
      </c>
      <c r="E20" s="29" t="n">
        <v>-33.4424</v>
      </c>
      <c r="F20" s="29" t="n">
        <v>-70.0966</v>
      </c>
      <c r="G20" s="29" t="n">
        <v>-0.9734</v>
      </c>
      <c r="H20" s="29" t="n">
        <v>-26.3493</v>
      </c>
      <c r="I20" s="29" t="n">
        <v>-26.5942</v>
      </c>
      <c r="J20" s="29" t="n">
        <v>-12.3834</v>
      </c>
      <c r="K20" s="29" t="n">
        <v>-74.0416</v>
      </c>
    </row>
    <row r="21" customFormat="false" ht="15" hidden="false" customHeight="false" outlineLevel="0" collapsed="false">
      <c r="A21" s="11" t="s">
        <v>530</v>
      </c>
      <c r="C21" s="29" t="n">
        <v>6.664</v>
      </c>
      <c r="D21" s="29" t="n">
        <v>-25.0002</v>
      </c>
      <c r="E21" s="29" t="n">
        <v>-25.2766</v>
      </c>
      <c r="F21" s="29" t="n">
        <v>3.6367</v>
      </c>
      <c r="G21" s="29" t="n">
        <v>7.6096</v>
      </c>
      <c r="H21" s="29" t="n">
        <v>-12.7345</v>
      </c>
      <c r="I21" s="29" t="n">
        <v>-15.445</v>
      </c>
      <c r="J21" s="29" t="n">
        <v>-4.2076</v>
      </c>
      <c r="K21" s="29" t="n">
        <v>-55.945</v>
      </c>
    </row>
    <row r="22" customFormat="false" ht="15" hidden="false" customHeight="false" outlineLevel="0" collapsed="false">
      <c r="A22" s="11" t="s">
        <v>531</v>
      </c>
      <c r="C22" s="29" t="n">
        <v>-0.1789</v>
      </c>
      <c r="D22" s="29" t="n">
        <v>8.1503</v>
      </c>
      <c r="E22" s="29" t="n">
        <v>-3.8453</v>
      </c>
      <c r="F22" s="29" t="n">
        <v>-1.2666</v>
      </c>
      <c r="G22" s="29" t="n">
        <v>1.9312</v>
      </c>
      <c r="H22" s="29" t="n">
        <v>-1.3421</v>
      </c>
      <c r="I22" s="29" t="n">
        <v>0.3699</v>
      </c>
      <c r="J22" s="29" t="n">
        <v>1.1518</v>
      </c>
      <c r="K22" s="29" t="n">
        <v>-3.1531</v>
      </c>
    </row>
    <row r="23" customFormat="false" ht="15" hidden="false" customHeight="false" outlineLevel="0" collapsed="false">
      <c r="A23" s="9" t="s">
        <v>298</v>
      </c>
      <c r="C23" s="29" t="n">
        <v>1011.3422</v>
      </c>
      <c r="D23" s="29" t="n">
        <v>1667.6866</v>
      </c>
      <c r="E23" s="29" t="n">
        <v>2294.5276</v>
      </c>
      <c r="F23" s="29" t="n">
        <v>1661.427</v>
      </c>
      <c r="G23" s="29" t="n">
        <v>1777.6465</v>
      </c>
      <c r="H23" s="29" t="n">
        <v>2522.7053</v>
      </c>
      <c r="I23" s="29" t="n">
        <v>3008.4656</v>
      </c>
      <c r="J23" s="29" t="n">
        <v>1426.9555</v>
      </c>
      <c r="K23" s="29" t="n">
        <v>2226.7722</v>
      </c>
    </row>
    <row r="24" customFormat="false" ht="15" hidden="false" customHeight="false" outlineLevel="0" collapsed="false">
      <c r="A24" s="11" t="s">
        <v>532</v>
      </c>
      <c r="C24" s="29" t="n">
        <v>6.5768</v>
      </c>
      <c r="D24" s="29" t="n">
        <v>11.3112</v>
      </c>
      <c r="E24" s="29" t="n">
        <v>13.838</v>
      </c>
      <c r="F24" s="29" t="n">
        <v>17.419</v>
      </c>
      <c r="G24" s="29" t="n">
        <v>12.9371</v>
      </c>
      <c r="H24" s="29" t="n">
        <v>14.6536</v>
      </c>
      <c r="I24" s="29" t="n">
        <v>19.903</v>
      </c>
      <c r="J24" s="29" t="n">
        <v>9.2304</v>
      </c>
      <c r="K24" s="29" t="n">
        <v>12.1939</v>
      </c>
    </row>
    <row r="25" customFormat="false" ht="15" hidden="false" customHeight="false" outlineLevel="0" collapsed="false">
      <c r="A25" s="11" t="s">
        <v>533</v>
      </c>
      <c r="C25" s="29" t="n">
        <v>1.3356</v>
      </c>
      <c r="D25" s="29" t="n">
        <v>0.3934</v>
      </c>
      <c r="E25" s="29" t="n">
        <v>4.8375</v>
      </c>
      <c r="F25" s="29" t="n">
        <v>12.5283</v>
      </c>
      <c r="G25" s="29" t="n">
        <v>7.7361</v>
      </c>
      <c r="H25" s="29" t="n">
        <v>18.4151</v>
      </c>
      <c r="I25" s="29" t="n">
        <v>20.1922</v>
      </c>
      <c r="J25" s="29" t="n">
        <v>9.0679</v>
      </c>
      <c r="K25" s="29" t="n">
        <v>15.0199</v>
      </c>
    </row>
    <row r="26" customFormat="false" ht="15" hidden="false" customHeight="false" outlineLevel="0" collapsed="false">
      <c r="A26" s="9" t="s">
        <v>300</v>
      </c>
      <c r="C26" s="29" t="n">
        <v>1016.5834</v>
      </c>
      <c r="D26" s="29" t="n">
        <v>1678.6044</v>
      </c>
      <c r="E26" s="29" t="n">
        <v>2303.5281</v>
      </c>
      <c r="F26" s="29" t="n">
        <v>1666.3178</v>
      </c>
      <c r="G26" s="29" t="n">
        <v>1782.8476</v>
      </c>
      <c r="H26" s="29" t="n">
        <v>2518.9439</v>
      </c>
      <c r="I26" s="29" t="n">
        <v>3008.1764</v>
      </c>
      <c r="J26" s="29" t="n">
        <v>1427.118</v>
      </c>
      <c r="K26" s="29" t="n">
        <v>2223.9462</v>
      </c>
    </row>
    <row r="27" customFormat="false" ht="15" hidden="false" customHeight="false" outlineLevel="0" collapsed="false">
      <c r="A27" s="11" t="s">
        <v>534</v>
      </c>
      <c r="C27" s="29" t="n">
        <v>142.5086</v>
      </c>
      <c r="D27" s="29" t="n">
        <v>236.9779</v>
      </c>
      <c r="E27" s="29" t="n">
        <v>290.216</v>
      </c>
      <c r="F27" s="29" t="n">
        <v>160.2146</v>
      </c>
      <c r="G27" s="29" t="n">
        <v>199.697</v>
      </c>
      <c r="H27" s="29" t="n">
        <v>328.7101</v>
      </c>
      <c r="I27" s="29" t="n">
        <v>391.1963</v>
      </c>
      <c r="J27" s="29" t="n">
        <v>190.0335</v>
      </c>
      <c r="K27" s="29" t="n">
        <v>291.9504</v>
      </c>
    </row>
    <row r="28" customFormat="false" ht="15" hidden="false" customHeight="false" outlineLevel="0" collapsed="false">
      <c r="A28" s="9" t="s">
        <v>303</v>
      </c>
      <c r="C28" s="29" t="n">
        <v>874.0748</v>
      </c>
      <c r="D28" s="29" t="n">
        <v>1441.6265</v>
      </c>
      <c r="E28" s="29" t="n">
        <v>2013.312</v>
      </c>
      <c r="F28" s="29" t="n">
        <v>1506.1032</v>
      </c>
      <c r="G28" s="29" t="n">
        <v>1583.1506</v>
      </c>
      <c r="H28" s="29" t="n">
        <v>2190.2338</v>
      </c>
      <c r="I28" s="29" t="n">
        <v>2616.9802</v>
      </c>
      <c r="J28" s="29" t="n">
        <v>1237.0845</v>
      </c>
      <c r="K28" s="29" t="n">
        <v>1931.9958</v>
      </c>
    </row>
    <row r="29" customFormat="false" ht="15" hidden="false" customHeight="false" outlineLevel="0" collapsed="false">
      <c r="A29" s="11" t="s">
        <v>535</v>
      </c>
      <c r="C29" s="29" t="n">
        <v>874.0748</v>
      </c>
      <c r="D29" s="29" t="n">
        <v>1441.6265</v>
      </c>
      <c r="E29" s="29" t="n">
        <v>2013.312</v>
      </c>
      <c r="F29" s="29" t="n">
        <v>1506.1032</v>
      </c>
      <c r="G29" s="29" t="n">
        <v>1583.1506</v>
      </c>
      <c r="H29" s="29" t="n">
        <v>2190.2338</v>
      </c>
      <c r="I29" s="29" t="n">
        <v>2616.9802</v>
      </c>
      <c r="J29" s="29" t="n">
        <v>1237.0845</v>
      </c>
      <c r="K29" s="29" t="n">
        <v>1931.9958</v>
      </c>
    </row>
    <row r="30" customFormat="false" ht="15" hidden="false" customHeight="false" outlineLevel="0" collapsed="false">
      <c r="A30" s="11" t="s">
        <v>536</v>
      </c>
      <c r="C30" s="29" t="n">
        <v>2.814</v>
      </c>
      <c r="D30" s="29" t="n">
        <v>2.0639</v>
      </c>
      <c r="E30" s="29" t="n">
        <v>2.5006</v>
      </c>
      <c r="F30" s="29" t="n">
        <v>1.3972</v>
      </c>
      <c r="G30" s="29" t="n">
        <v>2.1646</v>
      </c>
      <c r="H30" s="29" t="n">
        <v>-0.2156</v>
      </c>
      <c r="I30" s="29" t="n">
        <v>-1.4041</v>
      </c>
      <c r="J30" s="29" t="n">
        <v>-0.0534</v>
      </c>
      <c r="K30" s="29" t="n">
        <v>-0.1224</v>
      </c>
    </row>
    <row r="31" customFormat="false" ht="15" hidden="false" customHeight="false" outlineLevel="0" collapsed="false">
      <c r="A31" s="11" t="s">
        <v>537</v>
      </c>
      <c r="C31" s="29" t="n">
        <v>871.2608</v>
      </c>
      <c r="D31" s="29" t="n">
        <v>1439.5626</v>
      </c>
      <c r="E31" s="29" t="n">
        <v>2010.8114</v>
      </c>
      <c r="F31" s="29" t="n">
        <v>1504.706</v>
      </c>
      <c r="G31" s="29" t="n">
        <v>1580.986</v>
      </c>
      <c r="H31" s="29" t="n">
        <v>2190.4494</v>
      </c>
      <c r="I31" s="29" t="n">
        <v>2618.3843</v>
      </c>
      <c r="J31" s="29" t="n">
        <v>1237.1379</v>
      </c>
      <c r="K31" s="29" t="n">
        <v>1932.1182</v>
      </c>
    </row>
    <row r="32" customFormat="false" ht="15" hidden="false" customHeight="false" outlineLevel="0" collapsed="false">
      <c r="A32" s="11" t="s">
        <v>538</v>
      </c>
      <c r="C32" s="29" t="n">
        <v>9.3427</v>
      </c>
      <c r="D32" s="29" t="n">
        <v>-22.5873</v>
      </c>
      <c r="E32" s="29" t="n">
        <v>-59.5048</v>
      </c>
      <c r="F32" s="29" t="n">
        <v>17.9502</v>
      </c>
      <c r="G32" s="29" t="n">
        <v>31.6624</v>
      </c>
      <c r="H32" s="29" t="n">
        <v>-20.9467</v>
      </c>
      <c r="I32" s="29" t="n">
        <v>76.0529</v>
      </c>
      <c r="J32" s="29" t="n">
        <v>80.3763</v>
      </c>
      <c r="K32" s="29" t="n">
        <v>-86.3487</v>
      </c>
    </row>
    <row r="33" customFormat="false" ht="15" hidden="false" customHeight="false" outlineLevel="0" collapsed="false">
      <c r="A33" s="9" t="s">
        <v>539</v>
      </c>
      <c r="C33" s="29" t="n">
        <v>883.4174</v>
      </c>
      <c r="D33" s="29" t="n">
        <v>1419.0392</v>
      </c>
      <c r="E33" s="29" t="n">
        <v>1953.8072</v>
      </c>
      <c r="F33" s="29" t="n">
        <v>1524.0534</v>
      </c>
      <c r="G33" s="29" t="n">
        <v>1614.813</v>
      </c>
      <c r="H33" s="29" t="n">
        <v>2169.2871</v>
      </c>
      <c r="I33" s="29" t="n">
        <v>2693.033</v>
      </c>
      <c r="J33" s="29" t="n">
        <v>1317.4608</v>
      </c>
      <c r="K33" s="29" t="n">
        <v>1845.6471</v>
      </c>
    </row>
    <row r="34" customFormat="false" ht="15" hidden="false" customHeight="false" outlineLevel="0" collapsed="false">
      <c r="A34" s="11" t="s">
        <v>540</v>
      </c>
      <c r="C34" s="29" t="n">
        <v>2.814</v>
      </c>
      <c r="D34" s="29" t="n">
        <v>2.0639</v>
      </c>
      <c r="E34" s="29" t="n">
        <v>2.5006</v>
      </c>
      <c r="F34" s="29" t="n">
        <v>1.3972</v>
      </c>
      <c r="G34" s="29" t="n">
        <v>2.1646</v>
      </c>
      <c r="H34" s="29" t="n">
        <v>-0.2156</v>
      </c>
      <c r="I34" s="29" t="n">
        <v>-1.4041</v>
      </c>
      <c r="J34" s="29" t="n">
        <v>-0.0534</v>
      </c>
      <c r="K34" s="29" t="n">
        <v>-0.1224</v>
      </c>
    </row>
    <row r="35" customFormat="false" ht="15" hidden="false" customHeight="false" outlineLevel="0" collapsed="false">
      <c r="A35" s="11" t="s">
        <v>541</v>
      </c>
      <c r="C35" s="29" t="n">
        <v>880.6035</v>
      </c>
      <c r="D35" s="29" t="n">
        <v>1416.9753</v>
      </c>
      <c r="E35" s="29" t="n">
        <v>1951.3066</v>
      </c>
      <c r="F35" s="29" t="n">
        <v>1522.6562</v>
      </c>
      <c r="G35" s="29" t="n">
        <v>1612.6484</v>
      </c>
      <c r="H35" s="29" t="n">
        <v>2169.5027</v>
      </c>
      <c r="I35" s="29" t="n">
        <v>2694.4372</v>
      </c>
      <c r="J35" s="29" t="n">
        <v>1317.5142</v>
      </c>
      <c r="K35" s="29" t="n">
        <v>1845.7695</v>
      </c>
    </row>
    <row r="36" customFormat="false" ht="15" hidden="false" customHeight="false" outlineLevel="0" collapsed="false">
      <c r="A36" s="11" t="s">
        <v>542</v>
      </c>
      <c r="C36" s="25" t="n">
        <v>0.5</v>
      </c>
      <c r="D36" s="25" t="n">
        <v>0.82</v>
      </c>
      <c r="E36" s="25" t="n">
        <v>1.1</v>
      </c>
      <c r="F36" s="25" t="n">
        <v>0.79</v>
      </c>
      <c r="G36" s="25" t="n">
        <v>0.82</v>
      </c>
      <c r="H36" s="25" t="n">
        <v>1.14</v>
      </c>
      <c r="I36" s="25" t="n">
        <v>1.37</v>
      </c>
      <c r="J36" s="25" t="n">
        <v>0.65</v>
      </c>
      <c r="K36" s="25" t="n">
        <v>1.01</v>
      </c>
    </row>
    <row r="37" customFormat="false" ht="15" hidden="false" customHeight="false" outlineLevel="0" collapsed="false">
      <c r="A37" s="11" t="s">
        <v>543</v>
      </c>
      <c r="C37" s="25" t="n">
        <v>0.5</v>
      </c>
      <c r="D37" s="25" t="n">
        <v>0.82</v>
      </c>
      <c r="E37" s="25" t="n">
        <v>1.1</v>
      </c>
      <c r="F37" s="25" t="n">
        <v>0.79</v>
      </c>
      <c r="G37" s="25" t="n">
        <v>0.82</v>
      </c>
      <c r="H37" s="25" t="n">
        <v>1.14</v>
      </c>
      <c r="I37" s="25" t="n">
        <v>1.37</v>
      </c>
      <c r="J37" s="25" t="n">
        <v>0.65</v>
      </c>
      <c r="K37" s="25" t="n">
        <v>1.01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544</v>
      </c>
    </row>
    <row r="2" customFormat="false" ht="15" hidden="false" customHeight="false" outlineLevel="0" collapsed="false">
      <c r="A2" s="2" t="s">
        <v>509</v>
      </c>
    </row>
    <row r="4" customFormat="false" ht="15" hidden="false" customHeight="false" outlineLevel="0" collapsed="false">
      <c r="A4" s="7" t="s">
        <v>225</v>
      </c>
      <c r="B4" s="34" t="s">
        <v>281</v>
      </c>
      <c r="C4" s="8" t="s">
        <v>510</v>
      </c>
      <c r="D4" s="8" t="s">
        <v>511</v>
      </c>
      <c r="E4" s="8" t="s">
        <v>92</v>
      </c>
      <c r="F4" s="8" t="s">
        <v>93</v>
      </c>
      <c r="G4" s="8" t="s">
        <v>94</v>
      </c>
      <c r="H4" s="8" t="s">
        <v>95</v>
      </c>
      <c r="I4" s="8" t="s">
        <v>10</v>
      </c>
      <c r="J4" s="8" t="s">
        <v>512</v>
      </c>
      <c r="K4" s="8" t="s">
        <v>513</v>
      </c>
    </row>
    <row r="5" customFormat="false" ht="15" hidden="false" customHeight="false" outlineLevel="0" collapsed="false">
      <c r="A5" s="11" t="s">
        <v>545</v>
      </c>
      <c r="C5" s="29" t="n">
        <v>1078.6418</v>
      </c>
      <c r="D5" s="29" t="n">
        <v>2945.9196</v>
      </c>
      <c r="E5" s="29" t="n">
        <v>5552.412</v>
      </c>
      <c r="F5" s="29" t="n">
        <v>4509.4292</v>
      </c>
      <c r="G5" s="29" t="n">
        <v>2841.6149</v>
      </c>
      <c r="H5" s="29" t="n">
        <v>3062.8452</v>
      </c>
      <c r="I5" s="29" t="n">
        <v>3057.7786</v>
      </c>
      <c r="J5" s="29" t="n">
        <v>5430.1287</v>
      </c>
      <c r="K5" s="29" t="n">
        <v>3825.5415</v>
      </c>
    </row>
    <row r="6" customFormat="false" ht="15" hidden="false" customHeight="false" outlineLevel="0" collapsed="false">
      <c r="A6" s="11" t="s">
        <v>546</v>
      </c>
      <c r="C6" s="29" t="n">
        <v>2471.3739</v>
      </c>
      <c r="D6" s="29" t="n">
        <v>2547.0917</v>
      </c>
      <c r="E6" s="29" t="n">
        <v>2693.5949</v>
      </c>
      <c r="F6" s="29" t="n">
        <v>4255.0144</v>
      </c>
      <c r="G6" s="29" t="n">
        <v>3846.7081</v>
      </c>
      <c r="H6" s="29" t="n">
        <v>5053.3869</v>
      </c>
      <c r="I6" s="29" t="n">
        <v>3758.5116</v>
      </c>
      <c r="J6" s="29" t="n">
        <v>2865.6921</v>
      </c>
      <c r="K6" s="29" t="n">
        <v>3256.5671</v>
      </c>
    </row>
    <row r="7" customFormat="false" ht="15" hidden="false" customHeight="false" outlineLevel="0" collapsed="false">
      <c r="A7" s="11" t="s">
        <v>547</v>
      </c>
      <c r="C7" s="29" t="n">
        <v>874.6517</v>
      </c>
      <c r="D7" s="29" t="n">
        <v>1217.3981</v>
      </c>
      <c r="E7" s="29" t="n">
        <v>2139.811</v>
      </c>
      <c r="F7" s="29" t="n">
        <v>1633.0632</v>
      </c>
      <c r="G7" s="29" t="n">
        <v>2089.1202</v>
      </c>
      <c r="H7" s="29" t="n">
        <v>2513.8265</v>
      </c>
      <c r="I7" s="29" t="n">
        <v>2914.3696</v>
      </c>
      <c r="J7" s="29" t="n">
        <v>2619.3474</v>
      </c>
      <c r="K7" s="29" t="n">
        <v>3830.7259</v>
      </c>
    </row>
    <row r="8" customFormat="false" ht="15" hidden="false" customHeight="false" outlineLevel="0" collapsed="false">
      <c r="A8" s="11" t="s">
        <v>548</v>
      </c>
      <c r="C8" s="29" t="n">
        <v>186.3636</v>
      </c>
      <c r="D8" s="29" t="n">
        <v>38.771</v>
      </c>
      <c r="E8" s="29" t="n">
        <v>611.4843</v>
      </c>
      <c r="F8" s="29" t="n">
        <v>435.4813</v>
      </c>
      <c r="G8" s="29" t="n">
        <v>462.5221</v>
      </c>
      <c r="H8" s="29" t="n">
        <v>642.0757</v>
      </c>
      <c r="I8" s="29" t="n">
        <v>754.9216</v>
      </c>
      <c r="J8" s="29" t="n">
        <v>645.5199</v>
      </c>
      <c r="K8" s="29" t="n">
        <v>802.9765</v>
      </c>
    </row>
    <row r="9" customFormat="false" ht="15" hidden="false" customHeight="false" outlineLevel="0" collapsed="false">
      <c r="A9" s="11" t="s">
        <v>549</v>
      </c>
      <c r="C9" s="29" t="n">
        <v>688.2881</v>
      </c>
      <c r="D9" s="29" t="n">
        <v>1178.6271</v>
      </c>
      <c r="E9" s="29" t="n">
        <v>1528.3267</v>
      </c>
      <c r="F9" s="29" t="n">
        <v>1197.5819</v>
      </c>
      <c r="G9" s="29" t="n">
        <v>1626.598</v>
      </c>
      <c r="H9" s="29" t="n">
        <v>1871.7507</v>
      </c>
      <c r="I9" s="29" t="n">
        <v>2159.448</v>
      </c>
      <c r="J9" s="29" t="n">
        <v>1973.8276</v>
      </c>
      <c r="K9" s="29" t="n">
        <v>3027.7493</v>
      </c>
    </row>
    <row r="10" customFormat="false" ht="15" hidden="false" customHeight="false" outlineLevel="0" collapsed="false">
      <c r="A10" s="11" t="s">
        <v>550</v>
      </c>
      <c r="C10" s="29" t="n">
        <v>118.4119</v>
      </c>
      <c r="D10" s="29" t="n">
        <v>519.8569</v>
      </c>
      <c r="E10" s="29" t="n">
        <v>137.0218</v>
      </c>
      <c r="F10" s="29" t="n">
        <v>81.9324</v>
      </c>
      <c r="G10" s="29" t="n">
        <v>170.1508</v>
      </c>
      <c r="H10" s="29" t="n">
        <v>172.5082</v>
      </c>
      <c r="I10" s="29" t="n">
        <v>345.5521</v>
      </c>
      <c r="J10" s="29" t="n">
        <v>185.3687</v>
      </c>
      <c r="K10" s="29" t="n">
        <v>357.0871</v>
      </c>
    </row>
    <row r="11" customFormat="false" ht="15" hidden="false" customHeight="false" outlineLevel="0" collapsed="false">
      <c r="A11" s="11" t="s">
        <v>551</v>
      </c>
      <c r="C11" s="29" t="n">
        <v>34.0747</v>
      </c>
      <c r="D11" s="29" t="n">
        <v>50.6405</v>
      </c>
      <c r="E11" s="29" t="n">
        <v>56.4665</v>
      </c>
      <c r="F11" s="29" t="n">
        <v>22.8533</v>
      </c>
      <c r="G11" s="29" t="n">
        <v>45.7734</v>
      </c>
      <c r="H11" s="29" t="n">
        <v>62.2607</v>
      </c>
      <c r="I11" s="29" t="n">
        <v>75.5091</v>
      </c>
      <c r="J11" s="29" t="n">
        <v>65.5243</v>
      </c>
      <c r="K11" s="29" t="n">
        <v>141.655</v>
      </c>
    </row>
    <row r="12" customFormat="false" ht="15" hidden="false" customHeight="false" outlineLevel="0" collapsed="false">
      <c r="A12" s="11" t="s">
        <v>552</v>
      </c>
      <c r="C12" s="29" t="n">
        <v>56.6467</v>
      </c>
      <c r="D12" s="29" t="n">
        <v>167.309</v>
      </c>
      <c r="E12" s="29" t="n">
        <v>151.249</v>
      </c>
      <c r="F12" s="29" t="n">
        <v>83.7475</v>
      </c>
      <c r="G12" s="29" t="n">
        <v>44.234</v>
      </c>
      <c r="H12" s="29" t="n">
        <v>28.6627</v>
      </c>
      <c r="I12" s="29" t="n">
        <v>18.4395</v>
      </c>
      <c r="J12" s="29" t="n">
        <v>20.1296</v>
      </c>
      <c r="K12" s="29" t="n">
        <v>17.1209</v>
      </c>
    </row>
    <row r="13" customFormat="false" ht="15" hidden="false" customHeight="false" outlineLevel="0" collapsed="false">
      <c r="A13" s="11" t="s">
        <v>553</v>
      </c>
      <c r="D13" s="29" t="n">
        <v>0</v>
      </c>
    </row>
    <row r="14" customFormat="false" ht="15" hidden="false" customHeight="false" outlineLevel="0" collapsed="false">
      <c r="A14" s="11" t="s">
        <v>554</v>
      </c>
      <c r="D14" s="29" t="n">
        <v>8.8488</v>
      </c>
    </row>
    <row r="15" customFormat="false" ht="15" hidden="false" customHeight="false" outlineLevel="0" collapsed="false">
      <c r="A15" s="11" t="s">
        <v>555</v>
      </c>
      <c r="C15" s="29" t="n">
        <v>56.6467</v>
      </c>
      <c r="D15" s="29" t="n">
        <v>158.4602</v>
      </c>
      <c r="E15" s="29" t="n">
        <v>151.249</v>
      </c>
      <c r="F15" s="29" t="n">
        <v>83.7475</v>
      </c>
      <c r="G15" s="29" t="n">
        <v>44.234</v>
      </c>
      <c r="H15" s="29" t="n">
        <v>28.6627</v>
      </c>
      <c r="I15" s="29" t="n">
        <v>18.4395</v>
      </c>
      <c r="J15" s="29" t="n">
        <v>20.1296</v>
      </c>
      <c r="K15" s="29" t="n">
        <v>17.1209</v>
      </c>
    </row>
    <row r="16" customFormat="false" ht="15" hidden="false" customHeight="false" outlineLevel="0" collapsed="false">
      <c r="A16" s="11" t="s">
        <v>556</v>
      </c>
      <c r="C16" s="29" t="n">
        <v>646.8998</v>
      </c>
      <c r="D16" s="29" t="n">
        <v>885.4702</v>
      </c>
      <c r="E16" s="29" t="n">
        <v>1796.5411</v>
      </c>
      <c r="F16" s="29" t="n">
        <v>1885.8512</v>
      </c>
      <c r="G16" s="29" t="n">
        <v>1753.5978</v>
      </c>
      <c r="H16" s="29" t="n">
        <v>2180.7115</v>
      </c>
      <c r="I16" s="29" t="n">
        <v>2391.7224</v>
      </c>
      <c r="J16" s="29" t="n">
        <v>2163.2406</v>
      </c>
      <c r="K16" s="29" t="n">
        <v>2811.0479</v>
      </c>
    </row>
    <row r="17" customFormat="false" ht="15" hidden="false" customHeight="false" outlineLevel="0" collapsed="false">
      <c r="A17" s="11" t="s">
        <v>557</v>
      </c>
      <c r="C17" s="29" t="n">
        <v>17.5545</v>
      </c>
      <c r="D17" s="29" t="n">
        <v>29.3159</v>
      </c>
      <c r="E17" s="29" t="n">
        <v>259.4314</v>
      </c>
      <c r="F17" s="29" t="n">
        <v>348.8942</v>
      </c>
      <c r="G17" s="29" t="n">
        <v>488.1799</v>
      </c>
      <c r="H17" s="29" t="n">
        <v>527.8337</v>
      </c>
      <c r="I17" s="29" t="n">
        <v>519.6397</v>
      </c>
      <c r="J17" s="29" t="n">
        <v>502.1979</v>
      </c>
      <c r="K17" s="29" t="n">
        <v>469.6768</v>
      </c>
    </row>
    <row r="18" customFormat="false" ht="15" hidden="false" customHeight="false" outlineLevel="0" collapsed="false">
      <c r="A18" s="11" t="s">
        <v>558</v>
      </c>
      <c r="C18" s="29" t="n">
        <v>5298.255</v>
      </c>
      <c r="D18" s="29" t="n">
        <v>8363.002</v>
      </c>
      <c r="E18" s="29" t="n">
        <v>12786.5277</v>
      </c>
      <c r="F18" s="29" t="n">
        <v>12820.7855</v>
      </c>
      <c r="G18" s="29" t="n">
        <v>11279.3792</v>
      </c>
      <c r="H18" s="29" t="n">
        <v>13602.0355</v>
      </c>
      <c r="I18" s="29" t="n">
        <v>13081.5226</v>
      </c>
      <c r="J18" s="29" t="n">
        <v>13851.6293</v>
      </c>
      <c r="K18" s="29" t="n">
        <v>14709.4222</v>
      </c>
    </row>
    <row r="19" customFormat="false" ht="15" hidden="false" customHeight="false" outlineLevel="0" collapsed="false">
      <c r="A19" s="11" t="s">
        <v>559</v>
      </c>
      <c r="C19" s="29" t="n">
        <v>103.3009</v>
      </c>
      <c r="D19" s="29" t="n">
        <v>100.6275</v>
      </c>
    </row>
    <row r="20" customFormat="false" ht="15" hidden="false" customHeight="false" outlineLevel="0" collapsed="false">
      <c r="A20" s="11" t="s">
        <v>560</v>
      </c>
      <c r="C20" s="29" t="n">
        <v>1.8748</v>
      </c>
      <c r="D20" s="29" t="n">
        <v>2.478</v>
      </c>
      <c r="E20" s="29" t="n">
        <v>2.5805</v>
      </c>
      <c r="F20" s="29" t="n">
        <v>2.7738</v>
      </c>
      <c r="G20" s="29" t="n">
        <v>2.7994</v>
      </c>
      <c r="H20" s="29" t="n">
        <v>2.9601</v>
      </c>
      <c r="I20" s="29" t="n">
        <v>3.1953</v>
      </c>
      <c r="J20" s="29" t="n">
        <v>2.9601</v>
      </c>
      <c r="K20" s="29" t="n">
        <v>3.1953</v>
      </c>
    </row>
    <row r="21" customFormat="false" ht="15" hidden="false" customHeight="false" outlineLevel="0" collapsed="false">
      <c r="A21" s="11" t="s">
        <v>561</v>
      </c>
      <c r="G21" s="29" t="n">
        <v>127.7244</v>
      </c>
      <c r="H21" s="29" t="n">
        <v>64.7164</v>
      </c>
      <c r="I21" s="29" t="n">
        <v>59.3194</v>
      </c>
      <c r="J21" s="29" t="n">
        <v>61.1679</v>
      </c>
      <c r="K21" s="29" t="n">
        <v>57.471</v>
      </c>
    </row>
    <row r="22" customFormat="false" ht="15" hidden="false" customHeight="false" outlineLevel="0" collapsed="false">
      <c r="A22" s="11" t="s">
        <v>562</v>
      </c>
      <c r="C22" s="29" t="n">
        <v>1826.9422</v>
      </c>
      <c r="D22" s="29" t="n">
        <v>2377.2842</v>
      </c>
      <c r="E22" s="29" t="n">
        <v>4312.4233</v>
      </c>
      <c r="F22" s="29" t="n">
        <v>5190.5526</v>
      </c>
      <c r="G22" s="29" t="n">
        <v>5102.6825</v>
      </c>
      <c r="H22" s="29" t="n">
        <v>5733.7872</v>
      </c>
      <c r="I22" s="29" t="n">
        <v>6189.5406</v>
      </c>
      <c r="J22" s="29" t="n">
        <v>5736.3544</v>
      </c>
      <c r="K22" s="29" t="n">
        <v>6088.6838</v>
      </c>
    </row>
    <row r="23" customFormat="false" ht="15" hidden="false" customHeight="false" outlineLevel="0" collapsed="false">
      <c r="A23" s="11" t="s">
        <v>563</v>
      </c>
      <c r="C23" s="29" t="n">
        <v>1826.9422</v>
      </c>
      <c r="D23" s="29" t="n">
        <v>2377.2842</v>
      </c>
      <c r="E23" s="29" t="n">
        <v>4312.4233</v>
      </c>
      <c r="F23" s="29" t="n">
        <v>5190.5526</v>
      </c>
      <c r="G23" s="29" t="n">
        <v>5100.7576</v>
      </c>
      <c r="H23" s="29" t="n">
        <v>5733.7872</v>
      </c>
      <c r="I23" s="29" t="n">
        <v>6189.5406</v>
      </c>
      <c r="J23" s="29" t="n">
        <v>5736.3544</v>
      </c>
      <c r="K23" s="29" t="n">
        <v>6088.6838</v>
      </c>
    </row>
    <row r="24" customFormat="false" ht="15" hidden="false" customHeight="false" outlineLevel="0" collapsed="false">
      <c r="A24" s="11" t="s">
        <v>564</v>
      </c>
      <c r="G24" s="29" t="n">
        <v>1.9249</v>
      </c>
    </row>
    <row r="25" customFormat="false" ht="15" hidden="false" customHeight="false" outlineLevel="0" collapsed="false">
      <c r="A25" s="11" t="s">
        <v>565</v>
      </c>
      <c r="C25" s="29" t="n">
        <v>644.1608</v>
      </c>
      <c r="D25" s="29" t="n">
        <v>788.7316</v>
      </c>
      <c r="E25" s="29" t="n">
        <v>725.0642</v>
      </c>
      <c r="F25" s="29" t="n">
        <v>690.5385</v>
      </c>
      <c r="G25" s="29" t="n">
        <v>681.2029</v>
      </c>
      <c r="H25" s="29" t="n">
        <v>593.6648</v>
      </c>
      <c r="I25" s="29" t="n">
        <v>400.1746</v>
      </c>
      <c r="J25" s="29" t="n">
        <v>536.202</v>
      </c>
      <c r="K25" s="29" t="n">
        <v>848.3738</v>
      </c>
    </row>
    <row r="26" customFormat="false" ht="15" hidden="false" customHeight="false" outlineLevel="0" collapsed="false">
      <c r="A26" s="11" t="s">
        <v>566</v>
      </c>
      <c r="C26" s="29" t="n">
        <v>644.1608</v>
      </c>
      <c r="D26" s="29" t="n">
        <v>788.7316</v>
      </c>
      <c r="E26" s="29" t="n">
        <v>725.0642</v>
      </c>
      <c r="F26" s="29" t="n">
        <v>690.5385</v>
      </c>
      <c r="G26" s="29" t="n">
        <v>681.2029</v>
      </c>
      <c r="H26" s="29" t="n">
        <v>593.6648</v>
      </c>
      <c r="I26" s="29" t="n">
        <v>400.1746</v>
      </c>
      <c r="J26" s="29" t="n">
        <v>536.202</v>
      </c>
      <c r="K26" s="29" t="n">
        <v>848.3738</v>
      </c>
    </row>
    <row r="27" customFormat="false" ht="15" hidden="false" customHeight="false" outlineLevel="0" collapsed="false">
      <c r="A27" s="11" t="s">
        <v>567</v>
      </c>
      <c r="E27" s="29" t="n">
        <v>9.2459</v>
      </c>
      <c r="F27" s="29" t="n">
        <v>36.5573</v>
      </c>
      <c r="G27" s="29" t="n">
        <v>29.9601</v>
      </c>
      <c r="H27" s="29" t="n">
        <v>24.904</v>
      </c>
      <c r="I27" s="29" t="n">
        <v>20.1651</v>
      </c>
      <c r="J27" s="29" t="n">
        <v>22.5601</v>
      </c>
      <c r="K27" s="29" t="n">
        <v>24.0012</v>
      </c>
    </row>
    <row r="28" customFormat="false" ht="15" hidden="false" customHeight="false" outlineLevel="0" collapsed="false">
      <c r="A28" s="11" t="s">
        <v>568</v>
      </c>
      <c r="C28" s="29" t="n">
        <v>326.4268</v>
      </c>
      <c r="D28" s="29" t="n">
        <v>198.8745</v>
      </c>
      <c r="E28" s="29" t="n">
        <v>299.0002</v>
      </c>
      <c r="F28" s="29" t="n">
        <v>363.5942</v>
      </c>
      <c r="G28" s="29" t="n">
        <v>452.4957</v>
      </c>
      <c r="H28" s="29" t="n">
        <v>440.75</v>
      </c>
      <c r="I28" s="29" t="n">
        <v>445.4013</v>
      </c>
      <c r="J28" s="29" t="n">
        <v>438.4908</v>
      </c>
      <c r="K28" s="29" t="n">
        <v>435.7378</v>
      </c>
    </row>
    <row r="29" customFormat="false" ht="15" hidden="false" customHeight="false" outlineLevel="0" collapsed="false">
      <c r="A29" s="11" t="s">
        <v>569</v>
      </c>
      <c r="C29" s="29" t="n">
        <v>253.7905</v>
      </c>
      <c r="D29" s="29" t="n">
        <v>242.3544</v>
      </c>
      <c r="E29" s="29" t="n">
        <v>218.0344</v>
      </c>
      <c r="F29" s="29" t="n">
        <v>224.171</v>
      </c>
      <c r="G29" s="29" t="n">
        <v>237.3472</v>
      </c>
      <c r="H29" s="29" t="n">
        <v>227.2756</v>
      </c>
      <c r="I29" s="29" t="n">
        <v>248.7115</v>
      </c>
      <c r="J29" s="29" t="n">
        <v>253.7518</v>
      </c>
      <c r="K29" s="29" t="n">
        <v>234.5658</v>
      </c>
    </row>
    <row r="30" customFormat="false" ht="15" hidden="false" customHeight="false" outlineLevel="0" collapsed="false">
      <c r="A30" s="11" t="s">
        <v>570</v>
      </c>
      <c r="C30" s="29" t="n">
        <v>15.5597</v>
      </c>
      <c r="D30" s="29" t="n">
        <v>14.6331</v>
      </c>
      <c r="E30" s="29" t="n">
        <v>19.6492</v>
      </c>
      <c r="F30" s="29" t="n">
        <v>24.6772</v>
      </c>
      <c r="G30" s="29" t="n">
        <v>19.0821</v>
      </c>
      <c r="H30" s="29" t="n">
        <v>17.6421</v>
      </c>
      <c r="I30" s="29" t="n">
        <v>10.0005</v>
      </c>
      <c r="J30" s="29" t="n">
        <v>11.8589</v>
      </c>
      <c r="K30" s="29" t="n">
        <v>11.1037</v>
      </c>
    </row>
    <row r="31" customFormat="false" ht="15" hidden="false" customHeight="false" outlineLevel="0" collapsed="false">
      <c r="A31" s="11" t="s">
        <v>571</v>
      </c>
      <c r="C31" s="29" t="n">
        <v>44.3924</v>
      </c>
      <c r="D31" s="29" t="n">
        <v>49.3523</v>
      </c>
      <c r="E31" s="29" t="n">
        <v>98.7072</v>
      </c>
      <c r="F31" s="29" t="n">
        <v>187.4023</v>
      </c>
      <c r="G31" s="29" t="n">
        <v>182.164</v>
      </c>
      <c r="H31" s="29" t="n">
        <v>247.2083</v>
      </c>
      <c r="I31" s="29" t="n">
        <v>163.9345</v>
      </c>
      <c r="J31" s="29" t="n">
        <v>222.0775</v>
      </c>
      <c r="K31" s="29" t="n">
        <v>181.5929</v>
      </c>
    </row>
    <row r="32" customFormat="false" ht="15" hidden="false" customHeight="false" outlineLevel="0" collapsed="false">
      <c r="A32" s="11" t="s">
        <v>572</v>
      </c>
      <c r="C32" s="29" t="n">
        <v>56.9765</v>
      </c>
      <c r="D32" s="29" t="n">
        <v>209.747</v>
      </c>
      <c r="E32" s="29" t="n">
        <v>148.8167</v>
      </c>
      <c r="F32" s="29" t="n">
        <v>52.3243</v>
      </c>
      <c r="G32" s="29" t="n">
        <v>3712.1273</v>
      </c>
      <c r="H32" s="29" t="n">
        <v>2960.8591</v>
      </c>
      <c r="I32" s="29" t="n">
        <v>5884.1223</v>
      </c>
      <c r="J32" s="29" t="n">
        <v>2960.8195</v>
      </c>
      <c r="K32" s="29" t="n">
        <v>5843.9334</v>
      </c>
    </row>
    <row r="33" customFormat="false" ht="15" hidden="false" customHeight="false" outlineLevel="0" collapsed="false">
      <c r="A33" s="11" t="s">
        <v>573</v>
      </c>
      <c r="C33" s="29" t="n">
        <v>3273.4247</v>
      </c>
      <c r="D33" s="29" t="n">
        <v>3984.0826</v>
      </c>
      <c r="E33" s="29" t="n">
        <v>5833.5215</v>
      </c>
      <c r="F33" s="29" t="n">
        <v>6772.5912</v>
      </c>
      <c r="G33" s="29" t="n">
        <v>10547.5857</v>
      </c>
      <c r="H33" s="29" t="n">
        <v>10313.7676</v>
      </c>
      <c r="I33" s="29" t="n">
        <v>13424.5653</v>
      </c>
      <c r="J33" s="29" t="n">
        <v>10246.243</v>
      </c>
      <c r="K33" s="29" t="n">
        <v>13728.6589</v>
      </c>
    </row>
    <row r="34" customFormat="false" ht="15" hidden="false" customHeight="false" outlineLevel="0" collapsed="false">
      <c r="A34" s="9" t="s">
        <v>328</v>
      </c>
      <c r="C34" s="29" t="n">
        <v>8571.6797</v>
      </c>
      <c r="D34" s="29" t="n">
        <v>12347.0845</v>
      </c>
      <c r="E34" s="29" t="n">
        <v>18620.0492</v>
      </c>
      <c r="F34" s="29" t="n">
        <v>19593.3766</v>
      </c>
      <c r="G34" s="29" t="n">
        <v>21826.9649</v>
      </c>
      <c r="H34" s="29" t="n">
        <v>23915.8031</v>
      </c>
      <c r="I34" s="29" t="n">
        <v>26506.0879</v>
      </c>
      <c r="J34" s="29" t="n">
        <v>24097.8723</v>
      </c>
      <c r="K34" s="29" t="n">
        <v>28438.0811</v>
      </c>
    </row>
    <row r="35" customFormat="false" ht="15" hidden="false" customHeight="false" outlineLevel="0" collapsed="false">
      <c r="A35" s="11" t="s">
        <v>574</v>
      </c>
      <c r="E35" s="29" t="n">
        <v>42.1648</v>
      </c>
      <c r="F35" s="29" t="n">
        <v>151.8424</v>
      </c>
      <c r="G35" s="29" t="n">
        <v>740.5347</v>
      </c>
      <c r="H35" s="29" t="n">
        <v>474.7949</v>
      </c>
      <c r="I35" s="29" t="n">
        <v>539.4178</v>
      </c>
      <c r="J35" s="29" t="n">
        <v>443.2471</v>
      </c>
      <c r="K35" s="29" t="n">
        <v>739.8641</v>
      </c>
    </row>
    <row r="36" customFormat="false" ht="15" hidden="false" customHeight="false" outlineLevel="0" collapsed="false">
      <c r="A36" s="11" t="s">
        <v>575</v>
      </c>
      <c r="C36" s="29" t="n">
        <v>151.9182</v>
      </c>
      <c r="D36" s="29" t="n">
        <v>442.5423</v>
      </c>
      <c r="E36" s="29" t="n">
        <v>830.1951</v>
      </c>
      <c r="F36" s="29" t="n">
        <v>635.0511</v>
      </c>
      <c r="G36" s="29" t="n">
        <v>980.6995</v>
      </c>
      <c r="H36" s="29" t="n">
        <v>1295.3039</v>
      </c>
      <c r="I36" s="29" t="n">
        <v>1927.9853</v>
      </c>
      <c r="J36" s="29" t="n">
        <v>1290.0362</v>
      </c>
      <c r="K36" s="29" t="n">
        <v>2752.2303</v>
      </c>
    </row>
    <row r="37" customFormat="false" ht="15" hidden="false" customHeight="false" outlineLevel="0" collapsed="false">
      <c r="A37" s="11" t="s">
        <v>576</v>
      </c>
      <c r="F37" s="29" t="n">
        <v>27.8661</v>
      </c>
      <c r="G37" s="29" t="n">
        <v>242.5137</v>
      </c>
      <c r="H37" s="29" t="n">
        <v>521.4807</v>
      </c>
      <c r="I37" s="29" t="n">
        <v>1119.1886</v>
      </c>
      <c r="J37" s="29" t="n">
        <v>594.3072</v>
      </c>
      <c r="K37" s="29" t="n">
        <v>1487.9957</v>
      </c>
    </row>
    <row r="38" customFormat="false" ht="15" hidden="false" customHeight="false" outlineLevel="0" collapsed="false">
      <c r="A38" s="11" t="s">
        <v>577</v>
      </c>
      <c r="C38" s="29" t="n">
        <v>151.9182</v>
      </c>
      <c r="D38" s="29" t="n">
        <v>442.5423</v>
      </c>
      <c r="E38" s="29" t="n">
        <v>830.1951</v>
      </c>
      <c r="F38" s="29" t="n">
        <v>607.185</v>
      </c>
      <c r="G38" s="29" t="n">
        <v>738.1858</v>
      </c>
      <c r="H38" s="29" t="n">
        <v>773.8232</v>
      </c>
      <c r="I38" s="29" t="n">
        <v>808.7966</v>
      </c>
      <c r="J38" s="29" t="n">
        <v>695.729</v>
      </c>
      <c r="K38" s="29" t="n">
        <v>1264.2346</v>
      </c>
    </row>
    <row r="39" customFormat="false" ht="15" hidden="false" customHeight="false" outlineLevel="0" collapsed="false">
      <c r="A39" s="11" t="s">
        <v>578</v>
      </c>
      <c r="C39" s="29" t="n">
        <v>21.634</v>
      </c>
    </row>
    <row r="40" customFormat="false" ht="15" hidden="false" customHeight="false" outlineLevel="0" collapsed="false">
      <c r="A40" s="11" t="s">
        <v>579</v>
      </c>
      <c r="D40" s="29" t="n">
        <v>35.7081</v>
      </c>
      <c r="E40" s="29" t="n">
        <v>25.358</v>
      </c>
      <c r="F40" s="29" t="n">
        <v>18.6235</v>
      </c>
      <c r="G40" s="29" t="n">
        <v>22.6123</v>
      </c>
      <c r="H40" s="29" t="n">
        <v>30.7816</v>
      </c>
      <c r="I40" s="29" t="n">
        <v>23.8862</v>
      </c>
      <c r="J40" s="29" t="n">
        <v>30.0577</v>
      </c>
      <c r="K40" s="29" t="n">
        <v>78.3734</v>
      </c>
    </row>
    <row r="41" customFormat="false" ht="15" hidden="false" customHeight="false" outlineLevel="0" collapsed="false">
      <c r="A41" s="11" t="s">
        <v>580</v>
      </c>
      <c r="C41" s="29" t="n">
        <v>100.4094</v>
      </c>
      <c r="D41" s="29" t="n">
        <v>194.3573</v>
      </c>
      <c r="E41" s="29" t="n">
        <v>283.548</v>
      </c>
      <c r="F41" s="29" t="n">
        <v>242.2859</v>
      </c>
      <c r="G41" s="29" t="n">
        <v>267.3971</v>
      </c>
      <c r="H41" s="29" t="n">
        <v>347.7306</v>
      </c>
      <c r="I41" s="29" t="n">
        <v>395.6466</v>
      </c>
      <c r="J41" s="29" t="n">
        <v>167.7551</v>
      </c>
      <c r="K41" s="29" t="n">
        <v>241.0946</v>
      </c>
    </row>
    <row r="42" customFormat="false" ht="15" hidden="false" customHeight="false" outlineLevel="0" collapsed="false">
      <c r="A42" s="11" t="s">
        <v>581</v>
      </c>
      <c r="C42" s="29" t="n">
        <v>67.1714</v>
      </c>
      <c r="D42" s="29" t="n">
        <v>77.7808</v>
      </c>
      <c r="E42" s="29" t="n">
        <v>54.9989</v>
      </c>
      <c r="F42" s="29" t="n">
        <v>198.0626</v>
      </c>
      <c r="G42" s="29" t="n">
        <v>157.7104</v>
      </c>
      <c r="H42" s="29" t="n">
        <v>146.4485</v>
      </c>
      <c r="I42" s="29" t="n">
        <v>213.8164</v>
      </c>
      <c r="J42" s="29" t="n">
        <v>123.0478</v>
      </c>
      <c r="K42" s="29" t="n">
        <v>228.3778</v>
      </c>
    </row>
    <row r="43" customFormat="false" ht="15" hidden="false" customHeight="false" outlineLevel="0" collapsed="false">
      <c r="A43" s="11" t="s">
        <v>582</v>
      </c>
      <c r="C43" s="29" t="n">
        <v>118.6857</v>
      </c>
      <c r="D43" s="29" t="n">
        <v>14.8506</v>
      </c>
      <c r="E43" s="29" t="n">
        <v>34.0223</v>
      </c>
      <c r="F43" s="29" t="n">
        <v>54.6813</v>
      </c>
      <c r="G43" s="29" t="n">
        <v>58.1247</v>
      </c>
      <c r="H43" s="29" t="n">
        <v>90.8459</v>
      </c>
      <c r="I43" s="29" t="n">
        <v>114.3282</v>
      </c>
      <c r="J43" s="29" t="n">
        <v>97.5559</v>
      </c>
      <c r="K43" s="29" t="n">
        <v>183.1643</v>
      </c>
    </row>
    <row r="44" customFormat="false" ht="15" hidden="false" customHeight="false" outlineLevel="0" collapsed="false">
      <c r="A44" s="11" t="s">
        <v>583</v>
      </c>
      <c r="C44" s="29" t="n">
        <v>2.5765</v>
      </c>
    </row>
    <row r="45" customFormat="false" ht="15" hidden="false" customHeight="false" outlineLevel="0" collapsed="false">
      <c r="A45" s="11" t="s">
        <v>584</v>
      </c>
      <c r="C45" s="29" t="n">
        <v>116.1092</v>
      </c>
      <c r="D45" s="29" t="n">
        <v>14.8506</v>
      </c>
      <c r="E45" s="29" t="n">
        <v>34.0223</v>
      </c>
      <c r="F45" s="29" t="n">
        <v>54.6813</v>
      </c>
      <c r="G45" s="29" t="n">
        <v>58.1247</v>
      </c>
      <c r="H45" s="29" t="n">
        <v>90.8459</v>
      </c>
      <c r="I45" s="29" t="n">
        <v>114.3282</v>
      </c>
      <c r="J45" s="29" t="n">
        <v>97.5559</v>
      </c>
      <c r="K45" s="29" t="n">
        <v>183.1643</v>
      </c>
    </row>
    <row r="46" customFormat="false" ht="15" hidden="false" customHeight="false" outlineLevel="0" collapsed="false">
      <c r="A46" s="11" t="s">
        <v>585</v>
      </c>
      <c r="C46" s="29" t="n">
        <v>19.5388</v>
      </c>
      <c r="E46" s="29" t="n">
        <v>7.7844</v>
      </c>
      <c r="F46" s="29" t="n">
        <v>33.593</v>
      </c>
      <c r="G46" s="29" t="n">
        <v>4.7445</v>
      </c>
      <c r="H46" s="29" t="n">
        <v>4.5523</v>
      </c>
      <c r="I46" s="29" t="n">
        <v>3.2946</v>
      </c>
      <c r="J46" s="29" t="n">
        <v>3.9882</v>
      </c>
      <c r="K46" s="29" t="n">
        <v>4.8332</v>
      </c>
    </row>
    <row r="47" customFormat="false" ht="15" hidden="false" customHeight="false" outlineLevel="0" collapsed="false">
      <c r="A47" s="11" t="s">
        <v>586</v>
      </c>
      <c r="D47" s="29" t="n">
        <v>4.6183</v>
      </c>
      <c r="E47" s="29" t="n">
        <v>295.9292</v>
      </c>
      <c r="F47" s="29" t="n">
        <v>149.1519</v>
      </c>
      <c r="G47" s="29" t="n">
        <v>168.719</v>
      </c>
      <c r="H47" s="29" t="n">
        <v>203.7941</v>
      </c>
      <c r="I47" s="29" t="n">
        <v>262.1147</v>
      </c>
      <c r="J47" s="29" t="n">
        <v>227.2469</v>
      </c>
      <c r="K47" s="29" t="n">
        <v>197.2194</v>
      </c>
    </row>
    <row r="48" customFormat="false" ht="15" hidden="false" customHeight="false" outlineLevel="0" collapsed="false">
      <c r="A48" s="11" t="s">
        <v>587</v>
      </c>
      <c r="C48" s="29" t="n">
        <v>479.3574</v>
      </c>
      <c r="D48" s="29" t="n">
        <v>769.8573</v>
      </c>
      <c r="E48" s="29" t="n">
        <v>1574.0006</v>
      </c>
      <c r="F48" s="29" t="n">
        <v>1483.2915</v>
      </c>
      <c r="G48" s="29" t="n">
        <v>2400.5423</v>
      </c>
      <c r="H48" s="29" t="n">
        <v>2594.252</v>
      </c>
      <c r="I48" s="29" t="n">
        <v>3480.4898</v>
      </c>
      <c r="J48" s="29" t="n">
        <v>2382.9348</v>
      </c>
      <c r="K48" s="29" t="n">
        <v>4425.157</v>
      </c>
    </row>
    <row r="49" customFormat="false" ht="15" hidden="false" customHeight="false" outlineLevel="0" collapsed="false">
      <c r="A49" s="11" t="s">
        <v>588</v>
      </c>
      <c r="I49" s="29" t="n">
        <v>24.925</v>
      </c>
      <c r="J49" s="29" t="n">
        <v>29.95</v>
      </c>
      <c r="K49" s="29" t="n">
        <v>24.9</v>
      </c>
    </row>
    <row r="50" customFormat="false" ht="15" hidden="false" customHeight="false" outlineLevel="0" collapsed="false">
      <c r="A50" s="11" t="s">
        <v>589</v>
      </c>
      <c r="E50" s="29" t="n">
        <v>1.7371</v>
      </c>
      <c r="F50" s="29" t="n">
        <v>30.6415</v>
      </c>
      <c r="G50" s="29" t="n">
        <v>26.5735</v>
      </c>
      <c r="H50" s="29" t="n">
        <v>22.2459</v>
      </c>
      <c r="I50" s="29" t="n">
        <v>18.7998</v>
      </c>
      <c r="J50" s="29" t="n">
        <v>20.6598</v>
      </c>
      <c r="K50" s="29" t="n">
        <v>21.2371</v>
      </c>
    </row>
    <row r="51" customFormat="false" ht="15" hidden="false" customHeight="false" outlineLevel="0" collapsed="false">
      <c r="A51" s="11" t="s">
        <v>590</v>
      </c>
      <c r="C51" s="29" t="n">
        <v>29.3356</v>
      </c>
      <c r="D51" s="29" t="n">
        <v>28.7048</v>
      </c>
      <c r="E51" s="29" t="n">
        <v>29.3126</v>
      </c>
    </row>
    <row r="52" customFormat="false" ht="15" hidden="false" customHeight="false" outlineLevel="0" collapsed="false">
      <c r="A52" s="11" t="s">
        <v>591</v>
      </c>
      <c r="C52" s="29" t="n">
        <v>29.3356</v>
      </c>
      <c r="D52" s="29" t="n">
        <v>28.7048</v>
      </c>
      <c r="E52" s="29" t="n">
        <v>29.3126</v>
      </c>
    </row>
    <row r="53" customFormat="false" ht="15" hidden="false" customHeight="false" outlineLevel="0" collapsed="false">
      <c r="A53" s="11" t="s">
        <v>592</v>
      </c>
      <c r="D53" s="29" t="n">
        <v>0</v>
      </c>
      <c r="E53" s="29" t="n">
        <v>0</v>
      </c>
    </row>
    <row r="54" customFormat="false" ht="15" hidden="false" customHeight="false" outlineLevel="0" collapsed="false">
      <c r="A54" s="11" t="s">
        <v>593</v>
      </c>
      <c r="C54" s="29" t="n">
        <v>0.8032</v>
      </c>
      <c r="D54" s="29" t="n">
        <v>0.7451</v>
      </c>
      <c r="E54" s="29" t="n">
        <v>0.641</v>
      </c>
      <c r="F54" s="29" t="n">
        <v>0.8841</v>
      </c>
      <c r="G54" s="29" t="n">
        <v>2.5309</v>
      </c>
      <c r="H54" s="29" t="n">
        <v>1.2631</v>
      </c>
      <c r="J54" s="29" t="n">
        <v>0.8378</v>
      </c>
    </row>
    <row r="55" customFormat="false" ht="15" hidden="false" customHeight="false" outlineLevel="0" collapsed="false">
      <c r="A55" s="11" t="s">
        <v>594</v>
      </c>
      <c r="C55" s="29" t="n">
        <v>60.1878</v>
      </c>
      <c r="D55" s="29" t="n">
        <v>104.8827</v>
      </c>
      <c r="E55" s="29" t="n">
        <v>213.3536</v>
      </c>
      <c r="F55" s="29" t="n">
        <v>242.9296</v>
      </c>
      <c r="G55" s="29" t="n">
        <v>278.5697</v>
      </c>
      <c r="H55" s="29" t="n">
        <v>365.7018</v>
      </c>
      <c r="I55" s="29" t="n">
        <v>286.8605</v>
      </c>
      <c r="J55" s="29" t="n">
        <v>354.6833</v>
      </c>
      <c r="K55" s="29" t="n">
        <v>295.9806</v>
      </c>
    </row>
    <row r="56" customFormat="false" ht="15" hidden="false" customHeight="false" outlineLevel="0" collapsed="false">
      <c r="A56" s="11" t="s">
        <v>595</v>
      </c>
      <c r="C56" s="29" t="n">
        <v>402.0755</v>
      </c>
      <c r="D56" s="29" t="n">
        <v>539.3098</v>
      </c>
      <c r="E56" s="29" t="n">
        <v>609.4307</v>
      </c>
      <c r="F56" s="29" t="n">
        <v>732.2181</v>
      </c>
      <c r="G56" s="29" t="n">
        <v>879.648</v>
      </c>
      <c r="H56" s="29" t="n">
        <v>1060.572</v>
      </c>
      <c r="I56" s="29" t="n">
        <v>1031.9704</v>
      </c>
      <c r="J56" s="29" t="n">
        <v>1021.3364</v>
      </c>
      <c r="K56" s="29" t="n">
        <v>1022.2304</v>
      </c>
    </row>
    <row r="57" customFormat="false" ht="15" hidden="false" customHeight="false" outlineLevel="0" collapsed="false">
      <c r="A57" s="11" t="s">
        <v>596</v>
      </c>
      <c r="C57" s="29" t="n">
        <v>90</v>
      </c>
      <c r="D57" s="29" t="n">
        <v>90</v>
      </c>
    </row>
    <row r="58" customFormat="false" ht="15" hidden="false" customHeight="false" outlineLevel="0" collapsed="false">
      <c r="A58" s="11" t="s">
        <v>597</v>
      </c>
      <c r="C58" s="29" t="n">
        <v>582.4022</v>
      </c>
      <c r="D58" s="29" t="n">
        <v>763.6424</v>
      </c>
      <c r="E58" s="29" t="n">
        <v>854.4751</v>
      </c>
      <c r="F58" s="29" t="n">
        <v>1006.6732</v>
      </c>
      <c r="G58" s="29" t="n">
        <v>1187.3221</v>
      </c>
      <c r="H58" s="29" t="n">
        <v>1449.7828</v>
      </c>
      <c r="I58" s="29" t="n">
        <v>1362.5557</v>
      </c>
      <c r="J58" s="29" t="n">
        <v>1427.4673</v>
      </c>
      <c r="K58" s="29" t="n">
        <v>1364.3481</v>
      </c>
    </row>
    <row r="59" customFormat="false" ht="15" hidden="false" customHeight="false" outlineLevel="0" collapsed="false">
      <c r="A59" s="11" t="s">
        <v>598</v>
      </c>
      <c r="C59" s="29" t="n">
        <v>1061.7596</v>
      </c>
      <c r="D59" s="29" t="n">
        <v>1533.4998</v>
      </c>
      <c r="E59" s="29" t="n">
        <v>2428.4757</v>
      </c>
      <c r="F59" s="29" t="n">
        <v>2489.9647</v>
      </c>
      <c r="G59" s="29" t="n">
        <v>3587.8644</v>
      </c>
      <c r="H59" s="29" t="n">
        <v>4044.0348</v>
      </c>
      <c r="I59" s="29" t="n">
        <v>4843.0455</v>
      </c>
      <c r="J59" s="29" t="n">
        <v>3810.4021</v>
      </c>
      <c r="K59" s="29" t="n">
        <v>5789.5051</v>
      </c>
    </row>
    <row r="60" customFormat="false" ht="15" hidden="false" customHeight="false" outlineLevel="0" collapsed="false">
      <c r="A60" s="11" t="s">
        <v>599</v>
      </c>
      <c r="C60" s="29" t="n">
        <v>1743.163</v>
      </c>
      <c r="D60" s="29" t="n">
        <v>1816.906</v>
      </c>
      <c r="E60" s="29" t="n">
        <v>1916.4974</v>
      </c>
      <c r="F60" s="29" t="n">
        <v>1916.4974</v>
      </c>
      <c r="G60" s="29" t="n">
        <v>1916.4974</v>
      </c>
      <c r="H60" s="29" t="n">
        <v>1916.4974</v>
      </c>
      <c r="I60" s="29" t="n">
        <v>1916.4974</v>
      </c>
      <c r="J60" s="29" t="n">
        <v>1916.4974</v>
      </c>
      <c r="K60" s="29" t="n">
        <v>1916.4974</v>
      </c>
    </row>
    <row r="61" customFormat="false" ht="15" hidden="false" customHeight="false" outlineLevel="0" collapsed="false">
      <c r="A61" s="11" t="s">
        <v>600</v>
      </c>
      <c r="C61" s="29" t="n">
        <v>384.4055</v>
      </c>
      <c r="D61" s="29" t="n">
        <v>2438.0208</v>
      </c>
      <c r="E61" s="29" t="n">
        <v>6218.2411</v>
      </c>
      <c r="F61" s="29" t="n">
        <v>6218.2411</v>
      </c>
      <c r="G61" s="29" t="n">
        <v>6218.2411</v>
      </c>
      <c r="H61" s="29" t="n">
        <v>6218.2411</v>
      </c>
      <c r="I61" s="29" t="n">
        <v>6218.2411</v>
      </c>
      <c r="J61" s="29" t="n">
        <v>6218.2411</v>
      </c>
      <c r="K61" s="29" t="n">
        <v>6218.2411</v>
      </c>
    </row>
    <row r="62" customFormat="false" ht="15" hidden="false" customHeight="false" outlineLevel="0" collapsed="false">
      <c r="A62" s="11" t="s">
        <v>601</v>
      </c>
      <c r="C62" s="29" t="n">
        <v>106.7257</v>
      </c>
      <c r="I62" s="29" t="n">
        <v>175.4407</v>
      </c>
      <c r="J62" s="29" t="n">
        <v>175.4407</v>
      </c>
      <c r="K62" s="29" t="n">
        <v>175.4407</v>
      </c>
    </row>
    <row r="63" customFormat="false" ht="15" hidden="false" customHeight="false" outlineLevel="0" collapsed="false">
      <c r="A63" s="11" t="s">
        <v>602</v>
      </c>
      <c r="C63" s="29" t="n">
        <v>11.3846</v>
      </c>
      <c r="D63" s="29" t="n">
        <v>-11.2027</v>
      </c>
      <c r="E63" s="29" t="n">
        <v>-70.7075</v>
      </c>
      <c r="F63" s="29" t="n">
        <v>-52.7573</v>
      </c>
      <c r="G63" s="29" t="n">
        <v>-21.0949</v>
      </c>
      <c r="H63" s="29" t="n">
        <v>-42.0416</v>
      </c>
      <c r="I63" s="29" t="n">
        <v>34.0112</v>
      </c>
      <c r="J63" s="29" t="n">
        <v>38.3347</v>
      </c>
      <c r="K63" s="29" t="n">
        <v>-52.3375</v>
      </c>
    </row>
    <row r="64" customFormat="false" ht="15" hidden="false" customHeight="false" outlineLevel="0" collapsed="false">
      <c r="A64" s="11" t="s">
        <v>603</v>
      </c>
      <c r="C64" s="29" t="n">
        <v>808.0083</v>
      </c>
      <c r="D64" s="29" t="n">
        <v>903.6916</v>
      </c>
      <c r="E64" s="29" t="n">
        <v>1037.3061</v>
      </c>
      <c r="F64" s="29" t="n">
        <v>1131.1383</v>
      </c>
      <c r="G64" s="29" t="n">
        <v>1131.1383</v>
      </c>
      <c r="H64" s="29" t="n">
        <v>1131.1383</v>
      </c>
      <c r="I64" s="29" t="n">
        <v>1131.1383</v>
      </c>
      <c r="J64" s="29" t="n">
        <v>1131.1383</v>
      </c>
      <c r="K64" s="29" t="n">
        <v>1131.1383</v>
      </c>
    </row>
    <row r="65" customFormat="false" ht="15" hidden="false" customHeight="false" outlineLevel="0" collapsed="false">
      <c r="A65" s="11" t="s">
        <v>604</v>
      </c>
      <c r="C65" s="29" t="n">
        <v>4669.6844</v>
      </c>
      <c r="D65" s="29" t="n">
        <v>5665.9892</v>
      </c>
      <c r="E65" s="29" t="n">
        <v>7088.9596</v>
      </c>
      <c r="F65" s="29" t="n">
        <v>7886.5543</v>
      </c>
      <c r="G65" s="29" t="n">
        <v>8988.4159</v>
      </c>
      <c r="H65" s="29" t="n">
        <v>10642.246</v>
      </c>
      <c r="I65" s="29" t="n">
        <v>12534.3122</v>
      </c>
      <c r="J65" s="29" t="n">
        <v>11153.0657</v>
      </c>
      <c r="K65" s="29" t="n">
        <v>13606.3168</v>
      </c>
    </row>
    <row r="66" customFormat="false" ht="15" hidden="false" customHeight="false" outlineLevel="0" collapsed="false">
      <c r="A66" s="11" t="s">
        <v>605</v>
      </c>
      <c r="C66" s="29" t="n">
        <v>7509.9201</v>
      </c>
      <c r="D66" s="29" t="n">
        <v>10813.4048</v>
      </c>
      <c r="E66" s="29" t="n">
        <v>16190.2966</v>
      </c>
      <c r="F66" s="29" t="n">
        <v>17099.6736</v>
      </c>
      <c r="G66" s="29" t="n">
        <v>18233.1976</v>
      </c>
      <c r="H66" s="29" t="n">
        <v>19866.0811</v>
      </c>
      <c r="I66" s="29" t="n">
        <v>21658.7593</v>
      </c>
      <c r="J66" s="29" t="n">
        <v>20281.8364</v>
      </c>
      <c r="K66" s="29" t="n">
        <v>22644.4153</v>
      </c>
    </row>
    <row r="67" customFormat="false" ht="15" hidden="false" customHeight="false" outlineLevel="0" collapsed="false">
      <c r="A67" s="11" t="s">
        <v>606</v>
      </c>
      <c r="D67" s="29" t="n">
        <v>0.18</v>
      </c>
      <c r="E67" s="29" t="n">
        <v>1.2769</v>
      </c>
      <c r="F67" s="29" t="n">
        <v>3.7382</v>
      </c>
      <c r="G67" s="29" t="n">
        <v>5.9029</v>
      </c>
      <c r="H67" s="29" t="n">
        <v>5.6872</v>
      </c>
      <c r="I67" s="29" t="n">
        <v>4.2831</v>
      </c>
      <c r="J67" s="29" t="n">
        <v>5.6339</v>
      </c>
      <c r="K67" s="29" t="n">
        <v>4.1607</v>
      </c>
    </row>
    <row r="68" customFormat="false" ht="15" hidden="false" customHeight="false" outlineLevel="0" collapsed="false">
      <c r="A68" s="11" t="s">
        <v>607</v>
      </c>
      <c r="C68" s="29" t="n">
        <v>7509.9201</v>
      </c>
      <c r="D68" s="29" t="n">
        <v>10813.5848</v>
      </c>
      <c r="E68" s="29" t="n">
        <v>16191.5735</v>
      </c>
      <c r="F68" s="29" t="n">
        <v>17103.4119</v>
      </c>
      <c r="G68" s="29" t="n">
        <v>18239.1005</v>
      </c>
      <c r="H68" s="29" t="n">
        <v>19871.7683</v>
      </c>
      <c r="I68" s="29" t="n">
        <v>21663.0424</v>
      </c>
      <c r="J68" s="29" t="n">
        <v>20287.4703</v>
      </c>
      <c r="K68" s="29" t="n">
        <v>22648.5759</v>
      </c>
    </row>
    <row r="69" customFormat="false" ht="15" hidden="false" customHeight="false" outlineLevel="0" collapsed="false">
      <c r="A69" s="9" t="s">
        <v>337</v>
      </c>
      <c r="C69" s="29" t="n">
        <v>8571.6797</v>
      </c>
      <c r="D69" s="29" t="n">
        <v>12347.0845</v>
      </c>
      <c r="E69" s="29" t="n">
        <v>18620.0492</v>
      </c>
      <c r="F69" s="29" t="n">
        <v>19593.3766</v>
      </c>
      <c r="G69" s="29" t="n">
        <v>21826.9649</v>
      </c>
      <c r="H69" s="29" t="n">
        <v>23915.8031</v>
      </c>
      <c r="I69" s="29" t="n">
        <v>26506.0879</v>
      </c>
      <c r="J69" s="29" t="n">
        <v>24097.8723</v>
      </c>
      <c r="K69" s="29" t="n">
        <v>28438.0811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608</v>
      </c>
    </row>
    <row r="2" customFormat="false" ht="15" hidden="false" customHeight="false" outlineLevel="0" collapsed="false">
      <c r="A2" s="2" t="s">
        <v>509</v>
      </c>
    </row>
    <row r="4" customFormat="false" ht="15" hidden="false" customHeight="false" outlineLevel="0" collapsed="false">
      <c r="A4" s="7" t="s">
        <v>225</v>
      </c>
      <c r="B4" s="34" t="s">
        <v>281</v>
      </c>
      <c r="C4" s="8" t="s">
        <v>510</v>
      </c>
      <c r="D4" s="8" t="s">
        <v>511</v>
      </c>
      <c r="E4" s="8" t="s">
        <v>92</v>
      </c>
      <c r="F4" s="8" t="s">
        <v>93</v>
      </c>
      <c r="G4" s="8" t="s">
        <v>94</v>
      </c>
      <c r="H4" s="8" t="s">
        <v>95</v>
      </c>
      <c r="I4" s="8" t="s">
        <v>10</v>
      </c>
      <c r="J4" s="8" t="s">
        <v>512</v>
      </c>
      <c r="K4" s="8" t="s">
        <v>513</v>
      </c>
    </row>
    <row r="5" customFormat="false" ht="15" hidden="false" customHeight="false" outlineLevel="0" collapsed="false">
      <c r="A5" s="11" t="s">
        <v>609</v>
      </c>
      <c r="C5" s="29" t="n">
        <v>3579.8394</v>
      </c>
      <c r="D5" s="29" t="n">
        <v>3658.2067</v>
      </c>
      <c r="E5" s="29" t="n">
        <v>5010.4029</v>
      </c>
      <c r="F5" s="29" t="n">
        <v>5150.8415</v>
      </c>
      <c r="G5" s="29" t="n">
        <v>5049.3661</v>
      </c>
      <c r="H5" s="29" t="n">
        <v>6618.7955</v>
      </c>
      <c r="I5" s="29" t="n">
        <v>8243.4605</v>
      </c>
      <c r="J5" s="29" t="n">
        <v>3916.3724</v>
      </c>
      <c r="K5" s="29" t="n">
        <v>5413.4086</v>
      </c>
    </row>
    <row r="6" customFormat="false" ht="15" hidden="false" customHeight="false" outlineLevel="0" collapsed="false">
      <c r="A6" s="11" t="s">
        <v>610</v>
      </c>
      <c r="C6" s="29" t="n">
        <v>30.2336</v>
      </c>
      <c r="D6" s="29" t="n">
        <v>23.2036</v>
      </c>
      <c r="E6" s="29" t="n">
        <v>14.362</v>
      </c>
      <c r="F6" s="29" t="n">
        <v>189.2736</v>
      </c>
      <c r="G6" s="29" t="n">
        <v>140.4832</v>
      </c>
      <c r="H6" s="29" t="n">
        <v>153.0346</v>
      </c>
      <c r="I6" s="29" t="n">
        <v>96.8924</v>
      </c>
      <c r="J6" s="29" t="n">
        <v>8.105</v>
      </c>
      <c r="K6" s="29" t="n">
        <v>51.1513</v>
      </c>
    </row>
    <row r="7" customFormat="false" ht="15" hidden="false" customHeight="false" outlineLevel="0" collapsed="false">
      <c r="A7" s="11" t="s">
        <v>611</v>
      </c>
      <c r="C7" s="29" t="n">
        <v>236.781</v>
      </c>
      <c r="D7" s="29" t="n">
        <v>352.0468</v>
      </c>
      <c r="E7" s="29" t="n">
        <v>408.5564</v>
      </c>
      <c r="F7" s="29" t="n">
        <v>605.9512</v>
      </c>
      <c r="G7" s="29" t="n">
        <v>648.9155</v>
      </c>
      <c r="H7" s="29" t="n">
        <v>603.805</v>
      </c>
      <c r="I7" s="29" t="n">
        <v>461.7296</v>
      </c>
      <c r="J7" s="29" t="n">
        <v>177.3983</v>
      </c>
      <c r="K7" s="29" t="n">
        <v>232.647</v>
      </c>
    </row>
    <row r="8" customFormat="false" ht="15" hidden="false" customHeight="false" outlineLevel="0" collapsed="false">
      <c r="A8" s="11" t="s">
        <v>612</v>
      </c>
      <c r="C8" s="29" t="n">
        <v>3846.8541</v>
      </c>
      <c r="D8" s="29" t="n">
        <v>4033.4571</v>
      </c>
      <c r="E8" s="29" t="n">
        <v>5433.3213</v>
      </c>
      <c r="F8" s="29" t="n">
        <v>5946.0662</v>
      </c>
      <c r="G8" s="29" t="n">
        <v>5838.7647</v>
      </c>
      <c r="H8" s="29" t="n">
        <v>7375.6351</v>
      </c>
      <c r="I8" s="29" t="n">
        <v>8802.0825</v>
      </c>
      <c r="J8" s="29" t="n">
        <v>4101.8757</v>
      </c>
      <c r="K8" s="29" t="n">
        <v>5697.2069</v>
      </c>
    </row>
    <row r="9" customFormat="false" ht="15" hidden="false" customHeight="false" outlineLevel="0" collapsed="false">
      <c r="A9" s="11" t="s">
        <v>613</v>
      </c>
      <c r="C9" s="29" t="n">
        <v>957.2031</v>
      </c>
      <c r="D9" s="29" t="n">
        <v>1481.2912</v>
      </c>
      <c r="E9" s="29" t="n">
        <v>2131.5256</v>
      </c>
      <c r="F9" s="29" t="n">
        <v>1646.5979</v>
      </c>
      <c r="G9" s="29" t="n">
        <v>1747.1491</v>
      </c>
      <c r="H9" s="29" t="n">
        <v>2153.5884</v>
      </c>
      <c r="I9" s="29" t="n">
        <v>2753.8858</v>
      </c>
      <c r="J9" s="29" t="n">
        <v>1344.7955</v>
      </c>
      <c r="K9" s="29" t="n">
        <v>2385.2742</v>
      </c>
    </row>
    <row r="10" customFormat="false" ht="15" hidden="false" customHeight="false" outlineLevel="0" collapsed="false">
      <c r="A10" s="11" t="s">
        <v>614</v>
      </c>
      <c r="C10" s="29" t="n">
        <v>642.944</v>
      </c>
      <c r="D10" s="29" t="n">
        <v>835.0981</v>
      </c>
      <c r="E10" s="29" t="n">
        <v>1367.2278</v>
      </c>
      <c r="F10" s="29" t="n">
        <v>1478.1609</v>
      </c>
      <c r="G10" s="29" t="n">
        <v>1376.8356</v>
      </c>
      <c r="H10" s="29" t="n">
        <v>1772.4983</v>
      </c>
      <c r="I10" s="29" t="n">
        <v>1992.9064</v>
      </c>
      <c r="J10" s="29" t="n">
        <v>1068.4105</v>
      </c>
      <c r="K10" s="29" t="n">
        <v>1262.4736</v>
      </c>
    </row>
    <row r="11" customFormat="false" ht="15" hidden="false" customHeight="false" outlineLevel="0" collapsed="false">
      <c r="A11" s="11" t="s">
        <v>615</v>
      </c>
      <c r="C11" s="29" t="n">
        <v>376.9661</v>
      </c>
      <c r="D11" s="29" t="n">
        <v>406.6268</v>
      </c>
      <c r="E11" s="29" t="n">
        <v>554.7171</v>
      </c>
      <c r="F11" s="29" t="n">
        <v>540.2397</v>
      </c>
      <c r="G11" s="29" t="n">
        <v>766.2418</v>
      </c>
      <c r="H11" s="29" t="n">
        <v>808.898</v>
      </c>
      <c r="I11" s="29" t="n">
        <v>915.9167</v>
      </c>
      <c r="J11" s="29" t="n">
        <v>450.5233</v>
      </c>
      <c r="K11" s="29" t="n">
        <v>566.8132</v>
      </c>
    </row>
    <row r="12" customFormat="false" ht="15" hidden="false" customHeight="false" outlineLevel="0" collapsed="false">
      <c r="A12" s="11" t="s">
        <v>616</v>
      </c>
      <c r="C12" s="29" t="n">
        <v>155.0805</v>
      </c>
      <c r="D12" s="29" t="n">
        <v>135.5401</v>
      </c>
      <c r="E12" s="29" t="n">
        <v>225.5286</v>
      </c>
      <c r="F12" s="29" t="n">
        <v>207.1942</v>
      </c>
      <c r="G12" s="29" t="n">
        <v>229.5702</v>
      </c>
      <c r="H12" s="29" t="n">
        <v>237.5281</v>
      </c>
      <c r="I12" s="29" t="n">
        <v>261.7646</v>
      </c>
      <c r="J12" s="29" t="n">
        <v>110.437</v>
      </c>
      <c r="K12" s="29" t="n">
        <v>185.3264</v>
      </c>
    </row>
    <row r="13" customFormat="false" ht="15" hidden="false" customHeight="false" outlineLevel="0" collapsed="false">
      <c r="A13" s="11" t="s">
        <v>617</v>
      </c>
      <c r="C13" s="29" t="n">
        <v>2132.1938</v>
      </c>
      <c r="D13" s="29" t="n">
        <v>2858.5562</v>
      </c>
      <c r="E13" s="29" t="n">
        <v>4278.9991</v>
      </c>
      <c r="F13" s="29" t="n">
        <v>3872.1927</v>
      </c>
      <c r="G13" s="29" t="n">
        <v>4119.7967</v>
      </c>
      <c r="H13" s="29" t="n">
        <v>4972.5128</v>
      </c>
      <c r="I13" s="29" t="n">
        <v>5924.4734</v>
      </c>
      <c r="J13" s="29" t="n">
        <v>2974.1663</v>
      </c>
      <c r="K13" s="29" t="n">
        <v>4399.8873</v>
      </c>
    </row>
    <row r="14" customFormat="false" ht="15" hidden="false" customHeight="false" outlineLevel="0" collapsed="false">
      <c r="A14" s="11" t="s">
        <v>618</v>
      </c>
      <c r="C14" s="29" t="n">
        <v>1714.6603</v>
      </c>
      <c r="D14" s="29" t="n">
        <v>1174.9009</v>
      </c>
      <c r="E14" s="29" t="n">
        <v>1154.3222</v>
      </c>
      <c r="F14" s="29" t="n">
        <v>2073.8736</v>
      </c>
      <c r="G14" s="29" t="n">
        <v>1718.968</v>
      </c>
      <c r="H14" s="29" t="n">
        <v>2403.1223</v>
      </c>
      <c r="I14" s="29" t="n">
        <v>2877.6091</v>
      </c>
      <c r="J14" s="29" t="n">
        <v>1127.7094</v>
      </c>
      <c r="K14" s="29" t="n">
        <v>1297.3196</v>
      </c>
    </row>
    <row r="15" customFormat="false" ht="15" hidden="false" customHeight="false" outlineLevel="0" collapsed="false">
      <c r="A15" s="11" t="s">
        <v>619</v>
      </c>
      <c r="C15" s="29" t="n">
        <v>7058.4501</v>
      </c>
      <c r="D15" s="29" t="n">
        <v>7734.1026</v>
      </c>
      <c r="E15" s="29" t="n">
        <v>13148.9506</v>
      </c>
      <c r="F15" s="29" t="n">
        <v>12490.0357</v>
      </c>
      <c r="G15" s="29" t="n">
        <v>13435</v>
      </c>
      <c r="H15" s="29" t="n">
        <v>66602.15</v>
      </c>
      <c r="I15" s="29" t="n">
        <v>168585.03</v>
      </c>
      <c r="J15" s="29" t="n">
        <v>100066.18</v>
      </c>
      <c r="K15" s="29" t="n">
        <v>69242.2081</v>
      </c>
    </row>
    <row r="16" customFormat="false" ht="15" hidden="false" customHeight="false" outlineLevel="0" collapsed="false">
      <c r="A16" s="11" t="s">
        <v>620</v>
      </c>
      <c r="C16" s="29" t="n">
        <v>82.4918</v>
      </c>
      <c r="D16" s="29" t="n">
        <v>116.5182</v>
      </c>
      <c r="E16" s="29" t="n">
        <v>74.5134</v>
      </c>
      <c r="F16" s="29" t="n">
        <v>96.8132</v>
      </c>
      <c r="G16" s="29" t="n">
        <v>109.8625</v>
      </c>
      <c r="H16" s="29" t="n">
        <v>63.7652</v>
      </c>
      <c r="I16" s="29" t="n">
        <v>267.5621</v>
      </c>
      <c r="J16" s="29" t="n">
        <v>57.9618</v>
      </c>
      <c r="K16" s="29" t="n">
        <v>94.9076</v>
      </c>
    </row>
    <row r="17" customFormat="false" ht="15" hidden="false" customHeight="false" outlineLevel="0" collapsed="false">
      <c r="A17" s="11" t="s">
        <v>621</v>
      </c>
      <c r="D17" s="29" t="n">
        <v>17.321</v>
      </c>
      <c r="E17" s="29" t="n">
        <v>4.687</v>
      </c>
      <c r="F17" s="29" t="n">
        <v>61.3832</v>
      </c>
      <c r="G17" s="29" t="n">
        <v>14.3567</v>
      </c>
      <c r="H17" s="29" t="n">
        <v>29.458</v>
      </c>
      <c r="I17" s="29" t="n">
        <v>3.726</v>
      </c>
      <c r="J17" s="29" t="n">
        <v>3.3433</v>
      </c>
      <c r="K17" s="29" t="n">
        <v>3.6919</v>
      </c>
    </row>
    <row r="18" customFormat="false" ht="15" hidden="false" customHeight="false" outlineLevel="0" collapsed="false">
      <c r="A18" s="11" t="s">
        <v>622</v>
      </c>
      <c r="D18" s="29" t="n">
        <v>31.2675</v>
      </c>
    </row>
    <row r="19" customFormat="false" ht="15" hidden="false" customHeight="false" outlineLevel="0" collapsed="false">
      <c r="A19" s="11" t="s">
        <v>623</v>
      </c>
      <c r="C19" s="29" t="n">
        <v>7140.9419</v>
      </c>
      <c r="D19" s="29" t="n">
        <v>7899.2092</v>
      </c>
      <c r="E19" s="29" t="n">
        <v>13228.151</v>
      </c>
      <c r="F19" s="29" t="n">
        <v>12648.2322</v>
      </c>
      <c r="G19" s="29" t="n">
        <v>13559.2192</v>
      </c>
      <c r="H19" s="29" t="n">
        <v>66695.3732</v>
      </c>
      <c r="I19" s="29" t="n">
        <v>168856.3181</v>
      </c>
      <c r="J19" s="29" t="n">
        <v>100127.485</v>
      </c>
      <c r="K19" s="29" t="n">
        <v>69340.8077</v>
      </c>
    </row>
    <row r="20" customFormat="false" ht="15" hidden="false" customHeight="false" outlineLevel="0" collapsed="false">
      <c r="A20" s="11" t="s">
        <v>624</v>
      </c>
      <c r="C20" s="29" t="n">
        <v>578.5731</v>
      </c>
      <c r="D20" s="29" t="n">
        <v>1164.2238</v>
      </c>
      <c r="E20" s="29" t="n">
        <v>1910.3652</v>
      </c>
      <c r="F20" s="29" t="n">
        <v>1124.8091</v>
      </c>
      <c r="G20" s="29" t="n">
        <v>545.8847</v>
      </c>
      <c r="H20" s="29" t="n">
        <v>639.0352</v>
      </c>
      <c r="I20" s="29" t="n">
        <v>580.092</v>
      </c>
      <c r="J20" s="29" t="n">
        <v>207.1667</v>
      </c>
      <c r="K20" s="29" t="n">
        <v>476.371</v>
      </c>
    </row>
    <row r="21" customFormat="false" ht="15" hidden="false" customHeight="false" outlineLevel="0" collapsed="false">
      <c r="A21" s="11" t="s">
        <v>625</v>
      </c>
      <c r="C21" s="29" t="n">
        <v>7418.3671</v>
      </c>
      <c r="D21" s="29" t="n">
        <v>7785.7056</v>
      </c>
      <c r="E21" s="29" t="n">
        <v>13194.55</v>
      </c>
      <c r="F21" s="29" t="n">
        <v>15330.15</v>
      </c>
      <c r="G21" s="29" t="n">
        <v>16788.2595</v>
      </c>
      <c r="H21" s="29" t="n">
        <v>67410.2139</v>
      </c>
      <c r="I21" s="29" t="n">
        <v>169100.4235</v>
      </c>
      <c r="J21" s="29" t="n">
        <v>98547.7164</v>
      </c>
      <c r="K21" s="29" t="n">
        <v>68544.3972</v>
      </c>
    </row>
    <row r="22" customFormat="false" ht="15" hidden="false" customHeight="false" outlineLevel="0" collapsed="false">
      <c r="A22" s="11" t="s">
        <v>626</v>
      </c>
      <c r="H22" s="29" t="n">
        <v>0.0553</v>
      </c>
      <c r="I22" s="29" t="n">
        <v>0.163</v>
      </c>
      <c r="J22" s="29" t="n">
        <v>0.0906</v>
      </c>
      <c r="K22" s="29" t="n">
        <v>0.0626</v>
      </c>
    </row>
    <row r="23" customFormat="false" ht="15" hidden="false" customHeight="false" outlineLevel="0" collapsed="false">
      <c r="A23" s="11" t="s">
        <v>627</v>
      </c>
      <c r="C23" s="29" t="n">
        <v>7996.9402</v>
      </c>
      <c r="D23" s="29" t="n">
        <v>8949.9294</v>
      </c>
      <c r="E23" s="29" t="n">
        <v>15104.9152</v>
      </c>
      <c r="F23" s="29" t="n">
        <v>16454.9591</v>
      </c>
      <c r="G23" s="29" t="n">
        <v>17334.1442</v>
      </c>
      <c r="H23" s="29" t="n">
        <v>68049.3043</v>
      </c>
      <c r="I23" s="29" t="n">
        <v>169680.6785</v>
      </c>
      <c r="J23" s="29" t="n">
        <v>98754.9736</v>
      </c>
      <c r="K23" s="29" t="n">
        <v>69020.8308</v>
      </c>
    </row>
    <row r="24" customFormat="false" ht="15" hidden="false" customHeight="false" outlineLevel="0" collapsed="false">
      <c r="A24" s="11" t="s">
        <v>628</v>
      </c>
      <c r="C24" s="29" t="n">
        <v>-855.9983</v>
      </c>
      <c r="D24" s="29" t="n">
        <v>-1050.7201</v>
      </c>
      <c r="E24" s="29" t="n">
        <v>-1876.7642</v>
      </c>
      <c r="F24" s="29" t="n">
        <v>-3806.7269</v>
      </c>
      <c r="G24" s="29" t="n">
        <v>-3774.925</v>
      </c>
      <c r="H24" s="29" t="n">
        <v>-1353.9311</v>
      </c>
      <c r="I24" s="29" t="n">
        <v>-824.3604</v>
      </c>
      <c r="J24" s="29" t="n">
        <v>1372.5114</v>
      </c>
      <c r="K24" s="29" t="n">
        <v>319.9769</v>
      </c>
    </row>
    <row r="25" customFormat="false" ht="15" hidden="false" customHeight="false" outlineLevel="0" collapsed="false">
      <c r="A25" s="11" t="s">
        <v>629</v>
      </c>
      <c r="D25" s="29" t="n">
        <v>2153.43</v>
      </c>
      <c r="E25" s="29" t="n">
        <v>3882.12</v>
      </c>
    </row>
    <row r="26" customFormat="false" ht="15" hidden="false" customHeight="false" outlineLevel="0" collapsed="false">
      <c r="A26" s="11" t="s">
        <v>630</v>
      </c>
      <c r="D26" s="29" t="n">
        <v>0.18</v>
      </c>
      <c r="E26" s="29" t="n">
        <v>1.62</v>
      </c>
    </row>
    <row r="27" customFormat="false" ht="15" hidden="false" customHeight="false" outlineLevel="0" collapsed="false">
      <c r="A27" s="11" t="s">
        <v>631</v>
      </c>
      <c r="C27" s="29" t="n">
        <v>90</v>
      </c>
      <c r="G27" s="29" t="n">
        <v>1104.9694</v>
      </c>
      <c r="H27" s="29" t="n">
        <v>471.927</v>
      </c>
      <c r="I27" s="29" t="n">
        <v>30</v>
      </c>
      <c r="J27" s="29" t="n">
        <v>30</v>
      </c>
      <c r="K27" s="29" t="n">
        <v>110.6774</v>
      </c>
    </row>
    <row r="28" customFormat="false" ht="15" hidden="false" customHeight="false" outlineLevel="0" collapsed="false">
      <c r="A28" s="11" t="s">
        <v>632</v>
      </c>
      <c r="C28" s="29" t="n">
        <v>24.81</v>
      </c>
    </row>
    <row r="29" customFormat="false" ht="15" hidden="false" customHeight="false" outlineLevel="0" collapsed="false">
      <c r="A29" s="11" t="s">
        <v>633</v>
      </c>
      <c r="C29" s="29" t="n">
        <v>114.81</v>
      </c>
      <c r="D29" s="29" t="n">
        <v>2153.43</v>
      </c>
      <c r="E29" s="29" t="n">
        <v>3882.12</v>
      </c>
      <c r="G29" s="29" t="n">
        <v>1104.9694</v>
      </c>
      <c r="H29" s="29" t="n">
        <v>471.927</v>
      </c>
      <c r="I29" s="29" t="n">
        <v>30</v>
      </c>
      <c r="J29" s="29" t="n">
        <v>30</v>
      </c>
      <c r="K29" s="29" t="n">
        <v>110.6774</v>
      </c>
    </row>
    <row r="30" customFormat="false" ht="15" hidden="false" customHeight="false" outlineLevel="0" collapsed="false">
      <c r="A30" s="11" t="s">
        <v>634</v>
      </c>
      <c r="C30" s="29" t="n">
        <v>318.0456</v>
      </c>
      <c r="E30" s="29" t="n">
        <v>90</v>
      </c>
      <c r="G30" s="29" t="n">
        <v>454.8588</v>
      </c>
      <c r="H30" s="29" t="n">
        <v>1122.2695</v>
      </c>
      <c r="I30" s="29" t="n">
        <v>5.025</v>
      </c>
      <c r="K30" s="29" t="n">
        <v>0.025</v>
      </c>
    </row>
    <row r="31" customFormat="false" ht="15" hidden="false" customHeight="false" outlineLevel="0" collapsed="false">
      <c r="A31" s="11" t="s">
        <v>635</v>
      </c>
      <c r="C31" s="29" t="n">
        <v>442.7123</v>
      </c>
      <c r="D31" s="29" t="n">
        <v>350.151</v>
      </c>
      <c r="E31" s="29" t="n">
        <v>454.2265</v>
      </c>
      <c r="F31" s="29" t="n">
        <v>617.7758</v>
      </c>
      <c r="G31" s="29" t="n">
        <v>489.9347</v>
      </c>
      <c r="H31" s="29" t="n">
        <v>553.6596</v>
      </c>
      <c r="I31" s="29" t="n">
        <v>726.6256</v>
      </c>
      <c r="J31" s="29" t="n">
        <v>726.3767</v>
      </c>
      <c r="K31" s="29" t="n">
        <v>860.9669</v>
      </c>
    </row>
    <row r="32" customFormat="false" ht="15" hidden="false" customHeight="false" outlineLevel="0" collapsed="false">
      <c r="A32" s="11" t="s">
        <v>636</v>
      </c>
      <c r="C32" s="29" t="n">
        <v>5.2167</v>
      </c>
      <c r="F32" s="29" t="n">
        <v>4.4966</v>
      </c>
    </row>
    <row r="33" customFormat="false" ht="15" hidden="false" customHeight="false" outlineLevel="0" collapsed="false">
      <c r="A33" s="11" t="s">
        <v>637</v>
      </c>
      <c r="C33" s="29" t="n">
        <v>28.1973</v>
      </c>
      <c r="D33" s="29" t="n">
        <v>58.4445</v>
      </c>
      <c r="E33" s="29" t="n">
        <v>9.7845</v>
      </c>
      <c r="F33" s="29" t="n">
        <v>11.1512</v>
      </c>
      <c r="G33" s="29" t="n">
        <v>6.2402</v>
      </c>
      <c r="H33" s="29" t="n">
        <v>1.5249</v>
      </c>
      <c r="I33" s="29" t="n">
        <v>192.03</v>
      </c>
      <c r="J33" s="29" t="n">
        <v>176.7303</v>
      </c>
      <c r="K33" s="29" t="n">
        <v>9.8351</v>
      </c>
    </row>
    <row r="34" customFormat="false" ht="15" hidden="false" customHeight="false" outlineLevel="0" collapsed="false">
      <c r="A34" s="11" t="s">
        <v>638</v>
      </c>
      <c r="C34" s="29" t="n">
        <v>788.9552</v>
      </c>
      <c r="D34" s="29" t="n">
        <v>408.5955</v>
      </c>
      <c r="E34" s="29" t="n">
        <v>554.011</v>
      </c>
      <c r="F34" s="29" t="n">
        <v>628.927</v>
      </c>
      <c r="G34" s="29" t="n">
        <v>951.0336</v>
      </c>
      <c r="H34" s="29" t="n">
        <v>1677.4541</v>
      </c>
      <c r="I34" s="29" t="n">
        <v>923.6806</v>
      </c>
      <c r="J34" s="29" t="n">
        <v>903.1069</v>
      </c>
      <c r="K34" s="29" t="n">
        <v>870.827</v>
      </c>
    </row>
    <row r="35" customFormat="false" ht="15" hidden="false" customHeight="false" outlineLevel="0" collapsed="false">
      <c r="A35" s="11" t="s">
        <v>639</v>
      </c>
      <c r="C35" s="29" t="n">
        <v>-674.1452</v>
      </c>
      <c r="D35" s="29" t="n">
        <v>1744.8345</v>
      </c>
      <c r="E35" s="29" t="n">
        <v>3328.109</v>
      </c>
      <c r="F35" s="29" t="n">
        <v>-628.927</v>
      </c>
      <c r="G35" s="29" t="n">
        <v>153.9358</v>
      </c>
      <c r="H35" s="29" t="n">
        <v>-1205.5271</v>
      </c>
      <c r="I35" s="29" t="n">
        <v>-893.6806</v>
      </c>
      <c r="J35" s="29" t="n">
        <v>-873.1069</v>
      </c>
      <c r="K35" s="29" t="n">
        <v>-760.1495</v>
      </c>
    </row>
    <row r="36" customFormat="false" ht="15" hidden="false" customHeight="false" outlineLevel="0" collapsed="false">
      <c r="A36" s="9" t="s">
        <v>640</v>
      </c>
      <c r="C36" s="29" t="n">
        <v>4.628</v>
      </c>
      <c r="D36" s="29" t="n">
        <v>-0.6735</v>
      </c>
      <c r="E36" s="29" t="n">
        <v>-8.1464</v>
      </c>
      <c r="F36" s="29" t="n">
        <v>9.9994</v>
      </c>
      <c r="G36" s="29" t="n">
        <v>7.436</v>
      </c>
      <c r="H36" s="29" t="n">
        <v>-0.4631</v>
      </c>
      <c r="I36" s="29" t="n">
        <v>-14.4299</v>
      </c>
      <c r="J36" s="29" t="n">
        <v>13.6897</v>
      </c>
      <c r="K36" s="29" t="n">
        <v>-62.0636</v>
      </c>
    </row>
    <row r="37" customFormat="false" ht="15" hidden="false" customHeight="false" outlineLevel="0" collapsed="false">
      <c r="A37" s="9" t="s">
        <v>641</v>
      </c>
      <c r="C37" s="29" t="n">
        <v>189.1449</v>
      </c>
      <c r="D37" s="29" t="n">
        <v>1868.3418</v>
      </c>
      <c r="E37" s="29" t="n">
        <v>2597.5206</v>
      </c>
      <c r="F37" s="29" t="n">
        <v>-2351.781</v>
      </c>
      <c r="G37" s="29" t="n">
        <v>-1894.5852</v>
      </c>
      <c r="H37" s="29" t="n">
        <v>-156.799</v>
      </c>
      <c r="I37" s="29" t="n">
        <v>1145.1382</v>
      </c>
      <c r="J37" s="29" t="n">
        <v>1640.8036</v>
      </c>
      <c r="K37" s="29" t="n">
        <v>795.0833</v>
      </c>
    </row>
    <row r="38" customFormat="false" ht="15" hidden="false" customHeight="false" outlineLevel="0" collapsed="false">
      <c r="A38" s="11" t="s">
        <v>642</v>
      </c>
      <c r="C38" s="29" t="n">
        <v>888.4161</v>
      </c>
      <c r="D38" s="29" t="n">
        <v>1077.561</v>
      </c>
      <c r="E38" s="29" t="n">
        <v>2945.9028</v>
      </c>
      <c r="F38" s="29" t="n">
        <v>5543.4234</v>
      </c>
      <c r="G38" s="29" t="n">
        <v>3191.6424</v>
      </c>
      <c r="H38" s="29" t="n">
        <v>1297.0572</v>
      </c>
      <c r="I38" s="29" t="n">
        <v>1140.2582</v>
      </c>
      <c r="J38" s="29" t="n">
        <v>1140.2582</v>
      </c>
      <c r="K38" s="29" t="n">
        <v>2285.3964</v>
      </c>
    </row>
    <row r="39" customFormat="false" ht="15" hidden="false" customHeight="false" outlineLevel="0" collapsed="false">
      <c r="A39" s="11" t="s">
        <v>643</v>
      </c>
      <c r="C39" s="29" t="n">
        <v>1077.561</v>
      </c>
      <c r="D39" s="29" t="n">
        <v>2945.9028</v>
      </c>
      <c r="E39" s="29" t="n">
        <v>5543.4234</v>
      </c>
      <c r="F39" s="29" t="n">
        <v>3191.6424</v>
      </c>
      <c r="G39" s="29" t="n">
        <v>1297.0572</v>
      </c>
      <c r="H39" s="29" t="n">
        <v>1140.2582</v>
      </c>
      <c r="I39" s="29" t="n">
        <v>2285.3964</v>
      </c>
      <c r="J39" s="29" t="n">
        <v>2781.0618</v>
      </c>
      <c r="K39" s="29" t="n">
        <v>3080.4797</v>
      </c>
    </row>
    <row r="40" customFormat="false" ht="15" hidden="false" customHeight="false" outlineLevel="0" collapsed="false">
      <c r="A40" s="11" t="s">
        <v>644</v>
      </c>
      <c r="C40" s="29" t="n">
        <v>874.0748</v>
      </c>
      <c r="D40" s="29" t="n">
        <v>1441.6265</v>
      </c>
      <c r="E40" s="29" t="n">
        <v>2013.312</v>
      </c>
      <c r="F40" s="29" t="n">
        <v>1506.1032</v>
      </c>
      <c r="G40" s="29" t="n">
        <v>1583.1506</v>
      </c>
      <c r="H40" s="29" t="n">
        <v>2190.2338</v>
      </c>
      <c r="I40" s="29" t="n">
        <v>2616.9802</v>
      </c>
      <c r="J40" s="29" t="n">
        <v>1237.0845</v>
      </c>
      <c r="K40" s="29" t="n">
        <v>1931.9958</v>
      </c>
    </row>
    <row r="41" customFormat="false" ht="15" hidden="false" customHeight="false" outlineLevel="0" collapsed="false">
      <c r="A41" s="11" t="s">
        <v>645</v>
      </c>
      <c r="C41" s="29" t="n">
        <v>-6.7793</v>
      </c>
      <c r="D41" s="29" t="n">
        <v>68.9716</v>
      </c>
      <c r="E41" s="29" t="n">
        <v>58.719</v>
      </c>
      <c r="F41" s="29" t="n">
        <v>66.46</v>
      </c>
      <c r="G41" s="29" t="n">
        <v>-6.6362</v>
      </c>
      <c r="H41" s="29" t="n">
        <v>39.0838</v>
      </c>
      <c r="I41" s="29" t="n">
        <v>26.5942</v>
      </c>
      <c r="J41" s="29" t="n">
        <v>16.591</v>
      </c>
      <c r="K41" s="29" t="n">
        <v>74.0416</v>
      </c>
    </row>
    <row r="42" customFormat="false" ht="15" hidden="false" customHeight="false" outlineLevel="0" collapsed="false">
      <c r="A42" s="11" t="s">
        <v>646</v>
      </c>
      <c r="I42" s="29" t="n">
        <v>15.445</v>
      </c>
      <c r="K42" s="29" t="n">
        <v>55.945</v>
      </c>
    </row>
    <row r="43" customFormat="false" ht="15" hidden="false" customHeight="false" outlineLevel="0" collapsed="false">
      <c r="A43" s="11" t="s">
        <v>647</v>
      </c>
      <c r="C43" s="29" t="n">
        <v>252.3894</v>
      </c>
      <c r="D43" s="29" t="n">
        <v>263.9948</v>
      </c>
      <c r="E43" s="29" t="n">
        <v>364.7864</v>
      </c>
      <c r="F43" s="29" t="n">
        <v>515.7214</v>
      </c>
      <c r="G43" s="29" t="n">
        <v>583.1808</v>
      </c>
      <c r="H43" s="29" t="n">
        <v>632.0889</v>
      </c>
      <c r="I43" s="29" t="n">
        <v>715.1475</v>
      </c>
      <c r="J43" s="29" t="n">
        <v>346.4568</v>
      </c>
      <c r="K43" s="29" t="n">
        <v>391.2897</v>
      </c>
    </row>
    <row r="44" customFormat="false" ht="15" hidden="false" customHeight="false" outlineLevel="0" collapsed="false">
      <c r="A44" s="11" t="s">
        <v>648</v>
      </c>
      <c r="C44" s="29" t="n">
        <v>9.7446</v>
      </c>
      <c r="D44" s="29" t="n">
        <v>10.2197</v>
      </c>
      <c r="E44" s="29" t="n">
        <v>7.7336</v>
      </c>
      <c r="F44" s="29" t="n">
        <v>8.7657</v>
      </c>
      <c r="G44" s="29" t="n">
        <v>10.7699</v>
      </c>
      <c r="H44" s="29" t="n">
        <v>12.2777</v>
      </c>
      <c r="I44" s="29" t="n">
        <v>12.2258</v>
      </c>
      <c r="J44" s="29" t="n">
        <v>6.1624</v>
      </c>
      <c r="K44" s="29" t="n">
        <v>6.4267</v>
      </c>
    </row>
    <row r="45" customFormat="false" ht="15" hidden="false" customHeight="false" outlineLevel="0" collapsed="false">
      <c r="A45" s="11" t="s">
        <v>649</v>
      </c>
      <c r="E45" s="29" t="n">
        <v>7.5487</v>
      </c>
      <c r="F45" s="29" t="n">
        <v>10.9972</v>
      </c>
      <c r="G45" s="29" t="n">
        <v>7.3842</v>
      </c>
      <c r="H45" s="29" t="n">
        <v>4.9635</v>
      </c>
      <c r="I45" s="29" t="n">
        <v>4.6801</v>
      </c>
      <c r="J45" s="29" t="n">
        <v>2.3488</v>
      </c>
      <c r="K45" s="29" t="n">
        <v>2.2109</v>
      </c>
    </row>
    <row r="46" customFormat="false" ht="15" hidden="false" customHeight="false" outlineLevel="0" collapsed="false">
      <c r="A46" s="11" t="s">
        <v>650</v>
      </c>
      <c r="C46" s="29" t="n">
        <v>3.9655</v>
      </c>
      <c r="D46" s="29" t="n">
        <v>4.8735</v>
      </c>
      <c r="E46" s="29" t="n">
        <v>7.4401</v>
      </c>
      <c r="F46" s="29" t="n">
        <v>8.8908</v>
      </c>
      <c r="G46" s="29" t="n">
        <v>8.0975</v>
      </c>
      <c r="H46" s="29" t="n">
        <v>9.7894</v>
      </c>
      <c r="I46" s="29" t="n">
        <v>12.097</v>
      </c>
      <c r="J46" s="29" t="n">
        <v>6.9988</v>
      </c>
      <c r="K46" s="29" t="n">
        <v>4.3267</v>
      </c>
    </row>
    <row r="47" customFormat="false" ht="15" hidden="false" customHeight="false" outlineLevel="0" collapsed="false">
      <c r="A47" s="11" t="s">
        <v>651</v>
      </c>
      <c r="C47" s="29" t="n">
        <v>0.1789</v>
      </c>
      <c r="D47" s="29" t="n">
        <v>-8.1503</v>
      </c>
      <c r="E47" s="29" t="n">
        <v>3.8453</v>
      </c>
      <c r="F47" s="29" t="n">
        <v>1.2666</v>
      </c>
      <c r="G47" s="29" t="n">
        <v>-1.9312</v>
      </c>
      <c r="H47" s="29" t="n">
        <v>1.3421</v>
      </c>
      <c r="I47" s="29" t="n">
        <v>-0.3699</v>
      </c>
      <c r="J47" s="29" t="n">
        <v>-1.1518</v>
      </c>
      <c r="K47" s="29" t="n">
        <v>3.1531</v>
      </c>
    </row>
    <row r="48" customFormat="false" ht="15" hidden="false" customHeight="false" outlineLevel="0" collapsed="false">
      <c r="A48" s="11" t="s">
        <v>652</v>
      </c>
      <c r="C48" s="29" t="n">
        <v>0.0353</v>
      </c>
      <c r="D48" s="29" t="n">
        <v>0.0083</v>
      </c>
      <c r="E48" s="29" t="n">
        <v>3.8931</v>
      </c>
      <c r="F48" s="29" t="n">
        <v>4.0454</v>
      </c>
      <c r="G48" s="29" t="n">
        <v>3.5321</v>
      </c>
      <c r="H48" s="29" t="n">
        <v>9.4646</v>
      </c>
      <c r="I48" s="29" t="n">
        <v>2.9407</v>
      </c>
      <c r="J48" s="29" t="n">
        <v>3.0454</v>
      </c>
      <c r="K48" s="29" t="n">
        <v>11.5026</v>
      </c>
    </row>
    <row r="49" customFormat="false" ht="15" hidden="false" customHeight="false" outlineLevel="0" collapsed="false">
      <c r="A49" s="11" t="s">
        <v>653</v>
      </c>
      <c r="F49" s="29" t="n">
        <v>-20.0144</v>
      </c>
      <c r="G49" s="29" t="n">
        <v>-55.0228</v>
      </c>
      <c r="H49" s="29" t="n">
        <v>-49.7733</v>
      </c>
      <c r="I49" s="29" t="n">
        <v>-30.4662</v>
      </c>
      <c r="J49" s="29" t="n">
        <v>-18.7085</v>
      </c>
      <c r="K49" s="29" t="n">
        <v>-20.9291</v>
      </c>
    </row>
    <row r="50" customFormat="false" ht="15" hidden="false" customHeight="false" outlineLevel="0" collapsed="false">
      <c r="A50" s="11" t="s">
        <v>654</v>
      </c>
      <c r="C50" s="29" t="n">
        <v>6.6845</v>
      </c>
      <c r="D50" s="29" t="n">
        <v>3.375</v>
      </c>
      <c r="E50" s="29" t="n">
        <v>5.6211</v>
      </c>
      <c r="F50" s="29" t="n">
        <v>-1.1</v>
      </c>
      <c r="G50" s="29" t="n">
        <v>-62.3017</v>
      </c>
      <c r="H50" s="29" t="n">
        <v>-90.6263</v>
      </c>
      <c r="I50" s="29" t="n">
        <v>-137.6439</v>
      </c>
      <c r="J50" s="29" t="n">
        <v>-73.6075</v>
      </c>
      <c r="K50" s="29" t="n">
        <v>-26.6906</v>
      </c>
    </row>
    <row r="51" customFormat="false" ht="15" hidden="false" customHeight="false" outlineLevel="0" collapsed="false">
      <c r="A51" s="11" t="s">
        <v>655</v>
      </c>
      <c r="C51" s="29" t="n">
        <v>-86.0618</v>
      </c>
      <c r="D51" s="29" t="n">
        <v>-113.9112</v>
      </c>
      <c r="E51" s="29" t="n">
        <v>-74.986</v>
      </c>
      <c r="F51" s="29" t="n">
        <v>-97.7236</v>
      </c>
      <c r="G51" s="29" t="n">
        <v>-56.5334</v>
      </c>
      <c r="H51" s="29" t="n">
        <v>-17.1153</v>
      </c>
      <c r="I51" s="29" t="n">
        <v>-41.7054</v>
      </c>
      <c r="J51" s="29" t="n">
        <v>-21.9679</v>
      </c>
      <c r="K51" s="29" t="n">
        <v>-11.3472</v>
      </c>
    </row>
    <row r="52" customFormat="false" ht="15" hidden="false" customHeight="false" outlineLevel="0" collapsed="false">
      <c r="A52" s="11" t="s">
        <v>656</v>
      </c>
      <c r="C52" s="29" t="n">
        <v>8.9218</v>
      </c>
      <c r="D52" s="29" t="n">
        <v>-4.9599</v>
      </c>
      <c r="E52" s="29" t="n">
        <v>-49.3549</v>
      </c>
      <c r="F52" s="29" t="n">
        <v>-88.6952</v>
      </c>
      <c r="G52" s="29" t="n">
        <v>5.2383</v>
      </c>
      <c r="H52" s="29" t="n">
        <v>-65.0443</v>
      </c>
      <c r="I52" s="29" t="n">
        <v>83.2737</v>
      </c>
      <c r="J52" s="29" t="n">
        <v>25.1308</v>
      </c>
      <c r="K52" s="29" t="n">
        <v>-17.6584</v>
      </c>
    </row>
    <row r="53" customFormat="false" ht="15" hidden="false" customHeight="false" outlineLevel="0" collapsed="false">
      <c r="A53" s="11" t="s">
        <v>657</v>
      </c>
      <c r="C53" s="29" t="n">
        <v>31.1886</v>
      </c>
      <c r="D53" s="29" t="n">
        <v>44.6948</v>
      </c>
      <c r="E53" s="29" t="n">
        <v>108.471</v>
      </c>
      <c r="F53" s="29" t="n">
        <v>29.576</v>
      </c>
      <c r="G53" s="29" t="n">
        <v>35.6401</v>
      </c>
      <c r="H53" s="29" t="n">
        <v>87.1321</v>
      </c>
      <c r="I53" s="29" t="n">
        <v>-78.8413</v>
      </c>
      <c r="J53" s="29" t="n">
        <v>-11.0185</v>
      </c>
      <c r="K53" s="29" t="n">
        <v>9.1201</v>
      </c>
    </row>
    <row r="54" customFormat="false" ht="15" hidden="false" customHeight="false" outlineLevel="0" collapsed="false">
      <c r="A54" s="11" t="s">
        <v>658</v>
      </c>
      <c r="C54" s="29" t="n">
        <v>40.5921</v>
      </c>
      <c r="D54" s="29" t="n">
        <v>-262.409</v>
      </c>
      <c r="E54" s="29" t="n">
        <v>-901.4535</v>
      </c>
      <c r="F54" s="29" t="n">
        <v>-159.4067</v>
      </c>
      <c r="G54" s="29" t="n">
        <v>131.2799</v>
      </c>
      <c r="H54" s="29" t="n">
        <v>-453.463</v>
      </c>
      <c r="I54" s="29" t="n">
        <v>-237.605</v>
      </c>
      <c r="J54" s="29" t="n">
        <v>25.2898</v>
      </c>
      <c r="K54" s="29" t="n">
        <v>-473.9266</v>
      </c>
    </row>
    <row r="55" customFormat="false" ht="15" hidden="false" customHeight="false" outlineLevel="0" collapsed="false">
      <c r="A55" s="11" t="s">
        <v>659</v>
      </c>
      <c r="C55" s="29" t="n">
        <v>672.0659</v>
      </c>
      <c r="D55" s="29" t="n">
        <v>-894.4269</v>
      </c>
      <c r="E55" s="29" t="n">
        <v>-793.3632</v>
      </c>
      <c r="F55" s="29" t="n">
        <v>623.9934</v>
      </c>
      <c r="G55" s="29" t="n">
        <v>-566.1322</v>
      </c>
      <c r="H55" s="29" t="n">
        <v>-164.8842</v>
      </c>
      <c r="I55" s="29" t="n">
        <v>-575.2987</v>
      </c>
      <c r="J55" s="29" t="n">
        <v>-135.9008</v>
      </c>
      <c r="K55" s="29" t="n">
        <v>-1074.2823</v>
      </c>
    </row>
    <row r="56" customFormat="false" ht="15" hidden="false" customHeight="false" outlineLevel="0" collapsed="false">
      <c r="A56" s="11" t="s">
        <v>660</v>
      </c>
      <c r="C56" s="29" t="n">
        <v>-92.34</v>
      </c>
      <c r="D56" s="29" t="n">
        <v>620.9939</v>
      </c>
      <c r="E56" s="29" t="n">
        <v>392.1096</v>
      </c>
      <c r="F56" s="29" t="n">
        <v>-335.0064</v>
      </c>
      <c r="G56" s="29" t="n">
        <v>99.2519</v>
      </c>
      <c r="H56" s="29" t="n">
        <v>257.653</v>
      </c>
      <c r="I56" s="29" t="n">
        <v>490.1555</v>
      </c>
      <c r="J56" s="29" t="n">
        <v>-279.044</v>
      </c>
      <c r="K56" s="29" t="n">
        <v>432.1415</v>
      </c>
    </row>
    <row r="57" customFormat="false" ht="15" hidden="false" customHeight="false" outlineLevel="0" collapsed="false">
      <c r="A57" s="11" t="s">
        <v>661</v>
      </c>
      <c r="C57" s="29" t="n">
        <v>1714.6603</v>
      </c>
      <c r="D57" s="29" t="n">
        <v>1174.9009</v>
      </c>
      <c r="E57" s="29" t="n">
        <v>1154.3222</v>
      </c>
      <c r="F57" s="29" t="n">
        <v>2073.8736</v>
      </c>
      <c r="G57" s="29" t="n">
        <v>1718.968</v>
      </c>
      <c r="H57" s="29" t="n">
        <v>2403.1223</v>
      </c>
      <c r="I57" s="29" t="n">
        <v>2877.6091</v>
      </c>
      <c r="J57" s="29" t="n">
        <v>1127.7094</v>
      </c>
      <c r="K57" s="29" t="n">
        <v>1297.3196</v>
      </c>
    </row>
    <row r="58" customFormat="false" ht="15" hidden="false" customHeight="false" outlineLevel="0" collapsed="false">
      <c r="A58" s="11" t="s">
        <v>662</v>
      </c>
      <c r="C58" s="29" t="n">
        <v>1077.561</v>
      </c>
      <c r="D58" s="29" t="n">
        <v>2945.9028</v>
      </c>
      <c r="E58" s="29" t="n">
        <v>5543.4234</v>
      </c>
      <c r="F58" s="29" t="n">
        <v>3191.6424</v>
      </c>
      <c r="G58" s="29" t="n">
        <v>1297.0572</v>
      </c>
      <c r="H58" s="29" t="n">
        <v>1140.2582</v>
      </c>
      <c r="I58" s="29" t="n">
        <v>2285.3964</v>
      </c>
      <c r="J58" s="29" t="n">
        <v>2781.0618</v>
      </c>
      <c r="K58" s="29" t="n">
        <v>3080.4797</v>
      </c>
    </row>
    <row r="59" customFormat="false" ht="15" hidden="false" customHeight="false" outlineLevel="0" collapsed="false">
      <c r="A59" s="11" t="s">
        <v>663</v>
      </c>
      <c r="C59" s="29" t="n">
        <v>888.4161</v>
      </c>
      <c r="D59" s="29" t="n">
        <v>1077.561</v>
      </c>
      <c r="E59" s="29" t="n">
        <v>2945.9028</v>
      </c>
      <c r="F59" s="29" t="n">
        <v>5543.4234</v>
      </c>
      <c r="G59" s="29" t="n">
        <v>3191.6424</v>
      </c>
      <c r="H59" s="29" t="n">
        <v>1297.0572</v>
      </c>
      <c r="I59" s="29" t="n">
        <v>1140.2582</v>
      </c>
      <c r="J59" s="29" t="n">
        <v>1140.2582</v>
      </c>
      <c r="K59" s="29" t="n">
        <v>2285.3964</v>
      </c>
    </row>
    <row r="60" customFormat="false" ht="15" hidden="false" customHeight="false" outlineLevel="0" collapsed="false">
      <c r="A60" s="11" t="s">
        <v>664</v>
      </c>
      <c r="C60" s="29" t="n">
        <v>189.1449</v>
      </c>
      <c r="D60" s="29" t="n">
        <v>1868.3418</v>
      </c>
      <c r="E60" s="29" t="n">
        <v>2597.5206</v>
      </c>
      <c r="F60" s="29" t="n">
        <v>-2351.781</v>
      </c>
      <c r="G60" s="29" t="n">
        <v>-1894.5852</v>
      </c>
      <c r="H60" s="29" t="n">
        <v>-156.799</v>
      </c>
      <c r="I60" s="29" t="n">
        <v>1145.1382</v>
      </c>
      <c r="J60" s="29" t="n">
        <v>1640.8036</v>
      </c>
      <c r="K60" s="29" t="n">
        <v>795.0833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34"/>
  </cols>
  <sheetData>
    <row r="1" customFormat="false" ht="21.6" hidden="false" customHeight="false" outlineLevel="0" collapsed="false">
      <c r="A1" s="1" t="s">
        <v>665</v>
      </c>
    </row>
    <row r="2" customFormat="false" ht="15" hidden="false" customHeight="false" outlineLevel="0" collapsed="false">
      <c r="A2" s="2" t="s">
        <v>666</v>
      </c>
    </row>
    <row r="4" customFormat="false" ht="15" hidden="false" customHeight="false" outlineLevel="0" collapsed="false">
      <c r="A4" s="7" t="s">
        <v>667</v>
      </c>
      <c r="B4" s="34" t="s">
        <v>668</v>
      </c>
      <c r="C4" s="34" t="s">
        <v>669</v>
      </c>
      <c r="D4" s="34" t="s">
        <v>670</v>
      </c>
    </row>
    <row r="5" customFormat="false" ht="42" hidden="false" customHeight="true" outlineLevel="0" collapsed="false">
      <c r="A5" s="4" t="s">
        <v>671</v>
      </c>
      <c r="B5" s="4" t="s">
        <v>672</v>
      </c>
      <c r="C5" s="77" t="s">
        <v>673</v>
      </c>
      <c r="D5" s="78" t="s">
        <v>674</v>
      </c>
    </row>
    <row r="6" customFormat="false" ht="42" hidden="false" customHeight="true" outlineLevel="0" collapsed="false">
      <c r="A6" s="4" t="s">
        <v>671</v>
      </c>
      <c r="B6" s="4" t="s">
        <v>672</v>
      </c>
      <c r="C6" s="77" t="s">
        <v>675</v>
      </c>
      <c r="D6" s="77" t="s">
        <v>676</v>
      </c>
    </row>
    <row r="7" customFormat="false" ht="42" hidden="false" customHeight="true" outlineLevel="0" collapsed="false">
      <c r="A7" s="4" t="s">
        <v>671</v>
      </c>
      <c r="B7" s="4" t="s">
        <v>672</v>
      </c>
      <c r="C7" s="78" t="s">
        <v>677</v>
      </c>
      <c r="D7" s="78" t="s">
        <v>678</v>
      </c>
    </row>
    <row r="8" customFormat="false" ht="42" hidden="false" customHeight="true" outlineLevel="0" collapsed="false">
      <c r="A8" s="4" t="s">
        <v>671</v>
      </c>
      <c r="B8" s="4" t="s">
        <v>672</v>
      </c>
      <c r="C8" s="78" t="s">
        <v>679</v>
      </c>
      <c r="D8" s="78" t="s">
        <v>680</v>
      </c>
    </row>
    <row r="9" customFormat="false" ht="42" hidden="false" customHeight="true" outlineLevel="0" collapsed="false">
      <c r="A9" s="4" t="s">
        <v>681</v>
      </c>
      <c r="B9" s="11" t="s">
        <v>682</v>
      </c>
      <c r="C9" s="78" t="s">
        <v>683</v>
      </c>
      <c r="D9" s="78" t="s">
        <v>684</v>
      </c>
    </row>
    <row r="10" customFormat="false" ht="42" hidden="false" customHeight="true" outlineLevel="0" collapsed="false">
      <c r="A10" s="4" t="s">
        <v>681</v>
      </c>
      <c r="B10" s="11" t="s">
        <v>682</v>
      </c>
      <c r="C10" s="78" t="s">
        <v>685</v>
      </c>
      <c r="D10" s="77" t="s">
        <v>686</v>
      </c>
    </row>
    <row r="11" customFormat="false" ht="42" hidden="false" customHeight="true" outlineLevel="0" collapsed="false">
      <c r="A11" s="4" t="s">
        <v>681</v>
      </c>
      <c r="B11" s="11" t="s">
        <v>682</v>
      </c>
      <c r="C11" s="78" t="s">
        <v>687</v>
      </c>
      <c r="D11" s="78" t="s">
        <v>688</v>
      </c>
    </row>
    <row r="12" customFormat="false" ht="42" hidden="false" customHeight="true" outlineLevel="0" collapsed="false">
      <c r="A12" s="4" t="s">
        <v>689</v>
      </c>
      <c r="B12" s="4" t="s">
        <v>690</v>
      </c>
      <c r="C12" s="77" t="s">
        <v>691</v>
      </c>
      <c r="D12" s="78" t="s">
        <v>692</v>
      </c>
    </row>
    <row r="13" customFormat="false" ht="42" hidden="false" customHeight="true" outlineLevel="0" collapsed="false">
      <c r="A13" s="4" t="s">
        <v>689</v>
      </c>
      <c r="B13" s="4" t="s">
        <v>690</v>
      </c>
      <c r="C13" s="77" t="s">
        <v>693</v>
      </c>
      <c r="D13" s="77" t="s">
        <v>694</v>
      </c>
    </row>
    <row r="14" customFormat="false" ht="42" hidden="false" customHeight="true" outlineLevel="0" collapsed="false">
      <c r="A14" s="4" t="s">
        <v>695</v>
      </c>
      <c r="B14" s="4" t="s">
        <v>696</v>
      </c>
      <c r="C14" s="78" t="s">
        <v>697</v>
      </c>
      <c r="D14" s="77" t="s">
        <v>698</v>
      </c>
    </row>
    <row r="15" customFormat="false" ht="42" hidden="false" customHeight="true" outlineLevel="0" collapsed="false">
      <c r="A15" s="4" t="s">
        <v>699</v>
      </c>
      <c r="B15" s="11" t="s">
        <v>700</v>
      </c>
      <c r="C15" s="77" t="s">
        <v>701</v>
      </c>
      <c r="D15" s="78" t="s">
        <v>702</v>
      </c>
    </row>
    <row r="16" customFormat="false" ht="42" hidden="false" customHeight="true" outlineLevel="0" collapsed="false">
      <c r="A16" s="4" t="s">
        <v>703</v>
      </c>
      <c r="B16" s="11" t="s">
        <v>704</v>
      </c>
      <c r="C16" s="78" t="s">
        <v>705</v>
      </c>
      <c r="D16" s="77" t="s">
        <v>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2" min="3" style="0" width="11"/>
  </cols>
  <sheetData>
    <row r="1" customFormat="false" ht="21.6" hidden="false" customHeight="false" outlineLevel="0" collapsed="false">
      <c r="A1" s="1" t="s">
        <v>707</v>
      </c>
    </row>
    <row r="2" customFormat="false" ht="15" hidden="false" customHeight="false" outlineLevel="0" collapsed="false">
      <c r="A2" s="2" t="s">
        <v>708</v>
      </c>
    </row>
    <row r="4" customFormat="false" ht="15" hidden="false" customHeight="false" outlineLevel="0" collapsed="false">
      <c r="A4" s="7" t="s">
        <v>709</v>
      </c>
      <c r="B4" s="34"/>
      <c r="C4" s="8" t="s">
        <v>92</v>
      </c>
      <c r="D4" s="8" t="s">
        <v>93</v>
      </c>
      <c r="E4" s="8" t="s">
        <v>94</v>
      </c>
      <c r="F4" s="8" t="s">
        <v>95</v>
      </c>
      <c r="G4" s="8" t="s">
        <v>10</v>
      </c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</row>
    <row r="5" customFormat="false" ht="15" hidden="false" customHeight="false" outlineLevel="0" collapsed="false">
      <c r="A5" s="11" t="s">
        <v>710</v>
      </c>
      <c r="C5" s="10" t="n">
        <f aca="false">ROUND(三表预测!C64,2)</f>
        <v>0</v>
      </c>
      <c r="D5" s="10" t="n">
        <f aca="false">ROUND(三表预测!D64,2)</f>
        <v>-0</v>
      </c>
      <c r="E5" s="10" t="n">
        <f aca="false">ROUND(三表预测!E64,2)</f>
        <v>-0</v>
      </c>
      <c r="F5" s="10" t="n">
        <f aca="false">ROUND(三表预测!F64,2)</f>
        <v>0</v>
      </c>
      <c r="G5" s="10" t="n">
        <f aca="false">ROUND(三表预测!G64,2)</f>
        <v>-0</v>
      </c>
      <c r="H5" s="10" t="n">
        <f aca="false">ROUND(三表预测!H64,2)</f>
        <v>-0</v>
      </c>
      <c r="I5" s="10" t="n">
        <f aca="false">ROUND(三表预测!I64,2)</f>
        <v>-0</v>
      </c>
      <c r="J5" s="10" t="n">
        <f aca="false">ROUND(三表预测!J64,2)</f>
        <v>-0</v>
      </c>
      <c r="K5" s="10" t="n">
        <f aca="false">ROUND(三表预测!K64,2)</f>
        <v>-0</v>
      </c>
      <c r="L5" s="10" t="n">
        <f aca="false">ROUND(三表预测!L64,2)</f>
        <v>-0</v>
      </c>
    </row>
    <row r="6" customFormat="false" ht="15" hidden="false" customHeight="false" outlineLevel="0" collapsed="false">
      <c r="A6" s="11" t="s">
        <v>711</v>
      </c>
      <c r="C6" s="10" t="n">
        <f aca="false">ROUND(三表预测!C65,2)</f>
        <v>0</v>
      </c>
      <c r="D6" s="10" t="n">
        <f aca="false">ROUND(三表预测!D65,2)</f>
        <v>0</v>
      </c>
      <c r="E6" s="10" t="n">
        <f aca="false">ROUND(三表预测!E65,2)</f>
        <v>-0</v>
      </c>
      <c r="F6" s="10" t="n">
        <f aca="false">ROUND(三表预测!F65,2)</f>
        <v>-0</v>
      </c>
      <c r="G6" s="10" t="n">
        <f aca="false">ROUND(三表预测!G65,2)</f>
        <v>-0</v>
      </c>
    </row>
    <row r="7" customFormat="false" ht="15" hidden="false" customHeight="false" outlineLevel="0" collapsed="false">
      <c r="A7" s="11" t="s">
        <v>712</v>
      </c>
      <c r="C7" s="10" t="n">
        <f aca="false">ROUND(三表预测!C39,2)</f>
        <v>0</v>
      </c>
      <c r="D7" s="10" t="n">
        <f aca="false">ROUND(三表预测!D39,2)</f>
        <v>0</v>
      </c>
      <c r="E7" s="10" t="n">
        <f aca="false">ROUND(三表预测!E39,2)</f>
        <v>-0</v>
      </c>
      <c r="F7" s="10" t="n">
        <f aca="false">ROUND(三表预测!F39,2)</f>
        <v>-0</v>
      </c>
      <c r="G7" s="10" t="n">
        <f aca="false">ROUND(三表预测!G39,2)</f>
        <v>-0</v>
      </c>
    </row>
    <row r="8" customFormat="false" ht="15" hidden="false" customHeight="false" outlineLevel="0" collapsed="false">
      <c r="A8" s="11" t="s">
        <v>713</v>
      </c>
      <c r="C8" s="10" t="n">
        <f aca="false">ROUND(三表预测!C84,2)</f>
        <v>0</v>
      </c>
      <c r="D8" s="10" t="n">
        <f aca="false">ROUND(三表预测!D84,2)</f>
        <v>0</v>
      </c>
      <c r="E8" s="10" t="n">
        <f aca="false">ROUND(三表预测!E84,2)</f>
        <v>0</v>
      </c>
      <c r="F8" s="10" t="n">
        <f aca="false">ROUND(三表预测!F84,2)</f>
        <v>0</v>
      </c>
      <c r="G8" s="10" t="n">
        <f aca="false">ROUND(三表预测!G84,2)</f>
        <v>0</v>
      </c>
    </row>
    <row r="9" customFormat="false" ht="15" hidden="false" customHeight="false" outlineLevel="0" collapsed="false">
      <c r="A9" s="11" t="s">
        <v>714</v>
      </c>
      <c r="H9" s="10" t="n">
        <f aca="false">ROUND(分部预测!H27-三表预测!H6,4)</f>
        <v>0</v>
      </c>
      <c r="I9" s="10" t="n">
        <f aca="false">ROUND(分部预测!I27-三表预测!I6,4)</f>
        <v>0</v>
      </c>
      <c r="J9" s="10" t="n">
        <f aca="false">ROUND(分部预测!J27-三表预测!J6,4)</f>
        <v>0</v>
      </c>
      <c r="K9" s="10" t="n">
        <f aca="false">ROUND(分部预测!K27-三表预测!K6,4)</f>
        <v>0</v>
      </c>
      <c r="L9" s="10" t="n">
        <f aca="false">ROUND(分部预测!L27-三表预测!L6,4)</f>
        <v>0</v>
      </c>
    </row>
    <row r="10" customFormat="false" ht="15" hidden="false" customHeight="false" outlineLevel="0" collapsed="false">
      <c r="A10" s="11" t="s">
        <v>715</v>
      </c>
      <c r="F10" s="10" t="n">
        <f aca="false">ROUND(分部预测!F27-三表预测!F6,1)</f>
        <v>-0</v>
      </c>
      <c r="G10" s="10" t="n">
        <f aca="false">ROUND(分部预测!G27-三表预测!G6,1)</f>
        <v>0</v>
      </c>
    </row>
    <row r="11" customFormat="false" ht="15" hidden="false" customHeight="false" outlineLevel="0" collapsed="false">
      <c r="A11" s="11" t="s">
        <v>716</v>
      </c>
      <c r="H11" s="10" t="n">
        <f aca="false">ROUND((三表预测!H41-三表预测!G41)-三表预测!H82,4)</f>
        <v>0</v>
      </c>
      <c r="I11" s="10" t="n">
        <f aca="false">ROUND((三表预测!I41-三表预测!H41)-三表预测!I82,4)</f>
        <v>0</v>
      </c>
      <c r="J11" s="10" t="n">
        <f aca="false">ROUND((三表预测!J41-三表预测!I41)-三表预测!J82,4)</f>
        <v>0</v>
      </c>
      <c r="K11" s="10" t="n">
        <f aca="false">ROUND((三表预测!K41-三表预测!J41)-三表预测!K82,4)</f>
        <v>0</v>
      </c>
      <c r="L11" s="10" t="n">
        <f aca="false">ROUND((三表预测!L41-三表预测!K41)-三表预测!L82,4)</f>
        <v>0</v>
      </c>
    </row>
    <row r="13" customFormat="false" ht="15" hidden="false" customHeight="false" outlineLevel="0" collapsed="false">
      <c r="A13" s="9" t="s">
        <v>717</v>
      </c>
      <c r="C13" s="37" t="n">
        <f aca="false">SUMPRODUCT(ABS(C5:L11))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2026-09-30T10:02:21Z</dcterms:created>
  <dc:creator>openpyxl</dc:creator>
  <dc:description/>
  <dc:language>en-US</dc:language>
  <cp:lastModifiedBy/>
  <dcterms:modified xsi:type="dcterms:W3CDTF">2026-09-30T10:02:21Z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