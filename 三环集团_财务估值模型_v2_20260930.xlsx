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19.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封面与摘要" sheetId="1" state="visible" r:id="rId3"/>
    <sheet name="财务汇总" sheetId="2" state="visible" r:id="rId4"/>
    <sheet name="Summary_EN" sheetId="3" state="visible" r:id="rId5"/>
    <sheet name="假设" sheetId="4" state="visible" r:id="rId6"/>
    <sheet name="收入拆解" sheetId="5" state="visible" r:id="rId7"/>
    <sheet name="成本拆解" sheetId="6" state="visible" r:id="rId8"/>
    <sheet name="人员与费用" sheetId="7" state="visible" r:id="rId9"/>
    <sheet name="资本开支与折旧" sheetId="8" state="visible" r:id="rId10"/>
    <sheet name="营运资金" sheetId="9" state="visible" r:id="rId11"/>
    <sheet name="融资与资金" sheetId="10" state="visible" r:id="rId12"/>
    <sheet name="税务与其他损益" sheetId="11" state="visible" r:id="rId13"/>
    <sheet name="股本与每股" sheetId="12" state="visible" r:id="rId14"/>
    <sheet name="三表预测" sheetId="13" state="visible" r:id="rId15"/>
    <sheet name="回报分析" sheetId="14" state="visible" r:id="rId16"/>
    <sheet name="DCF估值" sheetId="15" state="visible" r:id="rId17"/>
    <sheet name="相对估值" sheetId="16" state="visible" r:id="rId18"/>
    <sheet name="敏感性分析" sheetId="17" state="visible" r:id="rId19"/>
    <sheet name="情景对比" sheetId="18" state="visible" r:id="rId20"/>
    <sheet name="SOFC敏感性" sheetId="19" state="visible" r:id="rId21"/>
    <sheet name="一致预期对比" sheetId="20" state="visible" r:id="rId22"/>
    <sheet name="季度数据" sheetId="21" state="visible" r:id="rId23"/>
    <sheet name="历史利润表" sheetId="22" state="visible" r:id="rId24"/>
    <sheet name="历史资产负债表" sheetId="23" state="visible" r:id="rId25"/>
    <sheet name="历史现金流量表" sheetId="24" state="visible" r:id="rId26"/>
    <sheet name="披露明细" sheetId="25" state="visible" r:id="rId27"/>
    <sheet name="调研要点" sheetId="26" state="visible" r:id="rId28"/>
    <sheet name="校验" sheetId="27" state="visible" r:id="rId29"/>
  </sheets>
  <calcPr iterateCount="100" refMode="A1" iterate="false" iterateDelta="0.0001"/>
  <extLst>
    <ext xmlns:loext="http://schemas.libreoffice.org/" uri="{7626C862-2A13-11E5-B345-FEFF819CDC9F}">
      <loext:extCalcPr stringRefSyntax="ExcelA1"/>
    </ext>
  </extLst>
</workbook>
</file>

<file path=xl/comments19.xml><?xml version="1.0" encoding="utf-8"?>
<comments xmlns="http://schemas.openxmlformats.org/spreadsheetml/2006/main" xmlns:xdr="http://schemas.openxmlformats.org/drawingml/2006/spreadsheetDrawing">
  <authors>
    <author>Unknown Author</author>
  </authors>
  <commentList>
    <comment ref="C7" authorId="0">
      <text>
        <r>
          <rPr>
            <sz val="10"/>
            <rFont val="Noto Sans CJK SC"/>
            <family val="2"/>
          </rPr>
          <t xml:space="preserve">以公司整体毛利转化为归母净利润的比例近似</t>
        </r>
        <r>
          <rPr>
            <sz val="10"/>
            <rFont val="Arial"/>
            <family val="2"/>
          </rPr>
          <t xml:space="preserve">SOFC</t>
        </r>
        <r>
          <rPr>
            <sz val="10"/>
            <rFont val="Noto Sans CJK SC"/>
            <family val="2"/>
          </rPr>
          <t xml:space="preserve">隔膜片的转化率（含其他收益、利息收入等）</t>
        </r>
      </text>
    </comment>
  </commentList>
</comments>
</file>

<file path=xl/sharedStrings.xml><?xml version="1.0" encoding="utf-8"?>
<sst xmlns="http://schemas.openxmlformats.org/spreadsheetml/2006/main" count="5820" uniqueCount="3016">
  <si>
    <r>
      <rPr>
        <b val="true"/>
        <sz val="14"/>
        <color rgb="FF1F3864"/>
        <rFont val="Noto Sans CJK SC"/>
        <family val="2"/>
      </rPr>
      <t xml:space="preserve">三环集团（</t>
    </r>
    <r>
      <rPr>
        <b val="true"/>
        <sz val="14"/>
        <color rgb="FF1F3864"/>
        <rFont val="Arial"/>
        <family val="0"/>
        <charset val="1"/>
      </rPr>
      <t xml:space="preserve">300408.SZ / 06951.HK</t>
    </r>
    <r>
      <rPr>
        <b val="true"/>
        <sz val="14"/>
        <color rgb="FF1F3864"/>
        <rFont val="Noto Sans CJK SC"/>
        <family val="2"/>
      </rPr>
      <t xml:space="preserve">）详细财务与估值模型</t>
    </r>
  </si>
  <si>
    <r>
      <rPr>
        <i val="true"/>
        <sz val="10"/>
        <color rgb="FF595959"/>
        <rFont val="Noto Sans CJK SC"/>
        <family val="2"/>
      </rPr>
      <t xml:space="preserve">编制日期：</t>
    </r>
    <r>
      <rPr>
        <i val="true"/>
        <sz val="10"/>
        <color rgb="FF595959"/>
        <rFont val="Arial"/>
        <family val="0"/>
        <charset val="1"/>
      </rPr>
      <t xml:space="preserve">2026-09-30</t>
    </r>
    <r>
      <rPr>
        <i val="true"/>
        <sz val="10"/>
        <color rgb="FF595959"/>
        <rFont val="Noto Sans CJK SC"/>
        <family val="2"/>
      </rPr>
      <t xml:space="preserve">｜单位：百万元人民币（另注明除外）｜数据截至</t>
    </r>
    <r>
      <rPr>
        <i val="true"/>
        <sz val="10"/>
        <color rgb="FF595959"/>
        <rFont val="Arial"/>
        <family val="0"/>
        <charset val="1"/>
      </rPr>
      <t xml:space="preserve">2026</t>
    </r>
    <r>
      <rPr>
        <i val="true"/>
        <sz val="10"/>
        <color rgb="FF595959"/>
        <rFont val="Noto Sans CJK SC"/>
        <family val="2"/>
      </rPr>
      <t xml:space="preserve">年半年报（</t>
    </r>
    <r>
      <rPr>
        <i val="true"/>
        <sz val="10"/>
        <color rgb="FF595959"/>
        <rFont val="Arial"/>
        <family val="0"/>
        <charset val="1"/>
      </rPr>
      <t xml:space="preserve">2026-08-28</t>
    </r>
    <r>
      <rPr>
        <i val="true"/>
        <sz val="10"/>
        <color rgb="FF595959"/>
        <rFont val="Noto Sans CJK SC"/>
        <family val="2"/>
      </rPr>
      <t xml:space="preserve">）</t>
    </r>
  </si>
  <si>
    <t xml:space="preserve">使用说明</t>
  </si>
  <si>
    <r>
      <rPr>
        <sz val="10"/>
        <color rgb="FF000000"/>
        <rFont val="Arial"/>
        <family val="0"/>
        <charset val="1"/>
      </rPr>
      <t xml:space="preserve">1. </t>
    </r>
    <r>
      <rPr>
        <sz val="10"/>
        <color rgb="FF000000"/>
        <rFont val="Noto Sans CJK SC"/>
        <family val="2"/>
      </rPr>
      <t xml:space="preserve">在“假设”</t>
    </r>
    <r>
      <rPr>
        <sz val="10"/>
        <color rgb="FF000000"/>
        <rFont val="Arial"/>
        <family val="0"/>
        <charset val="1"/>
      </rPr>
      <t xml:space="preserve">C5</t>
    </r>
    <r>
      <rPr>
        <sz val="10"/>
        <color rgb="FF000000"/>
        <rFont val="Noto Sans CJK SC"/>
        <family val="2"/>
      </rPr>
      <t xml:space="preserve">切换情景（</t>
    </r>
    <r>
      <rPr>
        <sz val="10"/>
        <color rgb="FF000000"/>
        <rFont val="Arial"/>
        <family val="0"/>
        <charset val="1"/>
      </rPr>
      <t xml:space="preserve">1=</t>
    </r>
    <r>
      <rPr>
        <sz val="10"/>
        <color rgb="FF000000"/>
        <rFont val="Noto Sans CJK SC"/>
        <family val="2"/>
      </rPr>
      <t xml:space="preserve">基准，</t>
    </r>
    <r>
      <rPr>
        <sz val="10"/>
        <color rgb="FF000000"/>
        <rFont val="Arial"/>
        <family val="0"/>
        <charset val="1"/>
      </rPr>
      <t xml:space="preserve">2=</t>
    </r>
    <r>
      <rPr>
        <sz val="10"/>
        <color rgb="FF000000"/>
        <rFont val="Noto Sans CJK SC"/>
        <family val="2"/>
      </rPr>
      <t xml:space="preserve">乐观，</t>
    </r>
    <r>
      <rPr>
        <sz val="10"/>
        <color rgb="FF000000"/>
        <rFont val="Arial"/>
        <family val="0"/>
        <charset val="1"/>
      </rPr>
      <t xml:space="preserve">3=</t>
    </r>
    <r>
      <rPr>
        <sz val="10"/>
        <color rgb="FF000000"/>
        <rFont val="Noto Sans CJK SC"/>
        <family val="2"/>
      </rPr>
      <t xml:space="preserve">悲观）；蓝字为录入值</t>
    </r>
    <r>
      <rPr>
        <sz val="10"/>
        <color rgb="FF000000"/>
        <rFont val="Arial"/>
        <family val="0"/>
        <charset val="1"/>
      </rPr>
      <t xml:space="preserve">/</t>
    </r>
    <r>
      <rPr>
        <sz val="10"/>
        <color rgb="FF000000"/>
        <rFont val="Noto Sans CJK SC"/>
        <family val="2"/>
      </rPr>
      <t xml:space="preserve">假设，黑字为本表公式，绿字为跨表链接，灰底为预测列，黄底为关键假设。</t>
    </r>
  </si>
  <si>
    <r>
      <rPr>
        <sz val="10"/>
        <color rgb="FF000000"/>
        <rFont val="Arial"/>
        <family val="0"/>
        <charset val="1"/>
      </rPr>
      <t xml:space="preserve">2. </t>
    </r>
    <r>
      <rPr>
        <sz val="10"/>
        <color rgb="FF000000"/>
        <rFont val="Noto Sans CJK SC"/>
        <family val="2"/>
      </rPr>
      <t xml:space="preserve">模型链路：假设 → 收入拆解（量价、</t>
    </r>
    <r>
      <rPr>
        <sz val="10"/>
        <color rgb="FF000000"/>
        <rFont val="Arial"/>
        <family val="0"/>
        <charset val="1"/>
      </rPr>
      <t xml:space="preserve">SOFC</t>
    </r>
    <r>
      <rPr>
        <sz val="10"/>
        <color rgb="FF000000"/>
        <rFont val="Noto Sans CJK SC"/>
        <family val="2"/>
      </rPr>
      <t xml:space="preserve">子模型）→ 成本拆解（分部毛利率、成本按性质）→ 人员与费用（人数</t>
    </r>
    <r>
      <rPr>
        <sz val="10"/>
        <color rgb="FF000000"/>
        <rFont val="Arial"/>
        <family val="0"/>
        <charset val="1"/>
      </rPr>
      <t xml:space="preserve">×</t>
    </r>
    <r>
      <rPr>
        <sz val="10"/>
        <color rgb="FF000000"/>
        <rFont val="Noto Sans CJK SC"/>
        <family val="2"/>
      </rPr>
      <t xml:space="preserve">人均薪酬）→ 资本开支与折旧（在建工程、四类固定资产）→ 营运资金（分项周转天数）→ 融资与资金（利息、权益变动）→ 税务与其他损益（所得税桥）→ 三表预测 → 回报分析 → </t>
    </r>
    <r>
      <rPr>
        <sz val="10"/>
        <color rgb="FF000000"/>
        <rFont val="Arial"/>
        <family val="0"/>
        <charset val="1"/>
      </rPr>
      <t xml:space="preserve">DCF/</t>
    </r>
    <r>
      <rPr>
        <sz val="10"/>
        <color rgb="FF000000"/>
        <rFont val="Noto Sans CJK SC"/>
        <family val="2"/>
      </rPr>
      <t xml:space="preserve">相对估值。</t>
    </r>
  </si>
  <si>
    <r>
      <rPr>
        <sz val="10"/>
        <color rgb="FF000000"/>
        <rFont val="Arial"/>
        <family val="0"/>
        <charset val="1"/>
      </rPr>
      <t xml:space="preserve">3. </t>
    </r>
    <r>
      <rPr>
        <sz val="10"/>
        <color rgb="FF000000"/>
        <rFont val="Noto Sans CJK SC"/>
        <family val="2"/>
      </rPr>
      <t xml:space="preserve">利息收入按期初余额计息、利息费用按平均借款余额，模型无循环引用；货币资金由现金流量表倒挤，资产负债表自动配平。营业成本以分部毛利率为主驱动，生产人工与生产折旧偏离基准标定值的部分直接计入营业成本；</t>
    </r>
    <r>
      <rPr>
        <sz val="10"/>
        <color rgb="FF000000"/>
        <rFont val="Arial"/>
        <family val="0"/>
        <charset val="1"/>
      </rPr>
      <t xml:space="preserve">DCF</t>
    </r>
    <r>
      <rPr>
        <sz val="10"/>
        <color rgb="FF000000"/>
        <rFont val="Noto Sans CJK SC"/>
        <family val="2"/>
      </rPr>
      <t xml:space="preserve">第二阶段与永续期按“再投资率</t>
    </r>
    <r>
      <rPr>
        <sz val="10"/>
        <color rgb="FF000000"/>
        <rFont val="Arial"/>
        <family val="0"/>
        <charset val="1"/>
      </rPr>
      <t xml:space="preserve">=</t>
    </r>
    <r>
      <rPr>
        <sz val="10"/>
        <color rgb="FF000000"/>
        <rFont val="Noto Sans CJK SC"/>
        <family val="2"/>
      </rPr>
      <t xml:space="preserve">增速</t>
    </r>
    <r>
      <rPr>
        <sz val="10"/>
        <color rgb="FF000000"/>
        <rFont val="Arial"/>
        <family val="0"/>
        <charset val="1"/>
      </rPr>
      <t xml:space="preserve">÷RONIC”</t>
    </r>
    <r>
      <rPr>
        <sz val="10"/>
        <color rgb="FF000000"/>
        <rFont val="Noto Sans CJK SC"/>
        <family val="2"/>
      </rPr>
      <t xml:space="preserve">计算</t>
    </r>
    <r>
      <rPr>
        <sz val="10"/>
        <color rgb="FF000000"/>
        <rFont val="Arial"/>
        <family val="0"/>
        <charset val="1"/>
      </rPr>
      <t xml:space="preserve">FCFF</t>
    </r>
    <r>
      <rPr>
        <sz val="10"/>
        <color rgb="FF000000"/>
        <rFont val="Noto Sans CJK SC"/>
        <family val="2"/>
      </rPr>
      <t xml:space="preserve">。</t>
    </r>
  </si>
  <si>
    <r>
      <rPr>
        <sz val="10"/>
        <color rgb="FF000000"/>
        <rFont val="Arial"/>
        <family val="0"/>
        <charset val="1"/>
      </rPr>
      <t xml:space="preserve">4. “</t>
    </r>
    <r>
      <rPr>
        <sz val="10"/>
        <color rgb="FF000000"/>
        <rFont val="Noto Sans CJK SC"/>
        <family val="2"/>
      </rPr>
      <t xml:space="preserve">假设”第四节为敏感性冲击单元（默认</t>
    </r>
    <r>
      <rPr>
        <sz val="10"/>
        <color rgb="FF000000"/>
        <rFont val="Arial"/>
        <family val="0"/>
        <charset val="1"/>
      </rPr>
      <t xml:space="preserve">0</t>
    </r>
    <r>
      <rPr>
        <sz val="10"/>
        <color rgb="FF000000"/>
        <rFont val="Noto Sans CJK SC"/>
        <family val="2"/>
      </rPr>
      <t xml:space="preserve">）；“敏感性分析”“情景对比”两表为重算引擎写入的静态结果，修改假设后需重跑才会更新；</t>
    </r>
    <r>
      <rPr>
        <sz val="10"/>
        <color rgb="FF000000"/>
        <rFont val="Arial"/>
        <family val="0"/>
        <charset val="1"/>
      </rPr>
      <t xml:space="preserve">DCF</t>
    </r>
    <r>
      <rPr>
        <sz val="10"/>
        <color rgb="FF000000"/>
        <rFont val="Noto Sans CJK SC"/>
        <family val="2"/>
      </rPr>
      <t xml:space="preserve">表内的</t>
    </r>
    <r>
      <rPr>
        <sz val="10"/>
        <color rgb="FF000000"/>
        <rFont val="Arial"/>
        <family val="0"/>
        <charset val="1"/>
      </rPr>
      <t xml:space="preserve">WACC×</t>
    </r>
    <r>
      <rPr>
        <sz val="10"/>
        <color rgb="FF000000"/>
        <rFont val="Noto Sans CJK SC"/>
        <family val="2"/>
      </rPr>
      <t xml:space="preserve">增长率表与反向</t>
    </r>
    <r>
      <rPr>
        <sz val="10"/>
        <color rgb="FF000000"/>
        <rFont val="Arial"/>
        <family val="0"/>
        <charset val="1"/>
      </rPr>
      <t xml:space="preserve">DCF</t>
    </r>
    <r>
      <rPr>
        <sz val="10"/>
        <color rgb="FF000000"/>
        <rFont val="Noto Sans CJK SC"/>
        <family val="2"/>
      </rPr>
      <t xml:space="preserve">为实时公式。</t>
    </r>
  </si>
  <si>
    <r>
      <rPr>
        <sz val="10"/>
        <color rgb="FF000000"/>
        <rFont val="Arial"/>
        <family val="0"/>
        <charset val="1"/>
      </rPr>
      <t xml:space="preserve">5. </t>
    </r>
    <r>
      <rPr>
        <sz val="10"/>
        <color rgb="FF000000"/>
        <rFont val="Noto Sans CJK SC"/>
        <family val="2"/>
      </rPr>
      <t xml:space="preserve">历史数据：三张报表来自</t>
    </r>
    <r>
      <rPr>
        <sz val="10"/>
        <color rgb="FF000000"/>
        <rFont val="Arial"/>
        <family val="0"/>
        <charset val="1"/>
      </rPr>
      <t xml:space="preserve">Wind</t>
    </r>
    <r>
      <rPr>
        <sz val="10"/>
        <color rgb="FF000000"/>
        <rFont val="Noto Sans CJK SC"/>
        <family val="2"/>
      </rPr>
      <t xml:space="preserve">（公司公告值）；附注明细（固定资产变动、成本构成、员工、存货、税率调节等）取自年报</t>
    </r>
    <r>
      <rPr>
        <sz val="10"/>
        <color rgb="FF000000"/>
        <rFont val="Arial"/>
        <family val="0"/>
        <charset val="1"/>
      </rPr>
      <t xml:space="preserve">/</t>
    </r>
    <r>
      <rPr>
        <sz val="10"/>
        <color rgb="FF000000"/>
        <rFont val="Noto Sans CJK SC"/>
        <family val="2"/>
      </rPr>
      <t xml:space="preserve">半年报原文，见“披露明细”。</t>
    </r>
  </si>
  <si>
    <r>
      <rPr>
        <sz val="10"/>
        <color rgb="FF000000"/>
        <rFont val="Arial"/>
        <family val="0"/>
        <charset val="1"/>
      </rPr>
      <t xml:space="preserve">6. “</t>
    </r>
    <r>
      <rPr>
        <sz val="10"/>
        <color rgb="FF000000"/>
        <rFont val="Noto Sans CJK SC"/>
        <family val="2"/>
      </rPr>
      <t xml:space="preserve">校验”表汇总应为</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A</t>
    </r>
    <r>
      <rPr>
        <sz val="10"/>
        <color rgb="FF000000"/>
        <rFont val="Noto Sans CJK SC"/>
        <family val="2"/>
      </rPr>
      <t xml:space="preserve">股股价、汇率、可比公司倍数请按最新行情更新。</t>
    </r>
  </si>
  <si>
    <t xml:space="preserve">核心输出（随情景自动更新）</t>
  </si>
  <si>
    <t xml:space="preserve">指标</t>
  </si>
  <si>
    <t xml:space="preserve">2025A</t>
  </si>
  <si>
    <t xml:space="preserve">2026E</t>
  </si>
  <si>
    <t xml:space="preserve">2027E</t>
  </si>
  <si>
    <t xml:space="preserve">2028E</t>
  </si>
  <si>
    <t xml:space="preserve">2029E</t>
  </si>
  <si>
    <t xml:space="preserve">2030E</t>
  </si>
  <si>
    <t xml:space="preserve">营业收入</t>
  </si>
  <si>
    <t xml:space="preserve">  同比</t>
  </si>
  <si>
    <t xml:space="preserve">  电子元件</t>
  </si>
  <si>
    <t xml:space="preserve">  通信器件</t>
  </si>
  <si>
    <t xml:space="preserve">  电子及陶瓷材料</t>
  </si>
  <si>
    <r>
      <rPr>
        <sz val="10"/>
        <color rgb="FF000000"/>
        <rFont val="Noto Sans CJK SC"/>
        <family val="2"/>
      </rPr>
      <t xml:space="preserve">    其中</t>
    </r>
    <r>
      <rPr>
        <sz val="10"/>
        <color rgb="FF000000"/>
        <rFont val="Arial"/>
        <family val="0"/>
        <charset val="1"/>
      </rPr>
      <t xml:space="preserve">SOFC</t>
    </r>
    <r>
      <rPr>
        <sz val="10"/>
        <color rgb="FF000000"/>
        <rFont val="Noto Sans CJK SC"/>
        <family val="2"/>
      </rPr>
      <t xml:space="preserve">隔膜片（</t>
    </r>
    <r>
      <rPr>
        <sz val="10"/>
        <color rgb="FF000000"/>
        <rFont val="Arial"/>
        <family val="0"/>
        <charset val="1"/>
      </rPr>
      <t xml:space="preserve">2025A</t>
    </r>
    <r>
      <rPr>
        <sz val="10"/>
        <color rgb="FF000000"/>
        <rFont val="Noto Sans CJK SC"/>
        <family val="2"/>
      </rPr>
      <t xml:space="preserve">为第一大客户销售额代理）</t>
    </r>
  </si>
  <si>
    <t xml:space="preserve">毛利率</t>
  </si>
  <si>
    <r>
      <rPr>
        <b val="true"/>
        <sz val="10"/>
        <color rgb="FF000000"/>
        <rFont val="Noto Sans CJK SC"/>
        <family val="2"/>
      </rPr>
      <t xml:space="preserve">期间费用率（销售</t>
    </r>
    <r>
      <rPr>
        <b val="true"/>
        <sz val="10"/>
        <color rgb="FF000000"/>
        <rFont val="Arial"/>
        <family val="0"/>
        <charset val="1"/>
      </rPr>
      <t xml:space="preserve">+</t>
    </r>
    <r>
      <rPr>
        <b val="true"/>
        <sz val="10"/>
        <color rgb="FF000000"/>
        <rFont val="Noto Sans CJK SC"/>
        <family val="2"/>
      </rPr>
      <t xml:space="preserve">管理</t>
    </r>
    <r>
      <rPr>
        <b val="true"/>
        <sz val="10"/>
        <color rgb="FF000000"/>
        <rFont val="Arial"/>
        <family val="0"/>
        <charset val="1"/>
      </rPr>
      <t xml:space="preserve">+</t>
    </r>
    <r>
      <rPr>
        <b val="true"/>
        <sz val="10"/>
        <color rgb="FF000000"/>
        <rFont val="Noto Sans CJK SC"/>
        <family val="2"/>
      </rPr>
      <t xml:space="preserve">研发）</t>
    </r>
  </si>
  <si>
    <t xml:space="preserve">归母净利润</t>
  </si>
  <si>
    <r>
      <rPr>
        <b val="true"/>
        <sz val="10"/>
        <color rgb="FF000000"/>
        <rFont val="Arial"/>
        <family val="0"/>
        <charset val="1"/>
      </rPr>
      <t xml:space="preserve">EPS</t>
    </r>
    <r>
      <rPr>
        <b val="true"/>
        <sz val="10"/>
        <color rgb="FF000000"/>
        <rFont val="Noto Sans CJK SC"/>
        <family val="2"/>
      </rPr>
      <t xml:space="preserve">（期末流通股本，元）</t>
    </r>
  </si>
  <si>
    <t xml:space="preserve">实际税率</t>
  </si>
  <si>
    <r>
      <rPr>
        <b val="true"/>
        <sz val="10"/>
        <color rgb="FF000000"/>
        <rFont val="Arial"/>
        <family val="0"/>
        <charset val="1"/>
      </rPr>
      <t xml:space="preserve">ROE</t>
    </r>
    <r>
      <rPr>
        <b val="true"/>
        <sz val="10"/>
        <color rgb="FF000000"/>
        <rFont val="Noto Sans CJK SC"/>
        <family val="2"/>
      </rPr>
      <t xml:space="preserve">（杜邦，平均）</t>
    </r>
  </si>
  <si>
    <t xml:space="preserve">ROIC</t>
  </si>
  <si>
    <r>
      <rPr>
        <b val="true"/>
        <sz val="10"/>
        <color rgb="FF000000"/>
        <rFont val="Noto Sans CJK SC"/>
        <family val="2"/>
      </rPr>
      <t xml:space="preserve">资本开支（历史</t>
    </r>
    <r>
      <rPr>
        <b val="true"/>
        <sz val="10"/>
        <color rgb="FF000000"/>
        <rFont val="Arial"/>
        <family val="0"/>
        <charset val="1"/>
      </rPr>
      <t xml:space="preserve">=</t>
    </r>
    <r>
      <rPr>
        <b val="true"/>
        <sz val="10"/>
        <color rgb="FF000000"/>
        <rFont val="Noto Sans CJK SC"/>
        <family val="2"/>
      </rPr>
      <t xml:space="preserve">现金口径；预测</t>
    </r>
    <r>
      <rPr>
        <b val="true"/>
        <sz val="10"/>
        <color rgb="FF000000"/>
        <rFont val="Arial"/>
        <family val="0"/>
        <charset val="1"/>
      </rPr>
      <t xml:space="preserve">=</t>
    </r>
    <r>
      <rPr>
        <b val="true"/>
        <sz val="10"/>
        <color rgb="FF000000"/>
        <rFont val="Noto Sans CJK SC"/>
        <family val="2"/>
      </rPr>
      <t xml:space="preserve">新增投入）</t>
    </r>
  </si>
  <si>
    <t xml:space="preserve">折旧摊销</t>
  </si>
  <si>
    <r>
      <rPr>
        <b val="true"/>
        <sz val="10"/>
        <color rgb="FF000000"/>
        <rFont val="Noto Sans CJK SC"/>
        <family val="2"/>
      </rPr>
      <t xml:space="preserve">营运资本</t>
    </r>
    <r>
      <rPr>
        <b val="true"/>
        <sz val="10"/>
        <color rgb="FF000000"/>
        <rFont val="Arial"/>
        <family val="0"/>
        <charset val="1"/>
      </rPr>
      <t xml:space="preserve">/</t>
    </r>
    <r>
      <rPr>
        <b val="true"/>
        <sz val="10"/>
        <color rgb="FF000000"/>
        <rFont val="Noto Sans CJK SC"/>
        <family val="2"/>
      </rPr>
      <t xml:space="preserve">收入</t>
    </r>
  </si>
  <si>
    <r>
      <rPr>
        <b val="true"/>
        <sz val="10"/>
        <color rgb="FF000000"/>
        <rFont val="Noto Sans CJK SC"/>
        <family val="2"/>
      </rPr>
      <t xml:space="preserve">自由现金流（经营现金流</t>
    </r>
    <r>
      <rPr>
        <b val="true"/>
        <sz val="10"/>
        <color rgb="FF000000"/>
        <rFont val="Arial"/>
        <family val="0"/>
        <charset val="1"/>
      </rPr>
      <t xml:space="preserve">-</t>
    </r>
    <r>
      <rPr>
        <b val="true"/>
        <sz val="10"/>
        <color rgb="FF000000"/>
        <rFont val="Noto Sans CJK SC"/>
        <family val="2"/>
      </rPr>
      <t xml:space="preserve">资本开支）</t>
    </r>
  </si>
  <si>
    <t xml:space="preserve">净现金（含一年以上定期存款）</t>
  </si>
  <si>
    <t xml:space="preserve">员工人数（期末）</t>
  </si>
  <si>
    <r>
      <rPr>
        <b val="true"/>
        <sz val="10"/>
        <color rgb="FF000000"/>
        <rFont val="Arial"/>
        <family val="0"/>
        <charset val="1"/>
      </rPr>
      <t xml:space="preserve">PE</t>
    </r>
    <r>
      <rPr>
        <b val="true"/>
        <sz val="10"/>
        <color rgb="FF000000"/>
        <rFont val="Noto Sans CJK SC"/>
        <family val="2"/>
      </rPr>
      <t xml:space="preserve">（当前股价，流通股口径）</t>
    </r>
  </si>
  <si>
    <t xml:space="preserve">估值摘要</t>
  </si>
  <si>
    <r>
      <rPr>
        <sz val="10"/>
        <color rgb="FF000000"/>
        <rFont val="Noto Sans CJK SC"/>
        <family val="2"/>
      </rPr>
      <t xml:space="preserve">当前情景（</t>
    </r>
    <r>
      <rPr>
        <sz val="10"/>
        <color rgb="FF000000"/>
        <rFont val="Arial"/>
        <family val="0"/>
        <charset val="1"/>
      </rPr>
      <t xml:space="preserve">1</t>
    </r>
    <r>
      <rPr>
        <sz val="10"/>
        <color rgb="FF000000"/>
        <rFont val="Noto Sans CJK SC"/>
        <family val="2"/>
      </rPr>
      <t xml:space="preserve">基准</t>
    </r>
    <r>
      <rPr>
        <sz val="10"/>
        <color rgb="FF000000"/>
        <rFont val="Arial"/>
        <family val="0"/>
        <charset val="1"/>
      </rPr>
      <t xml:space="preserve">/2</t>
    </r>
    <r>
      <rPr>
        <sz val="10"/>
        <color rgb="FF000000"/>
        <rFont val="Noto Sans CJK SC"/>
        <family val="2"/>
      </rPr>
      <t xml:space="preserve">乐观</t>
    </r>
    <r>
      <rPr>
        <sz val="10"/>
        <color rgb="FF000000"/>
        <rFont val="Arial"/>
        <family val="0"/>
        <charset val="1"/>
      </rPr>
      <t xml:space="preserve">/3</t>
    </r>
    <r>
      <rPr>
        <sz val="10"/>
        <color rgb="FF000000"/>
        <rFont val="Noto Sans CJK SC"/>
        <family val="2"/>
      </rPr>
      <t xml:space="preserve">悲观）</t>
    </r>
  </si>
  <si>
    <r>
      <rPr>
        <sz val="10"/>
        <color rgb="FF000000"/>
        <rFont val="Arial"/>
        <family val="0"/>
        <charset val="1"/>
      </rPr>
      <t xml:space="preserve">A</t>
    </r>
    <r>
      <rPr>
        <sz val="10"/>
        <color rgb="FF000000"/>
        <rFont val="Noto Sans CJK SC"/>
        <family val="2"/>
      </rPr>
      <t xml:space="preserve">股股价（元）</t>
    </r>
  </si>
  <si>
    <t xml:space="preserve">WACC</t>
  </si>
  <si>
    <t xml:space="preserve">永续增长率</t>
  </si>
  <si>
    <r>
      <rPr>
        <sz val="10"/>
        <color rgb="FF000000"/>
        <rFont val="Arial"/>
        <family val="0"/>
        <charset val="1"/>
      </rPr>
      <t xml:space="preserve">DCF</t>
    </r>
    <r>
      <rPr>
        <sz val="10"/>
        <color rgb="FF000000"/>
        <rFont val="Noto Sans CJK SC"/>
        <family val="2"/>
      </rPr>
      <t xml:space="preserve">每股价值（元，</t>
    </r>
    <r>
      <rPr>
        <sz val="10"/>
        <color rgb="FF000000"/>
        <rFont val="Arial"/>
        <family val="0"/>
        <charset val="1"/>
      </rPr>
      <t xml:space="preserve">2026-12-31</t>
    </r>
    <r>
      <rPr>
        <sz val="10"/>
        <color rgb="FF000000"/>
        <rFont val="Noto Sans CJK SC"/>
        <family val="2"/>
      </rPr>
      <t xml:space="preserve">）</t>
    </r>
  </si>
  <si>
    <r>
      <rPr>
        <sz val="10"/>
        <color rgb="FF000000"/>
        <rFont val="Arial"/>
        <family val="0"/>
        <charset val="1"/>
      </rPr>
      <t xml:space="preserve">DCF</t>
    </r>
    <r>
      <rPr>
        <sz val="10"/>
        <color rgb="FF000000"/>
        <rFont val="Noto Sans CJK SC"/>
        <family val="2"/>
      </rPr>
      <t xml:space="preserve">每股价值折回当前（元）</t>
    </r>
  </si>
  <si>
    <t xml:space="preserve">相对当前股价空间</t>
  </si>
  <si>
    <r>
      <rPr>
        <sz val="10"/>
        <color rgb="FF000000"/>
        <rFont val="Arial"/>
        <family val="0"/>
        <charset val="1"/>
      </rPr>
      <t xml:space="preserve">DCF</t>
    </r>
    <r>
      <rPr>
        <sz val="10"/>
        <color rgb="FF000000"/>
        <rFont val="Noto Sans CJK SC"/>
        <family val="2"/>
      </rPr>
      <t xml:space="preserve">隐含</t>
    </r>
    <r>
      <rPr>
        <sz val="10"/>
        <color rgb="FF000000"/>
        <rFont val="Arial"/>
        <family val="0"/>
        <charset val="1"/>
      </rPr>
      <t xml:space="preserve">2027E PE</t>
    </r>
  </si>
  <si>
    <r>
      <rPr>
        <sz val="10"/>
        <color rgb="FF000000"/>
        <rFont val="Noto Sans CJK SC"/>
        <family val="2"/>
      </rPr>
      <t xml:space="preserve">反向</t>
    </r>
    <r>
      <rPr>
        <sz val="10"/>
        <color rgb="FF000000"/>
        <rFont val="Arial"/>
        <family val="0"/>
        <charset val="1"/>
      </rPr>
      <t xml:space="preserve">DCF</t>
    </r>
    <r>
      <rPr>
        <sz val="10"/>
        <color rgb="FF000000"/>
        <rFont val="Noto Sans CJK SC"/>
        <family val="2"/>
      </rPr>
      <t xml:space="preserve">：当前股价隐含永续增长率</t>
    </r>
  </si>
  <si>
    <r>
      <rPr>
        <sz val="10"/>
        <color rgb="FF000000"/>
        <rFont val="Noto Sans CJK SC"/>
        <family val="2"/>
      </rPr>
      <t xml:space="preserve">当前股价对应</t>
    </r>
    <r>
      <rPr>
        <sz val="10"/>
        <color rgb="FF000000"/>
        <rFont val="Arial"/>
        <family val="0"/>
        <charset val="1"/>
      </rPr>
      <t xml:space="preserve">2027E PE</t>
    </r>
  </si>
  <si>
    <r>
      <rPr>
        <sz val="10"/>
        <color rgb="FF000000"/>
        <rFont val="Arial"/>
        <family val="0"/>
        <charset val="1"/>
      </rPr>
      <t xml:space="preserve">PE</t>
    </r>
    <r>
      <rPr>
        <sz val="10"/>
        <color rgb="FF000000"/>
        <rFont val="Noto Sans CJK SC"/>
        <family val="2"/>
      </rPr>
      <t xml:space="preserve">区间估值（</t>
    </r>
    <r>
      <rPr>
        <sz val="10"/>
        <color rgb="FF000000"/>
        <rFont val="Arial"/>
        <family val="0"/>
        <charset val="1"/>
      </rPr>
      <t xml:space="preserve">2027E EPS × PE</t>
    </r>
    <r>
      <rPr>
        <sz val="10"/>
        <color rgb="FF000000"/>
        <rFont val="Noto Sans CJK SC"/>
        <family val="2"/>
      </rPr>
      <t xml:space="preserve">下限</t>
    </r>
    <r>
      <rPr>
        <sz val="10"/>
        <color rgb="FF000000"/>
        <rFont val="Arial"/>
        <family val="0"/>
        <charset val="1"/>
      </rPr>
      <t xml:space="preserve">/</t>
    </r>
    <r>
      <rPr>
        <sz val="10"/>
        <color rgb="FF000000"/>
        <rFont val="Noto Sans CJK SC"/>
        <family val="2"/>
      </rPr>
      <t xml:space="preserve">上限，元）</t>
    </r>
  </si>
  <si>
    <r>
      <rPr>
        <sz val="10"/>
        <color rgb="FF000000"/>
        <rFont val="Noto Sans CJK SC"/>
        <family val="2"/>
      </rPr>
      <t xml:space="preserve">模型校验汇总（应为</t>
    </r>
    <r>
      <rPr>
        <sz val="10"/>
        <color rgb="FF000000"/>
        <rFont val="Arial"/>
        <family val="0"/>
        <charset val="1"/>
      </rPr>
      <t xml:space="preserve">0</t>
    </r>
    <r>
      <rPr>
        <sz val="10"/>
        <color rgb="FF000000"/>
        <rFont val="Noto Sans CJK SC"/>
        <family val="2"/>
      </rPr>
      <t xml:space="preserve">）</t>
    </r>
  </si>
  <si>
    <t xml:space="preserve">工作表地图</t>
  </si>
  <si>
    <t xml:space="preserve">假设</t>
  </si>
  <si>
    <t xml:space="preserve">情景三组值、敏感性冲击、逐年驱动（带历史参照）</t>
  </si>
  <si>
    <t xml:space="preserve">收入拆解</t>
  </si>
  <si>
    <r>
      <rPr>
        <sz val="10"/>
        <color rgb="FF000000"/>
        <rFont val="Noto Sans CJK SC"/>
        <family val="2"/>
      </rPr>
      <t xml:space="preserve">公司量价、电子元件与通信器件量价拆分、</t>
    </r>
    <r>
      <rPr>
        <sz val="10"/>
        <color rgb="FF000000"/>
        <rFont val="Arial"/>
        <family val="0"/>
        <charset val="1"/>
      </rPr>
      <t xml:space="preserve">SOFC</t>
    </r>
    <r>
      <rPr>
        <sz val="10"/>
        <color rgb="FF000000"/>
        <rFont val="Noto Sans CJK SC"/>
        <family val="2"/>
      </rPr>
      <t xml:space="preserve">隔膜片子模型、收入增量与地区</t>
    </r>
  </si>
  <si>
    <t xml:space="preserve">成本拆解</t>
  </si>
  <si>
    <r>
      <rPr>
        <sz val="10"/>
        <color rgb="FF000000"/>
        <rFont val="Noto Sans CJK SC"/>
        <family val="2"/>
      </rPr>
      <t xml:space="preserve">分部毛利率与营业成本；营业成本按原材料</t>
    </r>
    <r>
      <rPr>
        <sz val="10"/>
        <color rgb="FF000000"/>
        <rFont val="Arial"/>
        <family val="0"/>
        <charset val="1"/>
      </rPr>
      <t xml:space="preserve">/</t>
    </r>
    <r>
      <rPr>
        <sz val="10"/>
        <color rgb="FF000000"/>
        <rFont val="Noto Sans CJK SC"/>
        <family val="2"/>
      </rPr>
      <t xml:space="preserve">人工</t>
    </r>
    <r>
      <rPr>
        <sz val="10"/>
        <color rgb="FF000000"/>
        <rFont val="Arial"/>
        <family val="0"/>
        <charset val="1"/>
      </rPr>
      <t xml:space="preserve">/</t>
    </r>
    <r>
      <rPr>
        <sz val="10"/>
        <color rgb="FF000000"/>
        <rFont val="Noto Sans CJK SC"/>
        <family val="2"/>
      </rPr>
      <t xml:space="preserve">折旧</t>
    </r>
    <r>
      <rPr>
        <sz val="10"/>
        <color rgb="FF000000"/>
        <rFont val="Arial"/>
        <family val="0"/>
        <charset val="1"/>
      </rPr>
      <t xml:space="preserve">/</t>
    </r>
    <r>
      <rPr>
        <sz val="10"/>
        <color rgb="FF000000"/>
        <rFont val="Noto Sans CJK SC"/>
        <family val="2"/>
      </rPr>
      <t xml:space="preserve">其他制造费用拆分</t>
    </r>
  </si>
  <si>
    <t xml:space="preserve">人员与费用</t>
  </si>
  <si>
    <r>
      <rPr>
        <sz val="10"/>
        <color rgb="FF000000"/>
        <rFont val="Noto Sans CJK SC"/>
        <family val="2"/>
      </rPr>
      <t xml:space="preserve">五类员工人数、人均薪酬、职工薪酬按功能归集；销售</t>
    </r>
    <r>
      <rPr>
        <sz val="10"/>
        <color rgb="FF000000"/>
        <rFont val="Arial"/>
        <family val="0"/>
        <charset val="1"/>
      </rPr>
      <t xml:space="preserve">/</t>
    </r>
    <r>
      <rPr>
        <sz val="10"/>
        <color rgb="FF000000"/>
        <rFont val="Noto Sans CJK SC"/>
        <family val="2"/>
      </rPr>
      <t xml:space="preserve">管理</t>
    </r>
    <r>
      <rPr>
        <sz val="10"/>
        <color rgb="FF000000"/>
        <rFont val="Arial"/>
        <family val="0"/>
        <charset val="1"/>
      </rPr>
      <t xml:space="preserve">/</t>
    </r>
    <r>
      <rPr>
        <sz val="10"/>
        <color rgb="FF000000"/>
        <rFont val="Noto Sans CJK SC"/>
        <family val="2"/>
      </rPr>
      <t xml:space="preserve">研发费用按性质</t>
    </r>
  </si>
  <si>
    <t xml:space="preserve">资本开支与折旧</t>
  </si>
  <si>
    <r>
      <rPr>
        <sz val="10"/>
        <color rgb="FF000000"/>
        <rFont val="Noto Sans CJK SC"/>
        <family val="2"/>
      </rPr>
      <t xml:space="preserve">维护与扩产资本开支、</t>
    </r>
    <r>
      <rPr>
        <sz val="10"/>
        <color rgb="FF000000"/>
        <rFont val="Arial"/>
        <family val="0"/>
        <charset val="1"/>
      </rPr>
      <t xml:space="preserve">H</t>
    </r>
    <r>
      <rPr>
        <sz val="10"/>
        <color rgb="FF000000"/>
        <rFont val="Noto Sans CJK SC"/>
        <family val="2"/>
      </rPr>
      <t xml:space="preserve">股境外项目、在建工程滚动、四类固定资产原值</t>
    </r>
    <r>
      <rPr>
        <sz val="10"/>
        <color rgb="FF000000"/>
        <rFont val="Arial"/>
        <family val="0"/>
        <charset val="1"/>
      </rPr>
      <t xml:space="preserve">/</t>
    </r>
    <r>
      <rPr>
        <sz val="10"/>
        <color rgb="FF000000"/>
        <rFont val="Noto Sans CJK SC"/>
        <family val="2"/>
      </rPr>
      <t xml:space="preserve">折旧</t>
    </r>
    <r>
      <rPr>
        <sz val="10"/>
        <color rgb="FF000000"/>
        <rFont val="Arial"/>
        <family val="0"/>
        <charset val="1"/>
      </rPr>
      <t xml:space="preserve">/</t>
    </r>
    <r>
      <rPr>
        <sz val="10"/>
        <color rgb="FF000000"/>
        <rFont val="Noto Sans CJK SC"/>
        <family val="2"/>
      </rPr>
      <t xml:space="preserve">净值、无形资产、折旧分摊</t>
    </r>
  </si>
  <si>
    <t xml:space="preserve">营运资金</t>
  </si>
  <si>
    <r>
      <rPr>
        <sz val="10"/>
        <color rgb="FF000000"/>
        <rFont val="Noto Sans CJK SC"/>
        <family val="2"/>
      </rPr>
      <t xml:space="preserve">应收票据</t>
    </r>
    <r>
      <rPr>
        <sz val="10"/>
        <color rgb="FF000000"/>
        <rFont val="Arial"/>
        <family val="0"/>
        <charset val="1"/>
      </rPr>
      <t xml:space="preserve">/</t>
    </r>
    <r>
      <rPr>
        <sz val="10"/>
        <color rgb="FF000000"/>
        <rFont val="Noto Sans CJK SC"/>
        <family val="2"/>
      </rPr>
      <t xml:space="preserve">账款</t>
    </r>
    <r>
      <rPr>
        <sz val="10"/>
        <color rgb="FF000000"/>
        <rFont val="Arial"/>
        <family val="0"/>
        <charset val="1"/>
      </rPr>
      <t xml:space="preserve">/</t>
    </r>
    <r>
      <rPr>
        <sz val="10"/>
        <color rgb="FF000000"/>
        <rFont val="Noto Sans CJK SC"/>
        <family val="2"/>
      </rPr>
      <t xml:space="preserve">融资、存货三分类与跌价准备、应付票据</t>
    </r>
    <r>
      <rPr>
        <sz val="10"/>
        <color rgb="FF000000"/>
        <rFont val="Arial"/>
        <family val="0"/>
        <charset val="1"/>
      </rPr>
      <t xml:space="preserve">/</t>
    </r>
    <r>
      <rPr>
        <sz val="10"/>
        <color rgb="FF000000"/>
        <rFont val="Noto Sans CJK SC"/>
        <family val="2"/>
      </rPr>
      <t xml:space="preserve">账款及其他经营负债、周转天数与现金转换周期</t>
    </r>
  </si>
  <si>
    <t xml:space="preserve">融资与资金</t>
  </si>
  <si>
    <t xml:space="preserve">受限资金、理财、定期存款、利息收入与理财收益、借款与利息、所有者权益变动、分红回购、净现金</t>
  </si>
  <si>
    <t xml:space="preserve">税务与其他损益</t>
  </si>
  <si>
    <t xml:space="preserve">税金及附加、其他收益三分项、减值、所得税桥（法定税率→税率差异→加计扣除→其他）</t>
  </si>
  <si>
    <t xml:space="preserve">股本与每股</t>
  </si>
  <si>
    <r>
      <rPr>
        <sz val="10"/>
        <color rgb="FF000000"/>
        <rFont val="Arial"/>
        <family val="0"/>
        <charset val="1"/>
      </rPr>
      <t xml:space="preserve">H</t>
    </r>
    <r>
      <rPr>
        <sz val="10"/>
        <color rgb="FF000000"/>
        <rFont val="Noto Sans CJK SC"/>
        <family val="2"/>
      </rPr>
      <t xml:space="preserve">股发行、回购、库存股、加权股本、分红</t>
    </r>
  </si>
  <si>
    <t xml:space="preserve">三表预测</t>
  </si>
  <si>
    <t xml:space="preserve">利润表、资产负债表、现金流量表（间接法）联动</t>
  </si>
  <si>
    <t xml:space="preserve">回报分析</t>
  </si>
  <si>
    <r>
      <rPr>
        <sz val="10"/>
        <color rgb="FF000000"/>
        <rFont val="Noto Sans CJK SC"/>
        <family val="2"/>
      </rPr>
      <t xml:space="preserve">杜邦</t>
    </r>
    <r>
      <rPr>
        <sz val="10"/>
        <color rgb="FF000000"/>
        <rFont val="Arial"/>
        <family val="0"/>
        <charset val="1"/>
      </rPr>
      <t xml:space="preserve">ROE</t>
    </r>
    <r>
      <rPr>
        <sz val="10"/>
        <color rgb="FF000000"/>
        <rFont val="Noto Sans CJK SC"/>
        <family val="2"/>
      </rPr>
      <t xml:space="preserve">、</t>
    </r>
    <r>
      <rPr>
        <sz val="10"/>
        <color rgb="FF000000"/>
        <rFont val="Arial"/>
        <family val="0"/>
        <charset val="1"/>
      </rPr>
      <t xml:space="preserve">NOPAT</t>
    </r>
    <r>
      <rPr>
        <sz val="10"/>
        <color rgb="FF000000"/>
        <rFont val="Noto Sans CJK SC"/>
        <family val="2"/>
      </rPr>
      <t xml:space="preserve">、</t>
    </r>
    <r>
      <rPr>
        <sz val="10"/>
        <color rgb="FF000000"/>
        <rFont val="Arial"/>
        <family val="0"/>
        <charset val="1"/>
      </rPr>
      <t xml:space="preserve">ROIC</t>
    </r>
    <r>
      <rPr>
        <sz val="10"/>
        <color rgb="FF000000"/>
        <rFont val="Noto Sans CJK SC"/>
        <family val="2"/>
      </rPr>
      <t xml:space="preserve">与增量</t>
    </r>
    <r>
      <rPr>
        <sz val="10"/>
        <color rgb="FF000000"/>
        <rFont val="Arial"/>
        <family val="0"/>
        <charset val="1"/>
      </rPr>
      <t xml:space="preserve">ROIC</t>
    </r>
    <r>
      <rPr>
        <sz val="10"/>
        <color rgb="FF000000"/>
        <rFont val="Noto Sans CJK SC"/>
        <family val="2"/>
      </rPr>
      <t xml:space="preserve">、现金转换、估值倍数</t>
    </r>
  </si>
  <si>
    <r>
      <rPr>
        <b val="true"/>
        <sz val="10"/>
        <color rgb="FF000000"/>
        <rFont val="Arial"/>
        <family val="0"/>
        <charset val="1"/>
      </rPr>
      <t xml:space="preserve">DCF</t>
    </r>
    <r>
      <rPr>
        <b val="true"/>
        <sz val="10"/>
        <color rgb="FF000000"/>
        <rFont val="Noto Sans CJK SC"/>
        <family val="2"/>
      </rPr>
      <t xml:space="preserve">估值</t>
    </r>
  </si>
  <si>
    <r>
      <rPr>
        <sz val="10"/>
        <color rgb="FF000000"/>
        <rFont val="Noto Sans CJK SC"/>
        <family val="2"/>
      </rPr>
      <t xml:space="preserve">三阶段</t>
    </r>
    <r>
      <rPr>
        <sz val="10"/>
        <color rgb="FF000000"/>
        <rFont val="Arial"/>
        <family val="0"/>
        <charset val="1"/>
      </rPr>
      <t xml:space="preserve">FCFF</t>
    </r>
    <r>
      <rPr>
        <sz val="10"/>
        <color rgb="FF000000"/>
        <rFont val="Noto Sans CJK SC"/>
        <family val="2"/>
      </rPr>
      <t xml:space="preserve">、反向</t>
    </r>
    <r>
      <rPr>
        <sz val="10"/>
        <color rgb="FF000000"/>
        <rFont val="Arial"/>
        <family val="0"/>
        <charset val="1"/>
      </rPr>
      <t xml:space="preserve">DCF</t>
    </r>
    <r>
      <rPr>
        <sz val="10"/>
        <color rgb="FF000000"/>
        <rFont val="Noto Sans CJK SC"/>
        <family val="2"/>
      </rPr>
      <t xml:space="preserve">、两组实时敏感性表</t>
    </r>
  </si>
  <si>
    <t xml:space="preserve">敏感性分析</t>
  </si>
  <si>
    <r>
      <rPr>
        <sz val="10"/>
        <color rgb="FF000000"/>
        <rFont val="Noto Sans CJK SC"/>
        <family val="2"/>
      </rPr>
      <t xml:space="preserve">龙卷风（</t>
    </r>
    <r>
      <rPr>
        <sz val="10"/>
        <color rgb="FF000000"/>
        <rFont val="Arial"/>
        <family val="0"/>
        <charset val="1"/>
      </rPr>
      <t xml:space="preserve">2027E</t>
    </r>
    <r>
      <rPr>
        <sz val="10"/>
        <color rgb="FF000000"/>
        <rFont val="Noto Sans CJK SC"/>
        <family val="2"/>
      </rPr>
      <t xml:space="preserve">归母净利润与</t>
    </r>
    <r>
      <rPr>
        <sz val="10"/>
        <color rgb="FF000000"/>
        <rFont val="Arial"/>
        <family val="0"/>
        <charset val="1"/>
      </rPr>
      <t xml:space="preserve">DCF</t>
    </r>
    <r>
      <rPr>
        <sz val="10"/>
        <color rgb="FF000000"/>
        <rFont val="Noto Sans CJK SC"/>
        <family val="2"/>
      </rPr>
      <t xml:space="preserve">每股价值）、二维敏感性、隐含</t>
    </r>
    <r>
      <rPr>
        <sz val="10"/>
        <color rgb="FF000000"/>
        <rFont val="Arial"/>
        <family val="0"/>
        <charset val="1"/>
      </rPr>
      <t xml:space="preserve">WACC</t>
    </r>
    <r>
      <rPr>
        <sz val="10"/>
        <color rgb="FF000000"/>
        <rFont val="Noto Sans CJK SC"/>
        <family val="2"/>
      </rPr>
      <t xml:space="preserve">与第二阶段增速求解</t>
    </r>
  </si>
  <si>
    <t xml:space="preserve">情景对比</t>
  </si>
  <si>
    <t xml:space="preserve">三情景关键输出</t>
  </si>
  <si>
    <t xml:space="preserve">披露明细</t>
  </si>
  <si>
    <r>
      <rPr>
        <sz val="10"/>
        <color rgb="FF000000"/>
        <rFont val="Noto Sans CJK SC"/>
        <family val="2"/>
      </rPr>
      <t xml:space="preserve">年报</t>
    </r>
    <r>
      <rPr>
        <sz val="10"/>
        <color rgb="FF000000"/>
        <rFont val="Arial"/>
        <family val="0"/>
        <charset val="1"/>
      </rPr>
      <t xml:space="preserve">/</t>
    </r>
    <r>
      <rPr>
        <sz val="10"/>
        <color rgb="FF000000"/>
        <rFont val="Noto Sans CJK SC"/>
        <family val="2"/>
      </rPr>
      <t xml:space="preserve">半年报附注原表（固定资产、在建工程、员工、成本构成、存货、税率调节等）</t>
    </r>
  </si>
  <si>
    <t xml:space="preserve">免责声明：本模型基于公开信息与产业链调研整理，假设具有主观性，不构成任何投资建议。</t>
  </si>
  <si>
    <r>
      <rPr>
        <b val="true"/>
        <sz val="14"/>
        <color rgb="FF1F3864"/>
        <rFont val="Noto Sans CJK SC"/>
        <family val="2"/>
      </rPr>
      <t xml:space="preserve">三环集团（</t>
    </r>
    <r>
      <rPr>
        <b val="true"/>
        <sz val="14"/>
        <color rgb="FF1F3864"/>
        <rFont val="Arial"/>
        <family val="0"/>
        <charset val="1"/>
      </rPr>
      <t xml:space="preserve">300408.SZ / 06951.HK</t>
    </r>
    <r>
      <rPr>
        <b val="true"/>
        <sz val="14"/>
        <color rgb="FF1F3864"/>
        <rFont val="Noto Sans CJK SC"/>
        <family val="2"/>
      </rPr>
      <t xml:space="preserve">）财务模型汇总</t>
    </r>
  </si>
  <si>
    <r>
      <rPr>
        <i val="true"/>
        <sz val="10"/>
        <color rgb="FF595959"/>
        <rFont val="Noto Sans CJK SC"/>
        <family val="2"/>
      </rPr>
      <t xml:space="preserve">单位：百万元人民币（另注明除外）｜年度：</t>
    </r>
    <r>
      <rPr>
        <i val="true"/>
        <sz val="10"/>
        <color rgb="FF595959"/>
        <rFont val="Arial"/>
        <family val="0"/>
        <charset val="1"/>
      </rPr>
      <t xml:space="preserve">2023A-2025A</t>
    </r>
    <r>
      <rPr>
        <i val="true"/>
        <sz val="10"/>
        <color rgb="FF595959"/>
        <rFont val="Noto Sans CJK SC"/>
        <family val="2"/>
      </rPr>
      <t xml:space="preserve">为报告值，</t>
    </r>
    <r>
      <rPr>
        <i val="true"/>
        <sz val="10"/>
        <color rgb="FF595959"/>
        <rFont val="Arial"/>
        <family val="0"/>
        <charset val="1"/>
      </rPr>
      <t xml:space="preserve">2026E-2030E</t>
    </r>
    <r>
      <rPr>
        <i val="true"/>
        <sz val="10"/>
        <color rgb="FF595959"/>
        <rFont val="Noto Sans CJK SC"/>
        <family val="2"/>
      </rPr>
      <t xml:space="preserve">为基准情景（随“假设”</t>
    </r>
    <r>
      <rPr>
        <i val="true"/>
        <sz val="10"/>
        <color rgb="FF595959"/>
        <rFont val="Arial"/>
        <family val="0"/>
        <charset val="1"/>
      </rPr>
      <t xml:space="preserve">C5</t>
    </r>
    <r>
      <rPr>
        <i val="true"/>
        <sz val="10"/>
        <color rgb="FF595959"/>
        <rFont val="Noto Sans CJK SC"/>
        <family val="2"/>
      </rPr>
      <t xml:space="preserve">切换）｜季度：单季报告值｜全部为链接公式</t>
    </r>
  </si>
  <si>
    <r>
      <rPr>
        <b val="true"/>
        <sz val="10"/>
        <color rgb="FF1F3864"/>
        <rFont val="Noto Sans CJK SC"/>
        <family val="2"/>
      </rPr>
      <t xml:space="preserve">年度 </t>
    </r>
    <r>
      <rPr>
        <b val="true"/>
        <sz val="10"/>
        <color rgb="FF1F3864"/>
        <rFont val="Arial"/>
        <family val="0"/>
        <charset val="1"/>
      </rPr>
      <t xml:space="preserve">/ Annual</t>
    </r>
  </si>
  <si>
    <r>
      <rPr>
        <b val="true"/>
        <sz val="10"/>
        <color rgb="FF1F3864"/>
        <rFont val="Noto Sans CJK SC"/>
        <family val="2"/>
      </rPr>
      <t xml:space="preserve">季度（单季）</t>
    </r>
    <r>
      <rPr>
        <b val="true"/>
        <sz val="10"/>
        <color rgb="FF1F3864"/>
        <rFont val="Arial"/>
        <family val="0"/>
        <charset val="1"/>
      </rPr>
      <t xml:space="preserve">/ Quarterly</t>
    </r>
  </si>
  <si>
    <t xml:space="preserve">项目</t>
  </si>
  <si>
    <t xml:space="preserve">2023A</t>
  </si>
  <si>
    <t xml:space="preserve">2024A</t>
  </si>
  <si>
    <t xml:space="preserve">2025Q1</t>
  </si>
  <si>
    <t xml:space="preserve">2025Q2</t>
  </si>
  <si>
    <t xml:space="preserve">2025Q3</t>
  </si>
  <si>
    <t xml:space="preserve">2025Q4</t>
  </si>
  <si>
    <t xml:space="preserve">2026Q1</t>
  </si>
  <si>
    <t xml:space="preserve">2026Q2</t>
  </si>
  <si>
    <t xml:space="preserve">一、利润表</t>
  </si>
  <si>
    <t xml:space="preserve">毛利</t>
  </si>
  <si>
    <t xml:space="preserve">  毛利率</t>
  </si>
  <si>
    <t xml:space="preserve">销售费用</t>
  </si>
  <si>
    <t xml:space="preserve">管理费用</t>
  </si>
  <si>
    <t xml:space="preserve">研发费用</t>
  </si>
  <si>
    <t xml:space="preserve">  期间费用率</t>
  </si>
  <si>
    <t xml:space="preserve">财务费用（负数为净收益）</t>
  </si>
  <si>
    <t xml:space="preserve">其他收益</t>
  </si>
  <si>
    <t xml:space="preserve">营业利润</t>
  </si>
  <si>
    <t xml:space="preserve">  营业利润率</t>
  </si>
  <si>
    <t xml:space="preserve">利润总额</t>
  </si>
  <si>
    <t xml:space="preserve">  实际税率</t>
  </si>
  <si>
    <t xml:space="preserve">  归母净利率</t>
  </si>
  <si>
    <r>
      <rPr>
        <b val="true"/>
        <sz val="10"/>
        <color rgb="FF000000"/>
        <rFont val="Arial"/>
        <family val="0"/>
        <charset val="1"/>
      </rPr>
      <t xml:space="preserve">EPS</t>
    </r>
    <r>
      <rPr>
        <b val="true"/>
        <sz val="10"/>
        <color rgb="FF000000"/>
        <rFont val="Noto Sans CJK SC"/>
        <family val="2"/>
      </rPr>
      <t xml:space="preserve">（元，期末流通股本）</t>
    </r>
  </si>
  <si>
    <t xml:space="preserve">EBITDA</t>
  </si>
  <si>
    <r>
      <rPr>
        <sz val="10"/>
        <color rgb="FF000000"/>
        <rFont val="Arial"/>
        <family val="0"/>
        <charset val="1"/>
      </rPr>
      <t xml:space="preserve">  EBITDA</t>
    </r>
    <r>
      <rPr>
        <sz val="10"/>
        <color rgb="FF000000"/>
        <rFont val="Noto Sans CJK SC"/>
        <family val="2"/>
      </rPr>
      <t xml:space="preserve">利润率</t>
    </r>
  </si>
  <si>
    <t xml:space="preserve">二、业务经营</t>
  </si>
  <si>
    <t xml:space="preserve">电子元件收入</t>
  </si>
  <si>
    <t xml:space="preserve">通信器件收入</t>
  </si>
  <si>
    <t xml:space="preserve">电子及陶瓷材料收入</t>
  </si>
  <si>
    <r>
      <rPr>
        <sz val="10"/>
        <color rgb="FF000000"/>
        <rFont val="Noto Sans CJK SC"/>
        <family val="2"/>
      </rPr>
      <t xml:space="preserve">  其中</t>
    </r>
    <r>
      <rPr>
        <sz val="10"/>
        <color rgb="FF000000"/>
        <rFont val="Arial"/>
        <family val="0"/>
        <charset val="1"/>
      </rPr>
      <t xml:space="preserve">SOFC</t>
    </r>
    <r>
      <rPr>
        <sz val="10"/>
        <color rgb="FF000000"/>
        <rFont val="Noto Sans CJK SC"/>
        <family val="2"/>
      </rPr>
      <t xml:space="preserve">隔膜片（历史为第一大客户代理）</t>
    </r>
  </si>
  <si>
    <t xml:space="preserve">设备组件收入</t>
  </si>
  <si>
    <t xml:space="preserve">其他主营及其他业务收入</t>
  </si>
  <si>
    <t xml:space="preserve">电子、通信元件及材料（半年报口径）</t>
  </si>
  <si>
    <r>
      <rPr>
        <b val="true"/>
        <sz val="10"/>
        <color rgb="FF000000"/>
        <rFont val="Noto Sans CJK SC"/>
        <family val="2"/>
      </rPr>
      <t xml:space="preserve">销售量（亿只</t>
    </r>
    <r>
      <rPr>
        <b val="true"/>
        <sz val="10"/>
        <color rgb="FF000000"/>
        <rFont val="Arial"/>
        <family val="0"/>
        <charset val="1"/>
      </rPr>
      <t xml:space="preserve">/</t>
    </r>
    <r>
      <rPr>
        <b val="true"/>
        <sz val="10"/>
        <color rgb="FF000000"/>
        <rFont val="Noto Sans CJK SC"/>
        <family val="2"/>
      </rPr>
      <t xml:space="preserve">片，公司口径）</t>
    </r>
  </si>
  <si>
    <t xml:space="preserve">人均薪酬（万元）</t>
  </si>
  <si>
    <t xml:space="preserve">资本开支</t>
  </si>
  <si>
    <t xml:space="preserve">折旧与摊销</t>
  </si>
  <si>
    <r>
      <rPr>
        <b val="true"/>
        <sz val="10"/>
        <color rgb="FF000000"/>
        <rFont val="Noto Sans CJK SC"/>
        <family val="2"/>
      </rPr>
      <t xml:space="preserve">应收周转天数（票据</t>
    </r>
    <r>
      <rPr>
        <b val="true"/>
        <sz val="10"/>
        <color rgb="FF000000"/>
        <rFont val="Arial"/>
        <family val="0"/>
        <charset val="1"/>
      </rPr>
      <t xml:space="preserve">+</t>
    </r>
    <r>
      <rPr>
        <b val="true"/>
        <sz val="10"/>
        <color rgb="FF000000"/>
        <rFont val="Noto Sans CJK SC"/>
        <family val="2"/>
      </rPr>
      <t xml:space="preserve">账款</t>
    </r>
    <r>
      <rPr>
        <b val="true"/>
        <sz val="10"/>
        <color rgb="FF000000"/>
        <rFont val="Arial"/>
        <family val="0"/>
        <charset val="1"/>
      </rPr>
      <t xml:space="preserve">+</t>
    </r>
    <r>
      <rPr>
        <b val="true"/>
        <sz val="10"/>
        <color rgb="FF000000"/>
        <rFont val="Noto Sans CJK SC"/>
        <family val="2"/>
      </rPr>
      <t xml:space="preserve">融资）</t>
    </r>
  </si>
  <si>
    <t xml:space="preserve">存货周转天数</t>
  </si>
  <si>
    <r>
      <rPr>
        <b val="true"/>
        <sz val="10"/>
        <color rgb="FF000000"/>
        <rFont val="Noto Sans CJK SC"/>
        <family val="2"/>
      </rPr>
      <t xml:space="preserve">应付周转天数（票据</t>
    </r>
    <r>
      <rPr>
        <b val="true"/>
        <sz val="10"/>
        <color rgb="FF000000"/>
        <rFont val="Arial"/>
        <family val="0"/>
        <charset val="1"/>
      </rPr>
      <t xml:space="preserve">+</t>
    </r>
    <r>
      <rPr>
        <b val="true"/>
        <sz val="10"/>
        <color rgb="FF000000"/>
        <rFont val="Noto Sans CJK SC"/>
        <family val="2"/>
      </rPr>
      <t xml:space="preserve">账款）</t>
    </r>
  </si>
  <si>
    <t xml:space="preserve">现金转换周期</t>
  </si>
  <si>
    <t xml:space="preserve">三、资产负债表（季度列仅半年末与年末）</t>
  </si>
  <si>
    <t xml:space="preserve">货币资金</t>
  </si>
  <si>
    <t xml:space="preserve">交易性金融资产（理财）</t>
  </si>
  <si>
    <t xml:space="preserve">一年以上定期存款及大额存单</t>
  </si>
  <si>
    <t xml:space="preserve">应收票据、账款及应收款项融资</t>
  </si>
  <si>
    <t xml:space="preserve">存货</t>
  </si>
  <si>
    <t xml:space="preserve">固定资产及在建工程</t>
  </si>
  <si>
    <t xml:space="preserve">资产总计</t>
  </si>
  <si>
    <t xml:space="preserve">有息负债</t>
  </si>
  <si>
    <t xml:space="preserve">负债合计</t>
  </si>
  <si>
    <t xml:space="preserve">归母所有者权益</t>
  </si>
  <si>
    <t xml:space="preserve">  资产负债率</t>
  </si>
  <si>
    <t xml:space="preserve">四、现金流量</t>
  </si>
  <si>
    <t xml:space="preserve">经营活动现金流量净额</t>
  </si>
  <si>
    <t xml:space="preserve">资本开支（流出为负）</t>
  </si>
  <si>
    <t xml:space="preserve">现金分红（历史含利息支付）</t>
  </si>
  <si>
    <t xml:space="preserve">股份回购</t>
  </si>
  <si>
    <t xml:space="preserve">五、关键指标</t>
  </si>
  <si>
    <r>
      <rPr>
        <b val="true"/>
        <sz val="10"/>
        <color rgb="FF000000"/>
        <rFont val="Arial"/>
        <family val="0"/>
        <charset val="1"/>
      </rPr>
      <t xml:space="preserve">ROE</t>
    </r>
    <r>
      <rPr>
        <b val="true"/>
        <sz val="10"/>
        <color rgb="FF000000"/>
        <rFont val="Noto Sans CJK SC"/>
        <family val="2"/>
      </rPr>
      <t xml:space="preserve">（平均权益）</t>
    </r>
  </si>
  <si>
    <t xml:space="preserve">每股净资产（元）</t>
  </si>
  <si>
    <t xml:space="preserve">每股股利（元，当年派发）</t>
  </si>
  <si>
    <r>
      <rPr>
        <b val="true"/>
        <sz val="10"/>
        <color rgb="FF000000"/>
        <rFont val="Arial"/>
        <family val="0"/>
        <charset val="1"/>
      </rPr>
      <t xml:space="preserve">PE</t>
    </r>
    <r>
      <rPr>
        <b val="true"/>
        <sz val="10"/>
        <color rgb="FF000000"/>
        <rFont val="Noto Sans CJK SC"/>
        <family val="2"/>
      </rPr>
      <t xml:space="preserve">（当前股价）</t>
    </r>
  </si>
  <si>
    <r>
      <rPr>
        <b val="true"/>
        <sz val="10"/>
        <color rgb="FF000000"/>
        <rFont val="Arial"/>
        <family val="0"/>
        <charset val="1"/>
      </rPr>
      <t xml:space="preserve">PB</t>
    </r>
    <r>
      <rPr>
        <b val="true"/>
        <sz val="10"/>
        <color rgb="FF000000"/>
        <rFont val="Noto Sans CJK SC"/>
        <family val="2"/>
      </rPr>
      <t xml:space="preserve">（当前股价）</t>
    </r>
  </si>
  <si>
    <r>
      <rPr>
        <b val="true"/>
        <sz val="10"/>
        <color rgb="FF000000"/>
        <rFont val="Arial"/>
        <family val="0"/>
        <charset val="1"/>
      </rPr>
      <t xml:space="preserve">EV/EBITDA</t>
    </r>
    <r>
      <rPr>
        <b val="true"/>
        <sz val="10"/>
        <color rgb="FF000000"/>
        <rFont val="Noto Sans CJK SC"/>
        <family val="2"/>
      </rPr>
      <t xml:space="preserve">（当前股价）</t>
    </r>
  </si>
  <si>
    <r>
      <rPr>
        <i val="true"/>
        <sz val="10"/>
        <color rgb="FF595959"/>
        <rFont val="Noto Sans CJK SC"/>
        <family val="2"/>
      </rPr>
      <t xml:space="preserve">注：季度资产负债表仅在半年末（</t>
    </r>
    <r>
      <rPr>
        <i val="true"/>
        <sz val="10"/>
        <color rgb="FF595959"/>
        <rFont val="Arial"/>
        <family val="0"/>
        <charset val="1"/>
      </rPr>
      <t xml:space="preserve">2025Q2</t>
    </r>
    <r>
      <rPr>
        <i val="true"/>
        <sz val="10"/>
        <color rgb="FF595959"/>
        <rFont val="Noto Sans CJK SC"/>
        <family val="2"/>
      </rPr>
      <t xml:space="preserve">、</t>
    </r>
    <r>
      <rPr>
        <i val="true"/>
        <sz val="10"/>
        <color rgb="FF595959"/>
        <rFont val="Arial"/>
        <family val="0"/>
        <charset val="1"/>
      </rPr>
      <t xml:space="preserve">2026Q2</t>
    </r>
    <r>
      <rPr>
        <i val="true"/>
        <sz val="10"/>
        <color rgb="FF595959"/>
        <rFont val="Noto Sans CJK SC"/>
        <family val="2"/>
      </rPr>
      <t xml:space="preserve">）与年末（</t>
    </r>
    <r>
      <rPr>
        <i val="true"/>
        <sz val="10"/>
        <color rgb="FF595959"/>
        <rFont val="Arial"/>
        <family val="0"/>
        <charset val="1"/>
      </rPr>
      <t xml:space="preserve">2025Q4=2025A</t>
    </r>
    <r>
      <rPr>
        <i val="true"/>
        <sz val="10"/>
        <color rgb="FF595959"/>
        <rFont val="Noto Sans CJK SC"/>
        <family val="2"/>
      </rPr>
      <t xml:space="preserve">）可得；季度“资本开支”为购建长期资产支付的现金。</t>
    </r>
  </si>
  <si>
    <r>
      <rPr>
        <i val="true"/>
        <sz val="10"/>
        <color rgb="FF595959"/>
        <rFont val="Noto Sans CJK SC"/>
        <family val="2"/>
      </rPr>
      <t xml:space="preserve">“电子、通信元件及材料”为</t>
    </r>
    <r>
      <rPr>
        <i val="true"/>
        <sz val="10"/>
        <color rgb="FF595959"/>
        <rFont val="Arial"/>
        <family val="0"/>
        <charset val="1"/>
      </rPr>
      <t xml:space="preserve">2026</t>
    </r>
    <r>
      <rPr>
        <i val="true"/>
        <sz val="10"/>
        <color rgb="FF595959"/>
        <rFont val="Noto Sans CJK SC"/>
        <family val="2"/>
      </rPr>
      <t xml:space="preserve">年半年报口径（电子元件</t>
    </r>
    <r>
      <rPr>
        <i val="true"/>
        <sz val="10"/>
        <color rgb="FF595959"/>
        <rFont val="Arial"/>
        <family val="0"/>
        <charset val="1"/>
      </rPr>
      <t xml:space="preserve">+</t>
    </r>
    <r>
      <rPr>
        <i val="true"/>
        <sz val="10"/>
        <color rgb="FF595959"/>
        <rFont val="Noto Sans CJK SC"/>
        <family val="2"/>
      </rPr>
      <t xml:space="preserve">通信器件</t>
    </r>
    <r>
      <rPr>
        <i val="true"/>
        <sz val="10"/>
        <color rgb="FF595959"/>
        <rFont val="Arial"/>
        <family val="0"/>
        <charset val="1"/>
      </rPr>
      <t xml:space="preserve">+</t>
    </r>
    <r>
      <rPr>
        <i val="true"/>
        <sz val="10"/>
        <color rgb="FF595959"/>
        <rFont val="Noto Sans CJK SC"/>
        <family val="2"/>
      </rPr>
      <t xml:space="preserve">电子及陶瓷材料</t>
    </r>
    <r>
      <rPr>
        <i val="true"/>
        <sz val="10"/>
        <color rgb="FF595959"/>
        <rFont val="Arial"/>
        <family val="0"/>
        <charset val="1"/>
      </rPr>
      <t xml:space="preserve">+</t>
    </r>
    <r>
      <rPr>
        <i val="true"/>
        <sz val="10"/>
        <color rgb="FF595959"/>
        <rFont val="Noto Sans CJK SC"/>
        <family val="2"/>
      </rPr>
      <t xml:space="preserve">设备组件），</t>
    </r>
    <r>
      <rPr>
        <i val="true"/>
        <sz val="10"/>
        <color rgb="FF595959"/>
        <rFont val="Arial"/>
        <family val="0"/>
        <charset val="1"/>
      </rPr>
      <t xml:space="preserve">2026H1</t>
    </r>
    <r>
      <rPr>
        <i val="true"/>
        <sz val="10"/>
        <color rgb="FF595959"/>
        <rFont val="Noto Sans CJK SC"/>
        <family val="2"/>
      </rPr>
      <t xml:space="preserve">为</t>
    </r>
    <r>
      <rPr>
        <i val="true"/>
        <sz val="10"/>
        <color rgb="FF595959"/>
        <rFont val="Arial"/>
        <family val="0"/>
        <charset val="1"/>
      </rPr>
      <t xml:space="preserve">6,080.7</t>
    </r>
    <r>
      <rPr>
        <i val="true"/>
        <sz val="10"/>
        <color rgb="FF595959"/>
        <rFont val="Noto Sans CJK SC"/>
        <family val="2"/>
      </rPr>
      <t xml:space="preserve">（同比</t>
    </r>
    <r>
      <rPr>
        <i val="true"/>
        <sz val="10"/>
        <color rgb="FF595959"/>
        <rFont val="Arial"/>
        <family val="0"/>
        <charset val="1"/>
      </rPr>
      <t xml:space="preserve">+55.0%</t>
    </r>
    <r>
      <rPr>
        <i val="true"/>
        <sz val="10"/>
        <color rgb="FF595959"/>
        <rFont val="Noto Sans CJK SC"/>
        <family val="2"/>
      </rPr>
      <t xml:space="preserve">）；季度分部收入未披露。</t>
    </r>
  </si>
  <si>
    <t xml:space="preserve">Sanhuan Group (CCTC, 300408.SZ / 06951.HK) - Financial model summary</t>
  </si>
  <si>
    <r>
      <rPr>
        <i val="true"/>
        <sz val="10"/>
        <color rgb="FF595959"/>
        <rFont val="Arial"/>
        <family val="0"/>
        <charset val="1"/>
      </rPr>
      <t xml:space="preserve">RMB mn unless stated | Annual: 2023A-2025A reported, 2026E-2030E model (scenario per </t>
    </r>
    <r>
      <rPr>
        <i val="true"/>
        <sz val="10"/>
        <color rgb="FF595959"/>
        <rFont val="Noto Sans CJK SC"/>
        <family val="2"/>
      </rPr>
      <t xml:space="preserve">假设</t>
    </r>
    <r>
      <rPr>
        <i val="true"/>
        <sz val="10"/>
        <color rgb="FF595959"/>
        <rFont val="Arial"/>
        <family val="0"/>
        <charset val="1"/>
      </rPr>
      <t xml:space="preserve">!C5) | Quarterly: single-quarter reported | All cells are live links</t>
    </r>
  </si>
  <si>
    <t xml:space="preserve">Annual</t>
  </si>
  <si>
    <t xml:space="preserve">Quarterly (single quarter)</t>
  </si>
  <si>
    <t xml:space="preserve">Item</t>
  </si>
  <si>
    <t xml:space="preserve">I. Income statement</t>
  </si>
  <si>
    <t xml:space="preserve">Revenue</t>
  </si>
  <si>
    <t xml:space="preserve">  YoY</t>
  </si>
  <si>
    <t xml:space="preserve">Gross profit</t>
  </si>
  <si>
    <t xml:space="preserve">  Gross margin</t>
  </si>
  <si>
    <t xml:space="preserve">Selling expenses</t>
  </si>
  <si>
    <t xml:space="preserve">G&amp;A expenses</t>
  </si>
  <si>
    <t xml:space="preserve">R&amp;D expenses</t>
  </si>
  <si>
    <t xml:space="preserve">  Opex / revenue</t>
  </si>
  <si>
    <t xml:space="preserve">Net finance cost (negative = income)</t>
  </si>
  <si>
    <t xml:space="preserve">Other income</t>
  </si>
  <si>
    <t xml:space="preserve">Operating profit</t>
  </si>
  <si>
    <t xml:space="preserve">  Operating margin</t>
  </si>
  <si>
    <t xml:space="preserve">Profit before tax</t>
  </si>
  <si>
    <t xml:space="preserve">  Effective tax rate</t>
  </si>
  <si>
    <t xml:space="preserve">Net profit attributable</t>
  </si>
  <si>
    <t xml:space="preserve">  Net margin</t>
  </si>
  <si>
    <t xml:space="preserve">EPS (RMB, period-end shares)</t>
  </si>
  <si>
    <t xml:space="preserve">  EBITDA margin</t>
  </si>
  <si>
    <t xml:space="preserve">II. Operations</t>
  </si>
  <si>
    <t xml:space="preserve">Electronic components revenue</t>
  </si>
  <si>
    <t xml:space="preserve">Communication components revenue</t>
  </si>
  <si>
    <t xml:space="preserve">Electronic &amp; ceramic materials revenue</t>
  </si>
  <si>
    <t xml:space="preserve">  of which SOFC separators (hist.: top-customer proxy)</t>
  </si>
  <si>
    <t xml:space="preserve">Equipment components revenue</t>
  </si>
  <si>
    <t xml:space="preserve">Other revenue</t>
  </si>
  <si>
    <t xml:space="preserve">Core components &amp; materials (interim basis)</t>
  </si>
  <si>
    <t xml:space="preserve">Sales volume (100 mn units, company basis)</t>
  </si>
  <si>
    <t xml:space="preserve">Headcount (period-end)</t>
  </si>
  <si>
    <t xml:space="preserve">Pay per employee (RMB 10k)</t>
  </si>
  <si>
    <t xml:space="preserve">Capex</t>
  </si>
  <si>
    <t xml:space="preserve">D&amp;A</t>
  </si>
  <si>
    <t xml:space="preserve">Receivable days</t>
  </si>
  <si>
    <t xml:space="preserve">Inventory days</t>
  </si>
  <si>
    <t xml:space="preserve">Payable days</t>
  </si>
  <si>
    <t xml:space="preserve">Cash conversion cycle (days)</t>
  </si>
  <si>
    <t xml:space="preserve">III. Balance sheet (quarterly: half-year and year-ends only)</t>
  </si>
  <si>
    <t xml:space="preserve">Cash</t>
  </si>
  <si>
    <t xml:space="preserve">Wealth-management products</t>
  </si>
  <si>
    <t xml:space="preserve">Deposits over one year</t>
  </si>
  <si>
    <t xml:space="preserve">Notes, accounts receivable &amp; receivables financing</t>
  </si>
  <si>
    <t xml:space="preserve">Inventories</t>
  </si>
  <si>
    <t xml:space="preserve">PP&amp;E incl. construction in progress</t>
  </si>
  <si>
    <t xml:space="preserve">Total assets</t>
  </si>
  <si>
    <t xml:space="preserve">Interest-bearing debt</t>
  </si>
  <si>
    <t xml:space="preserve">Total liabilities</t>
  </si>
  <si>
    <t xml:space="preserve">Shareholders' equity</t>
  </si>
  <si>
    <t xml:space="preserve">Net cash (incl. deposits over one year)</t>
  </si>
  <si>
    <t xml:space="preserve">  Liabilities / assets</t>
  </si>
  <si>
    <t xml:space="preserve">IV. Cash flow</t>
  </si>
  <si>
    <t xml:space="preserve">Operating cash flow</t>
  </si>
  <si>
    <t xml:space="preserve">Capex (outflow negative)</t>
  </si>
  <si>
    <t xml:space="preserve">Free cash flow (OCF - capex)</t>
  </si>
  <si>
    <t xml:space="preserve">Dividends paid (hist. incl. interest)</t>
  </si>
  <si>
    <t xml:space="preserve">Share buybacks</t>
  </si>
  <si>
    <t xml:space="preserve">V. Key metrics</t>
  </si>
  <si>
    <t xml:space="preserve">ROE (average equity)</t>
  </si>
  <si>
    <t xml:space="preserve">Book value per share (RMB)</t>
  </si>
  <si>
    <t xml:space="preserve">DPS paid in year (RMB)</t>
  </si>
  <si>
    <t xml:space="preserve">P/E (current price)</t>
  </si>
  <si>
    <t xml:space="preserve">P/B (current price)</t>
  </si>
  <si>
    <t xml:space="preserve">EV/EBITDA (current price)</t>
  </si>
  <si>
    <t xml:space="preserve">Note: quarterly balance-sheet data are available only at half-year ends (2025Q2, 2026Q2) and year-end (2025Q4 = 2025A); quarterly capex is cash paid for long-term assets.</t>
  </si>
  <si>
    <t xml:space="preserve">'Core components &amp; materials' follows the 2026 interim-report basis (electronic + communication components + materials + equipment); 2026H1 was 6,080.7 (+55.0% YoY). Quarterly segment revenue is not disclosed.</t>
  </si>
  <si>
    <r>
      <rPr>
        <b val="true"/>
        <sz val="14"/>
        <color rgb="FF1F3864"/>
        <rFont val="Noto Sans CJK SC"/>
        <family val="2"/>
      </rPr>
      <t xml:space="preserve">核心假设（蓝字可改；黄底为关键假设；情景切换在</t>
    </r>
    <r>
      <rPr>
        <b val="true"/>
        <sz val="14"/>
        <color rgb="FF1F3864"/>
        <rFont val="Arial"/>
        <family val="0"/>
        <charset val="1"/>
      </rPr>
      <t xml:space="preserve">C5</t>
    </r>
    <r>
      <rPr>
        <b val="true"/>
        <sz val="14"/>
        <color rgb="FF1F3864"/>
        <rFont val="Noto Sans CJK SC"/>
        <family val="2"/>
      </rPr>
      <t xml:space="preserve">）</t>
    </r>
  </si>
  <si>
    <r>
      <rPr>
        <i val="true"/>
        <sz val="10"/>
        <color rgb="FF595959"/>
        <rFont val="Noto Sans CJK SC"/>
        <family val="2"/>
      </rPr>
      <t xml:space="preserve">单位：百万元人民币，另注明除外。逐年假设列与各明细表对齐（</t>
    </r>
    <r>
      <rPr>
        <i val="true"/>
        <sz val="10"/>
        <color rgb="FF595959"/>
        <rFont val="Arial"/>
        <family val="0"/>
        <charset val="1"/>
      </rPr>
      <t xml:space="preserve">C:G=2021A-2025A</t>
    </r>
    <r>
      <rPr>
        <i val="true"/>
        <sz val="10"/>
        <color rgb="FF595959"/>
        <rFont val="Noto Sans CJK SC"/>
        <family val="2"/>
      </rPr>
      <t xml:space="preserve">历史参照，</t>
    </r>
    <r>
      <rPr>
        <i val="true"/>
        <sz val="10"/>
        <color rgb="FF595959"/>
        <rFont val="Arial"/>
        <family val="0"/>
        <charset val="1"/>
      </rPr>
      <t xml:space="preserve">H:L=2026E-2030E</t>
    </r>
    <r>
      <rPr>
        <i val="true"/>
        <sz val="10"/>
        <color rgb="FF595959"/>
        <rFont val="Noto Sans CJK SC"/>
        <family val="2"/>
      </rPr>
      <t xml:space="preserve">）。“采用值”行</t>
    </r>
    <r>
      <rPr>
        <i val="true"/>
        <sz val="10"/>
        <color rgb="FF595959"/>
        <rFont val="Arial"/>
        <family val="0"/>
        <charset val="1"/>
      </rPr>
      <t xml:space="preserve">=</t>
    </r>
    <r>
      <rPr>
        <i val="true"/>
        <sz val="10"/>
        <color rgb="FF595959"/>
        <rFont val="Noto Sans CJK SC"/>
        <family val="2"/>
      </rPr>
      <t xml:space="preserve">情景值</t>
    </r>
    <r>
      <rPr>
        <i val="true"/>
        <sz val="10"/>
        <color rgb="FF595959"/>
        <rFont val="Arial"/>
        <family val="0"/>
        <charset val="1"/>
      </rPr>
      <t xml:space="preserve">+</t>
    </r>
    <r>
      <rPr>
        <i val="true"/>
        <sz val="10"/>
        <color rgb="FF595959"/>
        <rFont val="Noto Sans CJK SC"/>
        <family val="2"/>
      </rPr>
      <t xml:space="preserve">敏感性冲击，模型只引用采用值。</t>
    </r>
  </si>
  <si>
    <t xml:space="preserve">一、情景、市场与股本参数</t>
  </si>
  <si>
    <r>
      <rPr>
        <sz val="10"/>
        <color rgb="FF000000"/>
        <rFont val="Noto Sans CJK SC"/>
        <family val="2"/>
      </rPr>
      <t xml:space="preserve">情景选择（</t>
    </r>
    <r>
      <rPr>
        <sz val="10"/>
        <color rgb="FF000000"/>
        <rFont val="Arial"/>
        <family val="0"/>
        <charset val="1"/>
      </rPr>
      <t xml:space="preserve">1=</t>
    </r>
    <r>
      <rPr>
        <sz val="10"/>
        <color rgb="FF000000"/>
        <rFont val="Noto Sans CJK SC"/>
        <family val="2"/>
      </rPr>
      <t xml:space="preserve">基准，</t>
    </r>
    <r>
      <rPr>
        <sz val="10"/>
        <color rgb="FF000000"/>
        <rFont val="Arial"/>
        <family val="0"/>
        <charset val="1"/>
      </rPr>
      <t xml:space="preserve">2=</t>
    </r>
    <r>
      <rPr>
        <sz val="10"/>
        <color rgb="FF000000"/>
        <rFont val="Noto Sans CJK SC"/>
        <family val="2"/>
      </rPr>
      <t xml:space="preserve">乐观，</t>
    </r>
    <r>
      <rPr>
        <sz val="10"/>
        <color rgb="FF000000"/>
        <rFont val="Arial"/>
        <family val="0"/>
        <charset val="1"/>
      </rPr>
      <t xml:space="preserve">3=</t>
    </r>
    <r>
      <rPr>
        <sz val="10"/>
        <color rgb="FF000000"/>
        <rFont val="Noto Sans CJK SC"/>
        <family val="2"/>
      </rPr>
      <t xml:space="preserve">悲观）</t>
    </r>
  </si>
  <si>
    <t xml:space="preserve">修改此格切换全模型情景</t>
  </si>
  <si>
    <r>
      <rPr>
        <sz val="10"/>
        <color rgb="FF000000"/>
        <rFont val="Arial"/>
        <family val="0"/>
        <charset val="1"/>
      </rPr>
      <t xml:space="preserve">A</t>
    </r>
    <r>
      <rPr>
        <sz val="10"/>
        <color rgb="FF000000"/>
        <rFont val="Noto Sans CJK SC"/>
        <family val="2"/>
      </rPr>
      <t xml:space="preserve">股股价（元</t>
    </r>
    <r>
      <rPr>
        <sz val="10"/>
        <color rgb="FF000000"/>
        <rFont val="Arial"/>
        <family val="0"/>
        <charset val="1"/>
      </rPr>
      <t xml:space="preserve">/</t>
    </r>
    <r>
      <rPr>
        <sz val="10"/>
        <color rgb="FF000000"/>
        <rFont val="Noto Sans CJK SC"/>
        <family val="2"/>
      </rPr>
      <t xml:space="preserve">股）</t>
    </r>
  </si>
  <si>
    <r>
      <rPr>
        <i val="true"/>
        <sz val="10"/>
        <color rgb="FF595959"/>
        <rFont val="Arial"/>
        <family val="0"/>
        <charset val="1"/>
      </rPr>
      <t xml:space="preserve">Wind</t>
    </r>
    <r>
      <rPr>
        <i val="true"/>
        <sz val="10"/>
        <color rgb="FF595959"/>
        <rFont val="Noto Sans CJK SC"/>
        <family val="2"/>
      </rPr>
      <t xml:space="preserve">一致预期表</t>
    </r>
    <r>
      <rPr>
        <i val="true"/>
        <sz val="10"/>
        <color rgb="FF595959"/>
        <rFont val="Arial"/>
        <family val="0"/>
        <charset val="1"/>
      </rPr>
      <t xml:space="preserve">2026-09-30</t>
    </r>
    <r>
      <rPr>
        <i val="true"/>
        <sz val="10"/>
        <color rgb="FF595959"/>
        <rFont val="Noto Sans CJK SC"/>
        <family val="2"/>
      </rPr>
      <t xml:space="preserve">：</t>
    </r>
    <r>
      <rPr>
        <i val="true"/>
        <sz val="10"/>
        <color rgb="FF595959"/>
        <rFont val="Arial"/>
        <family val="0"/>
        <charset val="1"/>
      </rPr>
      <t xml:space="preserve">2026E PE 56.42×EPS 2.10</t>
    </r>
    <r>
      <rPr>
        <i val="true"/>
        <sz val="10"/>
        <color rgb="FF595959"/>
        <rFont val="Noto Sans CJK SC"/>
        <family val="2"/>
      </rPr>
      <t xml:space="preserve">倒算；请按最新行情更新</t>
    </r>
  </si>
  <si>
    <r>
      <rPr>
        <sz val="10"/>
        <color rgb="FF000000"/>
        <rFont val="Arial"/>
        <family val="0"/>
        <charset val="1"/>
      </rPr>
      <t xml:space="preserve">H</t>
    </r>
    <r>
      <rPr>
        <sz val="10"/>
        <color rgb="FF000000"/>
        <rFont val="Noto Sans CJK SC"/>
        <family val="2"/>
      </rPr>
      <t xml:space="preserve">股发行价（港元</t>
    </r>
    <r>
      <rPr>
        <sz val="10"/>
        <color rgb="FF000000"/>
        <rFont val="Arial"/>
        <family val="0"/>
        <charset val="1"/>
      </rPr>
      <t xml:space="preserve">/</t>
    </r>
    <r>
      <rPr>
        <sz val="10"/>
        <color rgb="FF000000"/>
        <rFont val="Noto Sans CJK SC"/>
        <family val="2"/>
      </rPr>
      <t xml:space="preserve">股）</t>
    </r>
  </si>
  <si>
    <r>
      <rPr>
        <i val="true"/>
        <sz val="10"/>
        <color rgb="FF595959"/>
        <rFont val="Arial"/>
        <family val="0"/>
        <charset val="1"/>
      </rPr>
      <t xml:space="preserve">H</t>
    </r>
    <r>
      <rPr>
        <i val="true"/>
        <sz val="10"/>
        <color rgb="FF595959"/>
        <rFont val="Noto Sans CJK SC"/>
        <family val="2"/>
      </rPr>
      <t xml:space="preserve">股配售结果：发行价</t>
    </r>
    <r>
      <rPr>
        <i val="true"/>
        <sz val="10"/>
        <color rgb="FF595959"/>
        <rFont val="Arial"/>
        <family val="0"/>
        <charset val="1"/>
      </rPr>
      <t xml:space="preserve">100.30</t>
    </r>
    <r>
      <rPr>
        <i val="true"/>
        <sz val="10"/>
        <color rgb="FF595959"/>
        <rFont val="Noto Sans CJK SC"/>
        <family val="2"/>
      </rPr>
      <t xml:space="preserve">港元（</t>
    </r>
    <r>
      <rPr>
        <i val="true"/>
        <sz val="10"/>
        <color rgb="FF595959"/>
        <rFont val="Arial"/>
        <family val="0"/>
        <charset val="1"/>
      </rPr>
      <t xml:space="preserve">2026-07-09</t>
    </r>
    <r>
      <rPr>
        <i val="true"/>
        <sz val="10"/>
        <color rgb="FF595959"/>
        <rFont val="Noto Sans CJK SC"/>
        <family val="2"/>
      </rPr>
      <t xml:space="preserve">上市）</t>
    </r>
  </si>
  <si>
    <r>
      <rPr>
        <sz val="10"/>
        <color rgb="FF000000"/>
        <rFont val="Noto Sans CJK SC"/>
        <family val="2"/>
      </rPr>
      <t xml:space="preserve">港元兑人民币（</t>
    </r>
    <r>
      <rPr>
        <sz val="10"/>
        <color rgb="FF000000"/>
        <rFont val="Arial"/>
        <family val="0"/>
        <charset val="1"/>
      </rPr>
      <t xml:space="preserve">HKD/CNY</t>
    </r>
    <r>
      <rPr>
        <sz val="10"/>
        <color rgb="FF000000"/>
        <rFont val="Noto Sans CJK SC"/>
        <family val="2"/>
      </rPr>
      <t xml:space="preserve">）</t>
    </r>
  </si>
  <si>
    <r>
      <rPr>
        <i val="true"/>
        <sz val="10"/>
        <color rgb="FF595959"/>
        <rFont val="Arial"/>
        <family val="0"/>
        <charset val="1"/>
      </rPr>
      <t xml:space="preserve">2026</t>
    </r>
    <r>
      <rPr>
        <i val="true"/>
        <sz val="10"/>
        <color rgb="FF595959"/>
        <rFont val="Noto Sans CJK SC"/>
        <family val="2"/>
      </rPr>
      <t xml:space="preserve">年半年报外币折算汇率（</t>
    </r>
    <r>
      <rPr>
        <i val="true"/>
        <sz val="10"/>
        <color rgb="FF595959"/>
        <rFont val="Arial"/>
        <family val="0"/>
        <charset val="1"/>
      </rPr>
      <t xml:space="preserve">2026-06-30</t>
    </r>
    <r>
      <rPr>
        <i val="true"/>
        <sz val="10"/>
        <color rgb="FF595959"/>
        <rFont val="Noto Sans CJK SC"/>
        <family val="2"/>
      </rPr>
      <t xml:space="preserve">）</t>
    </r>
    <r>
      <rPr>
        <i val="true"/>
        <sz val="10"/>
        <color rgb="FF595959"/>
        <rFont val="Arial"/>
        <family val="0"/>
        <charset val="1"/>
      </rPr>
      <t xml:space="preserve">0.86855</t>
    </r>
    <r>
      <rPr>
        <i val="true"/>
        <sz val="10"/>
        <color rgb="FF595959"/>
        <rFont val="Noto Sans CJK SC"/>
        <family val="2"/>
      </rPr>
      <t xml:space="preserve">；</t>
    </r>
    <r>
      <rPr>
        <i val="true"/>
        <sz val="10"/>
        <color rgb="FF595959"/>
        <rFont val="Arial"/>
        <family val="0"/>
        <charset val="1"/>
      </rPr>
      <t xml:space="preserve">H</t>
    </r>
    <r>
      <rPr>
        <i val="true"/>
        <sz val="10"/>
        <color rgb="FF595959"/>
        <rFont val="Noto Sans CJK SC"/>
        <family val="2"/>
      </rPr>
      <t xml:space="preserve">股于</t>
    </r>
    <r>
      <rPr>
        <i val="true"/>
        <sz val="10"/>
        <color rgb="FF595959"/>
        <rFont val="Arial"/>
        <family val="0"/>
        <charset val="1"/>
      </rPr>
      <t xml:space="preserve">2026-07-09</t>
    </r>
    <r>
      <rPr>
        <i val="true"/>
        <sz val="10"/>
        <color rgb="FF595959"/>
        <rFont val="Noto Sans CJK SC"/>
        <family val="2"/>
      </rPr>
      <t xml:space="preserve">上市，请按实际结汇汇率更新</t>
    </r>
  </si>
  <si>
    <r>
      <rPr>
        <sz val="10"/>
        <color rgb="FF000000"/>
        <rFont val="Arial"/>
        <family val="0"/>
        <charset val="1"/>
      </rPr>
      <t xml:space="preserve">H</t>
    </r>
    <r>
      <rPr>
        <sz val="10"/>
        <color rgb="FF000000"/>
        <rFont val="Noto Sans CJK SC"/>
        <family val="2"/>
      </rPr>
      <t xml:space="preserve">股发行股数（股，含部分行使超额配股权）</t>
    </r>
  </si>
  <si>
    <r>
      <rPr>
        <i val="true"/>
        <sz val="10"/>
        <color rgb="FF595959"/>
        <rFont val="Arial"/>
        <family val="0"/>
        <charset val="1"/>
      </rPr>
      <t xml:space="preserve">2026</t>
    </r>
    <r>
      <rPr>
        <i val="true"/>
        <sz val="10"/>
        <color rgb="FF595959"/>
        <rFont val="Noto Sans CJK SC"/>
        <family val="2"/>
      </rPr>
      <t xml:space="preserve">年半年报：首次发行</t>
    </r>
    <r>
      <rPr>
        <i val="true"/>
        <sz val="10"/>
        <color rgb="FF595959"/>
        <rFont val="Arial"/>
        <family val="0"/>
        <charset val="1"/>
      </rPr>
      <t xml:space="preserve">71,364,300</t>
    </r>
    <r>
      <rPr>
        <i val="true"/>
        <sz val="10"/>
        <color rgb="FF595959"/>
        <rFont val="Noto Sans CJK SC"/>
        <family val="2"/>
      </rPr>
      <t xml:space="preserve">股</t>
    </r>
    <r>
      <rPr>
        <i val="true"/>
        <sz val="10"/>
        <color rgb="FF595959"/>
        <rFont val="Arial"/>
        <family val="0"/>
        <charset val="1"/>
      </rPr>
      <t xml:space="preserve">+</t>
    </r>
    <r>
      <rPr>
        <i val="true"/>
        <sz val="10"/>
        <color rgb="FF595959"/>
        <rFont val="Noto Sans CJK SC"/>
        <family val="2"/>
      </rPr>
      <t xml:space="preserve">超额配股</t>
    </r>
    <r>
      <rPr>
        <i val="true"/>
        <sz val="10"/>
        <color rgb="FF595959"/>
        <rFont val="Arial"/>
        <family val="0"/>
        <charset val="1"/>
      </rPr>
      <t xml:space="preserve">8,856,900</t>
    </r>
    <r>
      <rPr>
        <i val="true"/>
        <sz val="10"/>
        <color rgb="FF595959"/>
        <rFont val="Noto Sans CJK SC"/>
        <family val="2"/>
      </rPr>
      <t xml:space="preserve">股</t>
    </r>
    <r>
      <rPr>
        <i val="true"/>
        <sz val="10"/>
        <color rgb="FF595959"/>
        <rFont val="Arial"/>
        <family val="0"/>
        <charset val="1"/>
      </rPr>
      <t xml:space="preserve">=80,221,200</t>
    </r>
    <r>
      <rPr>
        <i val="true"/>
        <sz val="10"/>
        <color rgb="FF595959"/>
        <rFont val="Noto Sans CJK SC"/>
        <family val="2"/>
      </rPr>
      <t xml:space="preserve">股</t>
    </r>
  </si>
  <si>
    <r>
      <rPr>
        <sz val="10"/>
        <color rgb="FF000000"/>
        <rFont val="Arial"/>
        <family val="0"/>
        <charset val="1"/>
      </rPr>
      <t xml:space="preserve">H</t>
    </r>
    <r>
      <rPr>
        <sz val="10"/>
        <color rgb="FF000000"/>
        <rFont val="Noto Sans CJK SC"/>
        <family val="2"/>
      </rPr>
      <t xml:space="preserve">股发行费用率</t>
    </r>
  </si>
  <si>
    <r>
      <rPr>
        <i val="true"/>
        <sz val="10"/>
        <color rgb="FF595959"/>
        <rFont val="Noto Sans CJK SC"/>
        <family val="2"/>
      </rPr>
      <t xml:space="preserve">假设值（上市费用、承销佣金）；</t>
    </r>
    <r>
      <rPr>
        <i val="true"/>
        <sz val="10"/>
        <color rgb="FF595959"/>
        <rFont val="Arial"/>
        <family val="0"/>
        <charset val="1"/>
      </rPr>
      <t xml:space="preserve">2025</t>
    </r>
    <r>
      <rPr>
        <i val="true"/>
        <sz val="10"/>
        <color rgb="FF595959"/>
        <rFont val="Noto Sans CJK SC"/>
        <family val="2"/>
      </rPr>
      <t xml:space="preserve">年及</t>
    </r>
    <r>
      <rPr>
        <i val="true"/>
        <sz val="10"/>
        <color rgb="FF595959"/>
        <rFont val="Arial"/>
        <family val="0"/>
        <charset val="1"/>
      </rPr>
      <t xml:space="preserve">2026H1</t>
    </r>
    <r>
      <rPr>
        <i val="true"/>
        <sz val="10"/>
        <color rgb="FF595959"/>
        <rFont val="Noto Sans CJK SC"/>
        <family val="2"/>
      </rPr>
      <t xml:space="preserve">已付上市费用合计约</t>
    </r>
    <r>
      <rPr>
        <i val="true"/>
        <sz val="10"/>
        <color rgb="FF595959"/>
        <rFont val="Arial"/>
        <family val="0"/>
        <charset val="1"/>
      </rPr>
      <t xml:space="preserve">18.2</t>
    </r>
    <r>
      <rPr>
        <i val="true"/>
        <sz val="10"/>
        <color rgb="FF595959"/>
        <rFont val="Noto Sans CJK SC"/>
        <family val="2"/>
      </rPr>
      <t xml:space="preserve">百万元</t>
    </r>
  </si>
  <si>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2026</t>
    </r>
    <r>
      <rPr>
        <sz val="10"/>
        <color rgb="FF000000"/>
        <rFont val="Noto Sans CJK SC"/>
        <family val="2"/>
      </rPr>
      <t xml:space="preserve">年加权在外天数</t>
    </r>
  </si>
  <si>
    <r>
      <rPr>
        <i val="true"/>
        <sz val="10"/>
        <color rgb="FF595959"/>
        <rFont val="Arial"/>
        <family val="0"/>
        <charset val="1"/>
      </rPr>
      <t xml:space="preserve">71,364,300</t>
    </r>
    <r>
      <rPr>
        <i val="true"/>
        <sz val="10"/>
        <color rgb="FF595959"/>
        <rFont val="Noto Sans CJK SC"/>
        <family val="2"/>
      </rPr>
      <t xml:space="preserve">股自</t>
    </r>
    <r>
      <rPr>
        <i val="true"/>
        <sz val="10"/>
        <color rgb="FF595959"/>
        <rFont val="Arial"/>
        <family val="0"/>
        <charset val="1"/>
      </rPr>
      <t xml:space="preserve">2026-07-09</t>
    </r>
    <r>
      <rPr>
        <i val="true"/>
        <sz val="10"/>
        <color rgb="FF595959"/>
        <rFont val="Noto Sans CJK SC"/>
        <family val="2"/>
      </rPr>
      <t xml:space="preserve">（</t>
    </r>
    <r>
      <rPr>
        <i val="true"/>
        <sz val="10"/>
        <color rgb="FF595959"/>
        <rFont val="Arial"/>
        <family val="0"/>
        <charset val="1"/>
      </rPr>
      <t xml:space="preserve">175</t>
    </r>
    <r>
      <rPr>
        <i val="true"/>
        <sz val="10"/>
        <color rgb="FF595959"/>
        <rFont val="Noto Sans CJK SC"/>
        <family val="2"/>
      </rPr>
      <t xml:space="preserve">天）、</t>
    </r>
    <r>
      <rPr>
        <i val="true"/>
        <sz val="10"/>
        <color rgb="FF595959"/>
        <rFont val="Arial"/>
        <family val="0"/>
        <charset val="1"/>
      </rPr>
      <t xml:space="preserve">8,856,900</t>
    </r>
    <r>
      <rPr>
        <i val="true"/>
        <sz val="10"/>
        <color rgb="FF595959"/>
        <rFont val="Noto Sans CJK SC"/>
        <family val="2"/>
      </rPr>
      <t xml:space="preserve">股自</t>
    </r>
    <r>
      <rPr>
        <i val="true"/>
        <sz val="10"/>
        <color rgb="FF595959"/>
        <rFont val="Arial"/>
        <family val="0"/>
        <charset val="1"/>
      </rPr>
      <t xml:space="preserve">2026-08-05</t>
    </r>
    <r>
      <rPr>
        <i val="true"/>
        <sz val="10"/>
        <color rgb="FF595959"/>
        <rFont val="Noto Sans CJK SC"/>
        <family val="2"/>
      </rPr>
      <t xml:space="preserve">（</t>
    </r>
    <r>
      <rPr>
        <i val="true"/>
        <sz val="10"/>
        <color rgb="FF595959"/>
        <rFont val="Arial"/>
        <family val="0"/>
        <charset val="1"/>
      </rPr>
      <t xml:space="preserve">148</t>
    </r>
    <r>
      <rPr>
        <i val="true"/>
        <sz val="10"/>
        <color rgb="FF595959"/>
        <rFont val="Noto Sans CJK SC"/>
        <family val="2"/>
      </rPr>
      <t xml:space="preserve">天）加权</t>
    </r>
  </si>
  <si>
    <r>
      <rPr>
        <sz val="10"/>
        <color rgb="FF000000"/>
        <rFont val="Arial"/>
        <family val="0"/>
        <charset val="1"/>
      </rPr>
      <t xml:space="preserve">H</t>
    </r>
    <r>
      <rPr>
        <sz val="10"/>
        <color rgb="FF000000"/>
        <rFont val="Noto Sans CJK SC"/>
        <family val="2"/>
      </rPr>
      <t xml:space="preserve">股募资投向境外新建扩建项目比例</t>
    </r>
  </si>
  <si>
    <r>
      <rPr>
        <i val="true"/>
        <sz val="10"/>
        <color rgb="FF595959"/>
        <rFont val="Arial"/>
        <family val="0"/>
        <charset val="1"/>
      </rPr>
      <t xml:space="preserve">H</t>
    </r>
    <r>
      <rPr>
        <i val="true"/>
        <sz val="10"/>
        <color rgb="FF595959"/>
        <rFont val="Noto Sans CJK SC"/>
        <family val="2"/>
      </rPr>
      <t xml:space="preserve">股招股章程：约</t>
    </r>
    <r>
      <rPr>
        <i val="true"/>
        <sz val="10"/>
        <color rgb="FF595959"/>
        <rFont val="Arial"/>
        <family val="0"/>
        <charset val="1"/>
      </rPr>
      <t xml:space="preserve">41.2%</t>
    </r>
    <r>
      <rPr>
        <i val="true"/>
        <sz val="10"/>
        <color rgb="FF595959"/>
        <rFont val="Noto Sans CJK SC"/>
        <family val="2"/>
      </rPr>
      <t xml:space="preserve">投向泰国、德国新建扩建（燃料电池扩建、高精度压电微点胶、数据中心电子元件、通信器件）</t>
    </r>
  </si>
  <si>
    <r>
      <rPr>
        <sz val="10"/>
        <color rgb="FF000000"/>
        <rFont val="Arial"/>
        <family val="0"/>
        <charset val="1"/>
      </rPr>
      <t xml:space="preserve">2026</t>
    </r>
    <r>
      <rPr>
        <sz val="10"/>
        <color rgb="FF000000"/>
        <rFont val="Noto Sans CJK SC"/>
        <family val="2"/>
      </rPr>
      <t xml:space="preserve">年第一期回购股数（股）</t>
    </r>
  </si>
  <si>
    <r>
      <rPr>
        <i val="true"/>
        <sz val="10"/>
        <color rgb="FF595959"/>
        <rFont val="Arial"/>
        <family val="0"/>
        <charset val="1"/>
      </rPr>
      <t xml:space="preserve">2026</t>
    </r>
    <r>
      <rPr>
        <i val="true"/>
        <sz val="10"/>
        <color rgb="FF595959"/>
        <rFont val="Noto Sans CJK SC"/>
        <family val="2"/>
      </rPr>
      <t xml:space="preserve">年半年报：董事会</t>
    </r>
    <r>
      <rPr>
        <i val="true"/>
        <sz val="10"/>
        <color rgb="FF595959"/>
        <rFont val="Arial"/>
        <family val="0"/>
        <charset val="1"/>
      </rPr>
      <t xml:space="preserve">2026-07-20</t>
    </r>
    <r>
      <rPr>
        <i val="true"/>
        <sz val="10"/>
        <color rgb="FF595959"/>
        <rFont val="Noto Sans CJK SC"/>
        <family val="2"/>
      </rPr>
      <t xml:space="preserve">批准，截至</t>
    </r>
    <r>
      <rPr>
        <i val="true"/>
        <sz val="10"/>
        <color rgb="FF595959"/>
        <rFont val="Arial"/>
        <family val="0"/>
        <charset val="1"/>
      </rPr>
      <t xml:space="preserve">2026-07-30</t>
    </r>
    <r>
      <rPr>
        <i val="true"/>
        <sz val="10"/>
        <color rgb="FF595959"/>
        <rFont val="Noto Sans CJK SC"/>
        <family val="2"/>
      </rPr>
      <t xml:space="preserve">实施完毕</t>
    </r>
  </si>
  <si>
    <r>
      <rPr>
        <sz val="10"/>
        <color rgb="FF000000"/>
        <rFont val="Arial"/>
        <family val="0"/>
        <charset val="1"/>
      </rPr>
      <t xml:space="preserve">2026</t>
    </r>
    <r>
      <rPr>
        <sz val="10"/>
        <color rgb="FF000000"/>
        <rFont val="Noto Sans CJK SC"/>
        <family val="2"/>
      </rPr>
      <t xml:space="preserve">年第一期回购金额</t>
    </r>
  </si>
  <si>
    <r>
      <rPr>
        <i val="true"/>
        <sz val="10"/>
        <color rgb="FF595959"/>
        <rFont val="Arial"/>
        <family val="0"/>
        <charset val="1"/>
      </rPr>
      <t xml:space="preserve">2026</t>
    </r>
    <r>
      <rPr>
        <i val="true"/>
        <sz val="10"/>
        <color rgb="FF595959"/>
        <rFont val="Noto Sans CJK SC"/>
        <family val="2"/>
      </rPr>
      <t xml:space="preserve">年半年报：成交总金额</t>
    </r>
    <r>
      <rPr>
        <i val="true"/>
        <sz val="10"/>
        <color rgb="FF595959"/>
        <rFont val="Arial"/>
        <family val="0"/>
        <charset val="1"/>
      </rPr>
      <t xml:space="preserve">894,661,561.03</t>
    </r>
    <r>
      <rPr>
        <i val="true"/>
        <sz val="10"/>
        <color rgb="FF595959"/>
        <rFont val="Noto Sans CJK SC"/>
        <family val="2"/>
      </rPr>
      <t xml:space="preserve">元（不含交易费用）</t>
    </r>
  </si>
  <si>
    <r>
      <rPr>
        <sz val="10"/>
        <color rgb="FF000000"/>
        <rFont val="Arial"/>
        <family val="0"/>
        <charset val="1"/>
      </rPr>
      <t xml:space="preserve">2026</t>
    </r>
    <r>
      <rPr>
        <sz val="10"/>
        <color rgb="FF000000"/>
        <rFont val="Noto Sans CJK SC"/>
        <family val="2"/>
      </rPr>
      <t xml:space="preserve">年第二期回购金额（下限</t>
    </r>
    <r>
      <rPr>
        <sz val="10"/>
        <color rgb="FF000000"/>
        <rFont val="Arial"/>
        <family val="0"/>
        <charset val="1"/>
      </rPr>
      <t xml:space="preserve">5</t>
    </r>
    <r>
      <rPr>
        <sz val="10"/>
        <color rgb="FF000000"/>
        <rFont val="Noto Sans CJK SC"/>
        <family val="2"/>
      </rPr>
      <t xml:space="preserve">亿、上限</t>
    </r>
    <r>
      <rPr>
        <sz val="10"/>
        <color rgb="FF000000"/>
        <rFont val="Arial"/>
        <family val="0"/>
        <charset val="1"/>
      </rPr>
      <t xml:space="preserve">10</t>
    </r>
    <r>
      <rPr>
        <sz val="10"/>
        <color rgb="FF000000"/>
        <rFont val="Noto Sans CJK SC"/>
        <family val="2"/>
      </rPr>
      <t xml:space="preserve">亿，取中值）</t>
    </r>
  </si>
  <si>
    <r>
      <rPr>
        <i val="true"/>
        <sz val="10"/>
        <color rgb="FF595959"/>
        <rFont val="Noto Sans CJK SC"/>
        <family val="2"/>
      </rPr>
      <t xml:space="preserve">董事会</t>
    </r>
    <r>
      <rPr>
        <i val="true"/>
        <sz val="10"/>
        <color rgb="FF595959"/>
        <rFont val="Arial"/>
        <family val="0"/>
        <charset val="1"/>
      </rPr>
      <t xml:space="preserve">2026-07-30</t>
    </r>
    <r>
      <rPr>
        <i val="true"/>
        <sz val="10"/>
        <color rgb="FF595959"/>
        <rFont val="Noto Sans CJK SC"/>
        <family val="2"/>
      </rPr>
      <t xml:space="preserve">批准，进行中；中值为假设</t>
    </r>
  </si>
  <si>
    <r>
      <rPr>
        <sz val="10"/>
        <color rgb="FF000000"/>
        <rFont val="Arial"/>
        <family val="0"/>
        <charset val="1"/>
      </rPr>
      <t xml:space="preserve">2026</t>
    </r>
    <r>
      <rPr>
        <sz val="10"/>
        <color rgb="FF000000"/>
        <rFont val="Noto Sans CJK SC"/>
        <family val="2"/>
      </rPr>
      <t xml:space="preserve">年第一期回购完成后至年末月数（加权股本用）</t>
    </r>
  </si>
  <si>
    <r>
      <rPr>
        <i val="true"/>
        <sz val="10"/>
        <color rgb="FF595959"/>
        <rFont val="Arial"/>
        <family val="0"/>
        <charset val="1"/>
      </rPr>
      <t xml:space="preserve">2026-07-30</t>
    </r>
    <r>
      <rPr>
        <i val="true"/>
        <sz val="10"/>
        <color rgb="FF595959"/>
        <rFont val="Noto Sans CJK SC"/>
        <family val="2"/>
      </rPr>
      <t xml:space="preserve">完成，至</t>
    </r>
    <r>
      <rPr>
        <i val="true"/>
        <sz val="10"/>
        <color rgb="FF595959"/>
        <rFont val="Arial"/>
        <family val="0"/>
        <charset val="1"/>
      </rPr>
      <t xml:space="preserve">12-31</t>
    </r>
    <r>
      <rPr>
        <i val="true"/>
        <sz val="10"/>
        <color rgb="FF595959"/>
        <rFont val="Noto Sans CJK SC"/>
        <family val="2"/>
      </rPr>
      <t xml:space="preserve">约</t>
    </r>
    <r>
      <rPr>
        <i val="true"/>
        <sz val="10"/>
        <color rgb="FF595959"/>
        <rFont val="Arial"/>
        <family val="0"/>
        <charset val="1"/>
      </rPr>
      <t xml:space="preserve">5</t>
    </r>
    <r>
      <rPr>
        <i val="true"/>
        <sz val="10"/>
        <color rgb="FF595959"/>
        <rFont val="Noto Sans CJK SC"/>
        <family val="2"/>
      </rPr>
      <t xml:space="preserve">个月</t>
    </r>
  </si>
  <si>
    <r>
      <rPr>
        <sz val="10"/>
        <color rgb="FF000000"/>
        <rFont val="Noto Sans CJK SC"/>
        <family val="2"/>
      </rPr>
      <t xml:space="preserve">估值基准日（</t>
    </r>
    <r>
      <rPr>
        <sz val="10"/>
        <color rgb="FF000000"/>
        <rFont val="Arial"/>
        <family val="0"/>
        <charset val="1"/>
      </rPr>
      <t xml:space="preserve">2026-12-31</t>
    </r>
    <r>
      <rPr>
        <sz val="10"/>
        <color rgb="FF000000"/>
        <rFont val="Noto Sans CJK SC"/>
        <family val="2"/>
      </rPr>
      <t xml:space="preserve">）距当前（</t>
    </r>
    <r>
      <rPr>
        <sz val="10"/>
        <color rgb="FF000000"/>
        <rFont val="Arial"/>
        <family val="0"/>
        <charset val="1"/>
      </rPr>
      <t xml:space="preserve">2026-09-30</t>
    </r>
    <r>
      <rPr>
        <sz val="10"/>
        <color rgb="FF000000"/>
        <rFont val="Noto Sans CJK SC"/>
        <family val="2"/>
      </rPr>
      <t xml:space="preserve">）年数</t>
    </r>
  </si>
  <si>
    <t xml:space="preserve">用于把年末每股价值折回当前</t>
  </si>
  <si>
    <r>
      <rPr>
        <sz val="10"/>
        <color rgb="FF000000"/>
        <rFont val="Arial"/>
        <family val="0"/>
        <charset val="1"/>
      </rPr>
      <t xml:space="preserve">2026</t>
    </r>
    <r>
      <rPr>
        <sz val="10"/>
        <color rgb="FF000000"/>
        <rFont val="Noto Sans CJK SC"/>
        <family val="2"/>
      </rPr>
      <t xml:space="preserve">年派发</t>
    </r>
    <r>
      <rPr>
        <sz val="10"/>
        <color rgb="FF000000"/>
        <rFont val="Arial"/>
        <family val="0"/>
        <charset val="1"/>
      </rPr>
      <t xml:space="preserve">2025</t>
    </r>
    <r>
      <rPr>
        <sz val="10"/>
        <color rgb="FF000000"/>
        <rFont val="Noto Sans CJK SC"/>
        <family val="2"/>
      </rPr>
      <t xml:space="preserve">年度现金股利</t>
    </r>
  </si>
  <si>
    <r>
      <rPr>
        <i val="true"/>
        <sz val="10"/>
        <color rgb="FF595959"/>
        <rFont val="Arial"/>
        <family val="0"/>
        <charset val="1"/>
      </rPr>
      <t xml:space="preserve">2025</t>
    </r>
    <r>
      <rPr>
        <i val="true"/>
        <sz val="10"/>
        <color rgb="FF595959"/>
        <rFont val="Noto Sans CJK SC"/>
        <family val="2"/>
      </rPr>
      <t xml:space="preserve">年度利润分配：每</t>
    </r>
    <r>
      <rPr>
        <i val="true"/>
        <sz val="10"/>
        <color rgb="FF595959"/>
        <rFont val="Arial"/>
        <family val="0"/>
        <charset val="1"/>
      </rPr>
      <t xml:space="preserve">10</t>
    </r>
    <r>
      <rPr>
        <i val="true"/>
        <sz val="10"/>
        <color rgb="FF595959"/>
        <rFont val="Noto Sans CJK SC"/>
        <family val="2"/>
      </rPr>
      <t xml:space="preserve">股派</t>
    </r>
    <r>
      <rPr>
        <i val="true"/>
        <sz val="10"/>
        <color rgb="FF595959"/>
        <rFont val="Arial"/>
        <family val="0"/>
        <charset val="1"/>
      </rPr>
      <t xml:space="preserve">4.50</t>
    </r>
    <r>
      <rPr>
        <i val="true"/>
        <sz val="10"/>
        <color rgb="FF595959"/>
        <rFont val="Noto Sans CJK SC"/>
        <family val="2"/>
      </rPr>
      <t xml:space="preserve">元，共</t>
    </r>
    <r>
      <rPr>
        <i val="true"/>
        <sz val="10"/>
        <color rgb="FF595959"/>
        <rFont val="Arial"/>
        <family val="0"/>
        <charset val="1"/>
      </rPr>
      <t xml:space="preserve">860,113,606.95</t>
    </r>
    <r>
      <rPr>
        <i val="true"/>
        <sz val="10"/>
        <color rgb="FF595959"/>
        <rFont val="Noto Sans CJK SC"/>
        <family val="2"/>
      </rPr>
      <t xml:space="preserve">元</t>
    </r>
  </si>
  <si>
    <r>
      <rPr>
        <sz val="10"/>
        <color rgb="FF000000"/>
        <rFont val="Noto Sans CJK SC"/>
        <family val="2"/>
      </rPr>
      <t xml:space="preserve">分红率（按上年归母净利润，</t>
    </r>
    <r>
      <rPr>
        <sz val="10"/>
        <color rgb="FF000000"/>
        <rFont val="Arial"/>
        <family val="0"/>
        <charset val="1"/>
      </rPr>
      <t xml:space="preserve">2027E</t>
    </r>
    <r>
      <rPr>
        <sz val="10"/>
        <color rgb="FF000000"/>
        <rFont val="Noto Sans CJK SC"/>
        <family val="2"/>
      </rPr>
      <t xml:space="preserve">起）</t>
    </r>
  </si>
  <si>
    <r>
      <rPr>
        <i val="true"/>
        <sz val="10"/>
        <color rgb="FF595959"/>
        <rFont val="Arial"/>
        <family val="0"/>
        <charset val="1"/>
      </rPr>
      <t xml:space="preserve">2024</t>
    </r>
    <r>
      <rPr>
        <i val="true"/>
        <sz val="10"/>
        <color rgb="FF595959"/>
        <rFont val="Noto Sans CJK SC"/>
        <family val="2"/>
      </rPr>
      <t xml:space="preserve">年度</t>
    </r>
    <r>
      <rPr>
        <i val="true"/>
        <sz val="10"/>
        <color rgb="FF595959"/>
        <rFont val="Arial"/>
        <family val="0"/>
        <charset val="1"/>
      </rPr>
      <t xml:space="preserve">33.2%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年度</t>
    </r>
    <r>
      <rPr>
        <i val="true"/>
        <sz val="10"/>
        <color rgb="FF595959"/>
        <rFont val="Arial"/>
        <family val="0"/>
        <charset val="1"/>
      </rPr>
      <t xml:space="preserve">32.9%</t>
    </r>
    <r>
      <rPr>
        <i val="true"/>
        <sz val="10"/>
        <color rgb="FF595959"/>
        <rFont val="Noto Sans CJK SC"/>
        <family val="2"/>
      </rPr>
      <t xml:space="preserve">（不含回购）</t>
    </r>
  </si>
  <si>
    <t xml:space="preserve">少数股东损益占净利润比例</t>
  </si>
  <si>
    <r>
      <rPr>
        <i val="true"/>
        <sz val="10"/>
        <color rgb="FF595959"/>
        <rFont val="Noto Sans CJK SC"/>
        <family val="2"/>
      </rPr>
      <t xml:space="preserve">历史接近</t>
    </r>
    <r>
      <rPr>
        <i val="true"/>
        <sz val="10"/>
        <color rgb="FF595959"/>
        <rFont val="Arial"/>
        <family val="0"/>
        <charset val="1"/>
      </rPr>
      <t xml:space="preserve">0</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t>
    </r>
    <r>
      <rPr>
        <i val="true"/>
        <sz val="10"/>
        <color rgb="FF595959"/>
        <rFont val="Arial"/>
        <family val="0"/>
        <charset val="1"/>
      </rPr>
      <t xml:space="preserve">-1.4</t>
    </r>
    <r>
      <rPr>
        <i val="true"/>
        <sz val="10"/>
        <color rgb="FF595959"/>
        <rFont val="Noto Sans CJK SC"/>
        <family val="2"/>
      </rPr>
      <t xml:space="preserve">百万元）</t>
    </r>
  </si>
  <si>
    <t xml:space="preserve">二、估值参数</t>
  </si>
  <si>
    <t xml:space="preserve">无风险利率</t>
  </si>
  <si>
    <r>
      <rPr>
        <i val="true"/>
        <sz val="10"/>
        <color rgb="FF595959"/>
        <rFont val="Noto Sans CJK SC"/>
        <family val="2"/>
      </rPr>
      <t xml:space="preserve">假设：中国</t>
    </r>
    <r>
      <rPr>
        <i val="true"/>
        <sz val="10"/>
        <color rgb="FF595959"/>
        <rFont val="Arial"/>
        <family val="0"/>
        <charset val="1"/>
      </rPr>
      <t xml:space="preserve">10</t>
    </r>
    <r>
      <rPr>
        <i val="true"/>
        <sz val="10"/>
        <color rgb="FF595959"/>
        <rFont val="Noto Sans CJK SC"/>
        <family val="2"/>
      </rPr>
      <t xml:space="preserve">年期国债收益率约</t>
    </r>
    <r>
      <rPr>
        <i val="true"/>
        <sz val="10"/>
        <color rgb="FF595959"/>
        <rFont val="Arial"/>
        <family val="0"/>
        <charset val="1"/>
      </rPr>
      <t xml:space="preserve">1.8%-1.9%</t>
    </r>
  </si>
  <si>
    <t xml:space="preserve">Beta</t>
  </si>
  <si>
    <t xml:space="preserve">假设值</t>
  </si>
  <si>
    <t xml:space="preserve">股权风险溢价</t>
  </si>
  <si>
    <t xml:space="preserve">税前债务成本</t>
  </si>
  <si>
    <r>
      <rPr>
        <i val="true"/>
        <sz val="10"/>
        <color rgb="FF595959"/>
        <rFont val="Arial"/>
        <family val="0"/>
        <charset val="1"/>
      </rPr>
      <t xml:space="preserve">2025</t>
    </r>
    <r>
      <rPr>
        <i val="true"/>
        <sz val="10"/>
        <color rgb="FF595959"/>
        <rFont val="Noto Sans CJK SC"/>
        <family val="2"/>
      </rPr>
      <t xml:space="preserve">年利息费用</t>
    </r>
    <r>
      <rPr>
        <i val="true"/>
        <sz val="10"/>
        <color rgb="FF595959"/>
        <rFont val="Arial"/>
        <family val="0"/>
        <charset val="1"/>
      </rPr>
      <t xml:space="preserve">20.4/</t>
    </r>
    <r>
      <rPr>
        <i val="true"/>
        <sz val="10"/>
        <color rgb="FF595959"/>
        <rFont val="Noto Sans CJK SC"/>
        <family val="2"/>
      </rPr>
      <t xml:space="preserve">平均有息负债约</t>
    </r>
    <r>
      <rPr>
        <i val="true"/>
        <sz val="10"/>
        <color rgb="FF595959"/>
        <rFont val="Arial"/>
        <family val="0"/>
        <charset val="1"/>
      </rPr>
      <t xml:space="preserve">507</t>
    </r>
    <r>
      <rPr>
        <i val="true"/>
        <sz val="10"/>
        <color rgb="FF595959"/>
        <rFont val="Noto Sans CJK SC"/>
        <family val="2"/>
      </rPr>
      <t xml:space="preserve">（约</t>
    </r>
    <r>
      <rPr>
        <i val="true"/>
        <sz val="10"/>
        <color rgb="FF595959"/>
        <rFont val="Arial"/>
        <family val="0"/>
        <charset val="1"/>
      </rPr>
      <t xml:space="preserve">4.0%</t>
    </r>
    <r>
      <rPr>
        <i val="true"/>
        <sz val="10"/>
        <color rgb="FF595959"/>
        <rFont val="Noto Sans CJK SC"/>
        <family val="2"/>
      </rPr>
      <t xml:space="preserve">），取</t>
    </r>
    <r>
      <rPr>
        <i val="true"/>
        <sz val="10"/>
        <color rgb="FF595959"/>
        <rFont val="Arial"/>
        <family val="0"/>
        <charset val="1"/>
      </rPr>
      <t xml:space="preserve">3.5%</t>
    </r>
  </si>
  <si>
    <r>
      <rPr>
        <sz val="10"/>
        <color rgb="FF000000"/>
        <rFont val="Noto Sans CJK SC"/>
        <family val="2"/>
      </rPr>
      <t xml:space="preserve">目标债务占比 </t>
    </r>
    <r>
      <rPr>
        <sz val="10"/>
        <color rgb="FF000000"/>
        <rFont val="Arial"/>
        <family val="0"/>
        <charset val="1"/>
      </rPr>
      <t xml:space="preserve">D/(D+E)</t>
    </r>
  </si>
  <si>
    <r>
      <rPr>
        <i val="true"/>
        <sz val="10"/>
        <color rgb="FF595959"/>
        <rFont val="Noto Sans CJK SC"/>
        <family val="2"/>
      </rPr>
      <t xml:space="preserve">公司净现金，取</t>
    </r>
    <r>
      <rPr>
        <i val="true"/>
        <sz val="10"/>
        <color rgb="FF595959"/>
        <rFont val="Arial"/>
        <family val="0"/>
        <charset val="1"/>
      </rPr>
      <t xml:space="preserve">2%</t>
    </r>
  </si>
  <si>
    <r>
      <rPr>
        <sz val="10"/>
        <color rgb="FF000000"/>
        <rFont val="Noto Sans CJK SC"/>
        <family val="2"/>
      </rPr>
      <t xml:space="preserve">第二阶段起点增速溢价（相对</t>
    </r>
    <r>
      <rPr>
        <sz val="10"/>
        <color rgb="FF000000"/>
        <rFont val="Arial"/>
        <family val="0"/>
        <charset val="1"/>
      </rPr>
      <t xml:space="preserve">2030E</t>
    </r>
    <r>
      <rPr>
        <sz val="10"/>
        <color rgb="FF000000"/>
        <rFont val="Noto Sans CJK SC"/>
        <family val="2"/>
      </rPr>
      <t xml:space="preserve">收入增速）</t>
    </r>
  </si>
  <si>
    <r>
      <rPr>
        <i val="true"/>
        <sz val="10"/>
        <color rgb="FF595959"/>
        <rFont val="Noto Sans CJK SC"/>
        <family val="2"/>
      </rPr>
      <t xml:space="preserve">第二阶段（</t>
    </r>
    <r>
      <rPr>
        <i val="true"/>
        <sz val="10"/>
        <color rgb="FF595959"/>
        <rFont val="Arial"/>
        <family val="0"/>
        <charset val="1"/>
      </rPr>
      <t xml:space="preserve">2031E-2035E</t>
    </r>
    <r>
      <rPr>
        <i val="true"/>
        <sz val="10"/>
        <color rgb="FF595959"/>
        <rFont val="Noto Sans CJK SC"/>
        <family val="2"/>
      </rPr>
      <t xml:space="preserve">）起点增速</t>
    </r>
    <r>
      <rPr>
        <i val="true"/>
        <sz val="10"/>
        <color rgb="FF595959"/>
        <rFont val="Arial"/>
        <family val="0"/>
        <charset val="1"/>
      </rPr>
      <t xml:space="preserve">=MAX(</t>
    </r>
    <r>
      <rPr>
        <i val="true"/>
        <sz val="10"/>
        <color rgb="FF595959"/>
        <rFont val="Noto Sans CJK SC"/>
        <family val="2"/>
      </rPr>
      <t xml:space="preserve">永续增速</t>
    </r>
    <r>
      <rPr>
        <i val="true"/>
        <sz val="10"/>
        <color rgb="FF595959"/>
        <rFont val="Arial"/>
        <family val="0"/>
        <charset val="1"/>
      </rPr>
      <t xml:space="preserve">, 2030E</t>
    </r>
    <r>
      <rPr>
        <i val="true"/>
        <sz val="10"/>
        <color rgb="FF595959"/>
        <rFont val="Noto Sans CJK SC"/>
        <family val="2"/>
      </rPr>
      <t xml:space="preserve">收入增速</t>
    </r>
    <r>
      <rPr>
        <i val="true"/>
        <sz val="10"/>
        <color rgb="FF595959"/>
        <rFont val="Arial"/>
        <family val="0"/>
        <charset val="1"/>
      </rPr>
      <t xml:space="preserve">)+</t>
    </r>
    <r>
      <rPr>
        <i val="true"/>
        <sz val="10"/>
        <color rgb="FF595959"/>
        <rFont val="Noto Sans CJK SC"/>
        <family val="2"/>
      </rPr>
      <t xml:space="preserve">本溢价，线性递减至终点；</t>
    </r>
    <r>
      <rPr>
        <i val="true"/>
        <sz val="10"/>
        <color rgb="FF595959"/>
        <rFont val="Arial"/>
        <family val="0"/>
        <charset val="1"/>
      </rPr>
      <t xml:space="preserve">FCFF=NOPAT×(1-</t>
    </r>
    <r>
      <rPr>
        <i val="true"/>
        <sz val="10"/>
        <color rgb="FF595959"/>
        <rFont val="Noto Sans CJK SC"/>
        <family val="2"/>
      </rPr>
      <t xml:space="preserve">增速</t>
    </r>
    <r>
      <rPr>
        <i val="true"/>
        <sz val="10"/>
        <color rgb="FF595959"/>
        <rFont val="Arial"/>
        <family val="0"/>
        <charset val="1"/>
      </rPr>
      <t xml:space="preserve">÷RONIC)</t>
    </r>
    <r>
      <rPr>
        <i val="true"/>
        <sz val="10"/>
        <color rgb="FF595959"/>
        <rFont val="Noto Sans CJK SC"/>
        <family val="2"/>
      </rPr>
      <t xml:space="preserve">。默认</t>
    </r>
    <r>
      <rPr>
        <i val="true"/>
        <sz val="10"/>
        <color rgb="FF595959"/>
        <rFont val="Arial"/>
        <family val="0"/>
        <charset val="1"/>
      </rPr>
      <t xml:space="preserve">0</t>
    </r>
    <r>
      <rPr>
        <i val="true"/>
        <sz val="10"/>
        <color rgb="FF595959"/>
        <rFont val="Noto Sans CJK SC"/>
        <family val="2"/>
      </rPr>
      <t xml:space="preserve">，即假设</t>
    </r>
    <r>
      <rPr>
        <i val="true"/>
        <sz val="10"/>
        <color rgb="FF595959"/>
        <rFont val="Arial"/>
        <family val="0"/>
        <charset val="1"/>
      </rPr>
      <t xml:space="preserve">2030</t>
    </r>
    <r>
      <rPr>
        <i val="true"/>
        <sz val="10"/>
        <color rgb="FF595959"/>
        <rFont val="Noto Sans CJK SC"/>
        <family val="2"/>
      </rPr>
      <t xml:space="preserve">年后不再提速</t>
    </r>
  </si>
  <si>
    <r>
      <rPr>
        <sz val="10"/>
        <color rgb="FF000000"/>
        <rFont val="Noto Sans CJK SC"/>
        <family val="2"/>
      </rPr>
      <t xml:space="preserve">第二阶段增速终点（</t>
    </r>
    <r>
      <rPr>
        <sz val="10"/>
        <color rgb="FF000000"/>
        <rFont val="Arial"/>
        <family val="0"/>
        <charset val="1"/>
      </rPr>
      <t xml:space="preserve">2035E</t>
    </r>
    <r>
      <rPr>
        <sz val="10"/>
        <color rgb="FF000000"/>
        <rFont val="Noto Sans CJK SC"/>
        <family val="2"/>
      </rPr>
      <t xml:space="preserve">）</t>
    </r>
  </si>
  <si>
    <t xml:space="preserve">不高于起点、不低于永续增速</t>
  </si>
  <si>
    <r>
      <rPr>
        <sz val="10"/>
        <color rgb="FF000000"/>
        <rFont val="Noto Sans CJK SC"/>
        <family val="2"/>
      </rPr>
      <t xml:space="preserve">新增投资资本回报率（</t>
    </r>
    <r>
      <rPr>
        <sz val="10"/>
        <color rgb="FF000000"/>
        <rFont val="Arial"/>
        <family val="0"/>
        <charset val="1"/>
      </rPr>
      <t xml:space="preserve">RONIC</t>
    </r>
    <r>
      <rPr>
        <sz val="10"/>
        <color rgb="FF000000"/>
        <rFont val="Noto Sans CJK SC"/>
        <family val="2"/>
      </rPr>
      <t xml:space="preserve">，第二阶段与永续期）</t>
    </r>
  </si>
  <si>
    <r>
      <rPr>
        <i val="true"/>
        <sz val="10"/>
        <color rgb="FF595959"/>
        <rFont val="Noto Sans CJK SC"/>
        <family val="2"/>
      </rPr>
      <t xml:space="preserve">再投资率</t>
    </r>
    <r>
      <rPr>
        <i val="true"/>
        <sz val="10"/>
        <color rgb="FF595959"/>
        <rFont val="Arial"/>
        <family val="0"/>
        <charset val="1"/>
      </rPr>
      <t xml:space="preserve">=</t>
    </r>
    <r>
      <rPr>
        <i val="true"/>
        <sz val="10"/>
        <color rgb="FF595959"/>
        <rFont val="Noto Sans CJK SC"/>
        <family val="2"/>
      </rPr>
      <t xml:space="preserve">增速</t>
    </r>
    <r>
      <rPr>
        <i val="true"/>
        <sz val="10"/>
        <color rgb="FF595959"/>
        <rFont val="Arial"/>
        <family val="0"/>
        <charset val="1"/>
      </rPr>
      <t xml:space="preserve">÷RONIC</t>
    </r>
    <r>
      <rPr>
        <i val="true"/>
        <sz val="10"/>
        <color rgb="FF595959"/>
        <rFont val="Noto Sans CJK SC"/>
        <family val="2"/>
      </rPr>
      <t xml:space="preserve">（价值驱动公式）；</t>
    </r>
    <r>
      <rPr>
        <i val="true"/>
        <sz val="10"/>
        <color rgb="FF595959"/>
        <rFont val="Arial"/>
        <family val="0"/>
        <charset val="1"/>
      </rPr>
      <t xml:space="preserve">2025A ROIC</t>
    </r>
    <r>
      <rPr>
        <i val="true"/>
        <sz val="10"/>
        <color rgb="FF595959"/>
        <rFont val="Noto Sans CJK SC"/>
        <family val="2"/>
      </rPr>
      <t xml:space="preserve">约</t>
    </r>
    <r>
      <rPr>
        <i val="true"/>
        <sz val="10"/>
        <color rgb="FF595959"/>
        <rFont val="Arial"/>
        <family val="0"/>
        <charset val="1"/>
      </rPr>
      <t xml:space="preserve">25.9%</t>
    </r>
    <r>
      <rPr>
        <i val="true"/>
        <sz val="10"/>
        <color rgb="FF595959"/>
        <rFont val="Noto Sans CJK SC"/>
        <family val="2"/>
      </rPr>
      <t xml:space="preserve">（含</t>
    </r>
    <r>
      <rPr>
        <i val="true"/>
        <sz val="10"/>
        <color rgb="FF595959"/>
        <rFont val="Arial"/>
        <family val="0"/>
        <charset val="1"/>
      </rPr>
      <t xml:space="preserve">H</t>
    </r>
    <r>
      <rPr>
        <i val="true"/>
        <sz val="10"/>
        <color rgb="FF595959"/>
        <rFont val="Noto Sans CJK SC"/>
        <family val="2"/>
      </rPr>
      <t xml:space="preserve">股前口径），</t>
    </r>
    <r>
      <rPr>
        <i val="true"/>
        <sz val="10"/>
        <color rgb="FF595959"/>
        <rFont val="Arial"/>
        <family val="0"/>
        <charset val="1"/>
      </rPr>
      <t xml:space="preserve">2026E-2030E</t>
    </r>
    <r>
      <rPr>
        <i val="true"/>
        <sz val="10"/>
        <color rgb="FF595959"/>
        <rFont val="Noto Sans CJK SC"/>
        <family val="2"/>
      </rPr>
      <t xml:space="preserve">约</t>
    </r>
    <r>
      <rPr>
        <i val="true"/>
        <sz val="10"/>
        <color rgb="FF595959"/>
        <rFont val="Arial"/>
        <family val="0"/>
        <charset val="1"/>
      </rPr>
      <t xml:space="preserve">37%-40%</t>
    </r>
  </si>
  <si>
    <r>
      <rPr>
        <sz val="10"/>
        <color rgb="FF000000"/>
        <rFont val="Noto Sans CJK SC"/>
        <family val="2"/>
      </rPr>
      <t xml:space="preserve">相对估值：</t>
    </r>
    <r>
      <rPr>
        <sz val="10"/>
        <color rgb="FF000000"/>
        <rFont val="Arial"/>
        <family val="0"/>
        <charset val="1"/>
      </rPr>
      <t xml:space="preserve">PE</t>
    </r>
    <r>
      <rPr>
        <sz val="10"/>
        <color rgb="FF000000"/>
        <rFont val="Noto Sans CJK SC"/>
        <family val="2"/>
      </rPr>
      <t xml:space="preserve">下限</t>
    </r>
  </si>
  <si>
    <t xml:space="preserve">可调</t>
  </si>
  <si>
    <r>
      <rPr>
        <sz val="10"/>
        <color rgb="FF000000"/>
        <rFont val="Noto Sans CJK SC"/>
        <family val="2"/>
      </rPr>
      <t xml:space="preserve">相对估值：</t>
    </r>
    <r>
      <rPr>
        <sz val="10"/>
        <color rgb="FF000000"/>
        <rFont val="Arial"/>
        <family val="0"/>
        <charset val="1"/>
      </rPr>
      <t xml:space="preserve">PE</t>
    </r>
    <r>
      <rPr>
        <sz val="10"/>
        <color rgb="FF000000"/>
        <rFont val="Noto Sans CJK SC"/>
        <family val="2"/>
      </rPr>
      <t xml:space="preserve">上限</t>
    </r>
  </si>
  <si>
    <t xml:space="preserve">三、税务与费用分摊参数</t>
  </si>
  <si>
    <t xml:space="preserve">法定适用税率（高新技术企业）</t>
  </si>
  <si>
    <r>
      <rPr>
        <i val="true"/>
        <sz val="10"/>
        <color rgb="FF595959"/>
        <rFont val="Noto Sans CJK SC"/>
        <family val="2"/>
      </rPr>
      <t xml:space="preserve">母公司及深圳、南充、德阳、苏州子公司为高新技术企业，成都、红河适用西部大开发，均为</t>
    </r>
    <r>
      <rPr>
        <i val="true"/>
        <sz val="10"/>
        <color rgb="FF595959"/>
        <rFont val="Arial"/>
        <family val="0"/>
        <charset val="1"/>
      </rPr>
      <t xml:space="preserve">15%</t>
    </r>
    <r>
      <rPr>
        <i val="true"/>
        <sz val="10"/>
        <color rgb="FF595959"/>
        <rFont val="Noto Sans CJK SC"/>
        <family val="2"/>
      </rPr>
      <t xml:space="preserve">；母公司与南充的高新证书</t>
    </r>
    <r>
      <rPr>
        <i val="true"/>
        <sz val="10"/>
        <color rgb="FF595959"/>
        <rFont val="Arial"/>
        <family val="0"/>
        <charset val="1"/>
      </rPr>
      <t xml:space="preserve">2025-12-31</t>
    </r>
    <r>
      <rPr>
        <i val="true"/>
        <sz val="10"/>
        <color rgb="FF595959"/>
        <rFont val="Noto Sans CJK SC"/>
        <family val="2"/>
      </rPr>
      <t xml:space="preserve">到期，</t>
    </r>
    <r>
      <rPr>
        <i val="true"/>
        <sz val="10"/>
        <color rgb="FF595959"/>
        <rFont val="Arial"/>
        <family val="0"/>
        <charset val="1"/>
      </rPr>
      <t xml:space="preserve">2026H1</t>
    </r>
    <r>
      <rPr>
        <i val="true"/>
        <sz val="10"/>
        <color rgb="FF595959"/>
        <rFont val="Noto Sans CJK SC"/>
        <family val="2"/>
      </rPr>
      <t xml:space="preserve">暂按</t>
    </r>
    <r>
      <rPr>
        <i val="true"/>
        <sz val="10"/>
        <color rgb="FF595959"/>
        <rFont val="Arial"/>
        <family val="0"/>
        <charset val="1"/>
      </rPr>
      <t xml:space="preserve">15%</t>
    </r>
    <r>
      <rPr>
        <i val="true"/>
        <sz val="10"/>
        <color rgb="FF595959"/>
        <rFont val="Noto Sans CJK SC"/>
        <family val="2"/>
      </rPr>
      <t xml:space="preserve">预缴，待复审（风险点）</t>
    </r>
  </si>
  <si>
    <t xml:space="preserve">研发费用加计扣除比例</t>
  </si>
  <si>
    <r>
      <rPr>
        <i val="true"/>
        <sz val="10"/>
        <color rgb="FF595959"/>
        <rFont val="Noto Sans CJK SC"/>
        <family val="2"/>
      </rPr>
      <t xml:space="preserve">财税〔</t>
    </r>
    <r>
      <rPr>
        <i val="true"/>
        <sz val="10"/>
        <color rgb="FF595959"/>
        <rFont val="Arial"/>
        <family val="0"/>
        <charset val="1"/>
      </rPr>
      <t xml:space="preserve">2023</t>
    </r>
    <r>
      <rPr>
        <i val="true"/>
        <sz val="10"/>
        <color rgb="FF595959"/>
        <rFont val="Noto Sans CJK SC"/>
        <family val="2"/>
      </rPr>
      <t xml:space="preserve">〕</t>
    </r>
    <r>
      <rPr>
        <i val="true"/>
        <sz val="10"/>
        <color rgb="FF595959"/>
        <rFont val="Arial"/>
        <family val="0"/>
        <charset val="1"/>
      </rPr>
      <t xml:space="preserve">7</t>
    </r>
    <r>
      <rPr>
        <i val="true"/>
        <sz val="10"/>
        <color rgb="FF595959"/>
        <rFont val="Noto Sans CJK SC"/>
        <family val="2"/>
      </rPr>
      <t xml:space="preserve">号：自</t>
    </r>
    <r>
      <rPr>
        <i val="true"/>
        <sz val="10"/>
        <color rgb="FF595959"/>
        <rFont val="Arial"/>
        <family val="0"/>
        <charset val="1"/>
      </rPr>
      <t xml:space="preserve">2023</t>
    </r>
    <r>
      <rPr>
        <i val="true"/>
        <sz val="10"/>
        <color rgb="FF595959"/>
        <rFont val="Noto Sans CJK SC"/>
        <family val="2"/>
      </rPr>
      <t xml:space="preserve">年起按</t>
    </r>
    <r>
      <rPr>
        <i val="true"/>
        <sz val="10"/>
        <color rgb="FF595959"/>
        <rFont val="Arial"/>
        <family val="0"/>
        <charset val="1"/>
      </rPr>
      <t xml:space="preserve">100%</t>
    </r>
    <r>
      <rPr>
        <i val="true"/>
        <sz val="10"/>
        <color rgb="FF595959"/>
        <rFont val="Noto Sans CJK SC"/>
        <family val="2"/>
      </rPr>
      <t xml:space="preserve">加计扣除</t>
    </r>
  </si>
  <si>
    <t xml:space="preserve">折旧摊销计入营业成本比例</t>
  </si>
  <si>
    <r>
      <rPr>
        <i val="true"/>
        <sz val="10"/>
        <color rgb="FF595959"/>
        <rFont val="Arial"/>
        <family val="0"/>
        <charset val="1"/>
      </rPr>
      <t xml:space="preserve">2025A</t>
    </r>
    <r>
      <rPr>
        <i val="true"/>
        <sz val="10"/>
        <color rgb="FF595959"/>
        <rFont val="Noto Sans CJK SC"/>
        <family val="2"/>
      </rPr>
      <t xml:space="preserve">：折旧摊销</t>
    </r>
    <r>
      <rPr>
        <i val="true"/>
        <sz val="10"/>
        <color rgb="FF595959"/>
        <rFont val="Arial"/>
        <family val="0"/>
        <charset val="1"/>
      </rPr>
      <t xml:space="preserve">740.4</t>
    </r>
    <r>
      <rPr>
        <i val="true"/>
        <sz val="10"/>
        <color rgb="FF595959"/>
        <rFont val="Noto Sans CJK SC"/>
        <family val="2"/>
      </rPr>
      <t xml:space="preserve">中，研发</t>
    </r>
    <r>
      <rPr>
        <i val="true"/>
        <sz val="10"/>
        <color rgb="FF595959"/>
        <rFont val="Arial"/>
        <family val="0"/>
        <charset val="1"/>
      </rPr>
      <t xml:space="preserve">37.3</t>
    </r>
    <r>
      <rPr>
        <i val="true"/>
        <sz val="10"/>
        <color rgb="FF595959"/>
        <rFont val="Noto Sans CJK SC"/>
        <family val="2"/>
      </rPr>
      <t xml:space="preserve">（</t>
    </r>
    <r>
      <rPr>
        <i val="true"/>
        <sz val="10"/>
        <color rgb="FF595959"/>
        <rFont val="Arial"/>
        <family val="0"/>
        <charset val="1"/>
      </rPr>
      <t xml:space="preserve">5.0%</t>
    </r>
    <r>
      <rPr>
        <i val="true"/>
        <sz val="10"/>
        <color rgb="FF595959"/>
        <rFont val="Noto Sans CJK SC"/>
        <family val="2"/>
      </rPr>
      <t xml:space="preserve">）、管理</t>
    </r>
    <r>
      <rPr>
        <i val="true"/>
        <sz val="10"/>
        <color rgb="FF595959"/>
        <rFont val="Arial"/>
        <family val="0"/>
        <charset val="1"/>
      </rPr>
      <t xml:space="preserve">79.8</t>
    </r>
    <r>
      <rPr>
        <i val="true"/>
        <sz val="10"/>
        <color rgb="FF595959"/>
        <rFont val="Noto Sans CJK SC"/>
        <family val="2"/>
      </rPr>
      <t xml:space="preserve">（</t>
    </r>
    <r>
      <rPr>
        <i val="true"/>
        <sz val="10"/>
        <color rgb="FF595959"/>
        <rFont val="Arial"/>
        <family val="0"/>
        <charset val="1"/>
      </rPr>
      <t xml:space="preserve">10.8%</t>
    </r>
    <r>
      <rPr>
        <i val="true"/>
        <sz val="10"/>
        <color rgb="FF595959"/>
        <rFont val="Noto Sans CJK SC"/>
        <family val="2"/>
      </rPr>
      <t xml:space="preserve">）、销售未单列；其余计入生产成本（倒挤）</t>
    </r>
  </si>
  <si>
    <t xml:space="preserve">折旧摊销计入研发费用比例</t>
  </si>
  <si>
    <r>
      <rPr>
        <i val="true"/>
        <sz val="10"/>
        <color rgb="FF595959"/>
        <rFont val="Arial"/>
        <family val="0"/>
        <charset val="1"/>
      </rPr>
      <t xml:space="preserve">2025A</t>
    </r>
    <r>
      <rPr>
        <i val="true"/>
        <sz val="10"/>
        <color rgb="FF595959"/>
        <rFont val="Noto Sans CJK SC"/>
        <family val="2"/>
      </rPr>
      <t xml:space="preserve">研发费用折旧摊销</t>
    </r>
    <r>
      <rPr>
        <i val="true"/>
        <sz val="10"/>
        <color rgb="FF595959"/>
        <rFont val="Arial"/>
        <family val="0"/>
        <charset val="1"/>
      </rPr>
      <t xml:space="preserve">37.3/740.4</t>
    </r>
  </si>
  <si>
    <t xml:space="preserve">折旧摊销计入销售费用比例</t>
  </si>
  <si>
    <t xml:space="preserve">销售费用附注未单列折旧摊销</t>
  </si>
  <si>
    <r>
      <rPr>
        <b val="true"/>
        <sz val="10"/>
        <color rgb="FF1F3864"/>
        <rFont val="Noto Sans CJK SC"/>
        <family val="2"/>
      </rPr>
      <t xml:space="preserve">四、敏感性冲击（默认</t>
    </r>
    <r>
      <rPr>
        <b val="true"/>
        <sz val="10"/>
        <color rgb="FF1F3864"/>
        <rFont val="Arial"/>
        <family val="0"/>
        <charset val="1"/>
      </rPr>
      <t xml:space="preserve">0</t>
    </r>
    <r>
      <rPr>
        <b val="true"/>
        <sz val="10"/>
        <color rgb="FF1F3864"/>
        <rFont val="Noto Sans CJK SC"/>
        <family val="2"/>
      </rPr>
      <t xml:space="preserve">；情景值之上叠加，用于龙卷风图与二维敏感性）</t>
    </r>
  </si>
  <si>
    <r>
      <rPr>
        <sz val="10"/>
        <color rgb="FF000000"/>
        <rFont val="Noto Sans CJK SC"/>
        <family val="2"/>
      </rPr>
      <t xml:space="preserve">电子元件销量增速冲击（</t>
    </r>
    <r>
      <rPr>
        <sz val="10"/>
        <color rgb="FF000000"/>
        <rFont val="Arial"/>
        <family val="0"/>
        <charset val="1"/>
      </rPr>
      <t xml:space="preserve">pp</t>
    </r>
    <r>
      <rPr>
        <sz val="10"/>
        <color rgb="FF000000"/>
        <rFont val="Noto Sans CJK SC"/>
        <family val="2"/>
      </rPr>
      <t xml:space="preserve">，逐年叠加）</t>
    </r>
  </si>
  <si>
    <r>
      <rPr>
        <i val="true"/>
        <sz val="10"/>
        <color rgb="FF595959"/>
        <rFont val="Noto Sans CJK SC"/>
        <family val="2"/>
      </rPr>
      <t xml:space="preserve">敏感性分析用；正常使用保持</t>
    </r>
    <r>
      <rPr>
        <i val="true"/>
        <sz val="10"/>
        <color rgb="FF595959"/>
        <rFont val="Arial"/>
        <family val="0"/>
        <charset val="1"/>
      </rPr>
      <t xml:space="preserve">0</t>
    </r>
  </si>
  <si>
    <r>
      <rPr>
        <sz val="10"/>
        <color rgb="FF000000"/>
        <rFont val="Noto Sans CJK SC"/>
        <family val="2"/>
      </rPr>
      <t xml:space="preserve">电子元件单价变动冲击（</t>
    </r>
    <r>
      <rPr>
        <sz val="10"/>
        <color rgb="FF000000"/>
        <rFont val="Arial"/>
        <family val="0"/>
        <charset val="1"/>
      </rPr>
      <t xml:space="preserve">pp</t>
    </r>
    <r>
      <rPr>
        <sz val="10"/>
        <color rgb="FF000000"/>
        <rFont val="Noto Sans CJK SC"/>
        <family val="2"/>
      </rPr>
      <t xml:space="preserve">，逐年叠加）</t>
    </r>
  </si>
  <si>
    <r>
      <rPr>
        <sz val="10"/>
        <color rgb="FF000000"/>
        <rFont val="Noto Sans CJK SC"/>
        <family val="2"/>
      </rPr>
      <t xml:space="preserve">通信器件销量增速冲击（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</si>
  <si>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通信器件单价变动冲击（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</si>
  <si>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其他电子及陶瓷材料增速冲击（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</si>
  <si>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全部分部毛利率冲击（</t>
    </r>
    <r>
      <rPr>
        <sz val="10"/>
        <color rgb="FF000000"/>
        <rFont val="Arial"/>
        <family val="0"/>
        <charset val="1"/>
      </rPr>
      <t xml:space="preserve">pp</t>
    </r>
    <r>
      <rPr>
        <sz val="10"/>
        <color rgb="FF000000"/>
        <rFont val="Noto Sans CJK SC"/>
        <family val="2"/>
      </rPr>
      <t xml:space="preserve">）</t>
    </r>
  </si>
  <si>
    <r>
      <rPr>
        <sz val="10"/>
        <color rgb="FF000000"/>
        <rFont val="Arial"/>
        <family val="0"/>
        <charset val="1"/>
      </rPr>
      <t xml:space="preserve">Bloom</t>
    </r>
    <r>
      <rPr>
        <sz val="10"/>
        <color rgb="FF000000"/>
        <rFont val="Noto Sans CJK SC"/>
        <family val="2"/>
      </rPr>
      <t xml:space="preserve">电池片层需求冲击（</t>
    </r>
    <r>
      <rPr>
        <sz val="10"/>
        <color rgb="FF000000"/>
        <rFont val="Arial"/>
        <family val="0"/>
        <charset val="1"/>
      </rPr>
      <t xml:space="preserve">%</t>
    </r>
    <r>
      <rPr>
        <sz val="10"/>
        <color rgb="FF000000"/>
        <rFont val="Noto Sans CJK SC"/>
        <family val="2"/>
      </rPr>
      <t xml:space="preserve">，乘数）</t>
    </r>
  </si>
  <si>
    <r>
      <rPr>
        <sz val="10"/>
        <color rgb="FF000000"/>
        <rFont val="Noto Sans CJK SC"/>
        <family val="2"/>
      </rPr>
      <t xml:space="preserve">三环隔膜片份额冲击（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</si>
  <si>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隔膜片单价冲击（</t>
    </r>
    <r>
      <rPr>
        <sz val="10"/>
        <color rgb="FF000000"/>
        <rFont val="Arial"/>
        <family val="0"/>
        <charset val="1"/>
      </rPr>
      <t xml:space="preserve">%</t>
    </r>
    <r>
      <rPr>
        <sz val="10"/>
        <color rgb="FF000000"/>
        <rFont val="Noto Sans CJK SC"/>
        <family val="2"/>
      </rPr>
      <t xml:space="preserve">，乘数）</t>
    </r>
  </si>
  <si>
    <r>
      <rPr>
        <sz val="10"/>
        <color rgb="FF000000"/>
        <rFont val="Noto Sans CJK SC"/>
        <family val="2"/>
      </rPr>
      <t xml:space="preserve">人均薪酬增速冲击（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</si>
  <si>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员工人数增速冲击（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</si>
  <si>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管理费用其他项占收入冲击（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</si>
  <si>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政府补助占收入冲击（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</si>
  <si>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资本开支冲击（</t>
    </r>
    <r>
      <rPr>
        <sz val="10"/>
        <color rgb="FF000000"/>
        <rFont val="Arial"/>
        <family val="0"/>
        <charset val="1"/>
      </rPr>
      <t xml:space="preserve">%</t>
    </r>
    <r>
      <rPr>
        <sz val="10"/>
        <color rgb="FF000000"/>
        <rFont val="Noto Sans CJK SC"/>
        <family val="2"/>
      </rPr>
      <t xml:space="preserve">，乘数）</t>
    </r>
  </si>
  <si>
    <r>
      <rPr>
        <sz val="10"/>
        <color rgb="FF000000"/>
        <rFont val="Noto Sans CJK SC"/>
        <family val="2"/>
      </rPr>
      <t xml:space="preserve">折旧率冲击（</t>
    </r>
    <r>
      <rPr>
        <sz val="10"/>
        <color rgb="FF000000"/>
        <rFont val="Arial"/>
        <family val="0"/>
        <charset val="1"/>
      </rPr>
      <t xml:space="preserve">%</t>
    </r>
    <r>
      <rPr>
        <sz val="10"/>
        <color rgb="FF000000"/>
        <rFont val="Noto Sans CJK SC"/>
        <family val="2"/>
      </rPr>
      <t xml:space="preserve">，乘数）</t>
    </r>
  </si>
  <si>
    <t xml:space="preserve">应收与产成品周转天数冲击（天）</t>
  </si>
  <si>
    <r>
      <rPr>
        <sz val="10"/>
        <color rgb="FF000000"/>
        <rFont val="Noto Sans CJK SC"/>
        <family val="2"/>
      </rPr>
      <t xml:space="preserve">存款及理财收益率冲击（</t>
    </r>
    <r>
      <rPr>
        <sz val="10"/>
        <color rgb="FF000000"/>
        <rFont val="Arial"/>
        <family val="0"/>
        <charset val="1"/>
      </rPr>
      <t xml:space="preserve">pp</t>
    </r>
    <r>
      <rPr>
        <sz val="10"/>
        <color rgb="FF000000"/>
        <rFont val="Noto Sans CJK SC"/>
        <family val="2"/>
      </rPr>
      <t xml:space="preserve">）</t>
    </r>
  </si>
  <si>
    <r>
      <rPr>
        <sz val="10"/>
        <color rgb="FF000000"/>
        <rFont val="Noto Sans CJK SC"/>
        <family val="2"/>
      </rPr>
      <t xml:space="preserve">实际税率冲击（</t>
    </r>
    <r>
      <rPr>
        <sz val="10"/>
        <color rgb="FF000000"/>
        <rFont val="Arial"/>
        <family val="0"/>
        <charset val="1"/>
      </rPr>
      <t xml:space="preserve">pp</t>
    </r>
    <r>
      <rPr>
        <sz val="10"/>
        <color rgb="FF000000"/>
        <rFont val="Noto Sans CJK SC"/>
        <family val="2"/>
      </rPr>
      <t xml:space="preserve">，计入其他调整）</t>
    </r>
  </si>
  <si>
    <r>
      <rPr>
        <sz val="10"/>
        <color rgb="FF000000"/>
        <rFont val="Arial"/>
        <family val="0"/>
        <charset val="1"/>
      </rPr>
      <t xml:space="preserve">2026E</t>
    </r>
    <r>
      <rPr>
        <sz val="10"/>
        <color rgb="FF000000"/>
        <rFont val="Noto Sans CJK SC"/>
        <family val="2"/>
      </rPr>
      <t xml:space="preserve">权重（上半年已实现，只对下半年生效）</t>
    </r>
  </si>
  <si>
    <r>
      <rPr>
        <i val="true"/>
        <sz val="10"/>
        <color rgb="FF595959"/>
        <rFont val="Arial"/>
        <family val="0"/>
        <charset val="1"/>
      </rPr>
      <t xml:space="preserve">2026E</t>
    </r>
    <r>
      <rPr>
        <i val="true"/>
        <sz val="10"/>
        <color rgb="FF595959"/>
        <rFont val="Noto Sans CJK SC"/>
        <family val="2"/>
      </rPr>
      <t xml:space="preserve">列的敏感性冲击与乐观</t>
    </r>
    <r>
      <rPr>
        <i val="true"/>
        <sz val="10"/>
        <color rgb="FF595959"/>
        <rFont val="Arial"/>
        <family val="0"/>
        <charset val="1"/>
      </rPr>
      <t xml:space="preserve">/</t>
    </r>
    <r>
      <rPr>
        <i val="true"/>
        <sz val="10"/>
        <color rgb="FF595959"/>
        <rFont val="Noto Sans CJK SC"/>
        <family val="2"/>
      </rPr>
      <t xml:space="preserve">悲观情景相对基准的差额均乘以该权重（周转天数冲击作用于年末余额，不加权）；</t>
    </r>
    <r>
      <rPr>
        <i val="true"/>
        <sz val="10"/>
        <color rgb="FF595959"/>
        <rFont val="Arial"/>
        <family val="0"/>
        <charset val="1"/>
      </rPr>
      <t xml:space="preserve">2027E</t>
    </r>
    <r>
      <rPr>
        <i val="true"/>
        <sz val="10"/>
        <color rgb="FF595959"/>
        <rFont val="Noto Sans CJK SC"/>
        <family val="2"/>
      </rPr>
      <t xml:space="preserve">起全额生效</t>
    </r>
  </si>
  <si>
    <t xml:space="preserve">逐年假设</t>
  </si>
  <si>
    <t xml:space="preserve">单位</t>
  </si>
  <si>
    <t xml:space="preserve">2021A</t>
  </si>
  <si>
    <t xml:space="preserve">2022A</t>
  </si>
  <si>
    <r>
      <rPr>
        <b val="true"/>
        <sz val="10"/>
        <color rgb="FFFFFFFF"/>
        <rFont val="Noto Sans CJK SC"/>
        <family val="2"/>
      </rPr>
      <t xml:space="preserve">来源</t>
    </r>
    <r>
      <rPr>
        <b val="true"/>
        <sz val="10"/>
        <color rgb="FFFFFFFF"/>
        <rFont val="Arial"/>
        <family val="0"/>
        <charset val="1"/>
      </rPr>
      <t xml:space="preserve">/</t>
    </r>
    <r>
      <rPr>
        <b val="true"/>
        <sz val="10"/>
        <color rgb="FFFFFFFF"/>
        <rFont val="Noto Sans CJK SC"/>
        <family val="2"/>
      </rPr>
      <t xml:space="preserve">说明</t>
    </r>
  </si>
  <si>
    <r>
      <rPr>
        <b val="true"/>
        <sz val="10"/>
        <color rgb="FF1F3864"/>
        <rFont val="Noto Sans CJK SC"/>
        <family val="2"/>
      </rPr>
      <t xml:space="preserve">五、收入：量价拆分（电子元件</t>
    </r>
    <r>
      <rPr>
        <b val="true"/>
        <sz val="10"/>
        <color rgb="FF1F3864"/>
        <rFont val="Arial"/>
        <family val="0"/>
        <charset val="1"/>
      </rPr>
      <t xml:space="preserve">=MLCC</t>
    </r>
    <r>
      <rPr>
        <b val="true"/>
        <sz val="10"/>
        <color rgb="FF1F3864"/>
        <rFont val="Noto Sans CJK SC"/>
        <family val="2"/>
      </rPr>
      <t xml:space="preserve">、陶瓷封装基座、电阻等；通信器件</t>
    </r>
    <r>
      <rPr>
        <b val="true"/>
        <sz val="10"/>
        <color rgb="FF1F3864"/>
        <rFont val="Arial"/>
        <family val="0"/>
        <charset val="1"/>
      </rPr>
      <t xml:space="preserve">=</t>
    </r>
    <r>
      <rPr>
        <b val="true"/>
        <sz val="10"/>
        <color rgb="FF1F3864"/>
        <rFont val="Noto Sans CJK SC"/>
        <family val="2"/>
      </rPr>
      <t xml:space="preserve">插芯、套筒等光通信产品）</t>
    </r>
  </si>
  <si>
    <t xml:space="preserve">  电子元件 销量增速—基准</t>
  </si>
  <si>
    <t xml:space="preserve">%</t>
  </si>
  <si>
    <t xml:space="preserve">  电子元件 销量增速—乐观</t>
  </si>
  <si>
    <t xml:space="preserve">  电子元件 销量增速—悲观</t>
  </si>
  <si>
    <t xml:space="preserve">电子元件 销量增速（采用值）</t>
  </si>
  <si>
    <r>
      <rPr>
        <i val="true"/>
        <sz val="10"/>
        <color rgb="FF595959"/>
        <rFont val="Noto Sans CJK SC"/>
        <family val="2"/>
      </rPr>
      <t xml:space="preserve">公司口径销量（万只）</t>
    </r>
    <r>
      <rPr>
        <i val="true"/>
        <sz val="10"/>
        <color rgb="FF595959"/>
        <rFont val="Arial"/>
        <family val="0"/>
        <charset val="1"/>
      </rPr>
      <t xml:space="preserve">2025A +39.7%</t>
    </r>
    <r>
      <rPr>
        <i val="true"/>
        <sz val="10"/>
        <color rgb="FF595959"/>
        <rFont val="Noto Sans CJK SC"/>
        <family val="2"/>
      </rPr>
      <t xml:space="preserve">、</t>
    </r>
    <r>
      <rPr>
        <i val="true"/>
        <sz val="10"/>
        <color rgb="FF595959"/>
        <rFont val="Arial"/>
        <family val="0"/>
        <charset val="1"/>
      </rPr>
      <t xml:space="preserve">2024A +32.9%</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电子、通信元件及材料”</t>
    </r>
    <r>
      <rPr>
        <i val="true"/>
        <sz val="10"/>
        <color rgb="FF595959"/>
        <rFont val="Arial"/>
        <family val="0"/>
        <charset val="1"/>
      </rPr>
      <t xml:space="preserve">+55%</t>
    </r>
    <r>
      <rPr>
        <i val="true"/>
        <sz val="10"/>
        <color rgb="FF595959"/>
        <rFont val="Noto Sans CJK SC"/>
        <family val="2"/>
      </rPr>
      <t xml:space="preserve">（可比口径），</t>
    </r>
    <r>
      <rPr>
        <i val="true"/>
        <sz val="10"/>
        <color rgb="FF595959"/>
        <rFont val="Arial"/>
        <family val="0"/>
        <charset val="1"/>
      </rPr>
      <t xml:space="preserve">2026Q2</t>
    </r>
    <r>
      <rPr>
        <i val="true"/>
        <sz val="10"/>
        <color rgb="FF595959"/>
        <rFont val="Noto Sans CJK SC"/>
        <family val="2"/>
      </rPr>
      <t xml:space="preserve">单季收入</t>
    </r>
    <r>
      <rPr>
        <i val="true"/>
        <sz val="10"/>
        <color rgb="FF595959"/>
        <rFont val="Arial"/>
        <family val="0"/>
        <charset val="1"/>
      </rPr>
      <t xml:space="preserve">3,742</t>
    </r>
    <r>
      <rPr>
        <i val="true"/>
        <sz val="10"/>
        <color rgb="FF595959"/>
        <rFont val="Noto Sans CJK SC"/>
        <family val="2"/>
      </rPr>
      <t xml:space="preserve">；</t>
    </r>
    <r>
      <rPr>
        <i val="true"/>
        <sz val="10"/>
        <color rgb="FF595959"/>
        <rFont val="Arial"/>
        <family val="0"/>
        <charset val="1"/>
      </rPr>
      <t xml:space="preserve">2026E</t>
    </r>
    <r>
      <rPr>
        <i val="true"/>
        <sz val="10"/>
        <color rgb="FF595959"/>
        <rFont val="Noto Sans CJK SC"/>
        <family val="2"/>
      </rPr>
      <t xml:space="preserve">按下半年</t>
    </r>
    <r>
      <rPr>
        <i val="true"/>
        <sz val="10"/>
        <color rgb="FF595959"/>
        <rFont val="Arial"/>
        <family val="0"/>
        <charset val="1"/>
      </rPr>
      <t xml:space="preserve">/</t>
    </r>
    <r>
      <rPr>
        <i val="true"/>
        <sz val="10"/>
        <color rgb="FF595959"/>
        <rFont val="Noto Sans CJK SC"/>
        <family val="2"/>
      </rPr>
      <t xml:space="preserve">上半年约</t>
    </r>
    <r>
      <rPr>
        <i val="true"/>
        <sz val="10"/>
        <color rgb="FF595959"/>
        <rFont val="Arial"/>
        <family val="0"/>
        <charset val="1"/>
      </rPr>
      <t xml:space="preserve">1.16</t>
    </r>
    <r>
      <rPr>
        <i val="true"/>
        <sz val="10"/>
        <color rgb="FF595959"/>
        <rFont val="Noto Sans CJK SC"/>
        <family val="2"/>
      </rPr>
      <t xml:space="preserve">倍（</t>
    </r>
    <r>
      <rPr>
        <i val="true"/>
        <sz val="10"/>
        <color rgb="FF595959"/>
        <rFont val="Arial"/>
        <family val="0"/>
        <charset val="1"/>
      </rPr>
      <t xml:space="preserve">2024-2025</t>
    </r>
    <r>
      <rPr>
        <i val="true"/>
        <sz val="10"/>
        <color rgb="FF595959"/>
        <rFont val="Noto Sans CJK SC"/>
        <family val="2"/>
      </rPr>
      <t xml:space="preserve">年为</t>
    </r>
    <r>
      <rPr>
        <i val="true"/>
        <sz val="10"/>
        <color rgb="FF595959"/>
        <rFont val="Arial"/>
        <family val="0"/>
        <charset val="1"/>
      </rPr>
      <t xml:space="preserve">1.15-1.17</t>
    </r>
    <r>
      <rPr>
        <i val="true"/>
        <sz val="10"/>
        <color rgb="FF595959"/>
        <rFont val="Noto Sans CJK SC"/>
        <family val="2"/>
      </rPr>
      <t xml:space="preserve">倍）标定</t>
    </r>
  </si>
  <si>
    <t xml:space="preserve">  电子元件 单价变动—基准</t>
  </si>
  <si>
    <t xml:space="preserve">  电子元件 单价变动—乐观</t>
  </si>
  <si>
    <t xml:space="preserve">  电子元件 单价变动—悲观</t>
  </si>
  <si>
    <t xml:space="preserve">电子元件 单价变动（采用值）</t>
  </si>
  <si>
    <r>
      <rPr>
        <i val="true"/>
        <sz val="10"/>
        <color rgb="FF595959"/>
        <rFont val="Noto Sans CJK SC"/>
        <family val="2"/>
      </rPr>
      <t xml:space="preserve">产业链调研（</t>
    </r>
    <r>
      <rPr>
        <i val="true"/>
        <sz val="10"/>
        <color rgb="FF595959"/>
        <rFont val="Arial"/>
        <family val="0"/>
        <charset val="1"/>
      </rPr>
      <t xml:space="preserve">2026-06-11</t>
    </r>
    <r>
      <rPr>
        <i val="true"/>
        <sz val="10"/>
        <color rgb="FF595959"/>
        <rFont val="Noto Sans CJK SC"/>
        <family val="2"/>
      </rPr>
      <t xml:space="preserve">）：国内</t>
    </r>
    <r>
      <rPr>
        <i val="true"/>
        <sz val="10"/>
        <color rgb="FF595959"/>
        <rFont val="Arial"/>
        <family val="0"/>
        <charset val="1"/>
      </rPr>
      <t xml:space="preserve">MLCC</t>
    </r>
    <r>
      <rPr>
        <i val="true"/>
        <sz val="10"/>
        <color rgb="FF595959"/>
        <rFont val="Noto Sans CJK SC"/>
        <family val="2"/>
      </rPr>
      <t xml:space="preserve">涨价集中在高容产品，低容不涨；结构升级带来均价上行</t>
    </r>
  </si>
  <si>
    <t xml:space="preserve">  通信器件 销量增速—基准</t>
  </si>
  <si>
    <t xml:space="preserve">  通信器件 销量增速—乐观</t>
  </si>
  <si>
    <t xml:space="preserve">  通信器件 销量增速—悲观</t>
  </si>
  <si>
    <t xml:space="preserve">通信器件 销量增速（采用值）</t>
  </si>
  <si>
    <r>
      <rPr>
        <i val="true"/>
        <sz val="10"/>
        <color rgb="FF595959"/>
        <rFont val="Arial"/>
        <family val="0"/>
        <charset val="1"/>
      </rPr>
      <t xml:space="preserve">2025A</t>
    </r>
    <r>
      <rPr>
        <i val="true"/>
        <sz val="10"/>
        <color rgb="FF595959"/>
        <rFont val="Noto Sans CJK SC"/>
        <family val="2"/>
      </rPr>
      <t xml:space="preserve">通信器件收入</t>
    </r>
    <r>
      <rPr>
        <i val="true"/>
        <sz val="10"/>
        <color rgb="FF595959"/>
        <rFont val="Arial"/>
        <family val="0"/>
        <charset val="1"/>
      </rPr>
      <t xml:space="preserve">+12.5%</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插芯、套筒等光通信产品随数据中心光模块需求快速增长</t>
    </r>
  </si>
  <si>
    <t xml:space="preserve">  通信器件 单价变动—基准</t>
  </si>
  <si>
    <t xml:space="preserve">  通信器件 单价变动—乐观</t>
  </si>
  <si>
    <t xml:space="preserve">  通信器件 单价变动—悲观</t>
  </si>
  <si>
    <t xml:space="preserve">通信器件 单价变动（采用值）</t>
  </si>
  <si>
    <r>
      <rPr>
        <i val="true"/>
        <sz val="10"/>
        <color rgb="FF595959"/>
        <rFont val="Noto Sans CJK SC"/>
        <family val="2"/>
      </rPr>
      <t xml:space="preserve">成熟光无源器件年降价</t>
    </r>
    <r>
      <rPr>
        <i val="true"/>
        <sz val="10"/>
        <color rgb="FF595959"/>
        <rFont val="Arial"/>
        <family val="0"/>
        <charset val="1"/>
      </rPr>
      <t xml:space="preserve">3%-5%</t>
    </r>
    <r>
      <rPr>
        <i val="true"/>
        <sz val="10"/>
        <color rgb="FF595959"/>
        <rFont val="Noto Sans CJK SC"/>
        <family val="2"/>
      </rPr>
      <t xml:space="preserve">为行业惯例（假设）</t>
    </r>
  </si>
  <si>
    <r>
      <rPr>
        <sz val="10"/>
        <color rgb="FF595959"/>
        <rFont val="Noto Sans CJK SC"/>
        <family val="2"/>
      </rPr>
      <t xml:space="preserve">  其他电子及陶瓷材料（不含</t>
    </r>
    <r>
      <rPr>
        <sz val="10"/>
        <color rgb="FF595959"/>
        <rFont val="Arial"/>
        <family val="0"/>
        <charset val="1"/>
      </rPr>
      <t xml:space="preserve">SOFC</t>
    </r>
    <r>
      <rPr>
        <sz val="10"/>
        <color rgb="FF595959"/>
        <rFont val="Noto Sans CJK SC"/>
        <family val="2"/>
      </rPr>
      <t xml:space="preserve">）增速—基准</t>
    </r>
  </si>
  <si>
    <r>
      <rPr>
        <sz val="10"/>
        <color rgb="FF595959"/>
        <rFont val="Noto Sans CJK SC"/>
        <family val="2"/>
      </rPr>
      <t xml:space="preserve">  其他电子及陶瓷材料（不含</t>
    </r>
    <r>
      <rPr>
        <sz val="10"/>
        <color rgb="FF595959"/>
        <rFont val="Arial"/>
        <family val="0"/>
        <charset val="1"/>
      </rPr>
      <t xml:space="preserve">SOFC</t>
    </r>
    <r>
      <rPr>
        <sz val="10"/>
        <color rgb="FF595959"/>
        <rFont val="Noto Sans CJK SC"/>
        <family val="2"/>
      </rPr>
      <t xml:space="preserve">）增速—乐观</t>
    </r>
  </si>
  <si>
    <r>
      <rPr>
        <sz val="10"/>
        <color rgb="FF595959"/>
        <rFont val="Noto Sans CJK SC"/>
        <family val="2"/>
      </rPr>
      <t xml:space="preserve">  其他电子及陶瓷材料（不含</t>
    </r>
    <r>
      <rPr>
        <sz val="10"/>
        <color rgb="FF595959"/>
        <rFont val="Arial"/>
        <family val="0"/>
        <charset val="1"/>
      </rPr>
      <t xml:space="preserve">SOFC</t>
    </r>
    <r>
      <rPr>
        <sz val="10"/>
        <color rgb="FF595959"/>
        <rFont val="Noto Sans CJK SC"/>
        <family val="2"/>
      </rPr>
      <t xml:space="preserve">）增速—悲观</t>
    </r>
  </si>
  <si>
    <r>
      <rPr>
        <b val="true"/>
        <sz val="10"/>
        <color rgb="FF000000"/>
        <rFont val="Noto Sans CJK SC"/>
        <family val="2"/>
      </rPr>
      <t xml:space="preserve">其他电子及陶瓷材料（不含</t>
    </r>
    <r>
      <rPr>
        <b val="true"/>
        <sz val="10"/>
        <color rgb="FF000000"/>
        <rFont val="Arial"/>
        <family val="0"/>
        <charset val="1"/>
      </rPr>
      <t xml:space="preserve">SOFC</t>
    </r>
    <r>
      <rPr>
        <b val="true"/>
        <sz val="10"/>
        <color rgb="FF000000"/>
        <rFont val="Noto Sans CJK SC"/>
        <family val="2"/>
      </rPr>
      <t xml:space="preserve">）增速（采用值）</t>
    </r>
  </si>
  <si>
    <r>
      <rPr>
        <i val="true"/>
        <sz val="10"/>
        <color rgb="FF595959"/>
        <rFont val="Arial"/>
        <family val="0"/>
        <charset val="1"/>
      </rPr>
      <t xml:space="preserve">2025A</t>
    </r>
    <r>
      <rPr>
        <i val="true"/>
        <sz val="10"/>
        <color rgb="FF595959"/>
        <rFont val="Noto Sans CJK SC"/>
        <family val="2"/>
      </rPr>
      <t xml:space="preserve">分部整体</t>
    </r>
    <r>
      <rPr>
        <i val="true"/>
        <sz val="10"/>
        <color rgb="FF595959"/>
        <rFont val="Arial"/>
        <family val="0"/>
        <charset val="1"/>
      </rPr>
      <t xml:space="preserve">+16.8%</t>
    </r>
    <r>
      <rPr>
        <i val="true"/>
        <sz val="10"/>
        <color rgb="FF595959"/>
        <rFont val="Noto Sans CJK SC"/>
        <family val="2"/>
      </rPr>
      <t xml:space="preserve">（含</t>
    </r>
    <r>
      <rPr>
        <i val="true"/>
        <sz val="10"/>
        <color rgb="FF595959"/>
        <rFont val="Arial"/>
        <family val="0"/>
        <charset val="1"/>
      </rPr>
      <t xml:space="preserve">SOFC</t>
    </r>
    <r>
      <rPr>
        <i val="true"/>
        <sz val="10"/>
        <color rgb="FF595959"/>
        <rFont val="Noto Sans CJK SC"/>
        <family val="2"/>
      </rPr>
      <t xml:space="preserve">隔膜片）</t>
    </r>
  </si>
  <si>
    <t xml:space="preserve">  设备组件 收入增速—基准</t>
  </si>
  <si>
    <t xml:space="preserve">  设备组件 收入增速—乐观</t>
  </si>
  <si>
    <t xml:space="preserve">  设备组件 收入增速—悲观</t>
  </si>
  <si>
    <t xml:space="preserve">设备组件 收入增速（采用值）</t>
  </si>
  <si>
    <t xml:space="preserve">2025A +12.1%</t>
  </si>
  <si>
    <t xml:space="preserve">  其他主营 收入增速—基准</t>
  </si>
  <si>
    <t xml:space="preserve">  其他主营 收入增速—乐观</t>
  </si>
  <si>
    <t xml:space="preserve">  其他主营 收入增速—悲观</t>
  </si>
  <si>
    <t xml:space="preserve">其他主营 收入增速（采用值）</t>
  </si>
  <si>
    <r>
      <rPr>
        <i val="true"/>
        <sz val="10"/>
        <color rgb="FF595959"/>
        <rFont val="Arial"/>
        <family val="0"/>
        <charset val="1"/>
      </rPr>
      <t xml:space="preserve">2025A -9.6%</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半年报“其他”（其他主营</t>
    </r>
    <r>
      <rPr>
        <i val="true"/>
        <sz val="10"/>
        <color rgb="FF595959"/>
        <rFont val="Arial"/>
        <family val="0"/>
        <charset val="1"/>
      </rPr>
      <t xml:space="preserve">+</t>
    </r>
    <r>
      <rPr>
        <i val="true"/>
        <sz val="10"/>
        <color rgb="FF595959"/>
        <rFont val="Noto Sans CJK SC"/>
        <family val="2"/>
      </rPr>
      <t xml:space="preserve">其他业务）</t>
    </r>
    <r>
      <rPr>
        <i val="true"/>
        <sz val="10"/>
        <color rgb="FF595959"/>
        <rFont val="Arial"/>
        <family val="0"/>
        <charset val="1"/>
      </rPr>
      <t xml:space="preserve">342.6</t>
    </r>
    <r>
      <rPr>
        <i val="true"/>
        <sz val="10"/>
        <color rgb="FF595959"/>
        <rFont val="Noto Sans CJK SC"/>
        <family val="2"/>
      </rPr>
      <t xml:space="preserve">，对</t>
    </r>
    <r>
      <rPr>
        <i val="true"/>
        <sz val="10"/>
        <color rgb="FF595959"/>
        <rFont val="Arial"/>
        <family val="0"/>
        <charset val="1"/>
      </rPr>
      <t xml:space="preserve">2025H1</t>
    </r>
    <r>
      <rPr>
        <i val="true"/>
        <sz val="10"/>
        <color rgb="FF595959"/>
        <rFont val="Noto Sans CJK SC"/>
        <family val="2"/>
      </rPr>
      <t xml:space="preserve">可比约</t>
    </r>
    <r>
      <rPr>
        <i val="true"/>
        <sz val="10"/>
        <color rgb="FF595959"/>
        <rFont val="Arial"/>
        <family val="0"/>
        <charset val="1"/>
      </rPr>
      <t xml:space="preserve">225.0</t>
    </r>
    <r>
      <rPr>
        <i val="true"/>
        <sz val="10"/>
        <color rgb="FF595959"/>
        <rFont val="Noto Sans CJK SC"/>
        <family val="2"/>
      </rPr>
      <t xml:space="preserve">增长约</t>
    </r>
    <r>
      <rPr>
        <i val="true"/>
        <sz val="10"/>
        <color rgb="FF595959"/>
        <rFont val="Arial"/>
        <family val="0"/>
        <charset val="1"/>
      </rPr>
      <t xml:space="preserve">52%</t>
    </r>
    <r>
      <rPr>
        <i val="true"/>
        <sz val="10"/>
        <color rgb="FF595959"/>
        <rFont val="Noto Sans CJK SC"/>
        <family val="2"/>
      </rPr>
      <t xml:space="preserve">（新口径下设备组件已并入主营大类）</t>
    </r>
  </si>
  <si>
    <t xml:space="preserve">  其他业务 收入—基准</t>
  </si>
  <si>
    <t xml:space="preserve">百万元</t>
  </si>
  <si>
    <t xml:space="preserve">  其他业务 收入—乐观</t>
  </si>
  <si>
    <t xml:space="preserve">  其他业务 收入—悲观</t>
  </si>
  <si>
    <t xml:space="preserve">其他业务 收入（采用值）</t>
  </si>
  <si>
    <r>
      <rPr>
        <i val="true"/>
        <sz val="10"/>
        <color rgb="FF595959"/>
        <rFont val="Arial"/>
        <family val="0"/>
        <charset val="1"/>
      </rPr>
      <t xml:space="preserve">2025A 138.6</t>
    </r>
    <r>
      <rPr>
        <i val="true"/>
        <sz val="10"/>
        <color rgb="FF595959"/>
        <rFont val="Noto Sans CJK SC"/>
        <family val="2"/>
      </rPr>
      <t xml:space="preserve">（</t>
    </r>
    <r>
      <rPr>
        <i val="true"/>
        <sz val="10"/>
        <color rgb="FF595959"/>
        <rFont val="Arial"/>
        <family val="0"/>
        <charset val="1"/>
      </rPr>
      <t xml:space="preserve">2024A 108.9</t>
    </r>
    <r>
      <rPr>
        <i val="true"/>
        <sz val="10"/>
        <color rgb="FF595959"/>
        <rFont val="Noto Sans CJK SC"/>
        <family val="2"/>
      </rPr>
      <t xml:space="preserve">）；按“其他”合计约</t>
    </r>
    <r>
      <rPr>
        <i val="true"/>
        <sz val="10"/>
        <color rgb="FF595959"/>
        <rFont val="Arial"/>
        <family val="0"/>
        <charset val="1"/>
      </rPr>
      <t xml:space="preserve">+30%</t>
    </r>
    <r>
      <rPr>
        <i val="true"/>
        <sz val="10"/>
        <color rgb="FF595959"/>
        <rFont val="Noto Sans CJK SC"/>
        <family val="2"/>
      </rPr>
      <t xml:space="preserve">推算</t>
    </r>
  </si>
  <si>
    <t xml:space="preserve">境外收入占比</t>
  </si>
  <si>
    <r>
      <rPr>
        <i val="true"/>
        <sz val="10"/>
        <color rgb="FF595959"/>
        <rFont val="Noto Sans CJK SC"/>
        <family val="2"/>
      </rPr>
      <t xml:space="preserve">年报</t>
    </r>
    <r>
      <rPr>
        <i val="true"/>
        <sz val="10"/>
        <color rgb="FF595959"/>
        <rFont val="Arial"/>
        <family val="0"/>
        <charset val="1"/>
      </rPr>
      <t xml:space="preserve">2022-2023A</t>
    </r>
    <r>
      <rPr>
        <i val="true"/>
        <sz val="10"/>
        <color rgb="FF595959"/>
        <rFont val="Noto Sans CJK SC"/>
        <family val="2"/>
      </rPr>
      <t xml:space="preserve">为</t>
    </r>
    <r>
      <rPr>
        <i val="true"/>
        <sz val="10"/>
        <color rgb="FF595959"/>
        <rFont val="Arial"/>
        <family val="0"/>
        <charset val="1"/>
      </rPr>
      <t xml:space="preserve">21.1%/20.1%</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年起年报不再披露地区拆分，</t>
    </r>
    <r>
      <rPr>
        <i val="true"/>
        <sz val="10"/>
        <color rgb="FF595959"/>
        <rFont val="Arial"/>
        <family val="0"/>
        <charset val="1"/>
      </rPr>
      <t xml:space="preserve">2024-2025A</t>
    </r>
    <r>
      <rPr>
        <i val="true"/>
        <sz val="10"/>
        <color rgb="FF595959"/>
        <rFont val="Noto Sans CJK SC"/>
        <family val="2"/>
      </rPr>
      <t xml:space="preserve">取</t>
    </r>
    <r>
      <rPr>
        <i val="true"/>
        <sz val="10"/>
        <color rgb="FF595959"/>
        <rFont val="Arial"/>
        <family val="0"/>
        <charset val="1"/>
      </rPr>
      <t xml:space="preserve">H</t>
    </r>
    <r>
      <rPr>
        <i val="true"/>
        <sz val="10"/>
        <color rgb="FF595959"/>
        <rFont val="Noto Sans CJK SC"/>
        <family val="2"/>
      </rPr>
      <t xml:space="preserve">股招股章程</t>
    </r>
    <r>
      <rPr>
        <i val="true"/>
        <sz val="10"/>
        <color rgb="FF595959"/>
        <rFont val="Arial"/>
        <family val="0"/>
        <charset val="1"/>
      </rPr>
      <t xml:space="preserve">17.9%/17.4%</t>
    </r>
    <r>
      <rPr>
        <i val="true"/>
        <sz val="10"/>
        <color rgb="FF595959"/>
        <rFont val="Noto Sans CJK SC"/>
        <family val="2"/>
      </rPr>
      <t xml:space="preserve">（口径略异）；泰国工厂投产后海外占比回升（假设）</t>
    </r>
  </si>
  <si>
    <r>
      <rPr>
        <b val="true"/>
        <sz val="10"/>
        <color rgb="FF1F3864"/>
        <rFont val="Noto Sans CJK SC"/>
        <family val="2"/>
      </rPr>
      <t xml:space="preserve">六、</t>
    </r>
    <r>
      <rPr>
        <b val="true"/>
        <sz val="10"/>
        <color rgb="FF1F3864"/>
        <rFont val="Arial"/>
        <family val="0"/>
        <charset val="1"/>
      </rPr>
      <t xml:space="preserve">SOFC</t>
    </r>
    <r>
      <rPr>
        <b val="true"/>
        <sz val="10"/>
        <color rgb="FF1F3864"/>
        <rFont val="Noto Sans CJK SC"/>
        <family val="2"/>
      </rPr>
      <t xml:space="preserve">隔膜片子模型（</t>
    </r>
    <r>
      <rPr>
        <b val="true"/>
        <sz val="10"/>
        <color rgb="FF1F3864"/>
        <rFont val="Arial"/>
        <family val="0"/>
        <charset val="1"/>
      </rPr>
      <t xml:space="preserve">Bloom</t>
    </r>
    <r>
      <rPr>
        <b val="true"/>
        <sz val="10"/>
        <color rgb="FF1F3864"/>
        <rFont val="Noto Sans CJK SC"/>
        <family val="2"/>
      </rPr>
      <t xml:space="preserve">电池片层需求</t>
    </r>
    <r>
      <rPr>
        <b val="true"/>
        <sz val="10"/>
        <color rgb="FF1F3864"/>
        <rFont val="Arial"/>
        <family val="0"/>
        <charset val="1"/>
      </rPr>
      <t xml:space="preserve">×</t>
    </r>
    <r>
      <rPr>
        <b val="true"/>
        <sz val="10"/>
        <color rgb="FF1F3864"/>
        <rFont val="Noto Sans CJK SC"/>
        <family val="2"/>
      </rPr>
      <t xml:space="preserve">每</t>
    </r>
    <r>
      <rPr>
        <b val="true"/>
        <sz val="10"/>
        <color rgb="FF1F3864"/>
        <rFont val="Arial"/>
        <family val="0"/>
        <charset val="1"/>
      </rPr>
      <t xml:space="preserve">GW</t>
    </r>
    <r>
      <rPr>
        <b val="true"/>
        <sz val="10"/>
        <color rgb="FF1F3864"/>
        <rFont val="Noto Sans CJK SC"/>
        <family val="2"/>
      </rPr>
      <t xml:space="preserve">片数</t>
    </r>
    <r>
      <rPr>
        <b val="true"/>
        <sz val="10"/>
        <color rgb="FF1F3864"/>
        <rFont val="Arial"/>
        <family val="0"/>
        <charset val="1"/>
      </rPr>
      <t xml:space="preserve">×</t>
    </r>
    <r>
      <rPr>
        <b val="true"/>
        <sz val="10"/>
        <color rgb="FF1F3864"/>
        <rFont val="Noto Sans CJK SC"/>
        <family val="2"/>
      </rPr>
      <t xml:space="preserve">三环份额</t>
    </r>
    <r>
      <rPr>
        <b val="true"/>
        <sz val="10"/>
        <color rgb="FF1F3864"/>
        <rFont val="Arial"/>
        <family val="0"/>
        <charset val="1"/>
      </rPr>
      <t xml:space="preserve">×</t>
    </r>
    <r>
      <rPr>
        <b val="true"/>
        <sz val="10"/>
        <color rgb="FF1F3864"/>
        <rFont val="Noto Sans CJK SC"/>
        <family val="2"/>
      </rPr>
      <t xml:space="preserve">单价；</t>
    </r>
    <r>
      <rPr>
        <b val="true"/>
        <sz val="10"/>
        <color rgb="FF1F3864"/>
        <rFont val="Arial"/>
        <family val="0"/>
        <charset val="1"/>
      </rPr>
      <t xml:space="preserve">2025A</t>
    </r>
    <r>
      <rPr>
        <b val="true"/>
        <sz val="10"/>
        <color rgb="FF1F3864"/>
        <rFont val="Noto Sans CJK SC"/>
        <family val="2"/>
      </rPr>
      <t xml:space="preserve">以三环第一大客户销售额</t>
    </r>
    <r>
      <rPr>
        <b val="true"/>
        <sz val="10"/>
        <color rgb="FF1F3864"/>
        <rFont val="Arial"/>
        <family val="0"/>
        <charset val="1"/>
      </rPr>
      <t xml:space="preserve">330.7</t>
    </r>
    <r>
      <rPr>
        <b val="true"/>
        <sz val="10"/>
        <color rgb="FF1F3864"/>
        <rFont val="Noto Sans CJK SC"/>
        <family val="2"/>
      </rPr>
      <t xml:space="preserve">百万元为代理）</t>
    </r>
  </si>
  <si>
    <r>
      <rPr>
        <sz val="10"/>
        <color rgb="FF595959"/>
        <rFont val="Arial"/>
        <family val="0"/>
        <charset val="1"/>
      </rPr>
      <t xml:space="preserve">  Bloom</t>
    </r>
    <r>
      <rPr>
        <sz val="10"/>
        <color rgb="FF595959"/>
        <rFont val="Noto Sans CJK SC"/>
        <family val="2"/>
      </rPr>
      <t xml:space="preserve">电池片层需求—基准</t>
    </r>
  </si>
  <si>
    <t xml:space="preserve">GW</t>
  </si>
  <si>
    <r>
      <rPr>
        <sz val="10"/>
        <color rgb="FF595959"/>
        <rFont val="Arial"/>
        <family val="0"/>
        <charset val="1"/>
      </rPr>
      <t xml:space="preserve">  Bloom</t>
    </r>
    <r>
      <rPr>
        <sz val="10"/>
        <color rgb="FF595959"/>
        <rFont val="Noto Sans CJK SC"/>
        <family val="2"/>
      </rPr>
      <t xml:space="preserve">电池片层需求—乐观</t>
    </r>
  </si>
  <si>
    <r>
      <rPr>
        <sz val="10"/>
        <color rgb="FF595959"/>
        <rFont val="Arial"/>
        <family val="0"/>
        <charset val="1"/>
      </rPr>
      <t xml:space="preserve">  Bloom</t>
    </r>
    <r>
      <rPr>
        <sz val="10"/>
        <color rgb="FF595959"/>
        <rFont val="Noto Sans CJK SC"/>
        <family val="2"/>
      </rPr>
      <t xml:space="preserve">电池片层需求—悲观</t>
    </r>
  </si>
  <si>
    <r>
      <rPr>
        <b val="true"/>
        <sz val="10"/>
        <color rgb="FF000000"/>
        <rFont val="Arial"/>
        <family val="0"/>
        <charset val="1"/>
      </rPr>
      <t xml:space="preserve">Bloom</t>
    </r>
    <r>
      <rPr>
        <b val="true"/>
        <sz val="10"/>
        <color rgb="FF000000"/>
        <rFont val="Noto Sans CJK SC"/>
        <family val="2"/>
      </rPr>
      <t xml:space="preserve">电池片层需求（采用值）</t>
    </r>
  </si>
  <si>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0.65-0.8GW</t>
    </r>
    <r>
      <rPr>
        <i val="true"/>
        <sz val="10"/>
        <color rgb="FF595959"/>
        <rFont val="Noto Sans CJK SC"/>
        <family val="2"/>
      </rPr>
      <t xml:space="preserve">（验收约</t>
    </r>
    <r>
      <rPr>
        <i val="true"/>
        <sz val="10"/>
        <color rgb="FF595959"/>
        <rFont val="Arial"/>
        <family val="0"/>
        <charset val="1"/>
      </rPr>
      <t xml:space="preserve">500MW+</t>
    </r>
    <r>
      <rPr>
        <i val="true"/>
        <sz val="10"/>
        <color rgb="FF595959"/>
        <rFont val="Noto Sans CJK SC"/>
        <family val="2"/>
      </rPr>
      <t xml:space="preserve">约</t>
    </r>
    <r>
      <rPr>
        <i val="true"/>
        <sz val="10"/>
        <color rgb="FF595959"/>
        <rFont val="Arial"/>
        <family val="0"/>
        <charset val="1"/>
      </rPr>
      <t xml:space="preserve">25%-30%</t>
    </r>
    <r>
      <rPr>
        <i val="true"/>
        <sz val="10"/>
        <color rgb="FF595959"/>
        <rFont val="Noto Sans CJK SC"/>
        <family val="2"/>
      </rPr>
      <t xml:space="preserve">翻新）；</t>
    </r>
    <r>
      <rPr>
        <i val="true"/>
        <sz val="10"/>
        <color rgb="FF595959"/>
        <rFont val="Arial"/>
        <family val="0"/>
        <charset val="1"/>
      </rPr>
      <t xml:space="preserve">Bloom 2026</t>
    </r>
    <r>
      <rPr>
        <i val="true"/>
        <sz val="10"/>
        <color rgb="FF595959"/>
        <rFont val="Noto Sans CJK SC"/>
        <family val="2"/>
      </rPr>
      <t xml:space="preserve">年收入指引</t>
    </r>
    <r>
      <rPr>
        <i val="true"/>
        <sz val="10"/>
        <color rgb="FF595959"/>
        <rFont val="Arial"/>
        <family val="0"/>
        <charset val="1"/>
      </rPr>
      <t xml:space="preserve">39-42</t>
    </r>
    <r>
      <rPr>
        <i val="true"/>
        <sz val="10"/>
        <color rgb="FF595959"/>
        <rFont val="Noto Sans CJK SC"/>
        <family val="2"/>
      </rPr>
      <t xml:space="preserve">亿美元；产业链调研：电堆产能</t>
    </r>
    <r>
      <rPr>
        <i val="true"/>
        <sz val="10"/>
        <color rgb="FF595959"/>
        <rFont val="Arial"/>
        <family val="0"/>
        <charset val="1"/>
      </rPr>
      <t xml:space="preserve">2028-29</t>
    </r>
    <r>
      <rPr>
        <i val="true"/>
        <sz val="10"/>
        <color rgb="FF595959"/>
        <rFont val="Noto Sans CJK SC"/>
        <family val="2"/>
      </rPr>
      <t xml:space="preserve">年约</t>
    </r>
    <r>
      <rPr>
        <i val="true"/>
        <sz val="10"/>
        <color rgb="FF595959"/>
        <rFont val="Arial"/>
        <family val="0"/>
        <charset val="1"/>
      </rPr>
      <t xml:space="preserve">5GW</t>
    </r>
  </si>
  <si>
    <t xml:space="preserve">  单片功率—基准</t>
  </si>
  <si>
    <r>
      <rPr>
        <sz val="10"/>
        <color rgb="FF595959"/>
        <rFont val="Arial"/>
        <family val="0"/>
        <charset val="1"/>
      </rPr>
      <t xml:space="preserve">W/</t>
    </r>
    <r>
      <rPr>
        <sz val="10"/>
        <color rgb="FF595959"/>
        <rFont val="Noto Sans CJK SC"/>
        <family val="2"/>
      </rPr>
      <t xml:space="preserve">片</t>
    </r>
  </si>
  <si>
    <t xml:space="preserve">  单片功率—乐观</t>
  </si>
  <si>
    <t xml:space="preserve">  单片功率—悲观</t>
  </si>
  <si>
    <t xml:space="preserve">单片功率（采用值）</t>
  </si>
  <si>
    <r>
      <rPr>
        <sz val="10"/>
        <color rgb="FF000000"/>
        <rFont val="Arial"/>
        <family val="0"/>
        <charset val="1"/>
      </rPr>
      <t xml:space="preserve">W/</t>
    </r>
    <r>
      <rPr>
        <sz val="10"/>
        <color rgb="FF000000"/>
        <rFont val="Noto Sans CJK SC"/>
        <family val="2"/>
      </rPr>
      <t xml:space="preserve">片</t>
    </r>
  </si>
  <si>
    <r>
      <rPr>
        <i val="true"/>
        <sz val="10"/>
        <color rgb="FF595959"/>
        <rFont val="Arial"/>
        <family val="0"/>
        <charset val="1"/>
      </rPr>
      <t xml:space="preserve">Hunterbrook</t>
    </r>
    <r>
      <rPr>
        <i val="true"/>
        <sz val="10"/>
        <color rgb="FF595959"/>
        <rFont val="Noto Sans CJK SC"/>
        <family val="2"/>
      </rPr>
      <t xml:space="preserve">转引</t>
    </r>
    <r>
      <rPr>
        <i val="true"/>
        <sz val="10"/>
        <color rgb="FF595959"/>
        <rFont val="Arial"/>
        <family val="0"/>
        <charset val="1"/>
      </rPr>
      <t xml:space="preserve">Bloom 2021</t>
    </r>
    <r>
      <rPr>
        <i val="true"/>
        <sz val="10"/>
        <color rgb="FF595959"/>
        <rFont val="Noto Sans CJK SC"/>
        <family val="2"/>
      </rPr>
      <t xml:space="preserve">年材料约</t>
    </r>
    <r>
      <rPr>
        <i val="true"/>
        <sz val="10"/>
        <color rgb="FF595959"/>
        <rFont val="Arial"/>
        <family val="0"/>
        <charset val="1"/>
      </rPr>
      <t xml:space="preserve">25W/</t>
    </r>
    <r>
      <rPr>
        <i val="true"/>
        <sz val="10"/>
        <color rgb="FF595959"/>
        <rFont val="Noto Sans CJK SC"/>
        <family val="2"/>
      </rPr>
      <t xml:space="preserve">片；产业链调研约</t>
    </r>
    <r>
      <rPr>
        <i val="true"/>
        <sz val="10"/>
        <color rgb="FF595959"/>
        <rFont val="Arial"/>
        <family val="0"/>
        <charset val="1"/>
      </rPr>
      <t xml:space="preserve">65kW</t>
    </r>
    <r>
      <rPr>
        <i val="true"/>
        <sz val="10"/>
        <color rgb="FF595959"/>
        <rFont val="Noto Sans CJK SC"/>
        <family val="2"/>
      </rPr>
      <t xml:space="preserve">对应</t>
    </r>
    <r>
      <rPr>
        <i val="true"/>
        <sz val="10"/>
        <color rgb="FF595959"/>
        <rFont val="Arial"/>
        <family val="0"/>
        <charset val="1"/>
      </rPr>
      <t xml:space="preserve">2,000</t>
    </r>
    <r>
      <rPr>
        <i val="true"/>
        <sz val="10"/>
        <color rgb="FF595959"/>
        <rFont val="Noto Sans CJK SC"/>
        <family val="2"/>
      </rPr>
      <t xml:space="preserve">片即</t>
    </r>
    <r>
      <rPr>
        <i val="true"/>
        <sz val="10"/>
        <color rgb="FF595959"/>
        <rFont val="Arial"/>
        <family val="0"/>
        <charset val="1"/>
      </rPr>
      <t xml:space="preserve">32.5W/</t>
    </r>
    <r>
      <rPr>
        <i val="true"/>
        <sz val="10"/>
        <color rgb="FF595959"/>
        <rFont val="Noto Sans CJK SC"/>
        <family val="2"/>
      </rPr>
      <t xml:space="preserve">片；新一代产品提高单片功率</t>
    </r>
  </si>
  <si>
    <t xml:space="preserve">  三环份额—基准</t>
  </si>
  <si>
    <t xml:space="preserve">  三环份额—乐观</t>
  </si>
  <si>
    <t xml:space="preserve">  三环份额—悲观</t>
  </si>
  <si>
    <t xml:space="preserve">三环份额（采用值）</t>
  </si>
  <si>
    <r>
      <rPr>
        <i val="true"/>
        <sz val="10"/>
        <color rgb="FF595959"/>
        <rFont val="Noto Sans CJK SC"/>
        <family val="2"/>
      </rPr>
      <t xml:space="preserve">二供</t>
    </r>
    <r>
      <rPr>
        <i val="true"/>
        <sz val="10"/>
        <color rgb="FF595959"/>
        <rFont val="Arial"/>
        <family val="0"/>
        <charset val="1"/>
      </rPr>
      <t xml:space="preserve">Amosense 2026</t>
    </r>
    <r>
      <rPr>
        <i val="true"/>
        <sz val="10"/>
        <color rgb="FF595959"/>
        <rFont val="Noto Sans CJK SC"/>
        <family val="2"/>
      </rPr>
      <t xml:space="preserve">年三季度月产能扩至</t>
    </r>
    <r>
      <rPr>
        <i val="true"/>
        <sz val="10"/>
        <color rgb="FF595959"/>
        <rFont val="Arial"/>
        <family val="0"/>
        <charset val="1"/>
      </rPr>
      <t xml:space="preserve">60</t>
    </r>
    <r>
      <rPr>
        <i val="true"/>
        <sz val="10"/>
        <color rgb="FF595959"/>
        <rFont val="Noto Sans CJK SC"/>
        <family val="2"/>
      </rPr>
      <t xml:space="preserve">万片；</t>
    </r>
    <r>
      <rPr>
        <i val="true"/>
        <sz val="10"/>
        <color rgb="FF595959"/>
        <rFont val="Arial"/>
        <family val="0"/>
        <charset val="1"/>
      </rPr>
      <t xml:space="preserve">2028</t>
    </r>
    <r>
      <rPr>
        <i val="true"/>
        <sz val="10"/>
        <color rgb="FF595959"/>
        <rFont val="Noto Sans CJK SC"/>
        <family val="2"/>
      </rPr>
      <t xml:space="preserve">年前后美国受禁外国实体（</t>
    </r>
    <r>
      <rPr>
        <i val="true"/>
        <sz val="10"/>
        <color rgb="FF595959"/>
        <rFont val="Arial"/>
        <family val="0"/>
        <charset val="1"/>
      </rPr>
      <t xml:space="preserve">PFE</t>
    </r>
    <r>
      <rPr>
        <i val="true"/>
        <sz val="10"/>
        <color rgb="FF595959"/>
        <rFont val="Noto Sans CJK SC"/>
        <family val="2"/>
      </rPr>
      <t xml:space="preserve">）规则门槛升至</t>
    </r>
    <r>
      <rPr>
        <i val="true"/>
        <sz val="10"/>
        <color rgb="FF595959"/>
        <rFont val="Arial"/>
        <family val="0"/>
        <charset val="1"/>
      </rPr>
      <t xml:space="preserve">50%</t>
    </r>
  </si>
  <si>
    <t xml:space="preserve">  单价—基准</t>
  </si>
  <si>
    <r>
      <rPr>
        <sz val="10"/>
        <color rgb="FF595959"/>
        <rFont val="Noto Sans CJK SC"/>
        <family val="2"/>
      </rPr>
      <t xml:space="preserve">元</t>
    </r>
    <r>
      <rPr>
        <sz val="10"/>
        <color rgb="FF595959"/>
        <rFont val="Arial"/>
        <family val="0"/>
        <charset val="1"/>
      </rPr>
      <t xml:space="preserve">/</t>
    </r>
    <r>
      <rPr>
        <sz val="10"/>
        <color rgb="FF595959"/>
        <rFont val="Noto Sans CJK SC"/>
        <family val="2"/>
      </rPr>
      <t xml:space="preserve">片</t>
    </r>
  </si>
  <si>
    <t xml:space="preserve">  单价—乐观</t>
  </si>
  <si>
    <t xml:space="preserve">  单价—悲观</t>
  </si>
  <si>
    <t xml:space="preserve">单价（采用值）</t>
  </si>
  <si>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片</t>
    </r>
  </si>
  <si>
    <r>
      <rPr>
        <i val="true"/>
        <sz val="10"/>
        <color rgb="FF595959"/>
        <rFont val="Arial"/>
        <family val="0"/>
        <charset val="1"/>
      </rPr>
      <t xml:space="preserve">2025A</t>
    </r>
    <r>
      <rPr>
        <i val="true"/>
        <sz val="10"/>
        <color rgb="FF595959"/>
        <rFont val="Noto Sans CJK SC"/>
        <family val="2"/>
      </rPr>
      <t xml:space="preserve">校准：</t>
    </r>
    <r>
      <rPr>
        <i val="true"/>
        <sz val="10"/>
        <color rgb="FF595959"/>
        <rFont val="Arial"/>
        <family val="0"/>
        <charset val="1"/>
      </rPr>
      <t xml:space="preserve">330.7÷(0.725GW×33.3</t>
    </r>
    <r>
      <rPr>
        <i val="true"/>
        <sz val="10"/>
        <color rgb="FF595959"/>
        <rFont val="Noto Sans CJK SC"/>
        <family val="2"/>
      </rPr>
      <t xml:space="preserve">百万片</t>
    </r>
    <r>
      <rPr>
        <i val="true"/>
        <sz val="10"/>
        <color rgb="FF595959"/>
        <rFont val="Arial"/>
        <family val="0"/>
        <charset val="1"/>
      </rPr>
      <t xml:space="preserve">/GW)=13.7</t>
    </r>
    <r>
      <rPr>
        <i val="true"/>
        <sz val="10"/>
        <color rgb="FF595959"/>
        <rFont val="Noto Sans CJK SC"/>
        <family val="2"/>
      </rPr>
      <t xml:space="preserve">元</t>
    </r>
    <r>
      <rPr>
        <i val="true"/>
        <sz val="10"/>
        <color rgb="FF595959"/>
        <rFont val="Arial"/>
        <family val="0"/>
        <charset val="1"/>
      </rPr>
      <t xml:space="preserve">/</t>
    </r>
    <r>
      <rPr>
        <i val="true"/>
        <sz val="10"/>
        <color rgb="FF595959"/>
        <rFont val="Noto Sans CJK SC"/>
        <family val="2"/>
      </rPr>
      <t xml:space="preserve">片（单价</t>
    </r>
    <r>
      <rPr>
        <i val="true"/>
        <sz val="10"/>
        <color rgb="FF595959"/>
        <rFont val="Arial"/>
        <family val="0"/>
        <charset val="1"/>
      </rPr>
      <t xml:space="preserve">×</t>
    </r>
    <r>
      <rPr>
        <i val="true"/>
        <sz val="10"/>
        <color rgb="FF595959"/>
        <rFont val="Noto Sans CJK SC"/>
        <family val="2"/>
      </rPr>
      <t xml:space="preserve">份额），按份额</t>
    </r>
    <r>
      <rPr>
        <i val="true"/>
        <sz val="10"/>
        <color rgb="FF595959"/>
        <rFont val="Arial"/>
        <family val="0"/>
        <charset val="1"/>
      </rPr>
      <t xml:space="preserve">75%-80%</t>
    </r>
    <r>
      <rPr>
        <i val="true"/>
        <sz val="10"/>
        <color rgb="FF595959"/>
        <rFont val="Noto Sans CJK SC"/>
        <family val="2"/>
      </rPr>
      <t xml:space="preserve">推算单价约</t>
    </r>
    <r>
      <rPr>
        <i val="true"/>
        <sz val="10"/>
        <color rgb="FF595959"/>
        <rFont val="Arial"/>
        <family val="0"/>
        <charset val="1"/>
      </rPr>
      <t xml:space="preserve">17-18</t>
    </r>
    <r>
      <rPr>
        <i val="true"/>
        <sz val="10"/>
        <color rgb="FF595959"/>
        <rFont val="Noto Sans CJK SC"/>
        <family val="2"/>
      </rPr>
      <t xml:space="preserve">元；市场流传</t>
    </r>
    <r>
      <rPr>
        <i val="true"/>
        <sz val="10"/>
        <color rgb="FF595959"/>
        <rFont val="Arial"/>
        <family val="0"/>
        <charset val="1"/>
      </rPr>
      <t xml:space="preserve">2023</t>
    </r>
    <r>
      <rPr>
        <i val="true"/>
        <sz val="10"/>
        <color rgb="FF595959"/>
        <rFont val="Noto Sans CJK SC"/>
        <family val="2"/>
      </rPr>
      <t xml:space="preserve">年</t>
    </r>
    <r>
      <rPr>
        <i val="true"/>
        <sz val="10"/>
        <color rgb="FF595959"/>
        <rFont val="Arial"/>
        <family val="0"/>
        <charset val="1"/>
      </rPr>
      <t xml:space="preserve">25-30</t>
    </r>
    <r>
      <rPr>
        <i val="true"/>
        <sz val="10"/>
        <color rgb="FF595959"/>
        <rFont val="Noto Sans CJK SC"/>
        <family val="2"/>
      </rPr>
      <t xml:space="preserve">元。基准</t>
    </r>
    <r>
      <rPr>
        <i val="true"/>
        <sz val="10"/>
        <color rgb="FF595959"/>
        <rFont val="Arial"/>
        <family val="0"/>
        <charset val="1"/>
      </rPr>
      <t xml:space="preserve">2026E</t>
    </r>
    <r>
      <rPr>
        <i val="true"/>
        <sz val="10"/>
        <color rgb="FF595959"/>
        <rFont val="Noto Sans CJK SC"/>
        <family val="2"/>
      </rPr>
      <t xml:space="preserve">每</t>
    </r>
    <r>
      <rPr>
        <i val="true"/>
        <sz val="10"/>
        <color rgb="FF595959"/>
        <rFont val="Arial"/>
        <family val="0"/>
        <charset val="1"/>
      </rPr>
      <t xml:space="preserve">GW</t>
    </r>
    <r>
      <rPr>
        <i val="true"/>
        <sz val="10"/>
        <color rgb="FF595959"/>
        <rFont val="Noto Sans CJK SC"/>
        <family val="2"/>
      </rPr>
      <t xml:space="preserve">价值量（含份额）约</t>
    </r>
    <r>
      <rPr>
        <i val="true"/>
        <sz val="10"/>
        <color rgb="FF595959"/>
        <rFont val="Arial"/>
        <family val="0"/>
        <charset val="1"/>
      </rPr>
      <t xml:space="preserve">450</t>
    </r>
    <r>
      <rPr>
        <i val="true"/>
        <sz val="10"/>
        <color rgb="FF595959"/>
        <rFont val="Noto Sans CJK SC"/>
        <family val="2"/>
      </rPr>
      <t xml:space="preserve">百万元，与</t>
    </r>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456</t>
    </r>
    <r>
      <rPr>
        <i val="true"/>
        <sz val="10"/>
        <color rgb="FF595959"/>
        <rFont val="Noto Sans CJK SC"/>
        <family val="2"/>
      </rPr>
      <t xml:space="preserve">持平</t>
    </r>
  </si>
  <si>
    <r>
      <rPr>
        <b val="true"/>
        <sz val="10"/>
        <color rgb="FF1F3864"/>
        <rFont val="Noto Sans CJK SC"/>
        <family val="2"/>
      </rPr>
      <t xml:space="preserve">七、分部毛利率（采用值</t>
    </r>
    <r>
      <rPr>
        <b val="true"/>
        <sz val="10"/>
        <color rgb="FF1F3864"/>
        <rFont val="Arial"/>
        <family val="0"/>
        <charset val="1"/>
      </rPr>
      <t xml:space="preserve">=</t>
    </r>
    <r>
      <rPr>
        <b val="true"/>
        <sz val="10"/>
        <color rgb="FF1F3864"/>
        <rFont val="Noto Sans CJK SC"/>
        <family val="2"/>
      </rPr>
      <t xml:space="preserve">情景值</t>
    </r>
    <r>
      <rPr>
        <b val="true"/>
        <sz val="10"/>
        <color rgb="FF1F3864"/>
        <rFont val="Arial"/>
        <family val="0"/>
        <charset val="1"/>
      </rPr>
      <t xml:space="preserve">+</t>
    </r>
    <r>
      <rPr>
        <b val="true"/>
        <sz val="10"/>
        <color rgb="FF1F3864"/>
        <rFont val="Noto Sans CJK SC"/>
        <family val="2"/>
      </rPr>
      <t xml:space="preserve">全分部毛利率冲击）</t>
    </r>
  </si>
  <si>
    <t xml:space="preserve">  电子元件 毛利率—基准</t>
  </si>
  <si>
    <t xml:space="preserve">  电子元件 毛利率—乐观</t>
  </si>
  <si>
    <t xml:space="preserve">  电子元件 毛利率—悲观</t>
  </si>
  <si>
    <t xml:space="preserve">电子元件 毛利率（采用值）</t>
  </si>
  <si>
    <r>
      <rPr>
        <i val="true"/>
        <sz val="10"/>
        <color rgb="FF595959"/>
        <rFont val="Arial"/>
        <family val="0"/>
        <charset val="1"/>
      </rPr>
      <t xml:space="preserve">2025A 42.30%</t>
    </r>
    <r>
      <rPr>
        <i val="true"/>
        <sz val="10"/>
        <color rgb="FF595959"/>
        <rFont val="Noto Sans CJK SC"/>
        <family val="2"/>
      </rPr>
      <t xml:space="preserve">（</t>
    </r>
    <r>
      <rPr>
        <i val="true"/>
        <sz val="10"/>
        <color rgb="FF595959"/>
        <rFont val="Arial"/>
        <family val="0"/>
        <charset val="1"/>
      </rPr>
      <t xml:space="preserve">2024A 44.37%</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主营毛利率</t>
    </r>
    <r>
      <rPr>
        <i val="true"/>
        <sz val="10"/>
        <color rgb="FF595959"/>
        <rFont val="Arial"/>
        <family val="0"/>
        <charset val="1"/>
      </rPr>
      <t xml:space="preserve">44.23%</t>
    </r>
    <r>
      <rPr>
        <i val="true"/>
        <sz val="10"/>
        <color rgb="FF595959"/>
        <rFont val="Noto Sans CJK SC"/>
        <family val="2"/>
      </rPr>
      <t xml:space="preserve">，同比</t>
    </r>
    <r>
      <rPr>
        <i val="true"/>
        <sz val="10"/>
        <color rgb="FF595959"/>
        <rFont val="Arial"/>
        <family val="0"/>
        <charset val="1"/>
      </rPr>
      <t xml:space="preserve">+2.52pct</t>
    </r>
  </si>
  <si>
    <t xml:space="preserve">  通信器件 毛利率—基准</t>
  </si>
  <si>
    <t xml:space="preserve">  通信器件 毛利率—乐观</t>
  </si>
  <si>
    <t xml:space="preserve">  通信器件 毛利率—悲观</t>
  </si>
  <si>
    <t xml:space="preserve">通信器件 毛利率（采用值）</t>
  </si>
  <si>
    <r>
      <rPr>
        <i val="true"/>
        <sz val="10"/>
        <color rgb="FF595959"/>
        <rFont val="Arial"/>
        <family val="0"/>
        <charset val="1"/>
      </rPr>
      <t xml:space="preserve">2025A 44.36%</t>
    </r>
    <r>
      <rPr>
        <i val="true"/>
        <sz val="10"/>
        <color rgb="FF595959"/>
        <rFont val="Noto Sans CJK SC"/>
        <family val="2"/>
      </rPr>
      <t xml:space="preserve">（</t>
    </r>
    <r>
      <rPr>
        <i val="true"/>
        <sz val="10"/>
        <color rgb="FF595959"/>
        <rFont val="Arial"/>
        <family val="0"/>
        <charset val="1"/>
      </rPr>
      <t xml:space="preserve">2024A 43.93%</t>
    </r>
    <r>
      <rPr>
        <i val="true"/>
        <sz val="10"/>
        <color rgb="FF595959"/>
        <rFont val="Noto Sans CJK SC"/>
        <family val="2"/>
      </rPr>
      <t xml:space="preserve">）</t>
    </r>
  </si>
  <si>
    <t xml:space="preserve">  其他电子及陶瓷材料 毛利率—基准</t>
  </si>
  <si>
    <t xml:space="preserve">  其他电子及陶瓷材料 毛利率—乐观</t>
  </si>
  <si>
    <t xml:space="preserve">  其他电子及陶瓷材料 毛利率—悲观</t>
  </si>
  <si>
    <t xml:space="preserve">其他电子及陶瓷材料 毛利率（采用值）</t>
  </si>
  <si>
    <r>
      <rPr>
        <i val="true"/>
        <sz val="10"/>
        <color rgb="FF595959"/>
        <rFont val="Noto Sans CJK SC"/>
        <family val="2"/>
      </rPr>
      <t xml:space="preserve">分部（含</t>
    </r>
    <r>
      <rPr>
        <i val="true"/>
        <sz val="10"/>
        <color rgb="FF595959"/>
        <rFont val="Arial"/>
        <family val="0"/>
        <charset val="1"/>
      </rPr>
      <t xml:space="preserve">SOFC</t>
    </r>
    <r>
      <rPr>
        <i val="true"/>
        <sz val="10"/>
        <color rgb="FF595959"/>
        <rFont val="Noto Sans CJK SC"/>
        <family val="2"/>
      </rPr>
      <t xml:space="preserve">）</t>
    </r>
    <r>
      <rPr>
        <i val="true"/>
        <sz val="10"/>
        <color rgb="FF595959"/>
        <rFont val="Arial"/>
        <family val="0"/>
        <charset val="1"/>
      </rPr>
      <t xml:space="preserve">2025A 38.09%</t>
    </r>
    <r>
      <rPr>
        <i val="true"/>
        <sz val="10"/>
        <color rgb="FF595959"/>
        <rFont val="Noto Sans CJK SC"/>
        <family val="2"/>
      </rPr>
      <t xml:space="preserve">（</t>
    </r>
    <r>
      <rPr>
        <i val="true"/>
        <sz val="10"/>
        <color rgb="FF595959"/>
        <rFont val="Arial"/>
        <family val="0"/>
        <charset val="1"/>
      </rPr>
      <t xml:space="preserve">2024A 40.57%</t>
    </r>
    <r>
      <rPr>
        <i val="true"/>
        <sz val="10"/>
        <color rgb="FF595959"/>
        <rFont val="Noto Sans CJK SC"/>
        <family val="2"/>
      </rPr>
      <t xml:space="preserve">）</t>
    </r>
  </si>
  <si>
    <r>
      <rPr>
        <sz val="10"/>
        <color rgb="FF595959"/>
        <rFont val="Arial"/>
        <family val="0"/>
        <charset val="1"/>
      </rPr>
      <t xml:space="preserve">  SOFC</t>
    </r>
    <r>
      <rPr>
        <sz val="10"/>
        <color rgb="FF595959"/>
        <rFont val="Noto Sans CJK SC"/>
        <family val="2"/>
      </rPr>
      <t xml:space="preserve">隔膜片 毛利率—基准</t>
    </r>
  </si>
  <si>
    <r>
      <rPr>
        <sz val="10"/>
        <color rgb="FF595959"/>
        <rFont val="Arial"/>
        <family val="0"/>
        <charset val="1"/>
      </rPr>
      <t xml:space="preserve">  SOFC</t>
    </r>
    <r>
      <rPr>
        <sz val="10"/>
        <color rgb="FF595959"/>
        <rFont val="Noto Sans CJK SC"/>
        <family val="2"/>
      </rPr>
      <t xml:space="preserve">隔膜片 毛利率—乐观</t>
    </r>
  </si>
  <si>
    <r>
      <rPr>
        <sz val="10"/>
        <color rgb="FF595959"/>
        <rFont val="Arial"/>
        <family val="0"/>
        <charset val="1"/>
      </rPr>
      <t xml:space="preserve">  SOFC</t>
    </r>
    <r>
      <rPr>
        <sz val="10"/>
        <color rgb="FF595959"/>
        <rFont val="Noto Sans CJK SC"/>
        <family val="2"/>
      </rPr>
      <t xml:space="preserve">隔膜片 毛利率—悲观</t>
    </r>
  </si>
  <si>
    <r>
      <rPr>
        <b val="true"/>
        <sz val="10"/>
        <color rgb="FF000000"/>
        <rFont val="Arial"/>
        <family val="0"/>
        <charset val="1"/>
      </rPr>
      <t xml:space="preserve">SOFC</t>
    </r>
    <r>
      <rPr>
        <b val="true"/>
        <sz val="10"/>
        <color rgb="FF000000"/>
        <rFont val="Noto Sans CJK SC"/>
        <family val="2"/>
      </rPr>
      <t xml:space="preserve">隔膜片 毛利率（采用值）</t>
    </r>
  </si>
  <si>
    <r>
      <rPr>
        <i val="true"/>
        <sz val="10"/>
        <color rgb="FF595959"/>
        <rFont val="Noto Sans CJK SC"/>
        <family val="2"/>
      </rPr>
      <t xml:space="preserve">所在分部</t>
    </r>
    <r>
      <rPr>
        <i val="true"/>
        <sz val="10"/>
        <color rgb="FF595959"/>
        <rFont val="Arial"/>
        <family val="0"/>
        <charset val="1"/>
      </rPr>
      <t xml:space="preserve">2025A</t>
    </r>
    <r>
      <rPr>
        <i val="true"/>
        <sz val="10"/>
        <color rgb="FF595959"/>
        <rFont val="Noto Sans CJK SC"/>
        <family val="2"/>
      </rPr>
      <t xml:space="preserve">毛利率</t>
    </r>
    <r>
      <rPr>
        <i val="true"/>
        <sz val="10"/>
        <color rgb="FF595959"/>
        <rFont val="Arial"/>
        <family val="0"/>
        <charset val="1"/>
      </rPr>
      <t xml:space="preserve">38.09%</t>
    </r>
    <r>
      <rPr>
        <i val="true"/>
        <sz val="10"/>
        <color rgb="FF595959"/>
        <rFont val="Noto Sans CJK SC"/>
        <family val="2"/>
      </rPr>
      <t xml:space="preserve">；假设略高于分部</t>
    </r>
  </si>
  <si>
    <t xml:space="preserve">  设备组件 毛利率—基准</t>
  </si>
  <si>
    <t xml:space="preserve">  设备组件 毛利率—乐观</t>
  </si>
  <si>
    <t xml:space="preserve">  设备组件 毛利率—悲观</t>
  </si>
  <si>
    <t xml:space="preserve">设备组件 毛利率（采用值）</t>
  </si>
  <si>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58.5%</t>
    </r>
    <r>
      <rPr>
        <i val="true"/>
        <sz val="10"/>
        <color rgb="FF595959"/>
        <rFont val="Noto Sans CJK SC"/>
        <family val="2"/>
      </rPr>
      <t xml:space="preserve">（</t>
    </r>
    <r>
      <rPr>
        <i val="true"/>
        <sz val="10"/>
        <color rgb="FF595959"/>
        <rFont val="Arial"/>
        <family val="0"/>
        <charset val="1"/>
      </rPr>
      <t xml:space="preserve">Wind</t>
    </r>
    <r>
      <rPr>
        <i val="true"/>
        <sz val="10"/>
        <color rgb="FF595959"/>
        <rFont val="Noto Sans CJK SC"/>
        <family val="2"/>
      </rPr>
      <t xml:space="preserve">主营构成：毛利</t>
    </r>
    <r>
      <rPr>
        <i val="true"/>
        <sz val="10"/>
        <color rgb="FF595959"/>
        <rFont val="Arial"/>
        <family val="0"/>
        <charset val="1"/>
      </rPr>
      <t xml:space="preserve">351.80/</t>
    </r>
    <r>
      <rPr>
        <i val="true"/>
        <sz val="10"/>
        <color rgb="FF595959"/>
        <rFont val="Noto Sans CJK SC"/>
        <family val="2"/>
      </rPr>
      <t xml:space="preserve">收入</t>
    </r>
    <r>
      <rPr>
        <i val="true"/>
        <sz val="10"/>
        <color rgb="FF595959"/>
        <rFont val="Arial"/>
        <family val="0"/>
        <charset val="1"/>
      </rPr>
      <t xml:space="preserve">601.75</t>
    </r>
    <r>
      <rPr>
        <i val="true"/>
        <sz val="10"/>
        <color rgb="FF595959"/>
        <rFont val="Noto Sans CJK SC"/>
        <family val="2"/>
      </rPr>
      <t xml:space="preserve">；设备组件与其他主营的成本拆分仅见于</t>
    </r>
    <r>
      <rPr>
        <i val="true"/>
        <sz val="10"/>
        <color rgb="FF595959"/>
        <rFont val="Arial"/>
        <family val="0"/>
        <charset val="1"/>
      </rPr>
      <t xml:space="preserve">Wind</t>
    </r>
    <r>
      <rPr>
        <i val="true"/>
        <sz val="10"/>
        <color rgb="FF595959"/>
        <rFont val="Noto Sans CJK SC"/>
        <family val="2"/>
      </rPr>
      <t xml:space="preserve">，年报只能核对两者合计）</t>
    </r>
  </si>
  <si>
    <t xml:space="preserve">  其他主营 毛利率—输入</t>
  </si>
  <si>
    <t xml:space="preserve">其他主营 毛利率（采用值）</t>
  </si>
  <si>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9.1%</t>
    </r>
    <r>
      <rPr>
        <i val="true"/>
        <sz val="10"/>
        <color rgb="FF595959"/>
        <rFont val="Noto Sans CJK SC"/>
        <family val="2"/>
      </rPr>
      <t xml:space="preserve">（</t>
    </r>
    <r>
      <rPr>
        <i val="true"/>
        <sz val="10"/>
        <color rgb="FF595959"/>
        <rFont val="Arial"/>
        <family val="0"/>
        <charset val="1"/>
      </rPr>
      <t xml:space="preserve">Wind</t>
    </r>
    <r>
      <rPr>
        <i val="true"/>
        <sz val="10"/>
        <color rgb="FF595959"/>
        <rFont val="Noto Sans CJK SC"/>
        <family val="2"/>
      </rPr>
      <t xml:space="preserve">：</t>
    </r>
    <r>
      <rPr>
        <i val="true"/>
        <sz val="10"/>
        <color rgb="FF595959"/>
        <rFont val="Arial"/>
        <family val="0"/>
        <charset val="1"/>
      </rPr>
      <t xml:space="preserve">36.88/405.00</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其他”合计毛利率约</t>
    </r>
    <r>
      <rPr>
        <i val="true"/>
        <sz val="10"/>
        <color rgb="FF595959"/>
        <rFont val="Arial"/>
        <family val="0"/>
        <charset val="1"/>
      </rPr>
      <t xml:space="preserve">46.0%</t>
    </r>
    <r>
      <rPr>
        <i val="true"/>
        <sz val="10"/>
        <color rgb="FF595959"/>
        <rFont val="Noto Sans CJK SC"/>
        <family val="2"/>
      </rPr>
      <t xml:space="preserve">（</t>
    </r>
    <r>
      <rPr>
        <i val="true"/>
        <sz val="10"/>
        <color rgb="FF595959"/>
        <rFont val="Arial"/>
        <family val="0"/>
        <charset val="1"/>
      </rPr>
      <t xml:space="preserve">157.5/342.6</t>
    </r>
    <r>
      <rPr>
        <i val="true"/>
        <sz val="10"/>
        <color rgb="FF595959"/>
        <rFont val="Noto Sans CJK SC"/>
        <family val="2"/>
      </rPr>
      <t xml:space="preserve">），较</t>
    </r>
    <r>
      <rPr>
        <i val="true"/>
        <sz val="10"/>
        <color rgb="FF595959"/>
        <rFont val="Arial"/>
        <family val="0"/>
        <charset val="1"/>
      </rPr>
      <t xml:space="preserve">2025</t>
    </r>
    <r>
      <rPr>
        <i val="true"/>
        <sz val="10"/>
        <color rgb="FF595959"/>
        <rFont val="Noto Sans CJK SC"/>
        <family val="2"/>
      </rPr>
      <t xml:space="preserve">年全年约</t>
    </r>
    <r>
      <rPr>
        <i val="true"/>
        <sz val="10"/>
        <color rgb="FF595959"/>
        <rFont val="Arial"/>
        <family val="0"/>
        <charset val="1"/>
      </rPr>
      <t xml:space="preserve">27%</t>
    </r>
    <r>
      <rPr>
        <i val="true"/>
        <sz val="10"/>
        <color rgb="FF595959"/>
        <rFont val="Noto Sans CJK SC"/>
        <family val="2"/>
      </rPr>
      <t xml:space="preserve">大幅提升，假设逐步回落</t>
    </r>
  </si>
  <si>
    <t xml:space="preserve">  其他业务 毛利率—输入</t>
  </si>
  <si>
    <t xml:space="preserve">其他业务 毛利率（采用值）</t>
  </si>
  <si>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79.6%</t>
    </r>
    <r>
      <rPr>
        <i val="true"/>
        <sz val="10"/>
        <color rgb="FF595959"/>
        <rFont val="Noto Sans CJK SC"/>
        <family val="2"/>
      </rPr>
      <t xml:space="preserve">（</t>
    </r>
    <r>
      <rPr>
        <i val="true"/>
        <sz val="10"/>
        <color rgb="FF595959"/>
        <rFont val="Arial"/>
        <family val="0"/>
        <charset val="1"/>
      </rPr>
      <t xml:space="preserve">Wind</t>
    </r>
    <r>
      <rPr>
        <i val="true"/>
        <sz val="10"/>
        <color rgb="FF595959"/>
        <rFont val="Noto Sans CJK SC"/>
        <family val="2"/>
      </rPr>
      <t xml:space="preserve">：</t>
    </r>
    <r>
      <rPr>
        <i val="true"/>
        <sz val="10"/>
        <color rgb="FF595959"/>
        <rFont val="Arial"/>
        <family val="0"/>
        <charset val="1"/>
      </rPr>
      <t xml:space="preserve">110.30/138.63</t>
    </r>
    <r>
      <rPr>
        <i val="true"/>
        <sz val="10"/>
        <color rgb="FF595959"/>
        <rFont val="Noto Sans CJK SC"/>
        <family val="2"/>
      </rPr>
      <t xml:space="preserve">）</t>
    </r>
  </si>
  <si>
    <t xml:space="preserve">能源、辅料及其他制造费用占收入</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</si>
  <si>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5.0%/3.9%/3.5%</t>
    </r>
    <r>
      <rPr>
        <i val="true"/>
        <sz val="10"/>
        <color rgb="FF595959"/>
        <rFont val="Noto Sans CJK SC"/>
        <family val="2"/>
      </rPr>
      <t xml:space="preserve">（制造费用扣除估算的生产折旧）；原材料为倒挤项，其占营业成本比例作为结果与历史</t>
    </r>
    <r>
      <rPr>
        <i val="true"/>
        <sz val="10"/>
        <color rgb="FF595959"/>
        <rFont val="Arial"/>
        <family val="0"/>
        <charset val="1"/>
      </rPr>
      <t xml:space="preserve">53.6%-63.6%</t>
    </r>
    <r>
      <rPr>
        <i val="true"/>
        <sz val="10"/>
        <color rgb="FF595959"/>
        <rFont val="Noto Sans CJK SC"/>
        <family val="2"/>
      </rPr>
      <t xml:space="preserve">对照</t>
    </r>
  </si>
  <si>
    <t xml:space="preserve">毛利率假设隐含的生产人工（标定值）</t>
  </si>
  <si>
    <t xml:space="preserve">按基准情景标定：分部毛利率假设已包含该水平的生产人工；人数、薪酬假设变化导致的偏离直接计入营业成本</t>
  </si>
  <si>
    <t xml:space="preserve">毛利率假设隐含的生产折旧摊销（标定值）</t>
  </si>
  <si>
    <t xml:space="preserve">按基准情景标定：资本开支、折旧率或情景切换导致的生产折旧偏离直接计入营业成本（避免折旧变化只挤占其他制造费用而虚增现金流）</t>
  </si>
  <si>
    <t xml:space="preserve">八、人员与薪酬</t>
  </si>
  <si>
    <t xml:space="preserve">  生产人员 期末人数增速—输入</t>
  </si>
  <si>
    <t xml:space="preserve">生产人员 期末人数增速（采用值）</t>
  </si>
  <si>
    <r>
      <rPr>
        <i val="true"/>
        <sz val="10"/>
        <color rgb="FF595959"/>
        <rFont val="Arial"/>
        <family val="0"/>
        <charset val="1"/>
      </rPr>
      <t xml:space="preserve">2025A +33.2%</t>
    </r>
    <r>
      <rPr>
        <i val="true"/>
        <sz val="10"/>
        <color rgb="FF595959"/>
        <rFont val="Noto Sans CJK SC"/>
        <family val="2"/>
      </rPr>
      <t xml:space="preserve">（部分技术人员重分类至生产）；</t>
    </r>
    <r>
      <rPr>
        <i val="true"/>
        <sz val="10"/>
        <color rgb="FF595959"/>
        <rFont val="Arial"/>
        <family val="0"/>
        <charset val="1"/>
      </rPr>
      <t xml:space="preserve">2026H1</t>
    </r>
    <r>
      <rPr>
        <i val="true"/>
        <sz val="10"/>
        <color rgb="FF595959"/>
        <rFont val="Noto Sans CJK SC"/>
        <family val="2"/>
      </rPr>
      <t xml:space="preserve">支付职工现金</t>
    </r>
    <r>
      <rPr>
        <i val="true"/>
        <sz val="10"/>
        <color rgb="FF595959"/>
        <rFont val="Arial"/>
        <family val="0"/>
        <charset val="1"/>
      </rPr>
      <t xml:space="preserve">+18%</t>
    </r>
  </si>
  <si>
    <t xml:space="preserve">  销售人员 期末人数增速—输入</t>
  </si>
  <si>
    <t xml:space="preserve">销售人员 期末人数增速（采用值）</t>
  </si>
  <si>
    <r>
      <rPr>
        <i val="true"/>
        <sz val="10"/>
        <color rgb="FF595959"/>
        <rFont val="Noto Sans CJK SC"/>
        <family val="2"/>
      </rPr>
      <t xml:space="preserve">年报“公司员工情况”；</t>
    </r>
    <r>
      <rPr>
        <i val="true"/>
        <sz val="10"/>
        <color rgb="FF595959"/>
        <rFont val="Arial"/>
        <family val="0"/>
        <charset val="1"/>
      </rPr>
      <t xml:space="preserve">2025</t>
    </r>
    <r>
      <rPr>
        <i val="true"/>
        <sz val="10"/>
        <color rgb="FF595959"/>
        <rFont val="Noto Sans CJK SC"/>
        <family val="2"/>
      </rPr>
      <t xml:space="preserve">年技术人员由</t>
    </r>
    <r>
      <rPr>
        <i val="true"/>
        <sz val="10"/>
        <color rgb="FF595959"/>
        <rFont val="Arial"/>
        <family val="0"/>
        <charset val="1"/>
      </rPr>
      <t xml:space="preserve">3,918</t>
    </r>
    <r>
      <rPr>
        <i val="true"/>
        <sz val="10"/>
        <color rgb="FF595959"/>
        <rFont val="Noto Sans CJK SC"/>
        <family val="2"/>
      </rPr>
      <t xml:space="preserve">人降至</t>
    </r>
    <r>
      <rPr>
        <i val="true"/>
        <sz val="10"/>
        <color rgb="FF595959"/>
        <rFont val="Arial"/>
        <family val="0"/>
        <charset val="1"/>
      </rPr>
      <t xml:space="preserve">1,975</t>
    </r>
    <r>
      <rPr>
        <i val="true"/>
        <sz val="10"/>
        <color rgb="FF595959"/>
        <rFont val="Noto Sans CJK SC"/>
        <family val="2"/>
      </rPr>
      <t xml:space="preserve">人为口径调整</t>
    </r>
  </si>
  <si>
    <t xml:space="preserve">  技术人员 期末人数增速—输入</t>
  </si>
  <si>
    <t xml:space="preserve">技术人员 期末人数增速（采用值）</t>
  </si>
  <si>
    <t xml:space="preserve">  财务人员 期末人数增速—输入</t>
  </si>
  <si>
    <t xml:space="preserve">财务人员 期末人数增速（采用值）</t>
  </si>
  <si>
    <t xml:space="preserve">  行政人员 期末人数增速—输入</t>
  </si>
  <si>
    <t xml:space="preserve">行政人员 期末人数增速（采用值）</t>
  </si>
  <si>
    <t xml:space="preserve">  人均薪酬增速—输入</t>
  </si>
  <si>
    <t xml:space="preserve">人均薪酬增速（采用值）</t>
  </si>
  <si>
    <r>
      <rPr>
        <i val="true"/>
        <sz val="10"/>
        <color rgb="FF595959"/>
        <rFont val="Arial"/>
        <family val="0"/>
        <charset val="1"/>
      </rPr>
      <t xml:space="preserve">2025A</t>
    </r>
    <r>
      <rPr>
        <i val="true"/>
        <sz val="10"/>
        <color rgb="FF595959"/>
        <rFont val="Noto Sans CJK SC"/>
        <family val="2"/>
      </rPr>
      <t xml:space="preserve">人均薪酬约</t>
    </r>
    <r>
      <rPr>
        <i val="true"/>
        <sz val="10"/>
        <color rgb="FF595959"/>
        <rFont val="Arial"/>
        <family val="0"/>
        <charset val="1"/>
      </rPr>
      <t xml:space="preserve">12.8</t>
    </r>
    <r>
      <rPr>
        <i val="true"/>
        <sz val="10"/>
        <color rgb="FF595959"/>
        <rFont val="Noto Sans CJK SC"/>
        <family val="2"/>
      </rPr>
      <t xml:space="preserve">万元</t>
    </r>
    <r>
      <rPr>
        <i val="true"/>
        <sz val="10"/>
        <color rgb="FF595959"/>
        <rFont val="Arial"/>
        <family val="0"/>
        <charset val="1"/>
      </rPr>
      <t xml:space="preserve">/</t>
    </r>
    <r>
      <rPr>
        <i val="true"/>
        <sz val="10"/>
        <color rgb="FF595959"/>
        <rFont val="Noto Sans CJK SC"/>
        <family val="2"/>
      </rPr>
      <t xml:space="preserve">人（职工薪酬</t>
    </r>
    <r>
      <rPr>
        <i val="true"/>
        <sz val="10"/>
        <color rgb="FF595959"/>
        <rFont val="Arial"/>
        <family val="0"/>
        <charset val="1"/>
      </rPr>
      <t xml:space="preserve">2,102.4/</t>
    </r>
    <r>
      <rPr>
        <i val="true"/>
        <sz val="10"/>
        <color rgb="FF595959"/>
        <rFont val="Noto Sans CJK SC"/>
        <family val="2"/>
      </rPr>
      <t xml:space="preserve">平均人数</t>
    </r>
    <r>
      <rPr>
        <i val="true"/>
        <sz val="10"/>
        <color rgb="FF595959"/>
        <rFont val="Arial"/>
        <family val="0"/>
        <charset val="1"/>
      </rPr>
      <t xml:space="preserve">16,434</t>
    </r>
    <r>
      <rPr>
        <i val="true"/>
        <sz val="10"/>
        <color rgb="FF595959"/>
        <rFont val="Noto Sans CJK SC"/>
        <family val="2"/>
      </rPr>
      <t xml:space="preserve">）</t>
    </r>
  </si>
  <si>
    <t xml:space="preserve">九、期间费用其他项（占营业收入）</t>
  </si>
  <si>
    <r>
      <rPr>
        <b val="true"/>
        <sz val="10"/>
        <color rgb="FF000000"/>
        <rFont val="Noto Sans CJK SC"/>
        <family val="2"/>
      </rPr>
      <t xml:space="preserve">销售费用</t>
    </r>
    <r>
      <rPr>
        <b val="true"/>
        <sz val="10"/>
        <color rgb="FF000000"/>
        <rFont val="Arial"/>
        <family val="0"/>
        <charset val="1"/>
      </rPr>
      <t xml:space="preserve">-</t>
    </r>
    <r>
      <rPr>
        <b val="true"/>
        <sz val="10"/>
        <color rgb="FF000000"/>
        <rFont val="Noto Sans CJK SC"/>
        <family val="2"/>
      </rPr>
      <t xml:space="preserve">其他项（差旅、招待、展览等）</t>
    </r>
  </si>
  <si>
    <r>
      <rPr>
        <i val="true"/>
        <sz val="10"/>
        <color rgb="FF595959"/>
        <rFont val="Arial"/>
        <family val="0"/>
        <charset val="1"/>
      </rPr>
      <t xml:space="preserve">2025A 0.28%</t>
    </r>
    <r>
      <rPr>
        <i val="true"/>
        <sz val="10"/>
        <color rgb="FF595959"/>
        <rFont val="Noto Sans CJK SC"/>
        <family val="2"/>
      </rPr>
      <t xml:space="preserve">（</t>
    </r>
    <r>
      <rPr>
        <i val="true"/>
        <sz val="10"/>
        <color rgb="FF595959"/>
        <rFont val="Arial"/>
        <family val="0"/>
        <charset val="1"/>
      </rPr>
      <t xml:space="preserve">25.4/9,007</t>
    </r>
    <r>
      <rPr>
        <i val="true"/>
        <sz val="10"/>
        <color rgb="FF595959"/>
        <rFont val="Noto Sans CJK SC"/>
        <family val="2"/>
      </rPr>
      <t xml:space="preserve">）</t>
    </r>
  </si>
  <si>
    <r>
      <rPr>
        <sz val="10"/>
        <color rgb="FF595959"/>
        <rFont val="Noto Sans CJK SC"/>
        <family val="2"/>
      </rPr>
      <t xml:space="preserve">  管理费用</t>
    </r>
    <r>
      <rPr>
        <sz val="10"/>
        <color rgb="FF595959"/>
        <rFont val="Arial"/>
        <family val="0"/>
        <charset val="1"/>
      </rPr>
      <t xml:space="preserve">-</t>
    </r>
    <r>
      <rPr>
        <sz val="10"/>
        <color rgb="FF595959"/>
        <rFont val="Noto Sans CJK SC"/>
        <family val="2"/>
      </rPr>
      <t xml:space="preserve">其他项（办公、修理、中介、咨询等）—输入</t>
    </r>
  </si>
  <si>
    <r>
      <rPr>
        <b val="true"/>
        <sz val="10"/>
        <color rgb="FF000000"/>
        <rFont val="Noto Sans CJK SC"/>
        <family val="2"/>
      </rPr>
      <t xml:space="preserve">管理费用</t>
    </r>
    <r>
      <rPr>
        <b val="true"/>
        <sz val="10"/>
        <color rgb="FF000000"/>
        <rFont val="Arial"/>
        <family val="0"/>
        <charset val="1"/>
      </rPr>
      <t xml:space="preserve">-</t>
    </r>
    <r>
      <rPr>
        <b val="true"/>
        <sz val="10"/>
        <color rgb="FF000000"/>
        <rFont val="Noto Sans CJK SC"/>
        <family val="2"/>
      </rPr>
      <t xml:space="preserve">其他项（办公、修理、中介、咨询等）（采用值）</t>
    </r>
  </si>
  <si>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1.92%/1.64%/1.44%</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管理费用</t>
    </r>
    <r>
      <rPr>
        <i val="true"/>
        <sz val="10"/>
        <color rgb="FF595959"/>
        <rFont val="Arial"/>
        <family val="0"/>
        <charset val="1"/>
      </rPr>
      <t xml:space="preserve">254.9</t>
    </r>
    <r>
      <rPr>
        <i val="true"/>
        <sz val="10"/>
        <color rgb="FF595959"/>
        <rFont val="Noto Sans CJK SC"/>
        <family val="2"/>
      </rPr>
      <t xml:space="preserve">（</t>
    </r>
    <r>
      <rPr>
        <i val="true"/>
        <sz val="10"/>
        <color rgb="FF595959"/>
        <rFont val="Arial"/>
        <family val="0"/>
        <charset val="1"/>
      </rPr>
      <t xml:space="preserve">+33%</t>
    </r>
    <r>
      <rPr>
        <i val="true"/>
        <sz val="10"/>
        <color rgb="FF595959"/>
        <rFont val="Noto Sans CJK SC"/>
        <family val="2"/>
      </rPr>
      <t xml:space="preserve">），四季度通常偏高，</t>
    </r>
    <r>
      <rPr>
        <i val="true"/>
        <sz val="10"/>
        <color rgb="FF595959"/>
        <rFont val="Arial"/>
        <family val="0"/>
        <charset val="1"/>
      </rPr>
      <t xml:space="preserve">2026E</t>
    </r>
    <r>
      <rPr>
        <i val="true"/>
        <sz val="10"/>
        <color rgb="FF595959"/>
        <rFont val="Noto Sans CJK SC"/>
        <family val="2"/>
      </rPr>
      <t xml:space="preserve">下半年按约</t>
    </r>
    <r>
      <rPr>
        <i val="true"/>
        <sz val="10"/>
        <color rgb="FF595959"/>
        <rFont val="Arial"/>
        <family val="0"/>
        <charset val="1"/>
      </rPr>
      <t xml:space="preserve">+20%</t>
    </r>
  </si>
  <si>
    <r>
      <rPr>
        <b val="true"/>
        <sz val="10"/>
        <color rgb="FF000000"/>
        <rFont val="Noto Sans CJK SC"/>
        <family val="2"/>
      </rPr>
      <t xml:space="preserve">研发费用</t>
    </r>
    <r>
      <rPr>
        <b val="true"/>
        <sz val="10"/>
        <color rgb="FF000000"/>
        <rFont val="Arial"/>
        <family val="0"/>
        <charset val="1"/>
      </rPr>
      <t xml:space="preserve">-</t>
    </r>
    <r>
      <rPr>
        <b val="true"/>
        <sz val="10"/>
        <color rgb="FF000000"/>
        <rFont val="Noto Sans CJK SC"/>
        <family val="2"/>
      </rPr>
      <t xml:space="preserve">直接投入</t>
    </r>
  </si>
  <si>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2.41%/1.05%/1.30%</t>
    </r>
    <r>
      <rPr>
        <i val="true"/>
        <sz val="10"/>
        <color rgb="FF595959"/>
        <rFont val="Noto Sans CJK SC"/>
        <family val="2"/>
      </rPr>
      <t xml:space="preserve">；</t>
    </r>
    <r>
      <rPr>
        <i val="true"/>
        <sz val="10"/>
        <color rgb="FF595959"/>
        <rFont val="Arial"/>
        <family val="0"/>
        <charset val="1"/>
      </rPr>
      <t xml:space="preserve">2026H1 1.28%</t>
    </r>
  </si>
  <si>
    <r>
      <rPr>
        <b val="true"/>
        <sz val="10"/>
        <color rgb="FF000000"/>
        <rFont val="Noto Sans CJK SC"/>
        <family val="2"/>
      </rPr>
      <t xml:space="preserve">研发费用</t>
    </r>
    <r>
      <rPr>
        <b val="true"/>
        <sz val="10"/>
        <color rgb="FF000000"/>
        <rFont val="Arial"/>
        <family val="0"/>
        <charset val="1"/>
      </rPr>
      <t xml:space="preserve">-</t>
    </r>
    <r>
      <rPr>
        <b val="true"/>
        <sz val="10"/>
        <color rgb="FF000000"/>
        <rFont val="Noto Sans CJK SC"/>
        <family val="2"/>
      </rPr>
      <t xml:space="preserve">其他</t>
    </r>
  </si>
  <si>
    <r>
      <rPr>
        <i val="true"/>
        <sz val="10"/>
        <color rgb="FF595959"/>
        <rFont val="Arial"/>
        <family val="0"/>
        <charset val="1"/>
      </rPr>
      <t xml:space="preserve">2025A 0.28%</t>
    </r>
    <r>
      <rPr>
        <i val="true"/>
        <sz val="10"/>
        <color rgb="FF595959"/>
        <rFont val="Noto Sans CJK SC"/>
        <family val="2"/>
      </rPr>
      <t xml:space="preserve">；</t>
    </r>
    <r>
      <rPr>
        <i val="true"/>
        <sz val="10"/>
        <color rgb="FF595959"/>
        <rFont val="Arial"/>
        <family val="0"/>
        <charset val="1"/>
      </rPr>
      <t xml:space="preserve">2026H1 0.07%</t>
    </r>
  </si>
  <si>
    <t xml:space="preserve">十、资本开支、在建工程与折旧</t>
  </si>
  <si>
    <r>
      <rPr>
        <b val="true"/>
        <sz val="10"/>
        <color rgb="FF000000"/>
        <rFont val="Noto Sans CJK SC"/>
        <family val="2"/>
      </rPr>
      <t xml:space="preserve">维护性资本开支</t>
    </r>
    <r>
      <rPr>
        <b val="true"/>
        <sz val="10"/>
        <color rgb="FF000000"/>
        <rFont val="Arial"/>
        <family val="0"/>
        <charset val="1"/>
      </rPr>
      <t xml:space="preserve">/</t>
    </r>
    <r>
      <rPr>
        <b val="true"/>
        <sz val="10"/>
        <color rgb="FF000000"/>
        <rFont val="Noto Sans CJK SC"/>
        <family val="2"/>
      </rPr>
      <t xml:space="preserve">上年固定资产折旧</t>
    </r>
  </si>
  <si>
    <r>
      <rPr>
        <i val="true"/>
        <sz val="10"/>
        <color rgb="FF595959"/>
        <rFont val="Noto Sans CJK SC"/>
        <family val="2"/>
      </rPr>
      <t xml:space="preserve">假设值：设备更新与技改；使</t>
    </r>
    <r>
      <rPr>
        <i val="true"/>
        <sz val="10"/>
        <color rgb="FF595959"/>
        <rFont val="Arial"/>
        <family val="0"/>
        <charset val="1"/>
      </rPr>
      <t xml:space="preserve">2030E</t>
    </r>
    <r>
      <rPr>
        <i val="true"/>
        <sz val="10"/>
        <color rgb="FF595959"/>
        <rFont val="Noto Sans CJK SC"/>
        <family val="2"/>
      </rPr>
      <t xml:space="preserve">资本开支约为折旧摊销的</t>
    </r>
    <r>
      <rPr>
        <i val="true"/>
        <sz val="10"/>
        <color rgb="FF595959"/>
        <rFont val="Arial"/>
        <family val="0"/>
        <charset val="1"/>
      </rPr>
      <t xml:space="preserve">1.2</t>
    </r>
    <r>
      <rPr>
        <i val="true"/>
        <sz val="10"/>
        <color rgb="FF595959"/>
        <rFont val="Noto Sans CJK SC"/>
        <family val="2"/>
      </rPr>
      <t xml:space="preserve">倍，与收入继续增长相匹配</t>
    </r>
  </si>
  <si>
    <t xml:space="preserve">  国内扩产资本开支—基准</t>
  </si>
  <si>
    <t xml:space="preserve">  国内扩产资本开支—乐观</t>
  </si>
  <si>
    <t xml:space="preserve">  国内扩产资本开支—悲观</t>
  </si>
  <si>
    <t xml:space="preserve">国内扩产资本开支（采用值）</t>
  </si>
  <si>
    <r>
      <rPr>
        <i val="true"/>
        <sz val="10"/>
        <color rgb="FF595959"/>
        <rFont val="Arial"/>
        <family val="0"/>
        <charset val="1"/>
      </rPr>
      <t xml:space="preserve">2025A</t>
    </r>
    <r>
      <rPr>
        <i val="true"/>
        <sz val="10"/>
        <color rgb="FF595959"/>
        <rFont val="Noto Sans CJK SC"/>
        <family val="2"/>
      </rPr>
      <t xml:space="preserve">资本开支</t>
    </r>
    <r>
      <rPr>
        <i val="true"/>
        <sz val="10"/>
        <color rgb="FF595959"/>
        <rFont val="Arial"/>
        <family val="0"/>
        <charset val="1"/>
      </rPr>
      <t xml:space="preserve">580.1</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已达</t>
    </r>
    <r>
      <rPr>
        <i val="true"/>
        <sz val="10"/>
        <color rgb="FF595959"/>
        <rFont val="Arial"/>
        <family val="0"/>
        <charset val="1"/>
      </rPr>
      <t xml:space="preserve">476.4</t>
    </r>
    <r>
      <rPr>
        <i val="true"/>
        <sz val="10"/>
        <color rgb="FF595959"/>
        <rFont val="Noto Sans CJK SC"/>
        <family val="2"/>
      </rPr>
      <t xml:space="preserve">，在建工程由</t>
    </r>
    <r>
      <rPr>
        <i val="true"/>
        <sz val="10"/>
        <color rgb="FF595959"/>
        <rFont val="Arial"/>
        <family val="0"/>
        <charset val="1"/>
      </rPr>
      <t xml:space="preserve">400.2</t>
    </r>
    <r>
      <rPr>
        <i val="true"/>
        <sz val="10"/>
        <color rgb="FF595959"/>
        <rFont val="Noto Sans CJK SC"/>
        <family val="2"/>
      </rPr>
      <t xml:space="preserve">升至</t>
    </r>
    <r>
      <rPr>
        <i val="true"/>
        <sz val="10"/>
        <color rgb="FF595959"/>
        <rFont val="Arial"/>
        <family val="0"/>
        <charset val="1"/>
      </rPr>
      <t xml:space="preserve">848.4</t>
    </r>
    <r>
      <rPr>
        <i val="true"/>
        <sz val="10"/>
        <color rgb="FF595959"/>
        <rFont val="Noto Sans CJK SC"/>
        <family val="2"/>
      </rPr>
      <t xml:space="preserve">（设备安装工程</t>
    </r>
    <r>
      <rPr>
        <i val="true"/>
        <sz val="10"/>
        <color rgb="FF595959"/>
        <rFont val="Arial"/>
        <family val="0"/>
        <charset val="1"/>
      </rPr>
      <t xml:space="preserve">769.5</t>
    </r>
    <r>
      <rPr>
        <i val="true"/>
        <sz val="10"/>
        <color rgb="FF595959"/>
        <rFont val="Noto Sans CJK SC"/>
        <family val="2"/>
      </rPr>
      <t xml:space="preserve">），预付设备款</t>
    </r>
    <r>
      <rPr>
        <i val="true"/>
        <sz val="10"/>
        <color rgb="FF595959"/>
        <rFont val="Arial"/>
        <family val="0"/>
        <charset val="1"/>
      </rPr>
      <t xml:space="preserve">147.0</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新厂区建设工程”预算</t>
    </r>
    <r>
      <rPr>
        <i val="true"/>
        <sz val="10"/>
        <color rgb="FF595959"/>
        <rFont val="Arial"/>
        <family val="0"/>
        <charset val="1"/>
      </rPr>
      <t xml:space="preserve">365.0</t>
    </r>
    <r>
      <rPr>
        <i val="true"/>
        <sz val="10"/>
        <color rgb="FF595959"/>
        <rFont val="Noto Sans CJK SC"/>
        <family val="2"/>
      </rPr>
      <t xml:space="preserve">（按滚动数推断为德阳扩建上调预算，完成</t>
    </r>
    <r>
      <rPr>
        <i val="true"/>
        <sz val="10"/>
        <color rgb="FF595959"/>
        <rFont val="Arial"/>
        <family val="0"/>
        <charset val="1"/>
      </rPr>
      <t xml:space="preserve">67%</t>
    </r>
    <r>
      <rPr>
        <i val="true"/>
        <sz val="10"/>
        <color rgb="FF595959"/>
        <rFont val="Noto Sans CJK SC"/>
        <family val="2"/>
      </rPr>
      <t xml:space="preserve">）</t>
    </r>
  </si>
  <si>
    <r>
      <rPr>
        <b val="true"/>
        <sz val="10"/>
        <color rgb="FF000000"/>
        <rFont val="Arial"/>
        <family val="0"/>
        <charset val="1"/>
      </rPr>
      <t xml:space="preserve">H</t>
    </r>
    <r>
      <rPr>
        <b val="true"/>
        <sz val="10"/>
        <color rgb="FF000000"/>
        <rFont val="Noto Sans CJK SC"/>
        <family val="2"/>
      </rPr>
      <t xml:space="preserve">股境外项目资金使用进度</t>
    </r>
  </si>
  <si>
    <r>
      <rPr>
        <i val="true"/>
        <sz val="10"/>
        <color rgb="FF595959"/>
        <rFont val="Noto Sans CJK SC"/>
        <family val="2"/>
      </rPr>
      <t xml:space="preserve">假设：泰国、德国项目</t>
    </r>
    <r>
      <rPr>
        <i val="true"/>
        <sz val="10"/>
        <color rgb="FF595959"/>
        <rFont val="Arial"/>
        <family val="0"/>
        <charset val="1"/>
      </rPr>
      <t xml:space="preserve">2026H2</t>
    </r>
    <r>
      <rPr>
        <i val="true"/>
        <sz val="10"/>
        <color rgb="FF595959"/>
        <rFont val="Noto Sans CJK SC"/>
        <family val="2"/>
      </rPr>
      <t xml:space="preserve">动工，</t>
    </r>
    <r>
      <rPr>
        <i val="true"/>
        <sz val="10"/>
        <color rgb="FF595959"/>
        <rFont val="Arial"/>
        <family val="0"/>
        <charset val="1"/>
      </rPr>
      <t xml:space="preserve">2027-2028</t>
    </r>
    <r>
      <rPr>
        <i val="true"/>
        <sz val="10"/>
        <color rgb="FF595959"/>
        <rFont val="Noto Sans CJK SC"/>
        <family val="2"/>
      </rPr>
      <t xml:space="preserve">年为投入高峰</t>
    </r>
  </si>
  <si>
    <t xml:space="preserve">土地使用权、软件及长期待摊</t>
  </si>
  <si>
    <r>
      <rPr>
        <i val="true"/>
        <sz val="10"/>
        <color rgb="FF595959"/>
        <rFont val="Arial"/>
        <family val="0"/>
        <charset val="1"/>
      </rPr>
      <t xml:space="preserve">2025A</t>
    </r>
    <r>
      <rPr>
        <i val="true"/>
        <sz val="10"/>
        <color rgb="FF595959"/>
        <rFont val="Noto Sans CJK SC"/>
        <family val="2"/>
      </rPr>
      <t xml:space="preserve">无形资产与长期待摊合计增加约</t>
    </r>
    <r>
      <rPr>
        <i val="true"/>
        <sz val="10"/>
        <color rgb="FF595959"/>
        <rFont val="Arial"/>
        <family val="0"/>
        <charset val="1"/>
      </rPr>
      <t xml:space="preserve">21</t>
    </r>
  </si>
  <si>
    <t xml:space="preserve">资本开支（不含无形）中进入在建工程比例</t>
  </si>
  <si>
    <r>
      <rPr>
        <i val="true"/>
        <sz val="10"/>
        <color rgb="FF595959"/>
        <rFont val="Arial"/>
        <family val="0"/>
        <charset val="1"/>
      </rPr>
      <t xml:space="preserve">2023-2025A</t>
    </r>
    <r>
      <rPr>
        <i val="true"/>
        <sz val="10"/>
        <color rgb="FF595959"/>
        <rFont val="Noto Sans CJK SC"/>
        <family val="2"/>
      </rPr>
      <t xml:space="preserve">：约</t>
    </r>
    <r>
      <rPr>
        <i val="true"/>
        <sz val="10"/>
        <color rgb="FF595959"/>
        <rFont val="Arial"/>
        <family val="0"/>
        <charset val="1"/>
      </rPr>
      <t xml:space="preserve">77%/91%/46%</t>
    </r>
    <r>
      <rPr>
        <i val="true"/>
        <sz val="10"/>
        <color rgb="FF595959"/>
        <rFont val="Noto Sans CJK SC"/>
        <family val="2"/>
      </rPr>
      <t xml:space="preserve">（在建工程增加</t>
    </r>
    <r>
      <rPr>
        <i val="true"/>
        <sz val="10"/>
        <color rgb="FF595959"/>
        <rFont val="Arial"/>
        <family val="0"/>
        <charset val="1"/>
      </rPr>
      <t xml:space="preserve">÷</t>
    </r>
    <r>
      <rPr>
        <i val="true"/>
        <sz val="10"/>
        <color rgb="FF595959"/>
        <rFont val="Noto Sans CJK SC"/>
        <family val="2"/>
      </rPr>
      <t xml:space="preserve">（在建工程增加</t>
    </r>
    <r>
      <rPr>
        <i val="true"/>
        <sz val="10"/>
        <color rgb="FF595959"/>
        <rFont val="Arial"/>
        <family val="0"/>
        <charset val="1"/>
      </rPr>
      <t xml:space="preserve">+</t>
    </r>
    <r>
      <rPr>
        <i val="true"/>
        <sz val="10"/>
        <color rgb="FF595959"/>
        <rFont val="Noto Sans CJK SC"/>
        <family val="2"/>
      </rPr>
      <t xml:space="preserve">直接购置））</t>
    </r>
  </si>
  <si>
    <t xml:space="preserve">期初在建工程当年转固比例</t>
  </si>
  <si>
    <r>
      <rPr>
        <i val="true"/>
        <sz val="10"/>
        <color rgb="FF595959"/>
        <rFont val="Arial"/>
        <family val="0"/>
        <charset val="1"/>
      </rPr>
      <t xml:space="preserve">2025A</t>
    </r>
    <r>
      <rPr>
        <i val="true"/>
        <sz val="10"/>
        <color rgb="FF595959"/>
        <rFont val="Noto Sans CJK SC"/>
        <family val="2"/>
      </rPr>
      <t xml:space="preserve">期初</t>
    </r>
    <r>
      <rPr>
        <i val="true"/>
        <sz val="10"/>
        <color rgb="FF595959"/>
        <rFont val="Arial"/>
        <family val="0"/>
        <charset val="1"/>
      </rPr>
      <t xml:space="preserve">593.7</t>
    </r>
    <r>
      <rPr>
        <i val="true"/>
        <sz val="10"/>
        <color rgb="FF595959"/>
        <rFont val="Noto Sans CJK SC"/>
        <family val="2"/>
      </rPr>
      <t xml:space="preserve">全部转固且当年新增约</t>
    </r>
    <r>
      <rPr>
        <i val="true"/>
        <sz val="10"/>
        <color rgb="FF595959"/>
        <rFont val="Arial"/>
        <family val="0"/>
        <charset val="1"/>
      </rPr>
      <t xml:space="preserve">11%</t>
    </r>
    <r>
      <rPr>
        <i val="true"/>
        <sz val="10"/>
        <color rgb="FF595959"/>
        <rFont val="Noto Sans CJK SC"/>
        <family val="2"/>
      </rPr>
      <t xml:space="preserve">转固（合计转固</t>
    </r>
    <r>
      <rPr>
        <i val="true"/>
        <sz val="10"/>
        <color rgb="FF595959"/>
        <rFont val="Arial"/>
        <family val="0"/>
        <charset val="1"/>
      </rPr>
      <t xml:space="preserve">645.7</t>
    </r>
    <r>
      <rPr>
        <i val="true"/>
        <sz val="10"/>
        <color rgb="FF595959"/>
        <rFont val="Noto Sans CJK SC"/>
        <family val="2"/>
      </rPr>
      <t xml:space="preserve">）</t>
    </r>
  </si>
  <si>
    <t xml:space="preserve">当年新增在建工程当年转固比例</t>
  </si>
  <si>
    <t xml:space="preserve">新增固定资产结构：房屋及建筑物</t>
  </si>
  <si>
    <r>
      <rPr>
        <i val="true"/>
        <sz val="10"/>
        <color rgb="FF595959"/>
        <rFont val="Arial"/>
        <family val="0"/>
        <charset val="1"/>
      </rPr>
      <t xml:space="preserve">2023-2025A</t>
    </r>
    <r>
      <rPr>
        <i val="true"/>
        <sz val="10"/>
        <color rgb="FF595959"/>
        <rFont val="Noto Sans CJK SC"/>
        <family val="2"/>
      </rPr>
      <t xml:space="preserve">新增结构：</t>
    </r>
    <r>
      <rPr>
        <i val="true"/>
        <sz val="10"/>
        <color rgb="FF595959"/>
        <rFont val="Arial"/>
        <family val="0"/>
        <charset val="1"/>
      </rPr>
      <t xml:space="preserve">66%/35%/28%</t>
    </r>
  </si>
  <si>
    <t xml:space="preserve">新增固定资产结构：机器设备</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</si>
  <si>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32%/63%/62%</t>
    </r>
  </si>
  <si>
    <t xml:space="preserve">新增固定资产结构：运输设备</t>
  </si>
  <si>
    <r>
      <rPr>
        <i val="true"/>
        <sz val="10"/>
        <color rgb="FF595959"/>
        <rFont val="Noto Sans CJK SC"/>
        <family val="2"/>
      </rPr>
      <t xml:space="preserve">约</t>
    </r>
    <r>
      <rPr>
        <i val="true"/>
        <sz val="10"/>
        <color rgb="FF595959"/>
        <rFont val="Arial"/>
        <family val="0"/>
        <charset val="1"/>
      </rPr>
      <t xml:space="preserve">0.2%-0.5%</t>
    </r>
  </si>
  <si>
    <t xml:space="preserve">新增固定资产结构：电子设备及其他（倒挤）</t>
  </si>
  <si>
    <r>
      <rPr>
        <i val="true"/>
        <sz val="10"/>
        <color rgb="FF595959"/>
        <rFont val="Arial"/>
        <family val="0"/>
        <charset val="1"/>
      </rPr>
      <t xml:space="preserve">2025A</t>
    </r>
    <r>
      <rPr>
        <i val="true"/>
        <sz val="10"/>
        <color rgb="FF595959"/>
        <rFont val="Noto Sans CJK SC"/>
        <family val="2"/>
      </rPr>
      <t xml:space="preserve">约</t>
    </r>
    <r>
      <rPr>
        <i val="true"/>
        <sz val="10"/>
        <color rgb="FF595959"/>
        <rFont val="Arial"/>
        <family val="0"/>
        <charset val="1"/>
      </rPr>
      <t xml:space="preserve">9.4%</t>
    </r>
  </si>
  <si>
    <t xml:space="preserve">  房屋及建筑物 折旧率（按平均原值）—输入</t>
  </si>
  <si>
    <t xml:space="preserve">房屋及建筑物 折旧率（按平均原值）（采用值）</t>
  </si>
  <si>
    <r>
      <rPr>
        <i val="true"/>
        <sz val="10"/>
        <color rgb="FF595959"/>
        <rFont val="Arial"/>
        <family val="0"/>
        <charset val="1"/>
      </rPr>
      <t xml:space="preserve">2023-2025A</t>
    </r>
    <r>
      <rPr>
        <i val="true"/>
        <sz val="10"/>
        <color rgb="FF595959"/>
        <rFont val="Noto Sans CJK SC"/>
        <family val="2"/>
      </rPr>
      <t xml:space="preserve">折旧率</t>
    </r>
    <r>
      <rPr>
        <i val="true"/>
        <sz val="10"/>
        <color rgb="FF595959"/>
        <rFont val="Arial"/>
        <family val="0"/>
        <charset val="1"/>
      </rPr>
      <t xml:space="preserve">4.65%/4.93%/4.82%</t>
    </r>
  </si>
  <si>
    <r>
      <rPr>
        <b val="true"/>
        <sz val="10"/>
        <color rgb="FF000000"/>
        <rFont val="Noto Sans CJK SC"/>
        <family val="2"/>
      </rPr>
      <t xml:space="preserve">房屋及建筑物 处置</t>
    </r>
    <r>
      <rPr>
        <b val="true"/>
        <sz val="10"/>
        <color rgb="FF000000"/>
        <rFont val="Arial"/>
        <family val="0"/>
        <charset val="1"/>
      </rPr>
      <t xml:space="preserve">/</t>
    </r>
    <r>
      <rPr>
        <b val="true"/>
        <sz val="10"/>
        <color rgb="FF000000"/>
        <rFont val="Noto Sans CJK SC"/>
        <family val="2"/>
      </rPr>
      <t xml:space="preserve">报废率（按期初原值）</t>
    </r>
  </si>
  <si>
    <t xml:space="preserve">年报固定资产变动表</t>
  </si>
  <si>
    <r>
      <rPr>
        <b val="true"/>
        <sz val="10"/>
        <color rgb="FF000000"/>
        <rFont val="Noto Sans CJK SC"/>
        <family val="2"/>
      </rPr>
      <t xml:space="preserve">房屋及建筑物 处置资产累计折旧</t>
    </r>
    <r>
      <rPr>
        <b val="true"/>
        <sz val="10"/>
        <color rgb="FF000000"/>
        <rFont val="Arial"/>
        <family val="0"/>
        <charset val="1"/>
      </rPr>
      <t xml:space="preserve">/</t>
    </r>
    <r>
      <rPr>
        <b val="true"/>
        <sz val="10"/>
        <color rgb="FF000000"/>
        <rFont val="Noto Sans CJK SC"/>
        <family val="2"/>
      </rPr>
      <t xml:space="preserve">原值</t>
    </r>
  </si>
  <si>
    <r>
      <rPr>
        <i val="true"/>
        <sz val="10"/>
        <color rgb="FF595959"/>
        <rFont val="Noto Sans CJK SC"/>
        <family val="2"/>
      </rPr>
      <t xml:space="preserve">年报固定资产变动表：累计折旧减少</t>
    </r>
    <r>
      <rPr>
        <i val="true"/>
        <sz val="10"/>
        <color rgb="FF595959"/>
        <rFont val="Arial"/>
        <family val="0"/>
        <charset val="1"/>
      </rPr>
      <t xml:space="preserve">÷</t>
    </r>
    <r>
      <rPr>
        <i val="true"/>
        <sz val="10"/>
        <color rgb="FF595959"/>
        <rFont val="Noto Sans CJK SC"/>
        <family val="2"/>
      </rPr>
      <t xml:space="preserve">原值减少</t>
    </r>
  </si>
  <si>
    <t xml:space="preserve">  机器设备 折旧率（按平均原值）—输入</t>
  </si>
  <si>
    <t xml:space="preserve">机器设备 折旧率（按平均原值）（采用值）</t>
  </si>
  <si>
    <r>
      <rPr>
        <i val="true"/>
        <sz val="10"/>
        <color rgb="FF595959"/>
        <rFont val="Arial"/>
        <family val="0"/>
        <charset val="1"/>
      </rPr>
      <t xml:space="preserve">2023-2025A</t>
    </r>
    <r>
      <rPr>
        <i val="true"/>
        <sz val="10"/>
        <color rgb="FF595959"/>
        <rFont val="Noto Sans CJK SC"/>
        <family val="2"/>
      </rPr>
      <t xml:space="preserve">折旧率</t>
    </r>
    <r>
      <rPr>
        <i val="true"/>
        <sz val="10"/>
        <color rgb="FF595959"/>
        <rFont val="Arial"/>
        <family val="0"/>
        <charset val="1"/>
      </rPr>
      <t xml:space="preserve">8.27%/7.97%/8.12%</t>
    </r>
    <r>
      <rPr>
        <i val="true"/>
        <sz val="10"/>
        <color rgb="FF595959"/>
        <rFont val="Noto Sans CJK SC"/>
        <family val="2"/>
      </rPr>
      <t xml:space="preserve">；处置率</t>
    </r>
    <r>
      <rPr>
        <i val="true"/>
        <sz val="10"/>
        <color rgb="FF595959"/>
        <rFont val="Arial"/>
        <family val="0"/>
        <charset val="1"/>
      </rPr>
      <t xml:space="preserve">2.0%/1.8%/1.3%</t>
    </r>
  </si>
  <si>
    <r>
      <rPr>
        <b val="true"/>
        <sz val="10"/>
        <color rgb="FF000000"/>
        <rFont val="Noto Sans CJK SC"/>
        <family val="2"/>
      </rPr>
      <t xml:space="preserve">机器设备 处置</t>
    </r>
    <r>
      <rPr>
        <b val="true"/>
        <sz val="10"/>
        <color rgb="FF000000"/>
        <rFont val="Arial"/>
        <family val="0"/>
        <charset val="1"/>
      </rPr>
      <t xml:space="preserve">/</t>
    </r>
    <r>
      <rPr>
        <b val="true"/>
        <sz val="10"/>
        <color rgb="FF000000"/>
        <rFont val="Noto Sans CJK SC"/>
        <family val="2"/>
      </rPr>
      <t xml:space="preserve">报废率（按期初原值）</t>
    </r>
  </si>
  <si>
    <r>
      <rPr>
        <b val="true"/>
        <sz val="10"/>
        <color rgb="FF000000"/>
        <rFont val="Noto Sans CJK SC"/>
        <family val="2"/>
      </rPr>
      <t xml:space="preserve">机器设备 处置资产累计折旧</t>
    </r>
    <r>
      <rPr>
        <b val="true"/>
        <sz val="10"/>
        <color rgb="FF000000"/>
        <rFont val="Arial"/>
        <family val="0"/>
        <charset val="1"/>
      </rPr>
      <t xml:space="preserve">/</t>
    </r>
    <r>
      <rPr>
        <b val="true"/>
        <sz val="10"/>
        <color rgb="FF000000"/>
        <rFont val="Noto Sans CJK SC"/>
        <family val="2"/>
      </rPr>
      <t xml:space="preserve">原值</t>
    </r>
  </si>
  <si>
    <t xml:space="preserve">  运输设备 折旧率（按平均原值）—输入</t>
  </si>
  <si>
    <t xml:space="preserve">运输设备 折旧率（按平均原值）（采用值）</t>
  </si>
  <si>
    <r>
      <rPr>
        <i val="true"/>
        <sz val="10"/>
        <color rgb="FF595959"/>
        <rFont val="Arial"/>
        <family val="0"/>
        <charset val="1"/>
      </rPr>
      <t xml:space="preserve">2024-2025A</t>
    </r>
    <r>
      <rPr>
        <i val="true"/>
        <sz val="10"/>
        <color rgb="FF595959"/>
        <rFont val="Noto Sans CJK SC"/>
        <family val="2"/>
      </rPr>
      <t xml:space="preserve">折旧率</t>
    </r>
    <r>
      <rPr>
        <i val="true"/>
        <sz val="10"/>
        <color rgb="FF595959"/>
        <rFont val="Arial"/>
        <family val="0"/>
        <charset val="1"/>
      </rPr>
      <t xml:space="preserve">9.8%/9.4%</t>
    </r>
  </si>
  <si>
    <r>
      <rPr>
        <b val="true"/>
        <sz val="10"/>
        <color rgb="FF000000"/>
        <rFont val="Noto Sans CJK SC"/>
        <family val="2"/>
      </rPr>
      <t xml:space="preserve">运输设备 处置</t>
    </r>
    <r>
      <rPr>
        <b val="true"/>
        <sz val="10"/>
        <color rgb="FF000000"/>
        <rFont val="Arial"/>
        <family val="0"/>
        <charset val="1"/>
      </rPr>
      <t xml:space="preserve">/</t>
    </r>
    <r>
      <rPr>
        <b val="true"/>
        <sz val="10"/>
        <color rgb="FF000000"/>
        <rFont val="Noto Sans CJK SC"/>
        <family val="2"/>
      </rPr>
      <t xml:space="preserve">报废率（按期初原值）</t>
    </r>
  </si>
  <si>
    <r>
      <rPr>
        <b val="true"/>
        <sz val="10"/>
        <color rgb="FF000000"/>
        <rFont val="Noto Sans CJK SC"/>
        <family val="2"/>
      </rPr>
      <t xml:space="preserve">运输设备 处置资产累计折旧</t>
    </r>
    <r>
      <rPr>
        <b val="true"/>
        <sz val="10"/>
        <color rgb="FF000000"/>
        <rFont val="Arial"/>
        <family val="0"/>
        <charset val="1"/>
      </rPr>
      <t xml:space="preserve">/</t>
    </r>
    <r>
      <rPr>
        <b val="true"/>
        <sz val="10"/>
        <color rgb="FF000000"/>
        <rFont val="Noto Sans CJK SC"/>
        <family val="2"/>
      </rPr>
      <t xml:space="preserve">原值</t>
    </r>
  </si>
  <si>
    <t xml:space="preserve">  电子设备及其他 折旧率（按平均原值）—输入</t>
  </si>
  <si>
    <t xml:space="preserve">电子设备及其他 折旧率（按平均原值）（采用值）</t>
  </si>
  <si>
    <r>
      <rPr>
        <i val="true"/>
        <sz val="10"/>
        <color rgb="FF595959"/>
        <rFont val="Arial"/>
        <family val="0"/>
        <charset val="1"/>
      </rPr>
      <t xml:space="preserve">2023-2025A</t>
    </r>
    <r>
      <rPr>
        <i val="true"/>
        <sz val="10"/>
        <color rgb="FF595959"/>
        <rFont val="Noto Sans CJK SC"/>
        <family val="2"/>
      </rPr>
      <t xml:space="preserve">折旧率</t>
    </r>
    <r>
      <rPr>
        <i val="true"/>
        <sz val="10"/>
        <color rgb="FF595959"/>
        <rFont val="Arial"/>
        <family val="0"/>
        <charset val="1"/>
      </rPr>
      <t xml:space="preserve">8.9%/10.1%/11.3%</t>
    </r>
  </si>
  <si>
    <r>
      <rPr>
        <b val="true"/>
        <sz val="10"/>
        <color rgb="FF000000"/>
        <rFont val="Noto Sans CJK SC"/>
        <family val="2"/>
      </rPr>
      <t xml:space="preserve">电子设备及其他 处置</t>
    </r>
    <r>
      <rPr>
        <b val="true"/>
        <sz val="10"/>
        <color rgb="FF000000"/>
        <rFont val="Arial"/>
        <family val="0"/>
        <charset val="1"/>
      </rPr>
      <t xml:space="preserve">/</t>
    </r>
    <r>
      <rPr>
        <b val="true"/>
        <sz val="10"/>
        <color rgb="FF000000"/>
        <rFont val="Noto Sans CJK SC"/>
        <family val="2"/>
      </rPr>
      <t xml:space="preserve">报废率（按期初原值）</t>
    </r>
  </si>
  <si>
    <r>
      <rPr>
        <b val="true"/>
        <sz val="10"/>
        <color rgb="FF000000"/>
        <rFont val="Noto Sans CJK SC"/>
        <family val="2"/>
      </rPr>
      <t xml:space="preserve">电子设备及其他 处置资产累计折旧</t>
    </r>
    <r>
      <rPr>
        <b val="true"/>
        <sz val="10"/>
        <color rgb="FF000000"/>
        <rFont val="Arial"/>
        <family val="0"/>
        <charset val="1"/>
      </rPr>
      <t xml:space="preserve">/</t>
    </r>
    <r>
      <rPr>
        <b val="true"/>
        <sz val="10"/>
        <color rgb="FF000000"/>
        <rFont val="Noto Sans CJK SC"/>
        <family val="2"/>
      </rPr>
      <t xml:space="preserve">原值</t>
    </r>
  </si>
  <si>
    <t xml:space="preserve">无形资产及长期待摊摊销率（按期初）</t>
  </si>
  <si>
    <r>
      <rPr>
        <i val="true"/>
        <sz val="10"/>
        <color rgb="FF595959"/>
        <rFont val="Arial"/>
        <family val="0"/>
        <charset val="1"/>
      </rPr>
      <t xml:space="preserve">2025A 5.3%</t>
    </r>
    <r>
      <rPr>
        <i val="true"/>
        <sz val="10"/>
        <color rgb="FF595959"/>
        <rFont val="Noto Sans CJK SC"/>
        <family val="2"/>
      </rPr>
      <t xml:space="preserve">（</t>
    </r>
    <r>
      <rPr>
        <i val="true"/>
        <sz val="10"/>
        <color rgb="FF595959"/>
        <rFont val="Arial"/>
        <family val="0"/>
        <charset val="1"/>
      </rPr>
      <t xml:space="preserve">24.3/458.4</t>
    </r>
    <r>
      <rPr>
        <i val="true"/>
        <sz val="10"/>
        <color rgb="FF595959"/>
        <rFont val="Noto Sans CJK SC"/>
        <family val="2"/>
      </rPr>
      <t xml:space="preserve">）</t>
    </r>
  </si>
  <si>
    <t xml:space="preserve">使用权资产折旧</t>
  </si>
  <si>
    <t xml:space="preserve">2025A 4.7</t>
  </si>
  <si>
    <r>
      <rPr>
        <b val="true"/>
        <sz val="10"/>
        <color rgb="FF1F3864"/>
        <rFont val="Noto Sans CJK SC"/>
        <family val="2"/>
      </rPr>
      <t xml:space="preserve">十一、营运资金（天数按期末余额</t>
    </r>
    <r>
      <rPr>
        <b val="true"/>
        <sz val="10"/>
        <color rgb="FF1F3864"/>
        <rFont val="Arial"/>
        <family val="0"/>
        <charset val="1"/>
      </rPr>
      <t xml:space="preserve">/</t>
    </r>
    <r>
      <rPr>
        <b val="true"/>
        <sz val="10"/>
        <color rgb="FF1F3864"/>
        <rFont val="Noto Sans CJK SC"/>
        <family val="2"/>
      </rPr>
      <t xml:space="preserve">当年收入或成本</t>
    </r>
    <r>
      <rPr>
        <b val="true"/>
        <sz val="10"/>
        <color rgb="FF1F3864"/>
        <rFont val="Arial"/>
        <family val="0"/>
        <charset val="1"/>
      </rPr>
      <t xml:space="preserve">×365</t>
    </r>
    <r>
      <rPr>
        <b val="true"/>
        <sz val="10"/>
        <color rgb="FF1F3864"/>
        <rFont val="Noto Sans CJK SC"/>
        <family val="2"/>
      </rPr>
      <t xml:space="preserve">）</t>
    </r>
  </si>
  <si>
    <t xml:space="preserve">应收票据周转天数（按收入）</t>
  </si>
  <si>
    <t xml:space="preserve">天</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</si>
  <si>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31.8/30.6</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22.8</t>
    </r>
    <r>
      <rPr>
        <i val="true"/>
        <sz val="10"/>
        <color rgb="FF595959"/>
        <rFont val="Noto Sans CJK SC"/>
        <family val="2"/>
      </rPr>
      <t xml:space="preserve">天</t>
    </r>
  </si>
  <si>
    <t xml:space="preserve">应收账款周转天数（按收入；叠加天数冲击）</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</si>
  <si>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92.6/87.5</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86</t>
    </r>
    <r>
      <rPr>
        <i val="true"/>
        <sz val="10"/>
        <color rgb="FF595959"/>
        <rFont val="Noto Sans CJK SC"/>
        <family val="2"/>
      </rPr>
      <t xml:space="preserve">天</t>
    </r>
  </si>
  <si>
    <t xml:space="preserve">应收款项融资周转天数（按收入）</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</si>
  <si>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8.5/14.0</t>
    </r>
    <r>
      <rPr>
        <i val="true"/>
        <sz val="10"/>
        <color rgb="FF595959"/>
        <rFont val="Noto Sans CJK SC"/>
        <family val="2"/>
      </rPr>
      <t xml:space="preserve">天</t>
    </r>
  </si>
  <si>
    <t xml:space="preserve">原材料周转天数（按原材料成本）</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</si>
  <si>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50.3/44.8</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约</t>
    </r>
    <r>
      <rPr>
        <i val="true"/>
        <sz val="10"/>
        <color rgb="FF595959"/>
        <rFont val="Arial"/>
        <family val="0"/>
        <charset val="1"/>
      </rPr>
      <t xml:space="preserve">58</t>
    </r>
    <r>
      <rPr>
        <i val="true"/>
        <sz val="10"/>
        <color rgb="FF595959"/>
        <rFont val="Noto Sans CJK SC"/>
        <family val="2"/>
      </rPr>
      <t xml:space="preserve">天</t>
    </r>
  </si>
  <si>
    <t xml:space="preserve">在产品及半成品周转天数（按营业成本）</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</si>
  <si>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93.0/81.6</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年化约</t>
    </r>
    <r>
      <rPr>
        <i val="true"/>
        <sz val="10"/>
        <color rgb="FF595959"/>
        <rFont val="Arial"/>
        <family val="0"/>
        <charset val="1"/>
      </rPr>
      <t xml:space="preserve">65</t>
    </r>
    <r>
      <rPr>
        <i val="true"/>
        <sz val="10"/>
        <color rgb="FF595959"/>
        <rFont val="Noto Sans CJK SC"/>
        <family val="2"/>
      </rPr>
      <t xml:space="preserve">天</t>
    </r>
  </si>
  <si>
    <t xml:space="preserve">库存商品及发出商品周转天数（按营业成本；叠加天数冲击）</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</si>
  <si>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73.0/62.3</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年化约</t>
    </r>
    <r>
      <rPr>
        <i val="true"/>
        <sz val="10"/>
        <color rgb="FF595959"/>
        <rFont val="Arial"/>
        <family val="0"/>
        <charset val="1"/>
      </rPr>
      <t xml:space="preserve">47</t>
    </r>
    <r>
      <rPr>
        <i val="true"/>
        <sz val="10"/>
        <color rgb="FF595959"/>
        <rFont val="Noto Sans CJK SC"/>
        <family val="2"/>
      </rPr>
      <t xml:space="preserve">天</t>
    </r>
  </si>
  <si>
    <t xml:space="preserve">应付票据周转天数（按营业成本）</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</si>
  <si>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45.3/78.4</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75.9</t>
    </r>
    <r>
      <rPr>
        <i val="true"/>
        <sz val="10"/>
        <color rgb="FF595959"/>
        <rFont val="Noto Sans CJK SC"/>
        <family val="2"/>
      </rPr>
      <t xml:space="preserve">天</t>
    </r>
  </si>
  <si>
    <t xml:space="preserve">应付账款周转天数（按营业成本）</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</si>
  <si>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67.2/56.6</t>
    </r>
    <r>
      <rPr>
        <i val="true"/>
        <sz val="10"/>
        <color rgb="FF595959"/>
        <rFont val="Noto Sans CJK SC"/>
        <family val="2"/>
      </rPr>
      <t xml:space="preserve">天；</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64.5</t>
    </r>
    <r>
      <rPr>
        <i val="true"/>
        <sz val="10"/>
        <color rgb="FF595959"/>
        <rFont val="Noto Sans CJK SC"/>
        <family val="2"/>
      </rPr>
      <t xml:space="preserve">天</t>
    </r>
  </si>
  <si>
    <t xml:space="preserve">其他存货占营业成本</t>
  </si>
  <si>
    <t xml:space="preserve">存货附注仅有原材料、在产品、半成品、库存商品、发出商品五类</t>
  </si>
  <si>
    <r>
      <rPr>
        <b val="true"/>
        <sz val="10"/>
        <color rgb="FF000000"/>
        <rFont val="Noto Sans CJK SC"/>
        <family val="2"/>
      </rPr>
      <t xml:space="preserve">存货跌价准备</t>
    </r>
    <r>
      <rPr>
        <b val="true"/>
        <sz val="10"/>
        <color rgb="FF000000"/>
        <rFont val="Arial"/>
        <family val="0"/>
        <charset val="1"/>
      </rPr>
      <t xml:space="preserve">/</t>
    </r>
    <r>
      <rPr>
        <b val="true"/>
        <sz val="10"/>
        <color rgb="FF000000"/>
        <rFont val="Noto Sans CJK SC"/>
        <family val="2"/>
      </rPr>
      <t xml:space="preserve">存货余额</t>
    </r>
  </si>
  <si>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2.67%/3.30%/2.84%</t>
    </r>
    <r>
      <rPr>
        <i val="true"/>
        <sz val="10"/>
        <color rgb="FF595959"/>
        <rFont val="Noto Sans CJK SC"/>
        <family val="2"/>
      </rPr>
      <t xml:space="preserve">；</t>
    </r>
    <r>
      <rPr>
        <i val="true"/>
        <sz val="10"/>
        <color rgb="FF595959"/>
        <rFont val="Arial"/>
        <family val="0"/>
        <charset val="1"/>
      </rPr>
      <t xml:space="preserve">2026H1 4.03%</t>
    </r>
  </si>
  <si>
    <t xml:space="preserve">预付款项占营业成本</t>
  </si>
  <si>
    <r>
      <rPr>
        <i val="true"/>
        <sz val="10"/>
        <color rgb="FF595959"/>
        <rFont val="Arial"/>
        <family val="0"/>
        <charset val="1"/>
      </rPr>
      <t xml:space="preserve">2025A 1.45%</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1.98%</t>
    </r>
  </si>
  <si>
    <t xml:space="preserve">其他应收款占收入</t>
  </si>
  <si>
    <t xml:space="preserve">2025A 0.20%</t>
  </si>
  <si>
    <t xml:space="preserve">其他流动资产占收入</t>
  </si>
  <si>
    <r>
      <rPr>
        <i val="true"/>
        <sz val="10"/>
        <color rgb="FF595959"/>
        <rFont val="Arial"/>
        <family val="0"/>
        <charset val="1"/>
      </rPr>
      <t xml:space="preserve">2025A 5.77%</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3.66%</t>
    </r>
    <r>
      <rPr>
        <i val="true"/>
        <sz val="10"/>
        <color rgb="FF595959"/>
        <rFont val="Noto Sans CJK SC"/>
        <family val="2"/>
      </rPr>
      <t xml:space="preserve">（待抵扣进项税、预付上市费用等）</t>
    </r>
  </si>
  <si>
    <t xml:space="preserve">合同负债及预收款项占收入</t>
  </si>
  <si>
    <r>
      <rPr>
        <i val="true"/>
        <sz val="10"/>
        <color rgb="FF595959"/>
        <rFont val="Arial"/>
        <family val="0"/>
        <charset val="1"/>
      </rPr>
      <t xml:space="preserve">2025A 0.27%</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0.61%</t>
    </r>
  </si>
  <si>
    <r>
      <rPr>
        <b val="true"/>
        <sz val="10"/>
        <color rgb="FF000000"/>
        <rFont val="Noto Sans CJK SC"/>
        <family val="2"/>
      </rPr>
      <t xml:space="preserve">应付职工薪酬</t>
    </r>
    <r>
      <rPr>
        <b val="true"/>
        <sz val="10"/>
        <color rgb="FF000000"/>
        <rFont val="Arial"/>
        <family val="0"/>
        <charset val="1"/>
      </rPr>
      <t xml:space="preserve">/</t>
    </r>
    <r>
      <rPr>
        <b val="true"/>
        <sz val="10"/>
        <color rgb="FF000000"/>
        <rFont val="Noto Sans CJK SC"/>
        <family val="2"/>
      </rPr>
      <t xml:space="preserve">职工薪酬总额</t>
    </r>
  </si>
  <si>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18.7%/18.5%/18.8%</t>
    </r>
  </si>
  <si>
    <t xml:space="preserve">应交税费占收入</t>
  </si>
  <si>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1.99%/2.37%</t>
    </r>
  </si>
  <si>
    <t xml:space="preserve">其他应付款占收入</t>
  </si>
  <si>
    <r>
      <rPr>
        <i val="true"/>
        <sz val="10"/>
        <color rgb="FF595959"/>
        <rFont val="Arial"/>
        <family val="0"/>
        <charset val="1"/>
      </rPr>
      <t xml:space="preserve">2025A 1.27%</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1.43%</t>
    </r>
  </si>
  <si>
    <t xml:space="preserve">其他流动负债占收入</t>
  </si>
  <si>
    <r>
      <rPr>
        <i val="true"/>
        <sz val="10"/>
        <color rgb="FF595959"/>
        <rFont val="Arial"/>
        <family val="0"/>
        <charset val="1"/>
      </rPr>
      <t xml:space="preserve">2025A 2.91%</t>
    </r>
    <r>
      <rPr>
        <i val="true"/>
        <sz val="10"/>
        <color rgb="FF595959"/>
        <rFont val="Noto Sans CJK SC"/>
        <family val="2"/>
      </rPr>
      <t xml:space="preserve">（主要为已背书未终止确认票据及待转销项税）</t>
    </r>
  </si>
  <si>
    <t xml:space="preserve">十二、资金、融资与财务费用</t>
  </si>
  <si>
    <t xml:space="preserve">  货币资金（扣除受限）利息率（按期初）—输入</t>
  </si>
  <si>
    <t xml:space="preserve">货币资金（扣除受限）利息率（按期初）（采用值）</t>
  </si>
  <si>
    <r>
      <rPr>
        <i val="true"/>
        <sz val="10"/>
        <color rgb="FF595959"/>
        <rFont val="Noto Sans CJK SC"/>
        <family val="2"/>
      </rPr>
      <t xml:space="preserve">货币资金内含三个月以上定期存款（</t>
    </r>
    <r>
      <rPr>
        <i val="true"/>
        <sz val="10"/>
        <color rgb="FF595959"/>
        <rFont val="Arial"/>
        <family val="0"/>
        <charset val="1"/>
      </rPr>
      <t xml:space="preserve">2025</t>
    </r>
    <r>
      <rPr>
        <i val="true"/>
        <sz val="10"/>
        <color rgb="FF595959"/>
        <rFont val="Noto Sans CJK SC"/>
        <family val="2"/>
      </rPr>
      <t xml:space="preserve">年末</t>
    </r>
    <r>
      <rPr>
        <i val="true"/>
        <sz val="10"/>
        <color rgb="FF595959"/>
        <rFont val="Arial"/>
        <family val="0"/>
        <charset val="1"/>
      </rPr>
      <t xml:space="preserve">772.4</t>
    </r>
    <r>
      <rPr>
        <i val="true"/>
        <sz val="10"/>
        <color rgb="FF595959"/>
        <rFont val="Noto Sans CJK SC"/>
        <family val="2"/>
      </rPr>
      <t xml:space="preserve">）；</t>
    </r>
    <r>
      <rPr>
        <i val="true"/>
        <sz val="10"/>
        <color rgb="FF595959"/>
        <rFont val="Arial"/>
        <family val="0"/>
        <charset val="1"/>
      </rPr>
      <t xml:space="preserve">2025A</t>
    </r>
    <r>
      <rPr>
        <i val="true"/>
        <sz val="10"/>
        <color rgb="FF595959"/>
        <rFont val="Noto Sans CJK SC"/>
        <family val="2"/>
      </rPr>
      <t xml:space="preserve">利息收入</t>
    </r>
    <r>
      <rPr>
        <i val="true"/>
        <sz val="10"/>
        <color rgb="FF595959"/>
        <rFont val="Arial"/>
        <family val="0"/>
        <charset val="1"/>
      </rPr>
      <t xml:space="preserve">196.9/</t>
    </r>
    <r>
      <rPr>
        <i val="true"/>
        <sz val="10"/>
        <color rgb="FF595959"/>
        <rFont val="Noto Sans CJK SC"/>
        <family val="2"/>
      </rPr>
      <t xml:space="preserve">期初货币资金与定期存款约</t>
    </r>
    <r>
      <rPr>
        <i val="true"/>
        <sz val="10"/>
        <color rgb="FF595959"/>
        <rFont val="Arial"/>
        <family val="0"/>
        <charset val="1"/>
      </rPr>
      <t xml:space="preserve">6,024=3.3%</t>
    </r>
    <r>
      <rPr>
        <i val="true"/>
        <sz val="10"/>
        <color rgb="FF595959"/>
        <rFont val="Noto Sans CJK SC"/>
        <family val="2"/>
      </rPr>
      <t xml:space="preserve">；存款利率持续下调</t>
    </r>
  </si>
  <si>
    <t xml:space="preserve">  一年以上定期存款及大额存单利息率（按期初）—输入</t>
  </si>
  <si>
    <t xml:space="preserve">一年以上定期存款及大额存单利息率（按期初）（采用值）</t>
  </si>
  <si>
    <r>
      <rPr>
        <i val="true"/>
        <sz val="10"/>
        <color rgb="FF595959"/>
        <rFont val="Arial"/>
        <family val="0"/>
        <charset val="1"/>
      </rPr>
      <t xml:space="preserve">2025</t>
    </r>
    <r>
      <rPr>
        <i val="true"/>
        <sz val="10"/>
        <color rgb="FF595959"/>
        <rFont val="Noto Sans CJK SC"/>
        <family val="2"/>
      </rPr>
      <t xml:space="preserve">年末</t>
    </r>
    <r>
      <rPr>
        <i val="true"/>
        <sz val="10"/>
        <color rgb="FF595959"/>
        <rFont val="Arial"/>
        <family val="0"/>
        <charset val="1"/>
      </rPr>
      <t xml:space="preserve">5,851.0</t>
    </r>
    <r>
      <rPr>
        <i val="true"/>
        <sz val="10"/>
        <color rgb="FF595959"/>
        <rFont val="Noto Sans CJK SC"/>
        <family val="2"/>
      </rPr>
      <t xml:space="preserve">；早年锁定的大额存单利率较高，到期后续作利率下行</t>
    </r>
  </si>
  <si>
    <t xml:space="preserve">  交易性金融资产（理财）收益率（按期初）—输入</t>
  </si>
  <si>
    <t xml:space="preserve">交易性金融资产（理财）收益率（按期初）（采用值）</t>
  </si>
  <si>
    <r>
      <rPr>
        <i val="true"/>
        <sz val="10"/>
        <color rgb="FF595959"/>
        <rFont val="Arial"/>
        <family val="0"/>
        <charset val="1"/>
      </rPr>
      <t xml:space="preserve">2025A 1.43%</t>
    </r>
    <r>
      <rPr>
        <i val="true"/>
        <sz val="10"/>
        <color rgb="FF595959"/>
        <rFont val="Noto Sans CJK SC"/>
        <family val="2"/>
      </rPr>
      <t xml:space="preserve">（</t>
    </r>
    <r>
      <rPr>
        <i val="true"/>
        <sz val="10"/>
        <color rgb="FF595959"/>
        <rFont val="Arial"/>
        <family val="0"/>
        <charset val="1"/>
      </rPr>
      <t xml:space="preserve">(41.7+30.5)/5,053.4</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年化</t>
    </r>
    <r>
      <rPr>
        <i val="true"/>
        <sz val="10"/>
        <color rgb="FF595959"/>
        <rFont val="Arial"/>
        <family val="0"/>
        <charset val="1"/>
      </rPr>
      <t xml:space="preserve">1.7%</t>
    </r>
  </si>
  <si>
    <t xml:space="preserve">交易性金融资产净增加</t>
  </si>
  <si>
    <r>
      <rPr>
        <i val="true"/>
        <sz val="10"/>
        <color rgb="FF595959"/>
        <rFont val="Noto Sans CJK SC"/>
        <family val="2"/>
      </rPr>
      <t xml:space="preserve">假设维持</t>
    </r>
    <r>
      <rPr>
        <i val="true"/>
        <sz val="10"/>
        <color rgb="FF595959"/>
        <rFont val="Arial"/>
        <family val="0"/>
        <charset val="1"/>
      </rPr>
      <t xml:space="preserve">2025</t>
    </r>
    <r>
      <rPr>
        <i val="true"/>
        <sz val="10"/>
        <color rgb="FF595959"/>
        <rFont val="Noto Sans CJK SC"/>
        <family val="2"/>
      </rPr>
      <t xml:space="preserve">年末余额，富余现金留存于货币资金</t>
    </r>
  </si>
  <si>
    <t xml:space="preserve">定期存款及大额存单净增加</t>
  </si>
  <si>
    <t xml:space="preserve">同上</t>
  </si>
  <si>
    <t xml:space="preserve">短期借款净增加</t>
  </si>
  <si>
    <t xml:space="preserve">短期借款主要为已贴现未到期票据与国内信用证借款，假设维持</t>
  </si>
  <si>
    <t xml:space="preserve">长期借款净增加</t>
  </si>
  <si>
    <r>
      <rPr>
        <i val="true"/>
        <sz val="10"/>
        <color rgb="FF595959"/>
        <rFont val="Arial"/>
        <family val="0"/>
        <charset val="1"/>
      </rPr>
      <t xml:space="preserve">2025</t>
    </r>
    <r>
      <rPr>
        <i val="true"/>
        <sz val="10"/>
        <color rgb="FF595959"/>
        <rFont val="Noto Sans CJK SC"/>
        <family val="2"/>
      </rPr>
      <t xml:space="preserve">年末长期借款</t>
    </r>
    <r>
      <rPr>
        <i val="true"/>
        <sz val="10"/>
        <color rgb="FF595959"/>
        <rFont val="Arial"/>
        <family val="0"/>
        <charset val="1"/>
      </rPr>
      <t xml:space="preserve">24.9</t>
    </r>
  </si>
  <si>
    <t xml:space="preserve">短期借款利率</t>
  </si>
  <si>
    <r>
      <rPr>
        <i val="true"/>
        <sz val="10"/>
        <color rgb="FF595959"/>
        <rFont val="Arial"/>
        <family val="0"/>
        <charset val="1"/>
      </rPr>
      <t xml:space="preserve">2025A</t>
    </r>
    <r>
      <rPr>
        <i val="true"/>
        <sz val="10"/>
        <color rgb="FF595959"/>
        <rFont val="Noto Sans CJK SC"/>
        <family val="2"/>
      </rPr>
      <t xml:space="preserve">利息费用</t>
    </r>
    <r>
      <rPr>
        <i val="true"/>
        <sz val="10"/>
        <color rgb="FF595959"/>
        <rFont val="Arial"/>
        <family val="0"/>
        <charset val="1"/>
      </rPr>
      <t xml:space="preserve">20.4</t>
    </r>
    <r>
      <rPr>
        <i val="true"/>
        <sz val="10"/>
        <color rgb="FF595959"/>
        <rFont val="Noto Sans CJK SC"/>
        <family val="2"/>
      </rPr>
      <t xml:space="preserve">（含租赁利息</t>
    </r>
    <r>
      <rPr>
        <i val="true"/>
        <sz val="10"/>
        <color rgb="FF595959"/>
        <rFont val="Arial"/>
        <family val="0"/>
        <charset val="1"/>
      </rPr>
      <t xml:space="preserve">1.1</t>
    </r>
    <r>
      <rPr>
        <i val="true"/>
        <sz val="10"/>
        <color rgb="FF595959"/>
        <rFont val="Noto Sans CJK SC"/>
        <family val="2"/>
      </rPr>
      <t xml:space="preserve">）</t>
    </r>
    <r>
      <rPr>
        <i val="true"/>
        <sz val="10"/>
        <color rgb="FF595959"/>
        <rFont val="Arial"/>
        <family val="0"/>
        <charset val="1"/>
      </rPr>
      <t xml:space="preserve">/</t>
    </r>
    <r>
      <rPr>
        <i val="true"/>
        <sz val="10"/>
        <color rgb="FF595959"/>
        <rFont val="Noto Sans CJK SC"/>
        <family val="2"/>
      </rPr>
      <t xml:space="preserve">平均有息负债约</t>
    </r>
    <r>
      <rPr>
        <i val="true"/>
        <sz val="10"/>
        <color rgb="FF595959"/>
        <rFont val="Arial"/>
        <family val="0"/>
        <charset val="1"/>
      </rPr>
      <t xml:space="preserve">507≈3.8%</t>
    </r>
    <r>
      <rPr>
        <i val="true"/>
        <sz val="10"/>
        <color rgb="FF595959"/>
        <rFont val="Noto Sans CJK SC"/>
        <family val="2"/>
      </rPr>
      <t xml:space="preserve">；利率下行</t>
    </r>
  </si>
  <si>
    <t xml:space="preserve">长期借款利率</t>
  </si>
  <si>
    <t xml:space="preserve">租赁负债利率</t>
  </si>
  <si>
    <r>
      <rPr>
        <i val="true"/>
        <sz val="10"/>
        <color rgb="FF595959"/>
        <rFont val="Arial"/>
        <family val="0"/>
        <charset val="1"/>
      </rPr>
      <t xml:space="preserve">2025A</t>
    </r>
    <r>
      <rPr>
        <i val="true"/>
        <sz val="10"/>
        <color rgb="FF595959"/>
        <rFont val="Noto Sans CJK SC"/>
        <family val="2"/>
      </rPr>
      <t xml:space="preserve">租赁利息</t>
    </r>
    <r>
      <rPr>
        <i val="true"/>
        <sz val="10"/>
        <color rgb="FF595959"/>
        <rFont val="Arial"/>
        <family val="0"/>
        <charset val="1"/>
      </rPr>
      <t xml:space="preserve">1.08/</t>
    </r>
    <r>
      <rPr>
        <i val="true"/>
        <sz val="10"/>
        <color rgb="FF595959"/>
        <rFont val="Noto Sans CJK SC"/>
        <family val="2"/>
      </rPr>
      <t xml:space="preserve">平均租赁负债</t>
    </r>
    <r>
      <rPr>
        <i val="true"/>
        <sz val="10"/>
        <color rgb="FF595959"/>
        <rFont val="Arial"/>
        <family val="0"/>
        <charset val="1"/>
      </rPr>
      <t xml:space="preserve">20.5</t>
    </r>
  </si>
  <si>
    <t xml:space="preserve">汇兑损益、手续费及其他（正数为损失）</t>
  </si>
  <si>
    <r>
      <rPr>
        <i val="true"/>
        <sz val="10"/>
        <color rgb="FF595959"/>
        <rFont val="Arial"/>
        <family val="0"/>
        <charset val="1"/>
      </rPr>
      <t xml:space="preserve">2025A 48.7</t>
    </r>
    <r>
      <rPr>
        <i val="true"/>
        <sz val="10"/>
        <color rgb="FF595959"/>
        <rFont val="Noto Sans CJK SC"/>
        <family val="2"/>
      </rPr>
      <t xml:space="preserve">（汇兑损失</t>
    </r>
    <r>
      <rPr>
        <i val="true"/>
        <sz val="10"/>
        <color rgb="FF595959"/>
        <rFont val="Arial"/>
        <family val="0"/>
        <charset val="1"/>
      </rPr>
      <t xml:space="preserve">46.6</t>
    </r>
    <r>
      <rPr>
        <i val="true"/>
        <sz val="10"/>
        <color rgb="FF595959"/>
        <rFont val="Noto Sans CJK SC"/>
        <family val="2"/>
      </rPr>
      <t xml:space="preserve">）；</t>
    </r>
    <r>
      <rPr>
        <i val="true"/>
        <sz val="10"/>
        <color rgb="FF595959"/>
        <rFont val="Arial"/>
        <family val="0"/>
        <charset val="1"/>
      </rPr>
      <t xml:space="preserve">2026H1 43.9</t>
    </r>
    <r>
      <rPr>
        <i val="true"/>
        <sz val="10"/>
        <color rgb="FF595959"/>
        <rFont val="Noto Sans CJK SC"/>
        <family val="2"/>
      </rPr>
      <t xml:space="preserve">（汇兑损失</t>
    </r>
    <r>
      <rPr>
        <i val="true"/>
        <sz val="10"/>
        <color rgb="FF595959"/>
        <rFont val="Arial"/>
        <family val="0"/>
        <charset val="1"/>
      </rPr>
      <t xml:space="preserve">42.5</t>
    </r>
    <r>
      <rPr>
        <i val="true"/>
        <sz val="10"/>
        <color rgb="FF595959"/>
        <rFont val="Noto Sans CJK SC"/>
        <family val="2"/>
      </rPr>
      <t xml:space="preserve">）</t>
    </r>
  </si>
  <si>
    <r>
      <rPr>
        <b val="true"/>
        <sz val="10"/>
        <color rgb="FF000000"/>
        <rFont val="Noto Sans CJK SC"/>
        <family val="2"/>
      </rPr>
      <t xml:space="preserve">股份回购金额（</t>
    </r>
    <r>
      <rPr>
        <b val="true"/>
        <sz val="10"/>
        <color rgb="FF000000"/>
        <rFont val="Arial"/>
        <family val="0"/>
        <charset val="1"/>
      </rPr>
      <t xml:space="preserve">2027E</t>
    </r>
    <r>
      <rPr>
        <b val="true"/>
        <sz val="10"/>
        <color rgb="FF000000"/>
        <rFont val="Noto Sans CJK SC"/>
        <family val="2"/>
      </rPr>
      <t xml:space="preserve">起）</t>
    </r>
  </si>
  <si>
    <r>
      <rPr>
        <i val="true"/>
        <sz val="10"/>
        <color rgb="FF595959"/>
        <rFont val="Arial"/>
        <family val="0"/>
        <charset val="1"/>
      </rPr>
      <t xml:space="preserve">2026</t>
    </r>
    <r>
      <rPr>
        <i val="true"/>
        <sz val="10"/>
        <color rgb="FF595959"/>
        <rFont val="Noto Sans CJK SC"/>
        <family val="2"/>
      </rPr>
      <t xml:space="preserve">年两期回购见上方单项；</t>
    </r>
    <r>
      <rPr>
        <i val="true"/>
        <sz val="10"/>
        <color rgb="FF595959"/>
        <rFont val="Arial"/>
        <family val="0"/>
        <charset val="1"/>
      </rPr>
      <t xml:space="preserve">2027E</t>
    </r>
    <r>
      <rPr>
        <i val="true"/>
        <sz val="10"/>
        <color rgb="FF595959"/>
        <rFont val="Noto Sans CJK SC"/>
        <family val="2"/>
      </rPr>
      <t xml:space="preserve">起默认不回购</t>
    </r>
  </si>
  <si>
    <t xml:space="preserve">十三、税金、其他收益与减值</t>
  </si>
  <si>
    <t xml:space="preserve">税金及附加占收入</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</si>
  <si>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1.47%/1.07%/1.20%</t>
    </r>
    <r>
      <rPr>
        <i val="true"/>
        <sz val="10"/>
        <color rgb="FF595959"/>
        <rFont val="Noto Sans CJK SC"/>
        <family val="2"/>
      </rPr>
      <t xml:space="preserve">；</t>
    </r>
    <r>
      <rPr>
        <i val="true"/>
        <sz val="10"/>
        <color rgb="FF595959"/>
        <rFont val="Arial"/>
        <family val="0"/>
        <charset val="1"/>
      </rPr>
      <t xml:space="preserve">2026H1 0.94%</t>
    </r>
  </si>
  <si>
    <t xml:space="preserve">与资产相关的政府补助摊销</t>
  </si>
  <si>
    <r>
      <rPr>
        <i val="true"/>
        <sz val="10"/>
        <color rgb="FF595959"/>
        <rFont val="Arial"/>
        <family val="0"/>
        <charset val="1"/>
      </rPr>
      <t xml:space="preserve">2022-2025A</t>
    </r>
    <r>
      <rPr>
        <i val="true"/>
        <sz val="10"/>
        <color rgb="FF595959"/>
        <rFont val="Noto Sans CJK SC"/>
        <family val="2"/>
      </rPr>
      <t xml:space="preserve">：</t>
    </r>
    <r>
      <rPr>
        <i val="true"/>
        <sz val="10"/>
        <color rgb="FF595959"/>
        <rFont val="Arial"/>
        <family val="0"/>
        <charset val="1"/>
      </rPr>
      <t xml:space="preserve">108.7/171.2/170.5/152.2</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递延收益转入其他收益</t>
    </r>
    <r>
      <rPr>
        <i val="true"/>
        <sz val="10"/>
        <color rgb="FF595959"/>
        <rFont val="Arial"/>
        <family val="0"/>
        <charset val="1"/>
      </rPr>
      <t xml:space="preserve">107.1</t>
    </r>
    <r>
      <rPr>
        <i val="true"/>
        <sz val="10"/>
        <color rgb="FF595959"/>
        <rFont val="Noto Sans CJK SC"/>
        <family val="2"/>
      </rPr>
      <t xml:space="preserve">（其中与资产相关</t>
    </r>
    <r>
      <rPr>
        <i val="true"/>
        <sz val="10"/>
        <color rgb="FF595959"/>
        <rFont val="Arial"/>
        <family val="0"/>
        <charset val="1"/>
      </rPr>
      <t xml:space="preserve">97.0</t>
    </r>
    <r>
      <rPr>
        <i val="true"/>
        <sz val="10"/>
        <color rgb="FF595959"/>
        <rFont val="Noto Sans CJK SC"/>
        <family val="2"/>
      </rPr>
      <t xml:space="preserve">）；递延收益余额约</t>
    </r>
    <r>
      <rPr>
        <i val="true"/>
        <sz val="10"/>
        <color rgb="FF595959"/>
        <rFont val="Arial"/>
        <family val="0"/>
        <charset val="1"/>
      </rPr>
      <t xml:space="preserve">1,022</t>
    </r>
  </si>
  <si>
    <t xml:space="preserve">增值税加计抵减（占原材料成本）</t>
  </si>
  <si>
    <r>
      <rPr>
        <i val="true"/>
        <sz val="10"/>
        <color rgb="FF595959"/>
        <rFont val="Noto Sans CJK SC"/>
        <family val="2"/>
      </rPr>
      <t xml:space="preserve">先进制造业企业加计</t>
    </r>
    <r>
      <rPr>
        <i val="true"/>
        <sz val="10"/>
        <color rgb="FF595959"/>
        <rFont val="Arial"/>
        <family val="0"/>
        <charset val="1"/>
      </rPr>
      <t xml:space="preserve">5%</t>
    </r>
    <r>
      <rPr>
        <i val="true"/>
        <sz val="10"/>
        <color rgb="FF595959"/>
        <rFont val="Noto Sans CJK SC"/>
        <family val="2"/>
      </rPr>
      <t xml:space="preserve">抵减政策执行至</t>
    </r>
    <r>
      <rPr>
        <i val="true"/>
        <sz val="10"/>
        <color rgb="FF595959"/>
        <rFont val="Arial"/>
        <family val="0"/>
        <charset val="1"/>
      </rPr>
      <t xml:space="preserve">2027-12-31</t>
    </r>
    <r>
      <rPr>
        <i val="true"/>
        <sz val="10"/>
        <color rgb="FF595959"/>
        <rFont val="Noto Sans CJK SC"/>
        <family val="2"/>
      </rPr>
      <t xml:space="preserve">；</t>
    </r>
    <r>
      <rPr>
        <i val="true"/>
        <sz val="10"/>
        <color rgb="FF595959"/>
        <rFont val="Arial"/>
        <family val="0"/>
        <charset val="1"/>
      </rPr>
      <t xml:space="preserve">2025A 27.5/</t>
    </r>
    <r>
      <rPr>
        <i val="true"/>
        <sz val="10"/>
        <color rgb="FF595959"/>
        <rFont val="Noto Sans CJK SC"/>
        <family val="2"/>
      </rPr>
      <t xml:space="preserve">原材料</t>
    </r>
    <r>
      <rPr>
        <i val="true"/>
        <sz val="10"/>
        <color rgb="FF595959"/>
        <rFont val="Arial"/>
        <family val="0"/>
        <charset val="1"/>
      </rPr>
      <t xml:space="preserve">3,315≈0.83%</t>
    </r>
  </si>
  <si>
    <t xml:space="preserve">  与收益相关的政府补助及其他（占收入）—输入</t>
  </si>
  <si>
    <t xml:space="preserve">与收益相关的政府补助及其他（占收入）（采用值）</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</si>
  <si>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2.29%/0.97%/2.34%</t>
    </r>
    <r>
      <rPr>
        <i val="true"/>
        <sz val="10"/>
        <color rgb="FF595959"/>
        <rFont val="Noto Sans CJK SC"/>
        <family val="2"/>
      </rPr>
      <t xml:space="preserve">（</t>
    </r>
    <r>
      <rPr>
        <i val="true"/>
        <sz val="10"/>
        <color rgb="FF595959"/>
        <rFont val="Arial"/>
        <family val="0"/>
        <charset val="1"/>
      </rPr>
      <t xml:space="preserve">2025A</t>
    </r>
    <r>
      <rPr>
        <i val="true"/>
        <sz val="10"/>
        <color rgb="FF595959"/>
        <rFont val="Noto Sans CJK SC"/>
        <family val="2"/>
      </rPr>
      <t xml:space="preserve">含与收益相关补助</t>
    </r>
    <r>
      <rPr>
        <i val="true"/>
        <sz val="10"/>
        <color rgb="FF595959"/>
        <rFont val="Arial"/>
        <family val="0"/>
        <charset val="1"/>
      </rPr>
      <t xml:space="preserve">164.6</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约</t>
    </r>
    <r>
      <rPr>
        <i val="true"/>
        <sz val="10"/>
        <color rgb="FF595959"/>
        <rFont val="Arial"/>
        <family val="0"/>
        <charset val="1"/>
      </rPr>
      <t xml:space="preserve">0.33%</t>
    </r>
    <r>
      <rPr>
        <i val="true"/>
        <sz val="10"/>
        <color rgb="FF595959"/>
        <rFont val="Noto Sans CJK SC"/>
        <family val="2"/>
      </rPr>
      <t xml:space="preserve">（其他收益</t>
    </r>
    <r>
      <rPr>
        <i val="true"/>
        <sz val="10"/>
        <color rgb="FF595959"/>
        <rFont val="Arial"/>
        <family val="0"/>
        <charset val="1"/>
      </rPr>
      <t xml:space="preserve">139.1-</t>
    </r>
    <r>
      <rPr>
        <i val="true"/>
        <sz val="10"/>
        <color rgb="FF595959"/>
        <rFont val="Noto Sans CJK SC"/>
        <family val="2"/>
      </rPr>
      <t xml:space="preserve">递延收益转入</t>
    </r>
    <r>
      <rPr>
        <i val="true"/>
        <sz val="10"/>
        <color rgb="FF595959"/>
        <rFont val="Arial"/>
        <family val="0"/>
        <charset val="1"/>
      </rPr>
      <t xml:space="preserve">107.1-</t>
    </r>
    <r>
      <rPr>
        <i val="true"/>
        <sz val="10"/>
        <color rgb="FF595959"/>
        <rFont val="Noto Sans CJK SC"/>
        <family val="2"/>
      </rPr>
      <t xml:space="preserve">加计抵减</t>
    </r>
    <r>
      <rPr>
        <i val="true"/>
        <sz val="10"/>
        <color rgb="FF595959"/>
        <rFont val="Arial"/>
        <family val="0"/>
        <charset val="1"/>
      </rPr>
      <t xml:space="preserve">21.0+</t>
    </r>
    <r>
      <rPr>
        <i val="true"/>
        <sz val="10"/>
        <color rgb="FF595959"/>
        <rFont val="Noto Sans CJK SC"/>
        <family val="2"/>
      </rPr>
      <t xml:space="preserve">个税返还等）</t>
    </r>
  </si>
  <si>
    <r>
      <rPr>
        <b val="true"/>
        <sz val="10"/>
        <color rgb="FF000000"/>
        <rFont val="Noto Sans CJK SC"/>
        <family val="2"/>
      </rPr>
      <t xml:space="preserve">存货跌价损失</t>
    </r>
    <r>
      <rPr>
        <b val="true"/>
        <sz val="10"/>
        <color rgb="FF000000"/>
        <rFont val="Arial"/>
        <family val="0"/>
        <charset val="1"/>
      </rPr>
      <t xml:space="preserve">/</t>
    </r>
    <r>
      <rPr>
        <b val="true"/>
        <sz val="10"/>
        <color rgb="FF000000"/>
        <rFont val="Noto Sans CJK SC"/>
        <family val="2"/>
      </rPr>
      <t xml:space="preserve">存货余额</t>
    </r>
  </si>
  <si>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1.17%/1.08%</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已计提</t>
    </r>
    <r>
      <rPr>
        <i val="true"/>
        <sz val="10"/>
        <color rgb="FF595959"/>
        <rFont val="Arial"/>
        <family val="0"/>
        <charset val="1"/>
      </rPr>
      <t xml:space="preserve">54.6</t>
    </r>
    <r>
      <rPr>
        <i val="true"/>
        <sz val="10"/>
        <color rgb="FF595959"/>
        <rFont val="Noto Sans CJK SC"/>
        <family val="2"/>
      </rPr>
      <t xml:space="preserve">（半年），</t>
    </r>
    <r>
      <rPr>
        <i val="true"/>
        <sz val="10"/>
        <color rgb="FF595959"/>
        <rFont val="Arial"/>
        <family val="0"/>
        <charset val="1"/>
      </rPr>
      <t xml:space="preserve">2026E</t>
    </r>
    <r>
      <rPr>
        <i val="true"/>
        <sz val="10"/>
        <color rgb="FF595959"/>
        <rFont val="Noto Sans CJK SC"/>
        <family val="2"/>
      </rPr>
      <t xml:space="preserve">按全年约</t>
    </r>
    <r>
      <rPr>
        <i val="true"/>
        <sz val="10"/>
        <color rgb="FF595959"/>
        <rFont val="Arial"/>
        <family val="0"/>
        <charset val="1"/>
      </rPr>
      <t xml:space="preserve">110</t>
    </r>
  </si>
  <si>
    <r>
      <rPr>
        <b val="true"/>
        <sz val="10"/>
        <color rgb="FF000000"/>
        <rFont val="Noto Sans CJK SC"/>
        <family val="2"/>
      </rPr>
      <t xml:space="preserve">信用减值损失</t>
    </r>
    <r>
      <rPr>
        <b val="true"/>
        <sz val="10"/>
        <color rgb="FF000000"/>
        <rFont val="Arial"/>
        <family val="0"/>
        <charset val="1"/>
      </rPr>
      <t xml:space="preserve">/</t>
    </r>
    <r>
      <rPr>
        <b val="true"/>
        <sz val="10"/>
        <color rgb="FF000000"/>
        <rFont val="Noto Sans CJK SC"/>
        <family val="2"/>
      </rPr>
      <t xml:space="preserve">应收账款</t>
    </r>
  </si>
  <si>
    <r>
      <rPr>
        <i val="true"/>
        <sz val="10"/>
        <color rgb="FF595959"/>
        <rFont val="Arial"/>
        <family val="0"/>
        <charset val="1"/>
      </rPr>
      <t xml:space="preserve">2024-2025A</t>
    </r>
    <r>
      <rPr>
        <i val="true"/>
        <sz val="10"/>
        <color rgb="FF595959"/>
        <rFont val="Noto Sans CJK SC"/>
        <family val="2"/>
      </rPr>
      <t xml:space="preserve">：</t>
    </r>
    <r>
      <rPr>
        <i val="true"/>
        <sz val="10"/>
        <color rgb="FF595959"/>
        <rFont val="Arial"/>
        <family val="0"/>
        <charset val="1"/>
      </rPr>
      <t xml:space="preserve">0.68%/0.72%</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已计提</t>
    </r>
    <r>
      <rPr>
        <i val="true"/>
        <sz val="10"/>
        <color rgb="FF595959"/>
        <rFont val="Arial"/>
        <family val="0"/>
        <charset val="1"/>
      </rPr>
      <t xml:space="preserve">55.9</t>
    </r>
    <r>
      <rPr>
        <i val="true"/>
        <sz val="10"/>
        <color rgb="FF595959"/>
        <rFont val="Noto Sans CJK SC"/>
        <family val="2"/>
      </rPr>
      <t xml:space="preserve">（含应收票据</t>
    </r>
    <r>
      <rPr>
        <i val="true"/>
        <sz val="10"/>
        <color rgb="FF595959"/>
        <rFont val="Arial"/>
        <family val="0"/>
        <charset val="1"/>
      </rPr>
      <t xml:space="preserve">9.8</t>
    </r>
    <r>
      <rPr>
        <i val="true"/>
        <sz val="10"/>
        <color rgb="FF595959"/>
        <rFont val="Noto Sans CJK SC"/>
        <family val="2"/>
      </rPr>
      <t xml:space="preserve">），</t>
    </r>
    <r>
      <rPr>
        <i val="true"/>
        <sz val="10"/>
        <color rgb="FF595959"/>
        <rFont val="Arial"/>
        <family val="0"/>
        <charset val="1"/>
      </rPr>
      <t xml:space="preserve">2026E</t>
    </r>
    <r>
      <rPr>
        <i val="true"/>
        <sz val="10"/>
        <color rgb="FF595959"/>
        <rFont val="Noto Sans CJK SC"/>
        <family val="2"/>
      </rPr>
      <t xml:space="preserve">按全年约</t>
    </r>
    <r>
      <rPr>
        <i val="true"/>
        <sz val="10"/>
        <color rgb="FF595959"/>
        <rFont val="Arial"/>
        <family val="0"/>
        <charset val="1"/>
      </rPr>
      <t xml:space="preserve">80</t>
    </r>
  </si>
  <si>
    <t xml:space="preserve">固定资产减值损失</t>
  </si>
  <si>
    <r>
      <rPr>
        <i val="true"/>
        <sz val="10"/>
        <color rgb="FF595959"/>
        <rFont val="Arial"/>
        <family val="0"/>
        <charset val="1"/>
      </rPr>
      <t xml:space="preserve">2026H1</t>
    </r>
    <r>
      <rPr>
        <i val="true"/>
        <sz val="10"/>
        <color rgb="FF595959"/>
        <rFont val="Noto Sans CJK SC"/>
        <family val="2"/>
      </rPr>
      <t xml:space="preserve">对闲置设备计提</t>
    </r>
    <r>
      <rPr>
        <i val="true"/>
        <sz val="10"/>
        <color rgb="FF595959"/>
        <rFont val="Arial"/>
        <family val="0"/>
        <charset val="1"/>
      </rPr>
      <t xml:space="preserve">19.44</t>
    </r>
    <r>
      <rPr>
        <i val="true"/>
        <sz val="10"/>
        <color rgb="FF595959"/>
        <rFont val="Noto Sans CJK SC"/>
        <family val="2"/>
      </rPr>
      <t xml:space="preserve">（可收回金额</t>
    </r>
    <r>
      <rPr>
        <i val="true"/>
        <sz val="10"/>
        <color rgb="FF595959"/>
        <rFont val="Arial"/>
        <family val="0"/>
        <charset val="1"/>
      </rPr>
      <t xml:space="preserve">1.65</t>
    </r>
    <r>
      <rPr>
        <i val="true"/>
        <sz val="10"/>
        <color rgb="FF595959"/>
        <rFont val="Noto Sans CJK SC"/>
        <family val="2"/>
      </rPr>
      <t xml:space="preserve">）；此前各期无固定资产减值计提</t>
    </r>
  </si>
  <si>
    <t xml:space="preserve">子公司税率差异影响（占利润总额）</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</si>
  <si>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0.74%/0.61%/0.69%</t>
    </r>
  </si>
  <si>
    <t xml:space="preserve">研发费用中可加计扣除比例</t>
  </si>
  <si>
    <r>
      <rPr>
        <i val="true"/>
        <sz val="10"/>
        <color rgb="FF595959"/>
        <rFont val="Arial"/>
        <family val="0"/>
        <charset val="1"/>
      </rPr>
      <t xml:space="preserve">2023-2025A</t>
    </r>
    <r>
      <rPr>
        <i val="true"/>
        <sz val="10"/>
        <color rgb="FF595959"/>
        <rFont val="Noto Sans CJK SC"/>
        <family val="2"/>
      </rPr>
      <t xml:space="preserve">倒算：</t>
    </r>
    <r>
      <rPr>
        <i val="true"/>
        <sz val="10"/>
        <color rgb="FF595959"/>
        <rFont val="Arial"/>
        <family val="0"/>
        <charset val="1"/>
      </rPr>
      <t xml:space="preserve">99%/87%/92%</t>
    </r>
    <r>
      <rPr>
        <i val="true"/>
        <sz val="10"/>
        <color rgb="FF595959"/>
        <rFont val="Noto Sans CJK SC"/>
        <family val="2"/>
      </rPr>
      <t xml:space="preserve">（加计扣除影响</t>
    </r>
    <r>
      <rPr>
        <i val="true"/>
        <sz val="10"/>
        <color rgb="FF595959"/>
        <rFont val="Arial"/>
        <family val="0"/>
        <charset val="1"/>
      </rPr>
      <t xml:space="preserve">÷(</t>
    </r>
    <r>
      <rPr>
        <i val="true"/>
        <sz val="10"/>
        <color rgb="FF595959"/>
        <rFont val="Noto Sans CJK SC"/>
        <family val="2"/>
      </rPr>
      <t xml:space="preserve">研发费用</t>
    </r>
    <r>
      <rPr>
        <i val="true"/>
        <sz val="10"/>
        <color rgb="FF595959"/>
        <rFont val="Arial"/>
        <family val="0"/>
        <charset val="1"/>
      </rPr>
      <t xml:space="preserve">×15%)</t>
    </r>
    <r>
      <rPr>
        <i val="true"/>
        <sz val="10"/>
        <color rgb="FF595959"/>
        <rFont val="Noto Sans CJK SC"/>
        <family val="2"/>
      </rPr>
      <t xml:space="preserve">）</t>
    </r>
  </si>
  <si>
    <t xml:space="preserve">其他税务调整（占利润总额）</t>
  </si>
  <si>
    <r>
      <rPr>
        <i val="true"/>
        <sz val="10"/>
        <color rgb="FF595959"/>
        <rFont val="Arial"/>
        <family val="0"/>
        <charset val="1"/>
      </rPr>
      <t xml:space="preserve">2023-2025A</t>
    </r>
    <r>
      <rPr>
        <i val="true"/>
        <sz val="10"/>
        <color rgb="FF595959"/>
        <rFont val="Noto Sans CJK SC"/>
        <family val="2"/>
      </rPr>
      <t xml:space="preserve">：</t>
    </r>
    <r>
      <rPr>
        <i val="true"/>
        <sz val="10"/>
        <color rgb="FF595959"/>
        <rFont val="Arial"/>
        <family val="0"/>
        <charset val="1"/>
      </rPr>
      <t xml:space="preserve">0.0%/0.47%/0.29%</t>
    </r>
    <r>
      <rPr>
        <i val="true"/>
        <sz val="10"/>
        <color rgb="FF595959"/>
        <rFont val="Noto Sans CJK SC"/>
        <family val="2"/>
      </rPr>
      <t xml:space="preserve">；</t>
    </r>
    <r>
      <rPr>
        <i val="true"/>
        <sz val="10"/>
        <color rgb="FF595959"/>
        <rFont val="Arial"/>
        <family val="0"/>
        <charset val="1"/>
      </rPr>
      <t xml:space="preserve">2026H1</t>
    </r>
    <r>
      <rPr>
        <i val="true"/>
        <sz val="10"/>
        <color rgb="FF595959"/>
        <rFont val="Noto Sans CJK SC"/>
        <family val="2"/>
      </rPr>
      <t xml:space="preserve">为</t>
    </r>
    <r>
      <rPr>
        <i val="true"/>
        <sz val="10"/>
        <color rgb="FF595959"/>
        <rFont val="Arial"/>
        <family val="0"/>
        <charset val="1"/>
      </rPr>
      <t xml:space="preserve">-0.39%</t>
    </r>
    <r>
      <rPr>
        <i val="true"/>
        <sz val="10"/>
        <color rgb="FF595959"/>
        <rFont val="Noto Sans CJK SC"/>
        <family val="2"/>
      </rPr>
      <t xml:space="preserve">（非应税收入</t>
    </r>
    <r>
      <rPr>
        <i val="true"/>
        <sz val="10"/>
        <color rgb="FF595959"/>
        <rFont val="Arial"/>
        <family val="0"/>
        <charset val="1"/>
      </rPr>
      <t xml:space="preserve">-15.7</t>
    </r>
    <r>
      <rPr>
        <i val="true"/>
        <sz val="10"/>
        <color rgb="FF595959"/>
        <rFont val="Noto Sans CJK SC"/>
        <family val="2"/>
      </rPr>
      <t xml:space="preserve">）</t>
    </r>
  </si>
  <si>
    <r>
      <rPr>
        <b val="true"/>
        <sz val="14"/>
        <color rgb="FF1F3864"/>
        <rFont val="Noto Sans CJK SC"/>
        <family val="2"/>
      </rPr>
      <t xml:space="preserve">收入拆解：量价、分部与</t>
    </r>
    <r>
      <rPr>
        <b val="true"/>
        <sz val="14"/>
        <color rgb="FF1F3864"/>
        <rFont val="Arial"/>
        <family val="0"/>
        <charset val="1"/>
      </rPr>
      <t xml:space="preserve">SOFC</t>
    </r>
    <r>
      <rPr>
        <b val="true"/>
        <sz val="14"/>
        <color rgb="FF1F3864"/>
        <rFont val="Noto Sans CJK SC"/>
        <family val="2"/>
      </rPr>
      <t xml:space="preserve">隔膜片子模型</t>
    </r>
  </si>
  <si>
    <r>
      <rPr>
        <i val="true"/>
        <sz val="10"/>
        <color rgb="FF595959"/>
        <rFont val="Noto Sans CJK SC"/>
        <family val="2"/>
      </rPr>
      <t xml:space="preserve">分部口径：</t>
    </r>
    <r>
      <rPr>
        <i val="true"/>
        <sz val="10"/>
        <color rgb="FF595959"/>
        <rFont val="Arial"/>
        <family val="0"/>
        <charset val="1"/>
      </rPr>
      <t xml:space="preserve">2024A-2025A</t>
    </r>
    <r>
      <rPr>
        <i val="true"/>
        <sz val="10"/>
        <color rgb="FF595959"/>
        <rFont val="Noto Sans CJK SC"/>
        <family val="2"/>
      </rPr>
      <t xml:space="preserve">为</t>
    </r>
    <r>
      <rPr>
        <i val="true"/>
        <sz val="10"/>
        <color rgb="FF595959"/>
        <rFont val="Arial"/>
        <family val="0"/>
        <charset val="1"/>
      </rPr>
      <t xml:space="preserve">2025</t>
    </r>
    <r>
      <rPr>
        <i val="true"/>
        <sz val="10"/>
        <color rgb="FF595959"/>
        <rFont val="Noto Sans CJK SC"/>
        <family val="2"/>
      </rPr>
      <t xml:space="preserve">年年报新四分部口径（与</t>
    </r>
    <r>
      <rPr>
        <i val="true"/>
        <sz val="10"/>
        <color rgb="FF595959"/>
        <rFont val="Arial"/>
        <family val="0"/>
        <charset val="1"/>
      </rPr>
      <t xml:space="preserve">H</t>
    </r>
    <r>
      <rPr>
        <i val="true"/>
        <sz val="10"/>
        <color rgb="FF595959"/>
        <rFont val="Noto Sans CJK SC"/>
        <family val="2"/>
      </rPr>
      <t xml:space="preserve">股招股章程一致）；量价拆分为假设驱动（公司未按分部披露销量）。</t>
    </r>
  </si>
  <si>
    <t xml:space="preserve">项目（百万元，另注明除外）</t>
  </si>
  <si>
    <r>
      <rPr>
        <b val="true"/>
        <sz val="10"/>
        <color rgb="FF1F3864"/>
        <rFont val="Arial"/>
        <family val="0"/>
        <charset val="1"/>
      </rPr>
      <t xml:space="preserve">A. </t>
    </r>
    <r>
      <rPr>
        <b val="true"/>
        <sz val="10"/>
        <color rgb="FF1F3864"/>
        <rFont val="Noto Sans CJK SC"/>
        <family val="2"/>
      </rPr>
      <t xml:space="preserve">公司口径量价（年报“产销量”，万只</t>
    </r>
    <r>
      <rPr>
        <b val="true"/>
        <sz val="10"/>
        <color rgb="FF1F3864"/>
        <rFont val="Arial"/>
        <family val="0"/>
        <charset val="1"/>
      </rPr>
      <t xml:space="preserve">/</t>
    </r>
    <r>
      <rPr>
        <b val="true"/>
        <sz val="10"/>
        <color rgb="FF1F3864"/>
        <rFont val="Noto Sans CJK SC"/>
        <family val="2"/>
      </rPr>
      <t xml:space="preserve">万片</t>
    </r>
    <r>
      <rPr>
        <b val="true"/>
        <sz val="10"/>
        <color rgb="FF1F3864"/>
        <rFont val="Arial"/>
        <family val="0"/>
        <charset val="1"/>
      </rPr>
      <t xml:space="preserve">÷1</t>
    </r>
    <r>
      <rPr>
        <b val="true"/>
        <sz val="10"/>
        <color rgb="FF1F3864"/>
        <rFont val="Noto Sans CJK SC"/>
        <family val="2"/>
      </rPr>
      <t xml:space="preserve">万</t>
    </r>
    <r>
      <rPr>
        <b val="true"/>
        <sz val="10"/>
        <color rgb="FF1F3864"/>
        <rFont val="Arial"/>
        <family val="0"/>
        <charset val="1"/>
      </rPr>
      <t xml:space="preserve">=</t>
    </r>
    <r>
      <rPr>
        <b val="true"/>
        <sz val="10"/>
        <color rgb="FF1F3864"/>
        <rFont val="Noto Sans CJK SC"/>
        <family val="2"/>
      </rPr>
      <t xml:space="preserve">亿只</t>
    </r>
    <r>
      <rPr>
        <b val="true"/>
        <sz val="10"/>
        <color rgb="FF1F3864"/>
        <rFont val="Arial"/>
        <family val="0"/>
        <charset val="1"/>
      </rPr>
      <t xml:space="preserve">/</t>
    </r>
    <r>
      <rPr>
        <b val="true"/>
        <sz val="10"/>
        <color rgb="FF1F3864"/>
        <rFont val="Noto Sans CJK SC"/>
        <family val="2"/>
      </rPr>
      <t xml:space="preserve">片）</t>
    </r>
  </si>
  <si>
    <t xml:space="preserve">销售量</t>
  </si>
  <si>
    <r>
      <rPr>
        <sz val="10"/>
        <color rgb="FF595959"/>
        <rFont val="Noto Sans CJK SC"/>
        <family val="2"/>
      </rPr>
      <t xml:space="preserve">亿只</t>
    </r>
    <r>
      <rPr>
        <sz val="10"/>
        <color rgb="FF595959"/>
        <rFont val="Arial"/>
        <family val="0"/>
        <charset val="1"/>
      </rPr>
      <t xml:space="preserve">/</t>
    </r>
    <r>
      <rPr>
        <sz val="10"/>
        <color rgb="FF595959"/>
        <rFont val="Noto Sans CJK SC"/>
        <family val="2"/>
      </rPr>
      <t xml:space="preserve">片</t>
    </r>
  </si>
  <si>
    <r>
      <rPr>
        <i val="true"/>
        <sz val="10"/>
        <color rgb="FF595959"/>
        <rFont val="Noto Sans CJK SC"/>
        <family val="2"/>
      </rPr>
      <t xml:space="preserve">年报“产销量情况分析”（单位万只</t>
    </r>
    <r>
      <rPr>
        <i val="true"/>
        <sz val="10"/>
        <color rgb="FF595959"/>
        <rFont val="Arial"/>
        <family val="0"/>
        <charset val="1"/>
      </rPr>
      <t xml:space="preserve">/</t>
    </r>
    <r>
      <rPr>
        <i val="true"/>
        <sz val="10"/>
        <color rgb="FF595959"/>
        <rFont val="Noto Sans CJK SC"/>
        <family val="2"/>
      </rPr>
      <t xml:space="preserve">万片）</t>
    </r>
  </si>
  <si>
    <t xml:space="preserve">生产量</t>
  </si>
  <si>
    <t xml:space="preserve">库存量</t>
  </si>
  <si>
    <r>
      <rPr>
        <sz val="10"/>
        <color rgb="FF000000"/>
        <rFont val="Noto Sans CJK SC"/>
        <family val="2"/>
      </rPr>
      <t xml:space="preserve">综合单价（营业收入</t>
    </r>
    <r>
      <rPr>
        <sz val="10"/>
        <color rgb="FF000000"/>
        <rFont val="Arial"/>
        <family val="0"/>
        <charset val="1"/>
      </rPr>
      <t xml:space="preserve">÷</t>
    </r>
    <r>
      <rPr>
        <sz val="10"/>
        <color rgb="FF000000"/>
        <rFont val="Noto Sans CJK SC"/>
        <family val="2"/>
      </rPr>
      <t xml:space="preserve">销售量）</t>
    </r>
  </si>
  <si>
    <r>
      <rPr>
        <sz val="10"/>
        <color rgb="FF595959"/>
        <rFont val="Noto Sans CJK SC"/>
        <family val="2"/>
      </rPr>
      <t xml:space="preserve">元</t>
    </r>
    <r>
      <rPr>
        <sz val="10"/>
        <color rgb="FF595959"/>
        <rFont val="Arial"/>
        <family val="0"/>
        <charset val="1"/>
      </rPr>
      <t xml:space="preserve">/</t>
    </r>
    <r>
      <rPr>
        <sz val="10"/>
        <color rgb="FF595959"/>
        <rFont val="Noto Sans CJK SC"/>
        <family val="2"/>
      </rPr>
      <t xml:space="preserve">千只</t>
    </r>
  </si>
  <si>
    <r>
      <rPr>
        <i val="true"/>
        <sz val="10"/>
        <color rgb="FF595959"/>
        <rFont val="Noto Sans CJK SC"/>
        <family val="2"/>
      </rPr>
      <t xml:space="preserve">综合单价受产品结构影响大（</t>
    </r>
    <r>
      <rPr>
        <i val="true"/>
        <sz val="10"/>
        <color rgb="FF595959"/>
        <rFont val="Arial"/>
        <family val="0"/>
        <charset val="1"/>
      </rPr>
      <t xml:space="preserve">MLCC</t>
    </r>
    <r>
      <rPr>
        <i val="true"/>
        <sz val="10"/>
        <color rgb="FF595959"/>
        <rFont val="Noto Sans CJK SC"/>
        <family val="2"/>
      </rPr>
      <t xml:space="preserve">小尺寸占量大、单价低），仅作趋势参考</t>
    </r>
  </si>
  <si>
    <t xml:space="preserve">销售量同比</t>
  </si>
  <si>
    <t xml:space="preserve">综合单价同比</t>
  </si>
  <si>
    <r>
      <rPr>
        <b val="true"/>
        <sz val="10"/>
        <color rgb="FF1F3864"/>
        <rFont val="Noto Sans CJK SC"/>
        <family val="2"/>
      </rPr>
      <t xml:space="preserve">电子元件（</t>
    </r>
    <r>
      <rPr>
        <b val="true"/>
        <sz val="10"/>
        <color rgb="FF1F3864"/>
        <rFont val="Arial"/>
        <family val="0"/>
        <charset val="1"/>
      </rPr>
      <t xml:space="preserve">MLCC</t>
    </r>
    <r>
      <rPr>
        <b val="true"/>
        <sz val="10"/>
        <color rgb="FF1F3864"/>
        <rFont val="Noto Sans CJK SC"/>
        <family val="2"/>
      </rPr>
      <t xml:space="preserve">、陶瓷封装基座、电阻等）</t>
    </r>
  </si>
  <si>
    <t xml:space="preserve">  销量增速（假设）</t>
  </si>
  <si>
    <t xml:space="preserve">  单价变动（假设）</t>
  </si>
  <si>
    <r>
      <rPr>
        <sz val="10"/>
        <color rgb="FF000000"/>
        <rFont val="Noto Sans CJK SC"/>
        <family val="2"/>
      </rPr>
      <t xml:space="preserve">  销量指数（</t>
    </r>
    <r>
      <rPr>
        <sz val="10"/>
        <color rgb="FF000000"/>
        <rFont val="Arial"/>
        <family val="0"/>
        <charset val="1"/>
      </rPr>
      <t xml:space="preserve">2025A=100</t>
    </r>
    <r>
      <rPr>
        <sz val="10"/>
        <color rgb="FF000000"/>
        <rFont val="Noto Sans CJK SC"/>
        <family val="2"/>
      </rPr>
      <t xml:space="preserve">）</t>
    </r>
  </si>
  <si>
    <r>
      <rPr>
        <sz val="10"/>
        <color rgb="FF000000"/>
        <rFont val="Noto Sans CJK SC"/>
        <family val="2"/>
      </rPr>
      <t xml:space="preserve">  单价指数（</t>
    </r>
    <r>
      <rPr>
        <sz val="10"/>
        <color rgb="FF000000"/>
        <rFont val="Arial"/>
        <family val="0"/>
        <charset val="1"/>
      </rPr>
      <t xml:space="preserve">2025A=100</t>
    </r>
    <r>
      <rPr>
        <sz val="10"/>
        <color rgb="FF000000"/>
        <rFont val="Noto Sans CJK SC"/>
        <family val="2"/>
      </rPr>
      <t xml:space="preserve">）</t>
    </r>
  </si>
  <si>
    <r>
      <rPr>
        <b val="true"/>
        <sz val="10"/>
        <color rgb="FF000000"/>
        <rFont val="Noto Sans CJK SC"/>
        <family val="2"/>
      </rPr>
      <t xml:space="preserve">电子元件（</t>
    </r>
    <r>
      <rPr>
        <b val="true"/>
        <sz val="10"/>
        <color rgb="FF000000"/>
        <rFont val="Arial"/>
        <family val="0"/>
        <charset val="1"/>
      </rPr>
      <t xml:space="preserve">MLCC</t>
    </r>
    <r>
      <rPr>
        <b val="true"/>
        <sz val="10"/>
        <color rgb="FF000000"/>
        <rFont val="Noto Sans CJK SC"/>
        <family val="2"/>
      </rPr>
      <t xml:space="preserve">、陶瓷封装基座、电阻等）收入</t>
    </r>
  </si>
  <si>
    <r>
      <rPr>
        <i val="true"/>
        <sz val="10"/>
        <color rgb="FF595959"/>
        <rFont val="Arial"/>
        <family val="0"/>
        <charset val="1"/>
      </rPr>
      <t xml:space="preserve">2025</t>
    </r>
    <r>
      <rPr>
        <i val="true"/>
        <sz val="10"/>
        <color rgb="FF595959"/>
        <rFont val="Noto Sans CJK SC"/>
        <family val="2"/>
      </rPr>
      <t xml:space="preserve">年年报：电子元件</t>
    </r>
    <r>
      <rPr>
        <i val="true"/>
        <sz val="10"/>
        <color rgb="FF595959"/>
        <rFont val="Arial"/>
        <family val="0"/>
        <charset val="1"/>
      </rPr>
      <t xml:space="preserve">3,308,089,586.22</t>
    </r>
    <r>
      <rPr>
        <i val="true"/>
        <sz val="10"/>
        <color rgb="FF595959"/>
        <rFont val="Noto Sans CJK SC"/>
        <family val="2"/>
      </rPr>
      <t xml:space="preserve">元（</t>
    </r>
    <r>
      <rPr>
        <i val="true"/>
        <sz val="10"/>
        <color rgb="FF595959"/>
        <rFont val="Arial"/>
        <family val="0"/>
        <charset val="1"/>
      </rPr>
      <t xml:space="preserve">2024</t>
    </r>
    <r>
      <rPr>
        <i val="true"/>
        <sz val="10"/>
        <color rgb="FF595959"/>
        <rFont val="Noto Sans CJK SC"/>
        <family val="2"/>
      </rPr>
      <t xml:space="preserve">年</t>
    </r>
    <r>
      <rPr>
        <i val="true"/>
        <sz val="10"/>
        <color rgb="FF595959"/>
        <rFont val="Arial"/>
        <family val="0"/>
        <charset val="1"/>
      </rPr>
      <t xml:space="preserve">2,298,159,034.08</t>
    </r>
    <r>
      <rPr>
        <i val="true"/>
        <sz val="10"/>
        <color rgb="FF595959"/>
        <rFont val="Noto Sans CJK SC"/>
        <family val="2"/>
      </rPr>
      <t xml:space="preserve">元）</t>
    </r>
  </si>
  <si>
    <t xml:space="preserve">  其中：量的贡献</t>
  </si>
  <si>
    <t xml:space="preserve">  其中：价的贡献</t>
  </si>
  <si>
    <t xml:space="preserve">通信器件（陶瓷插芯、套筒等光通信产品）</t>
  </si>
  <si>
    <t xml:space="preserve">通信器件（陶瓷插芯、套筒等光通信产品）收入</t>
  </si>
  <si>
    <r>
      <rPr>
        <i val="true"/>
        <sz val="10"/>
        <color rgb="FF595959"/>
        <rFont val="Arial"/>
        <family val="0"/>
        <charset val="1"/>
      </rPr>
      <t xml:space="preserve">2025</t>
    </r>
    <r>
      <rPr>
        <i val="true"/>
        <sz val="10"/>
        <color rgb="FF595959"/>
        <rFont val="Noto Sans CJK SC"/>
        <family val="2"/>
      </rPr>
      <t xml:space="preserve">年年报：通信器件</t>
    </r>
    <r>
      <rPr>
        <i val="true"/>
        <sz val="10"/>
        <color rgb="FF595959"/>
        <rFont val="Arial"/>
        <family val="0"/>
        <charset val="1"/>
      </rPr>
      <t xml:space="preserve">2,594,309,892.31</t>
    </r>
    <r>
      <rPr>
        <i val="true"/>
        <sz val="10"/>
        <color rgb="FF595959"/>
        <rFont val="Noto Sans CJK SC"/>
        <family val="2"/>
      </rPr>
      <t xml:space="preserve">元（</t>
    </r>
    <r>
      <rPr>
        <i val="true"/>
        <sz val="10"/>
        <color rgb="FF595959"/>
        <rFont val="Arial"/>
        <family val="0"/>
        <charset val="1"/>
      </rPr>
      <t xml:space="preserve">2024</t>
    </r>
    <r>
      <rPr>
        <i val="true"/>
        <sz val="10"/>
        <color rgb="FF595959"/>
        <rFont val="Noto Sans CJK SC"/>
        <family val="2"/>
      </rPr>
      <t xml:space="preserve">年</t>
    </r>
    <r>
      <rPr>
        <i val="true"/>
        <sz val="10"/>
        <color rgb="FF595959"/>
        <rFont val="Arial"/>
        <family val="0"/>
        <charset val="1"/>
      </rPr>
      <t xml:space="preserve">2,305,984,655.76</t>
    </r>
    <r>
      <rPr>
        <i val="true"/>
        <sz val="10"/>
        <color rgb="FF595959"/>
        <rFont val="Noto Sans CJK SC"/>
        <family val="2"/>
      </rPr>
      <t xml:space="preserve">元）</t>
    </r>
  </si>
  <si>
    <r>
      <rPr>
        <b val="true"/>
        <sz val="10"/>
        <color rgb="FF1F3864"/>
        <rFont val="Noto Sans CJK SC"/>
        <family val="2"/>
      </rPr>
      <t xml:space="preserve">电子及陶瓷材料（陶瓷基片</t>
    </r>
    <r>
      <rPr>
        <b val="true"/>
        <sz val="10"/>
        <color rgb="FF1F3864"/>
        <rFont val="Arial"/>
        <family val="0"/>
        <charset val="1"/>
      </rPr>
      <t xml:space="preserve">/</t>
    </r>
    <r>
      <rPr>
        <b val="true"/>
        <sz val="10"/>
        <color rgb="FF1F3864"/>
        <rFont val="Noto Sans CJK SC"/>
        <family val="2"/>
      </rPr>
      <t xml:space="preserve">基板、电子浆料、</t>
    </r>
    <r>
      <rPr>
        <b val="true"/>
        <sz val="10"/>
        <color rgb="FF1F3864"/>
        <rFont val="Arial"/>
        <family val="0"/>
        <charset val="1"/>
      </rPr>
      <t xml:space="preserve">SOFC</t>
    </r>
    <r>
      <rPr>
        <b val="true"/>
        <sz val="10"/>
        <color rgb="FF1F3864"/>
        <rFont val="Noto Sans CJK SC"/>
        <family val="2"/>
      </rPr>
      <t xml:space="preserve">隔膜片等）</t>
    </r>
  </si>
  <si>
    <r>
      <rPr>
        <sz val="10"/>
        <color rgb="FF000000"/>
        <rFont val="Arial"/>
        <family val="0"/>
        <charset val="1"/>
      </rPr>
      <t xml:space="preserve">  Bloom</t>
    </r>
    <r>
      <rPr>
        <sz val="10"/>
        <color rgb="FF000000"/>
        <rFont val="Noto Sans CJK SC"/>
        <family val="2"/>
      </rPr>
      <t xml:space="preserve">电池片层需求</t>
    </r>
  </si>
  <si>
    <r>
      <rPr>
        <i val="true"/>
        <sz val="10"/>
        <color rgb="FF595959"/>
        <rFont val="Noto Sans CJK SC"/>
        <family val="2"/>
      </rPr>
      <t xml:space="preserve">见“假设”</t>
    </r>
    <r>
      <rPr>
        <i val="true"/>
        <sz val="10"/>
        <color rgb="FF595959"/>
        <rFont val="Arial"/>
        <family val="0"/>
        <charset val="1"/>
      </rPr>
      <t xml:space="preserve">SOFC</t>
    </r>
    <r>
      <rPr>
        <i val="true"/>
        <sz val="10"/>
        <color rgb="FF595959"/>
        <rFont val="Noto Sans CJK SC"/>
        <family val="2"/>
      </rPr>
      <t xml:space="preserve">子模型</t>
    </r>
  </si>
  <si>
    <t xml:space="preserve">  单片功率</t>
  </si>
  <si>
    <r>
      <rPr>
        <sz val="10"/>
        <color rgb="FF000000"/>
        <rFont val="Noto Sans CJK SC"/>
        <family val="2"/>
      </rPr>
      <t xml:space="preserve">  每</t>
    </r>
    <r>
      <rPr>
        <sz val="10"/>
        <color rgb="FF000000"/>
        <rFont val="Arial"/>
        <family val="0"/>
        <charset val="1"/>
      </rPr>
      <t xml:space="preserve">GW</t>
    </r>
    <r>
      <rPr>
        <sz val="10"/>
        <color rgb="FF000000"/>
        <rFont val="Noto Sans CJK SC"/>
        <family val="2"/>
      </rPr>
      <t xml:space="preserve">隔膜片需求</t>
    </r>
  </si>
  <si>
    <r>
      <rPr>
        <sz val="10"/>
        <color rgb="FF595959"/>
        <rFont val="Noto Sans CJK SC"/>
        <family val="2"/>
      </rPr>
      <t xml:space="preserve">百万片</t>
    </r>
    <r>
      <rPr>
        <sz val="10"/>
        <color rgb="FF595959"/>
        <rFont val="Arial"/>
        <family val="0"/>
        <charset val="1"/>
      </rPr>
      <t xml:space="preserve">/GW</t>
    </r>
  </si>
  <si>
    <r>
      <rPr>
        <sz val="10"/>
        <color rgb="FF000000"/>
        <rFont val="Arial"/>
        <family val="0"/>
        <charset val="1"/>
      </rPr>
      <t xml:space="preserve">  Bloom</t>
    </r>
    <r>
      <rPr>
        <sz val="10"/>
        <color rgb="FF000000"/>
        <rFont val="Noto Sans CJK SC"/>
        <family val="2"/>
      </rPr>
      <t xml:space="preserve">隔膜片需求</t>
    </r>
  </si>
  <si>
    <t xml:space="preserve">百万片</t>
  </si>
  <si>
    <t xml:space="preserve">  三环份额</t>
  </si>
  <si>
    <t xml:space="preserve">  三环隔膜片出货</t>
  </si>
  <si>
    <t xml:space="preserve">  单价</t>
  </si>
  <si>
    <r>
      <rPr>
        <b val="true"/>
        <sz val="10"/>
        <color rgb="FF000000"/>
        <rFont val="Arial"/>
        <family val="0"/>
        <charset val="1"/>
      </rPr>
      <t xml:space="preserve">  SOFC</t>
    </r>
    <r>
      <rPr>
        <b val="true"/>
        <sz val="10"/>
        <color rgb="FF000000"/>
        <rFont val="Noto Sans CJK SC"/>
        <family val="2"/>
      </rPr>
      <t xml:space="preserve">隔膜片收入</t>
    </r>
  </si>
  <si>
    <r>
      <rPr>
        <i val="true"/>
        <sz val="10"/>
        <color rgb="FF595959"/>
        <rFont val="Noto Sans CJK SC"/>
        <family val="2"/>
      </rPr>
      <t xml:space="preserve">历史为年报前五大客户“客户</t>
    </r>
    <r>
      <rPr>
        <i val="true"/>
        <sz val="10"/>
        <color rgb="FF595959"/>
        <rFont val="Arial"/>
        <family val="0"/>
        <charset val="1"/>
      </rPr>
      <t xml:space="preserve">1”</t>
    </r>
    <r>
      <rPr>
        <i val="true"/>
        <sz val="10"/>
        <color rgb="FF595959"/>
        <rFont val="Noto Sans CJK SC"/>
        <family val="2"/>
      </rPr>
      <t xml:space="preserve">销售额（</t>
    </r>
    <r>
      <rPr>
        <i val="true"/>
        <sz val="10"/>
        <color rgb="FF595959"/>
        <rFont val="Arial"/>
        <family val="0"/>
        <charset val="1"/>
      </rPr>
      <t xml:space="preserve">2023A 449,318,727.96</t>
    </r>
    <r>
      <rPr>
        <i val="true"/>
        <sz val="10"/>
        <color rgb="FF595959"/>
        <rFont val="Noto Sans CJK SC"/>
        <family val="2"/>
      </rPr>
      <t xml:space="preserve">元；</t>
    </r>
    <r>
      <rPr>
        <i val="true"/>
        <sz val="10"/>
        <color rgb="FF595959"/>
        <rFont val="Arial"/>
        <family val="0"/>
        <charset val="1"/>
      </rPr>
      <t xml:space="preserve">2024A 323,869,648.00</t>
    </r>
    <r>
      <rPr>
        <i val="true"/>
        <sz val="10"/>
        <color rgb="FF595959"/>
        <rFont val="Noto Sans CJK SC"/>
        <family val="2"/>
      </rPr>
      <t xml:space="preserve">元；</t>
    </r>
    <r>
      <rPr>
        <i val="true"/>
        <sz val="10"/>
        <color rgb="FF595959"/>
        <rFont val="Arial"/>
        <family val="0"/>
        <charset val="1"/>
      </rPr>
      <t xml:space="preserve">2025A 330,717,999.78</t>
    </r>
    <r>
      <rPr>
        <i val="true"/>
        <sz val="10"/>
        <color rgb="FF595959"/>
        <rFont val="Noto Sans CJK SC"/>
        <family val="2"/>
      </rPr>
      <t xml:space="preserve">元），市场普遍对应</t>
    </r>
    <r>
      <rPr>
        <i val="true"/>
        <sz val="10"/>
        <color rgb="FF595959"/>
        <rFont val="Arial"/>
        <family val="0"/>
        <charset val="1"/>
      </rPr>
      <t xml:space="preserve">Bloom</t>
    </r>
  </si>
  <si>
    <r>
      <rPr>
        <sz val="10"/>
        <color rgb="FF000000"/>
        <rFont val="Noto Sans CJK SC"/>
        <family val="2"/>
      </rPr>
      <t xml:space="preserve">  每</t>
    </r>
    <r>
      <rPr>
        <sz val="10"/>
        <color rgb="FF000000"/>
        <rFont val="Arial"/>
        <family val="0"/>
        <charset val="1"/>
      </rPr>
      <t xml:space="preserve">GW</t>
    </r>
    <r>
      <rPr>
        <sz val="10"/>
        <color rgb="FF000000"/>
        <rFont val="Noto Sans CJK SC"/>
        <family val="2"/>
      </rPr>
      <t xml:space="preserve">隔膜片价值量（</t>
    </r>
    <r>
      <rPr>
        <sz val="10"/>
        <color rgb="FF000000"/>
        <rFont val="Arial"/>
        <family val="0"/>
        <charset val="1"/>
      </rPr>
      <t xml:space="preserve">100%</t>
    </r>
    <r>
      <rPr>
        <sz val="10"/>
        <color rgb="FF000000"/>
        <rFont val="Noto Sans CJK SC"/>
        <family val="2"/>
      </rPr>
      <t xml:space="preserve">份额）</t>
    </r>
  </si>
  <si>
    <r>
      <rPr>
        <sz val="10"/>
        <color rgb="FF595959"/>
        <rFont val="Noto Sans CJK SC"/>
        <family val="2"/>
      </rPr>
      <t xml:space="preserve">百万元</t>
    </r>
    <r>
      <rPr>
        <sz val="10"/>
        <color rgb="FF595959"/>
        <rFont val="Arial"/>
        <family val="0"/>
        <charset val="1"/>
      </rPr>
      <t xml:space="preserve">/GW</t>
    </r>
  </si>
  <si>
    <r>
      <rPr>
        <sz val="10"/>
        <color rgb="FF000000"/>
        <rFont val="Noto Sans CJK SC"/>
        <family val="2"/>
      </rPr>
      <t xml:space="preserve">  其他电子及陶瓷材料（不含</t>
    </r>
    <r>
      <rPr>
        <sz val="10"/>
        <color rgb="FF000000"/>
        <rFont val="Arial"/>
        <family val="0"/>
        <charset val="1"/>
      </rPr>
      <t xml:space="preserve">SOFC</t>
    </r>
    <r>
      <rPr>
        <sz val="10"/>
        <color rgb="FF000000"/>
        <rFont val="Noto Sans CJK SC"/>
        <family val="2"/>
      </rPr>
      <t xml:space="preserve">）</t>
    </r>
  </si>
  <si>
    <r>
      <rPr>
        <i val="true"/>
        <sz val="10"/>
        <color rgb="FF595959"/>
        <rFont val="Arial"/>
        <family val="0"/>
        <charset val="1"/>
      </rPr>
      <t xml:space="preserve">2025</t>
    </r>
    <r>
      <rPr>
        <i val="true"/>
        <sz val="10"/>
        <color rgb="FF595959"/>
        <rFont val="Noto Sans CJK SC"/>
        <family val="2"/>
      </rPr>
      <t xml:space="preserve">年年报：电子及陶瓷材料</t>
    </r>
    <r>
      <rPr>
        <i val="true"/>
        <sz val="10"/>
        <color rgb="FF595959"/>
        <rFont val="Arial"/>
        <family val="0"/>
        <charset val="1"/>
      </rPr>
      <t xml:space="preserve">1,959,378,016.92</t>
    </r>
    <r>
      <rPr>
        <i val="true"/>
        <sz val="10"/>
        <color rgb="FF595959"/>
        <rFont val="Noto Sans CJK SC"/>
        <family val="2"/>
      </rPr>
      <t xml:space="preserve">元（</t>
    </r>
    <r>
      <rPr>
        <i val="true"/>
        <sz val="10"/>
        <color rgb="FF595959"/>
        <rFont val="Arial"/>
        <family val="0"/>
        <charset val="1"/>
      </rPr>
      <t xml:space="preserve">2024</t>
    </r>
    <r>
      <rPr>
        <i val="true"/>
        <sz val="10"/>
        <color rgb="FF595959"/>
        <rFont val="Noto Sans CJK SC"/>
        <family val="2"/>
      </rPr>
      <t xml:space="preserve">年</t>
    </r>
    <r>
      <rPr>
        <i val="true"/>
        <sz val="10"/>
        <color rgb="FF595959"/>
        <rFont val="Arial"/>
        <family val="0"/>
        <charset val="1"/>
      </rPr>
      <t xml:space="preserve">1,677,232,780.51</t>
    </r>
    <r>
      <rPr>
        <i val="true"/>
        <sz val="10"/>
        <color rgb="FF595959"/>
        <rFont val="Noto Sans CJK SC"/>
        <family val="2"/>
      </rPr>
      <t xml:space="preserve">元）</t>
    </r>
  </si>
  <si>
    <t xml:space="preserve">设备组件、其他主营与其他业务</t>
  </si>
  <si>
    <r>
      <rPr>
        <i val="true"/>
        <sz val="10"/>
        <color rgb="FF595959"/>
        <rFont val="Arial"/>
        <family val="0"/>
        <charset val="1"/>
      </rPr>
      <t xml:space="preserve">2025</t>
    </r>
    <r>
      <rPr>
        <i val="true"/>
        <sz val="10"/>
        <color rgb="FF595959"/>
        <rFont val="Noto Sans CJK SC"/>
        <family val="2"/>
      </rPr>
      <t xml:space="preserve">年年报：</t>
    </r>
    <r>
      <rPr>
        <i val="true"/>
        <sz val="10"/>
        <color rgb="FF595959"/>
        <rFont val="Arial"/>
        <family val="0"/>
        <charset val="1"/>
      </rPr>
      <t xml:space="preserve">601,753,409.61</t>
    </r>
    <r>
      <rPr>
        <i val="true"/>
        <sz val="10"/>
        <color rgb="FF595959"/>
        <rFont val="Noto Sans CJK SC"/>
        <family val="2"/>
      </rPr>
      <t xml:space="preserve">元（</t>
    </r>
    <r>
      <rPr>
        <i val="true"/>
        <sz val="10"/>
        <color rgb="FF595959"/>
        <rFont val="Arial"/>
        <family val="0"/>
        <charset val="1"/>
      </rPr>
      <t xml:space="preserve">2024</t>
    </r>
    <r>
      <rPr>
        <i val="true"/>
        <sz val="10"/>
        <color rgb="FF595959"/>
        <rFont val="Noto Sans CJK SC"/>
        <family val="2"/>
      </rPr>
      <t xml:space="preserve">年</t>
    </r>
    <r>
      <rPr>
        <i val="true"/>
        <sz val="10"/>
        <color rgb="FF595959"/>
        <rFont val="Arial"/>
        <family val="0"/>
        <charset val="1"/>
      </rPr>
      <t xml:space="preserve">536,824,729.50</t>
    </r>
    <r>
      <rPr>
        <i val="true"/>
        <sz val="10"/>
        <color rgb="FF595959"/>
        <rFont val="Noto Sans CJK SC"/>
        <family val="2"/>
      </rPr>
      <t xml:space="preserve">元）</t>
    </r>
  </si>
  <si>
    <t xml:space="preserve">其他主营收入</t>
  </si>
  <si>
    <r>
      <rPr>
        <i val="true"/>
        <sz val="10"/>
        <color rgb="FF595959"/>
        <rFont val="Arial"/>
        <family val="0"/>
        <charset val="1"/>
      </rPr>
      <t xml:space="preserve">2025</t>
    </r>
    <r>
      <rPr>
        <i val="true"/>
        <sz val="10"/>
        <color rgb="FF595959"/>
        <rFont val="Noto Sans CJK SC"/>
        <family val="2"/>
      </rPr>
      <t xml:space="preserve">年年报：</t>
    </r>
    <r>
      <rPr>
        <i val="true"/>
        <sz val="10"/>
        <color rgb="FF595959"/>
        <rFont val="Arial"/>
        <family val="0"/>
        <charset val="1"/>
      </rPr>
      <t xml:space="preserve">404,996,373.28</t>
    </r>
    <r>
      <rPr>
        <i val="true"/>
        <sz val="10"/>
        <color rgb="FF595959"/>
        <rFont val="Noto Sans CJK SC"/>
        <family val="2"/>
      </rPr>
      <t xml:space="preserve">元（</t>
    </r>
    <r>
      <rPr>
        <i val="true"/>
        <sz val="10"/>
        <color rgb="FF595959"/>
        <rFont val="Arial"/>
        <family val="0"/>
        <charset val="1"/>
      </rPr>
      <t xml:space="preserve">2024</t>
    </r>
    <r>
      <rPr>
        <i val="true"/>
        <sz val="10"/>
        <color rgb="FF595959"/>
        <rFont val="Noto Sans CJK SC"/>
        <family val="2"/>
      </rPr>
      <t xml:space="preserve">年</t>
    </r>
    <r>
      <rPr>
        <i val="true"/>
        <sz val="10"/>
        <color rgb="FF595959"/>
        <rFont val="Arial"/>
        <family val="0"/>
        <charset val="1"/>
      </rPr>
      <t xml:space="preserve">447,931,467.25</t>
    </r>
    <r>
      <rPr>
        <i val="true"/>
        <sz val="10"/>
        <color rgb="FF595959"/>
        <rFont val="Noto Sans CJK SC"/>
        <family val="2"/>
      </rPr>
      <t xml:space="preserve">元）</t>
    </r>
  </si>
  <si>
    <t xml:space="preserve">其他业务收入</t>
  </si>
  <si>
    <r>
      <rPr>
        <i val="true"/>
        <sz val="10"/>
        <color rgb="FF595959"/>
        <rFont val="Arial"/>
        <family val="0"/>
        <charset val="1"/>
      </rPr>
      <t xml:space="preserve">2025</t>
    </r>
    <r>
      <rPr>
        <i val="true"/>
        <sz val="10"/>
        <color rgb="FF595959"/>
        <rFont val="Noto Sans CJK SC"/>
        <family val="2"/>
      </rPr>
      <t xml:space="preserve">年年报：</t>
    </r>
    <r>
      <rPr>
        <i val="true"/>
        <sz val="10"/>
        <color rgb="FF595959"/>
        <rFont val="Arial"/>
        <family val="0"/>
        <charset val="1"/>
      </rPr>
      <t xml:space="preserve">138,626,615.77</t>
    </r>
    <r>
      <rPr>
        <i val="true"/>
        <sz val="10"/>
        <color rgb="FF595959"/>
        <rFont val="Noto Sans CJK SC"/>
        <family val="2"/>
      </rPr>
      <t xml:space="preserve">元；</t>
    </r>
    <r>
      <rPr>
        <i val="true"/>
        <sz val="10"/>
        <color rgb="FF595959"/>
        <rFont val="Arial"/>
        <family val="0"/>
        <charset val="1"/>
      </rPr>
      <t xml:space="preserve">2026H1</t>
    </r>
    <r>
      <rPr>
        <i val="true"/>
        <sz val="10"/>
        <color rgb="FF595959"/>
        <rFont val="Noto Sans CJK SC"/>
        <family val="2"/>
      </rPr>
      <t xml:space="preserve">半年报“其他”</t>
    </r>
    <r>
      <rPr>
        <i val="true"/>
        <sz val="10"/>
        <color rgb="FF595959"/>
        <rFont val="Arial"/>
        <family val="0"/>
        <charset val="1"/>
      </rPr>
      <t xml:space="preserve">342.6</t>
    </r>
    <r>
      <rPr>
        <i val="true"/>
        <sz val="10"/>
        <color rgb="FF595959"/>
        <rFont val="Noto Sans CJK SC"/>
        <family val="2"/>
      </rPr>
      <t xml:space="preserve">为其他主营</t>
    </r>
    <r>
      <rPr>
        <i val="true"/>
        <sz val="10"/>
        <color rgb="FF595959"/>
        <rFont val="Arial"/>
        <family val="0"/>
        <charset val="1"/>
      </rPr>
      <t xml:space="preserve">+</t>
    </r>
    <r>
      <rPr>
        <i val="true"/>
        <sz val="10"/>
        <color rgb="FF595959"/>
        <rFont val="Noto Sans CJK SC"/>
        <family val="2"/>
      </rPr>
      <t xml:space="preserve">其他业务合计（新口径下设备组件并入“电子、通信元件及材料”）</t>
    </r>
  </si>
  <si>
    <t xml:space="preserve">合计与结构</t>
  </si>
  <si>
    <t xml:space="preserve">营业收入合计</t>
  </si>
  <si>
    <t xml:space="preserve">  电子元件占比</t>
  </si>
  <si>
    <t xml:space="preserve">  通信器件占比</t>
  </si>
  <si>
    <t xml:space="preserve">  电子及陶瓷材料占比</t>
  </si>
  <si>
    <r>
      <rPr>
        <sz val="10"/>
        <color rgb="FF000000"/>
        <rFont val="Noto Sans CJK SC"/>
        <family val="2"/>
      </rPr>
      <t xml:space="preserve">    其中</t>
    </r>
    <r>
      <rPr>
        <sz val="10"/>
        <color rgb="FF000000"/>
        <rFont val="Arial"/>
        <family val="0"/>
        <charset val="1"/>
      </rPr>
      <t xml:space="preserve">SOFC</t>
    </r>
    <r>
      <rPr>
        <sz val="10"/>
        <color rgb="FF000000"/>
        <rFont val="Noto Sans CJK SC"/>
        <family val="2"/>
      </rPr>
      <t xml:space="preserve">隔膜片占比</t>
    </r>
  </si>
  <si>
    <t xml:space="preserve">  设备组件占比</t>
  </si>
  <si>
    <t xml:space="preserve">收入增量拆解（同比增加额，百万元）</t>
  </si>
  <si>
    <t xml:space="preserve">  设备组件</t>
  </si>
  <si>
    <t xml:space="preserve">  其他主营</t>
  </si>
  <si>
    <t xml:space="preserve">  其他业务</t>
  </si>
  <si>
    <t xml:space="preserve">  合计</t>
  </si>
  <si>
    <t xml:space="preserve">地区结构</t>
  </si>
  <si>
    <r>
      <rPr>
        <i val="true"/>
        <sz val="10"/>
        <color rgb="FF595959"/>
        <rFont val="Noto Sans CJK SC"/>
        <family val="2"/>
      </rPr>
      <t xml:space="preserve">年报“营业收入构成</t>
    </r>
    <r>
      <rPr>
        <i val="true"/>
        <sz val="10"/>
        <color rgb="FF595959"/>
        <rFont val="Arial"/>
        <family val="0"/>
        <charset val="1"/>
      </rPr>
      <t xml:space="preserve">-</t>
    </r>
    <r>
      <rPr>
        <i val="true"/>
        <sz val="10"/>
        <color rgb="FF595959"/>
        <rFont val="Noto Sans CJK SC"/>
        <family val="2"/>
      </rPr>
      <t xml:space="preserve">分地区”；</t>
    </r>
    <r>
      <rPr>
        <i val="true"/>
        <sz val="10"/>
        <color rgb="FF595959"/>
        <rFont val="Arial"/>
        <family val="0"/>
        <charset val="1"/>
      </rPr>
      <t xml:space="preserve">H</t>
    </r>
    <r>
      <rPr>
        <i val="true"/>
        <sz val="10"/>
        <color rgb="FF595959"/>
        <rFont val="Noto Sans CJK SC"/>
        <family val="2"/>
      </rPr>
      <t xml:space="preserve">股招股章程：</t>
    </r>
    <r>
      <rPr>
        <i val="true"/>
        <sz val="10"/>
        <color rgb="FF595959"/>
        <rFont val="Arial"/>
        <family val="0"/>
        <charset val="1"/>
      </rPr>
      <t xml:space="preserve">2023-2025</t>
    </r>
    <r>
      <rPr>
        <i val="true"/>
        <sz val="10"/>
        <color rgb="FF595959"/>
        <rFont val="Noto Sans CJK SC"/>
        <family val="2"/>
      </rPr>
      <t xml:space="preserve">年海外收入占比</t>
    </r>
    <r>
      <rPr>
        <i val="true"/>
        <sz val="10"/>
        <color rgb="FF595959"/>
        <rFont val="Arial"/>
        <family val="0"/>
        <charset val="1"/>
      </rPr>
      <t xml:space="preserve">20.3%/17.9%/17.4%</t>
    </r>
  </si>
  <si>
    <t xml:space="preserve">境外收入</t>
  </si>
  <si>
    <t xml:space="preserve">境内收入</t>
  </si>
  <si>
    <r>
      <rPr>
        <b val="true"/>
        <sz val="10"/>
        <color rgb="FF1F3864"/>
        <rFont val="Noto Sans CJK SC"/>
        <family val="2"/>
      </rPr>
      <t xml:space="preserve">半年度校验（</t>
    </r>
    <r>
      <rPr>
        <b val="true"/>
        <sz val="10"/>
        <color rgb="FF1F3864"/>
        <rFont val="Arial"/>
        <family val="0"/>
        <charset val="1"/>
      </rPr>
      <t xml:space="preserve">2026H1</t>
    </r>
    <r>
      <rPr>
        <b val="true"/>
        <sz val="10"/>
        <color rgb="FF1F3864"/>
        <rFont val="Noto Sans CJK SC"/>
        <family val="2"/>
      </rPr>
      <t xml:space="preserve">半年报新口径：电子、通信元件及材料</t>
    </r>
    <r>
      <rPr>
        <b val="true"/>
        <sz val="10"/>
        <color rgb="FF1F3864"/>
        <rFont val="Arial"/>
        <family val="0"/>
        <charset val="1"/>
      </rPr>
      <t xml:space="preserve">=</t>
    </r>
    <r>
      <rPr>
        <b val="true"/>
        <sz val="10"/>
        <color rgb="FF1F3864"/>
        <rFont val="Noto Sans CJK SC"/>
        <family val="2"/>
      </rPr>
      <t xml:space="preserve">电子元件</t>
    </r>
    <r>
      <rPr>
        <b val="true"/>
        <sz val="10"/>
        <color rgb="FF1F3864"/>
        <rFont val="Arial"/>
        <family val="0"/>
        <charset val="1"/>
      </rPr>
      <t xml:space="preserve">+</t>
    </r>
    <r>
      <rPr>
        <b val="true"/>
        <sz val="10"/>
        <color rgb="FF1F3864"/>
        <rFont val="Noto Sans CJK SC"/>
        <family val="2"/>
      </rPr>
      <t xml:space="preserve">通信器件</t>
    </r>
    <r>
      <rPr>
        <b val="true"/>
        <sz val="10"/>
        <color rgb="FF1F3864"/>
        <rFont val="Arial"/>
        <family val="0"/>
        <charset val="1"/>
      </rPr>
      <t xml:space="preserve">+</t>
    </r>
    <r>
      <rPr>
        <b val="true"/>
        <sz val="10"/>
        <color rgb="FF1F3864"/>
        <rFont val="Noto Sans CJK SC"/>
        <family val="2"/>
      </rPr>
      <t xml:space="preserve">电子及陶瓷材料</t>
    </r>
    <r>
      <rPr>
        <b val="true"/>
        <sz val="10"/>
        <color rgb="FF1F3864"/>
        <rFont val="Arial"/>
        <family val="0"/>
        <charset val="1"/>
      </rPr>
      <t xml:space="preserve">+</t>
    </r>
    <r>
      <rPr>
        <b val="true"/>
        <sz val="10"/>
        <color rgb="FF1F3864"/>
        <rFont val="Noto Sans CJK SC"/>
        <family val="2"/>
      </rPr>
      <t xml:space="preserve">设备组件；其他</t>
    </r>
    <r>
      <rPr>
        <b val="true"/>
        <sz val="10"/>
        <color rgb="FF1F3864"/>
        <rFont val="Arial"/>
        <family val="0"/>
        <charset val="1"/>
      </rPr>
      <t xml:space="preserve">=</t>
    </r>
    <r>
      <rPr>
        <b val="true"/>
        <sz val="10"/>
        <color rgb="FF1F3864"/>
        <rFont val="Noto Sans CJK SC"/>
        <family val="2"/>
      </rPr>
      <t xml:space="preserve">其他主营</t>
    </r>
    <r>
      <rPr>
        <b val="true"/>
        <sz val="10"/>
        <color rgb="FF1F3864"/>
        <rFont val="Arial"/>
        <family val="0"/>
        <charset val="1"/>
      </rPr>
      <t xml:space="preserve">+</t>
    </r>
    <r>
      <rPr>
        <b val="true"/>
        <sz val="10"/>
        <color rgb="FF1F3864"/>
        <rFont val="Noto Sans CJK SC"/>
        <family val="2"/>
      </rPr>
      <t xml:space="preserve">其他业务）</t>
    </r>
  </si>
  <si>
    <r>
      <rPr>
        <sz val="10"/>
        <color rgb="FF000000"/>
        <rFont val="Arial"/>
        <family val="0"/>
        <charset val="1"/>
      </rPr>
      <t xml:space="preserve">2026H1 </t>
    </r>
    <r>
      <rPr>
        <sz val="10"/>
        <color rgb="FF000000"/>
        <rFont val="Noto Sans CJK SC"/>
        <family val="2"/>
      </rPr>
      <t xml:space="preserve">电子、通信元件及材料（实际）</t>
    </r>
  </si>
  <si>
    <r>
      <rPr>
        <i val="true"/>
        <sz val="10"/>
        <color rgb="FF595959"/>
        <rFont val="Arial"/>
        <family val="0"/>
        <charset val="1"/>
      </rPr>
      <t xml:space="preserve">2026</t>
    </r>
    <r>
      <rPr>
        <i val="true"/>
        <sz val="10"/>
        <color rgb="FF595959"/>
        <rFont val="Noto Sans CJK SC"/>
        <family val="2"/>
      </rPr>
      <t xml:space="preserve">年半年报：</t>
    </r>
    <r>
      <rPr>
        <i val="true"/>
        <sz val="10"/>
        <color rgb="FF595959"/>
        <rFont val="Arial"/>
        <family val="0"/>
        <charset val="1"/>
      </rPr>
      <t xml:space="preserve">6,080,743,358.96</t>
    </r>
    <r>
      <rPr>
        <i val="true"/>
        <sz val="10"/>
        <color rgb="FF595959"/>
        <rFont val="Noto Sans CJK SC"/>
        <family val="2"/>
      </rPr>
      <t xml:space="preserve">元，同比</t>
    </r>
    <r>
      <rPr>
        <i val="true"/>
        <sz val="10"/>
        <color rgb="FF595959"/>
        <rFont val="Arial"/>
        <family val="0"/>
        <charset val="1"/>
      </rPr>
      <t xml:space="preserve">+54.97%</t>
    </r>
    <r>
      <rPr>
        <i val="true"/>
        <sz val="10"/>
        <color rgb="FF595959"/>
        <rFont val="Noto Sans CJK SC"/>
        <family val="2"/>
      </rPr>
      <t xml:space="preserve">（对应</t>
    </r>
    <r>
      <rPr>
        <i val="true"/>
        <sz val="10"/>
        <color rgb="FF595959"/>
        <rFont val="Arial"/>
        <family val="0"/>
        <charset val="1"/>
      </rPr>
      <t xml:space="preserve">2025H1</t>
    </r>
    <r>
      <rPr>
        <i val="true"/>
        <sz val="10"/>
        <color rgb="FF595959"/>
        <rFont val="Noto Sans CJK SC"/>
        <family val="2"/>
      </rPr>
      <t xml:space="preserve">可比基数约</t>
    </r>
    <r>
      <rPr>
        <i val="true"/>
        <sz val="10"/>
        <color rgb="FF595959"/>
        <rFont val="Arial"/>
        <family val="0"/>
        <charset val="1"/>
      </rPr>
      <t xml:space="preserve">3,923.8</t>
    </r>
    <r>
      <rPr>
        <i val="true"/>
        <sz val="10"/>
        <color rgb="FF595959"/>
        <rFont val="Noto Sans CJK SC"/>
        <family val="2"/>
      </rPr>
      <t xml:space="preserve">）</t>
    </r>
  </si>
  <si>
    <r>
      <rPr>
        <sz val="10"/>
        <color rgb="FF000000"/>
        <rFont val="Arial"/>
        <family val="0"/>
        <charset val="1"/>
      </rPr>
      <t xml:space="preserve">2026H1 </t>
    </r>
    <r>
      <rPr>
        <sz val="10"/>
        <color rgb="FF000000"/>
        <rFont val="Noto Sans CJK SC"/>
        <family val="2"/>
      </rPr>
      <t xml:space="preserve">其他（实际）</t>
    </r>
  </si>
  <si>
    <r>
      <rPr>
        <sz val="10"/>
        <color rgb="FF000000"/>
        <rFont val="Arial"/>
        <family val="0"/>
        <charset val="1"/>
      </rPr>
      <t xml:space="preserve">2026E</t>
    </r>
    <r>
      <rPr>
        <sz val="10"/>
        <color rgb="FF000000"/>
        <rFont val="Noto Sans CJK SC"/>
        <family val="2"/>
      </rPr>
      <t xml:space="preserve">隐含下半年 电子、通信元件及材料</t>
    </r>
  </si>
  <si>
    <r>
      <rPr>
        <sz val="10"/>
        <color rgb="FF000000"/>
        <rFont val="Arial"/>
        <family val="0"/>
        <charset val="1"/>
      </rPr>
      <t xml:space="preserve">2026E</t>
    </r>
    <r>
      <rPr>
        <sz val="10"/>
        <color rgb="FF000000"/>
        <rFont val="Noto Sans CJK SC"/>
        <family val="2"/>
      </rPr>
      <t xml:space="preserve">隐含下半年 其他</t>
    </r>
  </si>
  <si>
    <r>
      <rPr>
        <i val="true"/>
        <sz val="10"/>
        <color rgb="FF595959"/>
        <rFont val="Arial"/>
        <family val="0"/>
        <charset val="1"/>
      </rPr>
      <t xml:space="preserve">2025</t>
    </r>
    <r>
      <rPr>
        <i val="true"/>
        <sz val="10"/>
        <color rgb="FF595959"/>
        <rFont val="Noto Sans CJK SC"/>
        <family val="2"/>
      </rPr>
      <t xml:space="preserve">年可比：上半年约</t>
    </r>
    <r>
      <rPr>
        <i val="true"/>
        <sz val="10"/>
        <color rgb="FF595959"/>
        <rFont val="Arial"/>
        <family val="0"/>
        <charset val="1"/>
      </rPr>
      <t xml:space="preserve">225.0</t>
    </r>
    <r>
      <rPr>
        <i val="true"/>
        <sz val="10"/>
        <color rgb="FF595959"/>
        <rFont val="Noto Sans CJK SC"/>
        <family val="2"/>
      </rPr>
      <t xml:space="preserve">、全年</t>
    </r>
    <r>
      <rPr>
        <i val="true"/>
        <sz val="10"/>
        <color rgb="FF595959"/>
        <rFont val="Arial"/>
        <family val="0"/>
        <charset val="1"/>
      </rPr>
      <t xml:space="preserve">543.6</t>
    </r>
    <r>
      <rPr>
        <i val="true"/>
        <sz val="10"/>
        <color rgb="FF595959"/>
        <rFont val="Noto Sans CJK SC"/>
        <family val="2"/>
      </rPr>
      <t xml:space="preserve">（其他主营</t>
    </r>
    <r>
      <rPr>
        <i val="true"/>
        <sz val="10"/>
        <color rgb="FF595959"/>
        <rFont val="Arial"/>
        <family val="0"/>
        <charset val="1"/>
      </rPr>
      <t xml:space="preserve">405.0+</t>
    </r>
    <r>
      <rPr>
        <i val="true"/>
        <sz val="10"/>
        <color rgb="FF595959"/>
        <rFont val="Noto Sans CJK SC"/>
        <family val="2"/>
      </rPr>
      <t xml:space="preserve">其他业务</t>
    </r>
    <r>
      <rPr>
        <i val="true"/>
        <sz val="10"/>
        <color rgb="FF595959"/>
        <rFont val="Arial"/>
        <family val="0"/>
        <charset val="1"/>
      </rPr>
      <t xml:space="preserve">138.6</t>
    </r>
    <r>
      <rPr>
        <i val="true"/>
        <sz val="10"/>
        <color rgb="FF595959"/>
        <rFont val="Noto Sans CJK SC"/>
        <family val="2"/>
      </rPr>
      <t xml:space="preserve">）</t>
    </r>
  </si>
  <si>
    <r>
      <rPr>
        <sz val="10"/>
        <color rgb="FF000000"/>
        <rFont val="Arial"/>
        <family val="0"/>
        <charset val="1"/>
      </rPr>
      <t xml:space="preserve">2026H1</t>
    </r>
    <r>
      <rPr>
        <sz val="10"/>
        <color rgb="FF000000"/>
        <rFont val="Noto Sans CJK SC"/>
        <family val="2"/>
      </rPr>
      <t xml:space="preserve">营业收入（半年报）</t>
    </r>
  </si>
  <si>
    <r>
      <rPr>
        <sz val="10"/>
        <color rgb="FF000000"/>
        <rFont val="Arial"/>
        <family val="0"/>
        <charset val="1"/>
      </rPr>
      <t xml:space="preserve">2026E</t>
    </r>
    <r>
      <rPr>
        <sz val="10"/>
        <color rgb="FF000000"/>
        <rFont val="Noto Sans CJK SC"/>
        <family val="2"/>
      </rPr>
      <t xml:space="preserve">隐含下半年收入</t>
    </r>
  </si>
  <si>
    <r>
      <rPr>
        <sz val="10"/>
        <color rgb="FF000000"/>
        <rFont val="Arial"/>
        <family val="0"/>
        <charset val="1"/>
      </rPr>
      <t xml:space="preserve">2026E</t>
    </r>
    <r>
      <rPr>
        <sz val="10"/>
        <color rgb="FF000000"/>
        <rFont val="Noto Sans CJK SC"/>
        <family val="2"/>
      </rPr>
      <t xml:space="preserve">下半年</t>
    </r>
    <r>
      <rPr>
        <sz val="10"/>
        <color rgb="FF000000"/>
        <rFont val="Arial"/>
        <family val="0"/>
        <charset val="1"/>
      </rPr>
      <t xml:space="preserve">/</t>
    </r>
    <r>
      <rPr>
        <sz val="10"/>
        <color rgb="FF000000"/>
        <rFont val="Noto Sans CJK SC"/>
        <family val="2"/>
      </rPr>
      <t xml:space="preserve">上半年</t>
    </r>
  </si>
  <si>
    <t xml:space="preserve">x</t>
  </si>
  <si>
    <r>
      <rPr>
        <i val="true"/>
        <sz val="10"/>
        <color rgb="FF595959"/>
        <rFont val="Noto Sans CJK SC"/>
        <family val="2"/>
      </rPr>
      <t xml:space="preserve">参照：</t>
    </r>
    <r>
      <rPr>
        <i val="true"/>
        <sz val="10"/>
        <color rgb="FF595959"/>
        <rFont val="Arial"/>
        <family val="0"/>
        <charset val="1"/>
      </rPr>
      <t xml:space="preserve">2025</t>
    </r>
    <r>
      <rPr>
        <i val="true"/>
        <sz val="10"/>
        <color rgb="FF595959"/>
        <rFont val="Noto Sans CJK SC"/>
        <family val="2"/>
      </rPr>
      <t xml:space="preserve">年下半年</t>
    </r>
    <r>
      <rPr>
        <i val="true"/>
        <sz val="10"/>
        <color rgb="FF595959"/>
        <rFont val="Arial"/>
        <family val="0"/>
        <charset val="1"/>
      </rPr>
      <t xml:space="preserve">/</t>
    </r>
    <r>
      <rPr>
        <i val="true"/>
        <sz val="10"/>
        <color rgb="FF595959"/>
        <rFont val="Noto Sans CJK SC"/>
        <family val="2"/>
      </rPr>
      <t xml:space="preserve">上半年约</t>
    </r>
    <r>
      <rPr>
        <i val="true"/>
        <sz val="10"/>
        <color rgb="FF595959"/>
        <rFont val="Arial"/>
        <family val="0"/>
        <charset val="1"/>
      </rPr>
      <t xml:space="preserve">1.17x</t>
    </r>
    <r>
      <rPr>
        <i val="true"/>
        <sz val="10"/>
        <color rgb="FF595959"/>
        <rFont val="Noto Sans CJK SC"/>
        <family val="2"/>
      </rPr>
      <t xml:space="preserve">；</t>
    </r>
    <r>
      <rPr>
        <i val="true"/>
        <sz val="10"/>
        <color rgb="FF595959"/>
        <rFont val="Arial"/>
        <family val="0"/>
        <charset val="1"/>
      </rPr>
      <t xml:space="preserve">2026Q2</t>
    </r>
    <r>
      <rPr>
        <i val="true"/>
        <sz val="10"/>
        <color rgb="FF595959"/>
        <rFont val="Noto Sans CJK SC"/>
        <family val="2"/>
      </rPr>
      <t xml:space="preserve">单季收入</t>
    </r>
    <r>
      <rPr>
        <i val="true"/>
        <sz val="10"/>
        <color rgb="FF595959"/>
        <rFont val="Arial"/>
        <family val="0"/>
        <charset val="1"/>
      </rPr>
      <t xml:space="preserve">3,742</t>
    </r>
    <r>
      <rPr>
        <i val="true"/>
        <sz val="10"/>
        <color rgb="FF595959"/>
        <rFont val="Noto Sans CJK SC"/>
        <family val="2"/>
      </rPr>
      <t xml:space="preserve">百万元</t>
    </r>
  </si>
  <si>
    <t xml:space="preserve">成本拆解：分部毛利率与营业成本按性质</t>
  </si>
  <si>
    <t xml:space="preserve">分部毛利率为主驱动（生产人工与生产折旧偏离标定值的部分另行计入）；按性质拆分时人工来自人员模型、折旧来自资本开支模型、其他制造费用按占收入比例假设，原材料为倒挤项。</t>
  </si>
  <si>
    <r>
      <rPr>
        <b val="true"/>
        <sz val="10"/>
        <color rgb="FF1F3864"/>
        <rFont val="Arial"/>
        <family val="0"/>
        <charset val="1"/>
      </rPr>
      <t xml:space="preserve">A. </t>
    </r>
    <r>
      <rPr>
        <b val="true"/>
        <sz val="10"/>
        <color rgb="FF1F3864"/>
        <rFont val="Noto Sans CJK SC"/>
        <family val="2"/>
      </rPr>
      <t xml:space="preserve">分部毛利率（采用值，含敏感性冲击）</t>
    </r>
  </si>
  <si>
    <t xml:space="preserve">电子元件 毛利率</t>
  </si>
  <si>
    <r>
      <rPr>
        <i val="true"/>
        <sz val="10"/>
        <color rgb="FF595959"/>
        <rFont val="Arial"/>
        <family val="0"/>
        <charset val="1"/>
      </rPr>
      <t xml:space="preserve">2025</t>
    </r>
    <r>
      <rPr>
        <i val="true"/>
        <sz val="10"/>
        <color rgb="FF595959"/>
        <rFont val="Noto Sans CJK SC"/>
        <family val="2"/>
      </rPr>
      <t xml:space="preserve">年年报分产品毛利率及同比增减倒推；设备组件</t>
    </r>
    <r>
      <rPr>
        <i val="true"/>
        <sz val="10"/>
        <color rgb="FF595959"/>
        <rFont val="Arial"/>
        <family val="0"/>
        <charset val="1"/>
      </rPr>
      <t xml:space="preserve">/</t>
    </r>
    <r>
      <rPr>
        <i val="true"/>
        <sz val="10"/>
        <color rgb="FF595959"/>
        <rFont val="Noto Sans CJK SC"/>
        <family val="2"/>
      </rPr>
      <t xml:space="preserve">其他主营</t>
    </r>
    <r>
      <rPr>
        <i val="true"/>
        <sz val="10"/>
        <color rgb="FF595959"/>
        <rFont val="Arial"/>
        <family val="0"/>
        <charset val="1"/>
      </rPr>
      <t xml:space="preserve">/</t>
    </r>
    <r>
      <rPr>
        <i val="true"/>
        <sz val="10"/>
        <color rgb="FF595959"/>
        <rFont val="Noto Sans CJK SC"/>
        <family val="2"/>
      </rPr>
      <t xml:space="preserve">其他业务按</t>
    </r>
    <r>
      <rPr>
        <i val="true"/>
        <sz val="10"/>
        <color rgb="FF595959"/>
        <rFont val="Arial"/>
        <family val="0"/>
        <charset val="1"/>
      </rPr>
      <t xml:space="preserve">Wind</t>
    </r>
    <r>
      <rPr>
        <i val="true"/>
        <sz val="10"/>
        <color rgb="FF595959"/>
        <rFont val="Noto Sans CJK SC"/>
        <family val="2"/>
      </rPr>
      <t xml:space="preserve">主营构成</t>
    </r>
  </si>
  <si>
    <t xml:space="preserve">通信器件 毛利率</t>
  </si>
  <si>
    <t xml:space="preserve">其他电子及陶瓷材料 毛利率</t>
  </si>
  <si>
    <r>
      <rPr>
        <sz val="10"/>
        <color rgb="FF000000"/>
        <rFont val="Arial"/>
        <family val="0"/>
        <charset val="1"/>
      </rPr>
      <t xml:space="preserve">SOFC</t>
    </r>
    <r>
      <rPr>
        <sz val="10"/>
        <color rgb="FF000000"/>
        <rFont val="Noto Sans CJK SC"/>
        <family val="2"/>
      </rPr>
      <t xml:space="preserve">隔膜片 毛利率</t>
    </r>
  </si>
  <si>
    <t xml:space="preserve">设备组件 毛利率</t>
  </si>
  <si>
    <t xml:space="preserve">其他主营 毛利率</t>
  </si>
  <si>
    <t xml:space="preserve">其他业务 毛利率</t>
  </si>
  <si>
    <t xml:space="preserve">电子及陶瓷材料（分部合计）毛利率</t>
  </si>
  <si>
    <r>
      <rPr>
        <b val="true"/>
        <sz val="10"/>
        <color rgb="FF1F3864"/>
        <rFont val="Arial"/>
        <family val="0"/>
        <charset val="1"/>
      </rPr>
      <t xml:space="preserve">B. </t>
    </r>
    <r>
      <rPr>
        <b val="true"/>
        <sz val="10"/>
        <color rgb="FF1F3864"/>
        <rFont val="Noto Sans CJK SC"/>
        <family val="2"/>
      </rPr>
      <t xml:space="preserve">分部营业成本</t>
    </r>
  </si>
  <si>
    <t xml:space="preserve">电子元件 营业成本</t>
  </si>
  <si>
    <t xml:space="preserve">通信器件 营业成本</t>
  </si>
  <si>
    <t xml:space="preserve">其他电子及陶瓷材料 营业成本</t>
  </si>
  <si>
    <r>
      <rPr>
        <sz val="10"/>
        <color rgb="FF000000"/>
        <rFont val="Arial"/>
        <family val="0"/>
        <charset val="1"/>
      </rPr>
      <t xml:space="preserve">SOFC</t>
    </r>
    <r>
      <rPr>
        <sz val="10"/>
        <color rgb="FF000000"/>
        <rFont val="Noto Sans CJK SC"/>
        <family val="2"/>
      </rPr>
      <t xml:space="preserve">隔膜片 营业成本</t>
    </r>
  </si>
  <si>
    <t xml:space="preserve">设备组件 营业成本</t>
  </si>
  <si>
    <t xml:space="preserve">其他主营 营业成本</t>
  </si>
  <si>
    <t xml:space="preserve">其他业务 营业成本</t>
  </si>
  <si>
    <t xml:space="preserve">电子及陶瓷材料 营业成本（合计）</t>
  </si>
  <si>
    <t xml:space="preserve">分部营业成本小计（按毛利率假设）</t>
  </si>
  <si>
    <t xml:space="preserve">加：生产人工偏离标定值</t>
  </si>
  <si>
    <r>
      <rPr>
        <i val="true"/>
        <sz val="10"/>
        <color rgb="FF595959"/>
        <rFont val="Noto Sans CJK SC"/>
        <family val="2"/>
      </rPr>
      <t xml:space="preserve">人数或人均薪酬假设偏离标定值时，差额直接计入营业成本（基准情景为</t>
    </r>
    <r>
      <rPr>
        <i val="true"/>
        <sz val="10"/>
        <color rgb="FF595959"/>
        <rFont val="Arial"/>
        <family val="0"/>
        <charset val="1"/>
      </rPr>
      <t xml:space="preserve">0</t>
    </r>
    <r>
      <rPr>
        <i val="true"/>
        <sz val="10"/>
        <color rgb="FF595959"/>
        <rFont val="Noto Sans CJK SC"/>
        <family val="2"/>
      </rPr>
      <t xml:space="preserve">）</t>
    </r>
  </si>
  <si>
    <t xml:space="preserve">加：生产折旧摊销偏离标定值</t>
  </si>
  <si>
    <r>
      <rPr>
        <i val="true"/>
        <sz val="10"/>
        <color rgb="FF595959"/>
        <rFont val="Noto Sans CJK SC"/>
        <family val="2"/>
      </rPr>
      <t xml:space="preserve">资本开支、折旧率或情景变化引起的生产折旧差额直接计入营业成本（基准情景为</t>
    </r>
    <r>
      <rPr>
        <i val="true"/>
        <sz val="10"/>
        <color rgb="FF595959"/>
        <rFont val="Arial"/>
        <family val="0"/>
        <charset val="1"/>
      </rPr>
      <t xml:space="preserve">0</t>
    </r>
    <r>
      <rPr>
        <i val="true"/>
        <sz val="10"/>
        <color rgb="FF595959"/>
        <rFont val="Noto Sans CJK SC"/>
        <family val="2"/>
      </rPr>
      <t xml:space="preserve">）</t>
    </r>
  </si>
  <si>
    <t xml:space="preserve">营业成本合计</t>
  </si>
  <si>
    <t xml:space="preserve">毛利合计</t>
  </si>
  <si>
    <t xml:space="preserve">综合毛利率</t>
  </si>
  <si>
    <r>
      <rPr>
        <sz val="10"/>
        <color rgb="FF000000"/>
        <rFont val="Arial"/>
        <family val="0"/>
        <charset val="1"/>
      </rPr>
      <t xml:space="preserve">SOFC</t>
    </r>
    <r>
      <rPr>
        <sz val="10"/>
        <color rgb="FF000000"/>
        <rFont val="Noto Sans CJK SC"/>
        <family val="2"/>
      </rPr>
      <t xml:space="preserve">隔膜片毛利</t>
    </r>
  </si>
  <si>
    <r>
      <rPr>
        <sz val="10"/>
        <color rgb="FF000000"/>
        <rFont val="Arial"/>
        <family val="0"/>
        <charset val="1"/>
      </rPr>
      <t xml:space="preserve">  SOFC</t>
    </r>
    <r>
      <rPr>
        <sz val="10"/>
        <color rgb="FF000000"/>
        <rFont val="Noto Sans CJK SC"/>
        <family val="2"/>
      </rPr>
      <t xml:space="preserve">毛利占公司毛利</t>
    </r>
  </si>
  <si>
    <r>
      <rPr>
        <b val="true"/>
        <sz val="10"/>
        <color rgb="FF1F3864"/>
        <rFont val="Arial"/>
        <family val="0"/>
        <charset val="1"/>
      </rPr>
      <t xml:space="preserve">C. </t>
    </r>
    <r>
      <rPr>
        <b val="true"/>
        <sz val="10"/>
        <color rgb="FF1F3864"/>
        <rFont val="Noto Sans CJK SC"/>
        <family val="2"/>
      </rPr>
      <t xml:space="preserve">营业成本按性质（人工来自人员模型、生产折旧来自资本开支模型、其他制造费用按假设，原材料为倒挤项）</t>
    </r>
  </si>
  <si>
    <r>
      <rPr>
        <sz val="10"/>
        <color rgb="FF000000"/>
        <rFont val="Noto Sans CJK SC"/>
        <family val="2"/>
      </rPr>
      <t xml:space="preserve">原材料（预测为倒挤：营业成本</t>
    </r>
    <r>
      <rPr>
        <sz val="10"/>
        <color rgb="FF000000"/>
        <rFont val="Arial"/>
        <family val="0"/>
        <charset val="1"/>
      </rPr>
      <t xml:space="preserve">-</t>
    </r>
    <r>
      <rPr>
        <sz val="10"/>
        <color rgb="FF000000"/>
        <rFont val="Noto Sans CJK SC"/>
        <family val="2"/>
      </rPr>
      <t xml:space="preserve">人工</t>
    </r>
    <r>
      <rPr>
        <sz val="10"/>
        <color rgb="FF000000"/>
        <rFont val="Arial"/>
        <family val="0"/>
        <charset val="1"/>
      </rPr>
      <t xml:space="preserve">-</t>
    </r>
    <r>
      <rPr>
        <sz val="10"/>
        <color rgb="FF000000"/>
        <rFont val="Noto Sans CJK SC"/>
        <family val="2"/>
      </rPr>
      <t xml:space="preserve">生产折旧</t>
    </r>
    <r>
      <rPr>
        <sz val="10"/>
        <color rgb="FF000000"/>
        <rFont val="Arial"/>
        <family val="0"/>
        <charset val="1"/>
      </rPr>
      <t xml:space="preserve">-</t>
    </r>
    <r>
      <rPr>
        <sz val="10"/>
        <color rgb="FF000000"/>
        <rFont val="Noto Sans CJK SC"/>
        <family val="2"/>
      </rPr>
      <t xml:space="preserve">其他制造费用）</t>
    </r>
  </si>
  <si>
    <t xml:space="preserve">年报“营业成本构成”（工业）</t>
  </si>
  <si>
    <t xml:space="preserve">人工费用</t>
  </si>
  <si>
    <t xml:space="preserve">制造费用</t>
  </si>
  <si>
    <t xml:space="preserve">  其中：生产用折旧摊销</t>
  </si>
  <si>
    <r>
      <rPr>
        <i val="true"/>
        <sz val="10"/>
        <color rgb="FF595959"/>
        <rFont val="Noto Sans CJK SC"/>
        <family val="2"/>
      </rPr>
      <t xml:space="preserve">历史按折旧摊销总额</t>
    </r>
    <r>
      <rPr>
        <i val="true"/>
        <sz val="10"/>
        <color rgb="FF595959"/>
        <rFont val="Arial"/>
        <family val="0"/>
        <charset val="1"/>
      </rPr>
      <t xml:space="preserve">×</t>
    </r>
    <r>
      <rPr>
        <i val="true"/>
        <sz val="10"/>
        <color rgb="FF595959"/>
        <rFont val="Noto Sans CJK SC"/>
        <family val="2"/>
      </rPr>
      <t xml:space="preserve">生产分摊比例估算</t>
    </r>
  </si>
  <si>
    <t xml:space="preserve">  其中：能源、辅料及其他制造费用</t>
  </si>
  <si>
    <r>
      <rPr>
        <sz val="10"/>
        <color rgb="FF000000"/>
        <rFont val="Noto Sans CJK SC"/>
        <family val="2"/>
      </rPr>
      <t xml:space="preserve">  校验：性质合计</t>
    </r>
    <r>
      <rPr>
        <sz val="10"/>
        <color rgb="FF000000"/>
        <rFont val="Arial"/>
        <family val="0"/>
        <charset val="1"/>
      </rPr>
      <t xml:space="preserve">-</t>
    </r>
    <r>
      <rPr>
        <sz val="10"/>
        <color rgb="FF000000"/>
        <rFont val="Noto Sans CJK SC"/>
        <family val="2"/>
      </rPr>
      <t xml:space="preserve">营业成本</t>
    </r>
  </si>
  <si>
    <r>
      <rPr>
        <sz val="10"/>
        <color rgb="FF000000"/>
        <rFont val="Noto Sans CJK SC"/>
        <family val="2"/>
      </rPr>
      <t xml:space="preserve">原材料占营业成本（预测为结果，对照历史</t>
    </r>
    <r>
      <rPr>
        <sz val="10"/>
        <color rgb="FF000000"/>
        <rFont val="Arial"/>
        <family val="0"/>
        <charset val="1"/>
      </rPr>
      <t xml:space="preserve">53.6%-63.6%</t>
    </r>
    <r>
      <rPr>
        <sz val="10"/>
        <color rgb="FF000000"/>
        <rFont val="Noto Sans CJK SC"/>
        <family val="2"/>
      </rPr>
      <t xml:space="preserve">）</t>
    </r>
  </si>
  <si>
    <t xml:space="preserve">人工占营业成本</t>
  </si>
  <si>
    <t xml:space="preserve">制造费用占营业成本</t>
  </si>
  <si>
    <t xml:space="preserve">其他制造费用占收入</t>
  </si>
  <si>
    <t xml:space="preserve">预测为假设驱动（见“假设”）</t>
  </si>
  <si>
    <t xml:space="preserve">原材料占收入</t>
  </si>
  <si>
    <r>
      <rPr>
        <b val="true"/>
        <sz val="14"/>
        <color rgb="FF1F3864"/>
        <rFont val="Noto Sans CJK SC"/>
        <family val="2"/>
      </rPr>
      <t xml:space="preserve">人员与期间费用：人数</t>
    </r>
    <r>
      <rPr>
        <b val="true"/>
        <sz val="14"/>
        <color rgb="FF1F3864"/>
        <rFont val="Arial"/>
        <family val="0"/>
        <charset val="1"/>
      </rPr>
      <t xml:space="preserve">×</t>
    </r>
    <r>
      <rPr>
        <b val="true"/>
        <sz val="14"/>
        <color rgb="FF1F3864"/>
        <rFont val="Noto Sans CJK SC"/>
        <family val="2"/>
      </rPr>
      <t xml:space="preserve">人均薪酬驱动</t>
    </r>
  </si>
  <si>
    <t xml:space="preserve">员工人数与专业构成来自年报“公司员工情况”；职工薪酬总额取“应付职工薪酬”本期增加；费用按性质拆分来自财务报表附注。</t>
  </si>
  <si>
    <r>
      <rPr>
        <b val="true"/>
        <sz val="10"/>
        <color rgb="FF1F3864"/>
        <rFont val="Arial"/>
        <family val="0"/>
        <charset val="1"/>
      </rPr>
      <t xml:space="preserve">A. </t>
    </r>
    <r>
      <rPr>
        <b val="true"/>
        <sz val="10"/>
        <color rgb="FF1F3864"/>
        <rFont val="Noto Sans CJK SC"/>
        <family val="2"/>
      </rPr>
      <t xml:space="preserve">员工人数（期末，人）</t>
    </r>
  </si>
  <si>
    <t xml:space="preserve">生产人员</t>
  </si>
  <si>
    <t xml:space="preserve">人</t>
  </si>
  <si>
    <t xml:space="preserve">销售人员</t>
  </si>
  <si>
    <t xml:space="preserve">技术人员</t>
  </si>
  <si>
    <t xml:space="preserve">财务人员</t>
  </si>
  <si>
    <t xml:space="preserve">行政人员</t>
  </si>
  <si>
    <t xml:space="preserve">员工合计</t>
  </si>
  <si>
    <t xml:space="preserve">  员工合计同比</t>
  </si>
  <si>
    <t xml:space="preserve">  人均营业收入</t>
  </si>
  <si>
    <r>
      <rPr>
        <sz val="10"/>
        <color rgb="FF595959"/>
        <rFont val="Noto Sans CJK SC"/>
        <family val="2"/>
      </rPr>
      <t xml:space="preserve">万元</t>
    </r>
    <r>
      <rPr>
        <sz val="10"/>
        <color rgb="FF595959"/>
        <rFont val="Arial"/>
        <family val="0"/>
        <charset val="1"/>
      </rPr>
      <t xml:space="preserve">/</t>
    </r>
    <r>
      <rPr>
        <sz val="10"/>
        <color rgb="FF595959"/>
        <rFont val="Noto Sans CJK SC"/>
        <family val="2"/>
      </rPr>
      <t xml:space="preserve">人</t>
    </r>
  </si>
  <si>
    <t xml:space="preserve">  生产人员（平均）</t>
  </si>
  <si>
    <t xml:space="preserve">  销售人员（平均）</t>
  </si>
  <si>
    <t xml:space="preserve">  技术人员（平均）</t>
  </si>
  <si>
    <t xml:space="preserve">  财务人员（平均）</t>
  </si>
  <si>
    <t xml:space="preserve">  行政人员（平均）</t>
  </si>
  <si>
    <t xml:space="preserve">  平均员工合计</t>
  </si>
  <si>
    <r>
      <rPr>
        <b val="true"/>
        <sz val="10"/>
        <color rgb="FF1F3864"/>
        <rFont val="Arial"/>
        <family val="0"/>
        <charset val="1"/>
      </rPr>
      <t xml:space="preserve">B. </t>
    </r>
    <r>
      <rPr>
        <b val="true"/>
        <sz val="10"/>
        <color rgb="FF1F3864"/>
        <rFont val="Noto Sans CJK SC"/>
        <family val="2"/>
      </rPr>
      <t xml:space="preserve">职工薪酬总额与人均</t>
    </r>
  </si>
  <si>
    <t xml:space="preserve">职工薪酬总额</t>
  </si>
  <si>
    <r>
      <rPr>
        <i val="true"/>
        <sz val="10"/>
        <color rgb="FF595959"/>
        <rFont val="Noto Sans CJK SC"/>
        <family val="2"/>
      </rPr>
      <t xml:space="preserve">应付职工薪酬“本期增加”（短期薪酬</t>
    </r>
    <r>
      <rPr>
        <i val="true"/>
        <sz val="10"/>
        <color rgb="FF595959"/>
        <rFont val="Arial"/>
        <family val="0"/>
        <charset val="1"/>
      </rPr>
      <t xml:space="preserve">+</t>
    </r>
    <r>
      <rPr>
        <i val="true"/>
        <sz val="10"/>
        <color rgb="FF595959"/>
        <rFont val="Noto Sans CJK SC"/>
        <family val="2"/>
      </rPr>
      <t xml:space="preserve">离职后福利）</t>
    </r>
  </si>
  <si>
    <t xml:space="preserve">人均薪酬</t>
  </si>
  <si>
    <t xml:space="preserve">  人均薪酬同比</t>
  </si>
  <si>
    <r>
      <rPr>
        <b val="true"/>
        <sz val="10"/>
        <color rgb="FF1F3864"/>
        <rFont val="Arial"/>
        <family val="0"/>
        <charset val="1"/>
      </rPr>
      <t xml:space="preserve">C. </t>
    </r>
    <r>
      <rPr>
        <b val="true"/>
        <sz val="10"/>
        <color rgb="FF1F3864"/>
        <rFont val="Noto Sans CJK SC"/>
        <family val="2"/>
      </rPr>
      <t xml:space="preserve">职工薪酬按功能归集（上年</t>
    </r>
    <r>
      <rPr>
        <b val="true"/>
        <sz val="10"/>
        <color rgb="FF1F3864"/>
        <rFont val="Arial"/>
        <family val="0"/>
        <charset val="1"/>
      </rPr>
      <t xml:space="preserve">×</t>
    </r>
    <r>
      <rPr>
        <b val="true"/>
        <sz val="10"/>
        <color rgb="FF1F3864"/>
        <rFont val="Noto Sans CJK SC"/>
        <family val="2"/>
      </rPr>
      <t xml:space="preserve">平均总人数变动</t>
    </r>
    <r>
      <rPr>
        <b val="true"/>
        <sz val="10"/>
        <color rgb="FF1F3864"/>
        <rFont val="Arial"/>
        <family val="0"/>
        <charset val="1"/>
      </rPr>
      <t xml:space="preserve">×(1+</t>
    </r>
    <r>
      <rPr>
        <b val="true"/>
        <sz val="10"/>
        <color rgb="FF1F3864"/>
        <rFont val="Noto Sans CJK SC"/>
        <family val="2"/>
      </rPr>
      <t xml:space="preserve">人均薪酬增速</t>
    </r>
    <r>
      <rPr>
        <b val="true"/>
        <sz val="10"/>
        <color rgb="FF1F3864"/>
        <rFont val="Arial"/>
        <family val="0"/>
        <charset val="1"/>
      </rPr>
      <t xml:space="preserve">)</t>
    </r>
    <r>
      <rPr>
        <b val="true"/>
        <sz val="10"/>
        <color rgb="FF1F3864"/>
        <rFont val="Noto Sans CJK SC"/>
        <family val="2"/>
      </rPr>
      <t xml:space="preserve">；</t>
    </r>
    <r>
      <rPr>
        <b val="true"/>
        <sz val="10"/>
        <color rgb="FF1F3864"/>
        <rFont val="Arial"/>
        <family val="0"/>
        <charset val="1"/>
      </rPr>
      <t xml:space="preserve">2025</t>
    </r>
    <r>
      <rPr>
        <b val="true"/>
        <sz val="10"/>
        <color rgb="FF1F3864"/>
        <rFont val="Noto Sans CJK SC"/>
        <family val="2"/>
      </rPr>
      <t xml:space="preserve">年技术人员由</t>
    </r>
    <r>
      <rPr>
        <b val="true"/>
        <sz val="10"/>
        <color rgb="FF1F3864"/>
        <rFont val="Arial"/>
        <family val="0"/>
        <charset val="1"/>
      </rPr>
      <t xml:space="preserve">3,918</t>
    </r>
    <r>
      <rPr>
        <b val="true"/>
        <sz val="10"/>
        <color rgb="FF1F3864"/>
        <rFont val="Noto Sans CJK SC"/>
        <family val="2"/>
      </rPr>
      <t xml:space="preserve">人降至</t>
    </r>
    <r>
      <rPr>
        <b val="true"/>
        <sz val="10"/>
        <color rgb="FF1F3864"/>
        <rFont val="Arial"/>
        <family val="0"/>
        <charset val="1"/>
      </rPr>
      <t xml:space="preserve">1,975</t>
    </r>
    <r>
      <rPr>
        <b val="true"/>
        <sz val="10"/>
        <color rgb="FF1F3864"/>
        <rFont val="Noto Sans CJK SC"/>
        <family val="2"/>
      </rPr>
      <t xml:space="preserve">人、生产人员增加</t>
    </r>
    <r>
      <rPr>
        <b val="true"/>
        <sz val="10"/>
        <color rgb="FF1F3864"/>
        <rFont val="Arial"/>
        <family val="0"/>
        <charset val="1"/>
      </rPr>
      <t xml:space="preserve">3,468</t>
    </r>
    <r>
      <rPr>
        <b val="true"/>
        <sz val="10"/>
        <color rgb="FF1F3864"/>
        <rFont val="Noto Sans CJK SC"/>
        <family val="2"/>
      </rPr>
      <t xml:space="preserve">人，为口径调整）</t>
    </r>
  </si>
  <si>
    <t xml:space="preserve">计入营业成本的人工</t>
  </si>
  <si>
    <r>
      <rPr>
        <sz val="10"/>
        <color rgb="FF000000"/>
        <rFont val="Noto Sans CJK SC"/>
        <family val="2"/>
      </rPr>
      <t xml:space="preserve">研发费用</t>
    </r>
    <r>
      <rPr>
        <sz val="10"/>
        <color rgb="FF000000"/>
        <rFont val="Arial"/>
        <family val="0"/>
        <charset val="1"/>
      </rPr>
      <t xml:space="preserve">-</t>
    </r>
    <r>
      <rPr>
        <sz val="10"/>
        <color rgb="FF000000"/>
        <rFont val="Noto Sans CJK SC"/>
        <family val="2"/>
      </rPr>
      <t xml:space="preserve">职工薪酬</t>
    </r>
  </si>
  <si>
    <r>
      <rPr>
        <sz val="10"/>
        <color rgb="FF000000"/>
        <rFont val="Noto Sans CJK SC"/>
        <family val="2"/>
      </rPr>
      <t xml:space="preserve">管理费用</t>
    </r>
    <r>
      <rPr>
        <sz val="10"/>
        <color rgb="FF000000"/>
        <rFont val="Arial"/>
        <family val="0"/>
        <charset val="1"/>
      </rPr>
      <t xml:space="preserve">-</t>
    </r>
    <r>
      <rPr>
        <sz val="10"/>
        <color rgb="FF000000"/>
        <rFont val="Noto Sans CJK SC"/>
        <family val="2"/>
      </rPr>
      <t xml:space="preserve">职工薪酬</t>
    </r>
  </si>
  <si>
    <r>
      <rPr>
        <sz val="10"/>
        <color rgb="FF000000"/>
        <rFont val="Noto Sans CJK SC"/>
        <family val="2"/>
      </rPr>
      <t xml:space="preserve">销售费用</t>
    </r>
    <r>
      <rPr>
        <sz val="10"/>
        <color rgb="FF000000"/>
        <rFont val="Arial"/>
        <family val="0"/>
        <charset val="1"/>
      </rPr>
      <t xml:space="preserve">-</t>
    </r>
    <r>
      <rPr>
        <sz val="10"/>
        <color rgb="FF000000"/>
        <rFont val="Noto Sans CJK SC"/>
        <family val="2"/>
      </rPr>
      <t xml:space="preserve">职工薪酬</t>
    </r>
  </si>
  <si>
    <t xml:space="preserve">其他职工薪酬（计入在建工程、存货等，倒挤）</t>
  </si>
  <si>
    <t xml:space="preserve">倒挤项，反映薪酬在成本与费用之间的归集差异及存货中尚未结转的人工</t>
  </si>
  <si>
    <r>
      <rPr>
        <b val="true"/>
        <sz val="10"/>
        <color rgb="FF1F3864"/>
        <rFont val="Arial"/>
        <family val="0"/>
        <charset val="1"/>
      </rPr>
      <t xml:space="preserve">D. </t>
    </r>
    <r>
      <rPr>
        <b val="true"/>
        <sz val="10"/>
        <color rgb="FF1F3864"/>
        <rFont val="Noto Sans CJK SC"/>
        <family val="2"/>
      </rPr>
      <t xml:space="preserve">销售费用</t>
    </r>
  </si>
  <si>
    <t xml:space="preserve">  职工薪酬</t>
  </si>
  <si>
    <t xml:space="preserve">  折旧与摊销</t>
  </si>
  <si>
    <t xml:space="preserve">  其他</t>
  </si>
  <si>
    <t xml:space="preserve">销售费用合计</t>
  </si>
  <si>
    <t xml:space="preserve">  销售费用率</t>
  </si>
  <si>
    <r>
      <rPr>
        <b val="true"/>
        <sz val="10"/>
        <color rgb="FF1F3864"/>
        <rFont val="Arial"/>
        <family val="0"/>
        <charset val="1"/>
      </rPr>
      <t xml:space="preserve">E. </t>
    </r>
    <r>
      <rPr>
        <b val="true"/>
        <sz val="10"/>
        <color rgb="FF1F3864"/>
        <rFont val="Noto Sans CJK SC"/>
        <family val="2"/>
      </rPr>
      <t xml:space="preserve">管理费用</t>
    </r>
  </si>
  <si>
    <t xml:space="preserve">管理费用合计</t>
  </si>
  <si>
    <t xml:space="preserve">  管理费用率</t>
  </si>
  <si>
    <r>
      <rPr>
        <b val="true"/>
        <sz val="10"/>
        <color rgb="FF1F3864"/>
        <rFont val="Arial"/>
        <family val="0"/>
        <charset val="1"/>
      </rPr>
      <t xml:space="preserve">F. </t>
    </r>
    <r>
      <rPr>
        <b val="true"/>
        <sz val="10"/>
        <color rgb="FF1F3864"/>
        <rFont val="Noto Sans CJK SC"/>
        <family val="2"/>
      </rPr>
      <t xml:space="preserve">研发费用</t>
    </r>
  </si>
  <si>
    <r>
      <rPr>
        <sz val="10"/>
        <color rgb="FF000000"/>
        <rFont val="Noto Sans CJK SC"/>
        <family val="2"/>
      </rPr>
      <t xml:space="preserve">  直接投入</t>
    </r>
    <r>
      <rPr>
        <sz val="10"/>
        <color rgb="FF000000"/>
        <rFont val="Arial"/>
        <family val="0"/>
        <charset val="1"/>
      </rPr>
      <t xml:space="preserve">/</t>
    </r>
    <r>
      <rPr>
        <sz val="10"/>
        <color rgb="FF000000"/>
        <rFont val="Noto Sans CJK SC"/>
        <family val="2"/>
      </rPr>
      <t xml:space="preserve">材料</t>
    </r>
  </si>
  <si>
    <t xml:space="preserve">研发费用合计</t>
  </si>
  <si>
    <t xml:space="preserve">  研发费用率</t>
  </si>
  <si>
    <r>
      <rPr>
        <b val="true"/>
        <sz val="10"/>
        <color rgb="FF1F3864"/>
        <rFont val="Arial"/>
        <family val="0"/>
        <charset val="1"/>
      </rPr>
      <t xml:space="preserve">G. </t>
    </r>
    <r>
      <rPr>
        <b val="true"/>
        <sz val="10"/>
        <color rgb="FF1F3864"/>
        <rFont val="Noto Sans CJK SC"/>
        <family val="2"/>
      </rPr>
      <t xml:space="preserve">期间费用合计</t>
    </r>
  </si>
  <si>
    <r>
      <rPr>
        <b val="true"/>
        <sz val="10"/>
        <color rgb="FF000000"/>
        <rFont val="Noto Sans CJK SC"/>
        <family val="2"/>
      </rPr>
      <t xml:space="preserve">销售</t>
    </r>
    <r>
      <rPr>
        <b val="true"/>
        <sz val="10"/>
        <color rgb="FF000000"/>
        <rFont val="Arial"/>
        <family val="0"/>
        <charset val="1"/>
      </rPr>
      <t xml:space="preserve">+</t>
    </r>
    <r>
      <rPr>
        <b val="true"/>
        <sz val="10"/>
        <color rgb="FF000000"/>
        <rFont val="Noto Sans CJK SC"/>
        <family val="2"/>
      </rPr>
      <t xml:space="preserve">管理</t>
    </r>
    <r>
      <rPr>
        <b val="true"/>
        <sz val="10"/>
        <color rgb="FF000000"/>
        <rFont val="Arial"/>
        <family val="0"/>
        <charset val="1"/>
      </rPr>
      <t xml:space="preserve">+</t>
    </r>
    <r>
      <rPr>
        <b val="true"/>
        <sz val="10"/>
        <color rgb="FF000000"/>
        <rFont val="Noto Sans CJK SC"/>
        <family val="2"/>
      </rPr>
      <t xml:space="preserve">研发</t>
    </r>
  </si>
  <si>
    <r>
      <rPr>
        <sz val="10"/>
        <color rgb="FF000000"/>
        <rFont val="Noto Sans CJK SC"/>
        <family val="2"/>
      </rPr>
      <t xml:space="preserve">  职工薪酬总额</t>
    </r>
    <r>
      <rPr>
        <sz val="10"/>
        <color rgb="FF000000"/>
        <rFont val="Arial"/>
        <family val="0"/>
        <charset val="1"/>
      </rPr>
      <t xml:space="preserve">/</t>
    </r>
    <r>
      <rPr>
        <sz val="10"/>
        <color rgb="FF000000"/>
        <rFont val="Noto Sans CJK SC"/>
        <family val="2"/>
      </rPr>
      <t xml:space="preserve">收入</t>
    </r>
  </si>
  <si>
    <t xml:space="preserve">资本开支、在建工程与固定资产折旧（按资产类别）</t>
  </si>
  <si>
    <r>
      <rPr>
        <i val="true"/>
        <sz val="10"/>
        <color rgb="FF595959"/>
        <rFont val="Noto Sans CJK SC"/>
        <family val="2"/>
      </rPr>
      <t xml:space="preserve">固定资产变动表来自年报附注（合并）；预测：新增资产按类别结构分配，折旧</t>
    </r>
    <r>
      <rPr>
        <i val="true"/>
        <sz val="10"/>
        <color rgb="FF595959"/>
        <rFont val="Arial"/>
        <family val="0"/>
        <charset val="1"/>
      </rPr>
      <t xml:space="preserve">=</t>
    </r>
    <r>
      <rPr>
        <i val="true"/>
        <sz val="10"/>
        <color rgb="FF595959"/>
        <rFont val="Noto Sans CJK SC"/>
        <family val="2"/>
      </rPr>
      <t xml:space="preserve">（期初原值</t>
    </r>
    <r>
      <rPr>
        <i val="true"/>
        <sz val="10"/>
        <color rgb="FF595959"/>
        <rFont val="Arial"/>
        <family val="0"/>
        <charset val="1"/>
      </rPr>
      <t xml:space="preserve">+50%</t>
    </r>
    <r>
      <rPr>
        <i val="true"/>
        <sz val="10"/>
        <color rgb="FF595959"/>
        <rFont val="Noto Sans CJK SC"/>
        <family val="2"/>
      </rPr>
      <t xml:space="preserve">新增</t>
    </r>
    <r>
      <rPr>
        <i val="true"/>
        <sz val="10"/>
        <color rgb="FF595959"/>
        <rFont val="Arial"/>
        <family val="0"/>
        <charset val="1"/>
      </rPr>
      <t xml:space="preserve">-50%</t>
    </r>
    <r>
      <rPr>
        <i val="true"/>
        <sz val="10"/>
        <color rgb="FF595959"/>
        <rFont val="Noto Sans CJK SC"/>
        <family val="2"/>
      </rPr>
      <t xml:space="preserve">处置）</t>
    </r>
    <r>
      <rPr>
        <i val="true"/>
        <sz val="10"/>
        <color rgb="FF595959"/>
        <rFont val="Arial"/>
        <family val="0"/>
        <charset val="1"/>
      </rPr>
      <t xml:space="preserve">×</t>
    </r>
    <r>
      <rPr>
        <i val="true"/>
        <sz val="10"/>
        <color rgb="FF595959"/>
        <rFont val="Noto Sans CJK SC"/>
        <family val="2"/>
      </rPr>
      <t xml:space="preserve">类别年折旧率。</t>
    </r>
  </si>
  <si>
    <r>
      <rPr>
        <b val="true"/>
        <sz val="10"/>
        <color rgb="FF1F3864"/>
        <rFont val="Arial"/>
        <family val="0"/>
        <charset val="1"/>
      </rPr>
      <t xml:space="preserve">A. </t>
    </r>
    <r>
      <rPr>
        <b val="true"/>
        <sz val="10"/>
        <color rgb="FF1F3864"/>
        <rFont val="Noto Sans CJK SC"/>
        <family val="2"/>
      </rPr>
      <t xml:space="preserve">资本开支计划</t>
    </r>
  </si>
  <si>
    <r>
      <rPr>
        <sz val="10"/>
        <color rgb="FF000000"/>
        <rFont val="Noto Sans CJK SC"/>
        <family val="2"/>
      </rPr>
      <t xml:space="preserve">维护性资本开支（上年固定资产折旧</t>
    </r>
    <r>
      <rPr>
        <sz val="10"/>
        <color rgb="FF000000"/>
        <rFont val="Arial"/>
        <family val="0"/>
        <charset val="1"/>
      </rPr>
      <t xml:space="preserve">×</t>
    </r>
    <r>
      <rPr>
        <sz val="10"/>
        <color rgb="FF000000"/>
        <rFont val="Noto Sans CJK SC"/>
        <family val="2"/>
      </rPr>
      <t xml:space="preserve">维护比例）</t>
    </r>
  </si>
  <si>
    <r>
      <rPr>
        <sz val="10"/>
        <color rgb="FF000000"/>
        <rFont val="Noto Sans CJK SC"/>
        <family val="2"/>
      </rPr>
      <t xml:space="preserve">国内扩产（</t>
    </r>
    <r>
      <rPr>
        <sz val="10"/>
        <color rgb="FF000000"/>
        <rFont val="Arial"/>
        <family val="0"/>
        <charset val="1"/>
      </rPr>
      <t xml:space="preserve">MLCC</t>
    </r>
    <r>
      <rPr>
        <sz val="10"/>
        <color rgb="FF000000"/>
        <rFont val="Noto Sans CJK SC"/>
        <family val="2"/>
      </rPr>
      <t xml:space="preserve">高容、光通信、陶瓷材料等）</t>
    </r>
  </si>
  <si>
    <r>
      <rPr>
        <sz val="10"/>
        <color rgb="FF000000"/>
        <rFont val="Arial"/>
        <family val="0"/>
        <charset val="1"/>
      </rPr>
      <t xml:space="preserve">  H</t>
    </r>
    <r>
      <rPr>
        <sz val="10"/>
        <color rgb="FF000000"/>
        <rFont val="Noto Sans CJK SC"/>
        <family val="2"/>
      </rPr>
      <t xml:space="preserve">股募资中境外新建扩建项目资金池</t>
    </r>
  </si>
  <si>
    <r>
      <rPr>
        <i val="true"/>
        <sz val="10"/>
        <color rgb="FF595959"/>
        <rFont val="Arial"/>
        <family val="0"/>
        <charset val="1"/>
      </rPr>
      <t xml:space="preserve">H</t>
    </r>
    <r>
      <rPr>
        <i val="true"/>
        <sz val="10"/>
        <color rgb="FF595959"/>
        <rFont val="Noto Sans CJK SC"/>
        <family val="2"/>
      </rPr>
      <t xml:space="preserve">股招股章程：所得款项净额约</t>
    </r>
    <r>
      <rPr>
        <i val="true"/>
        <sz val="10"/>
        <color rgb="FF595959"/>
        <rFont val="Arial"/>
        <family val="0"/>
        <charset val="1"/>
      </rPr>
      <t xml:space="preserve">41.2%</t>
    </r>
    <r>
      <rPr>
        <i val="true"/>
        <sz val="10"/>
        <color rgb="FF595959"/>
        <rFont val="Noto Sans CJK SC"/>
        <family val="2"/>
      </rPr>
      <t xml:space="preserve">投向泰国、德国新建扩建项目（燃料电池扩建、高精度压电微点胶、数据中心电子元件、通信器件）</t>
    </r>
  </si>
  <si>
    <r>
      <rPr>
        <sz val="10"/>
        <color rgb="FF000000"/>
        <rFont val="Arial"/>
        <family val="0"/>
        <charset val="1"/>
      </rPr>
      <t xml:space="preserve">H</t>
    </r>
    <r>
      <rPr>
        <sz val="10"/>
        <color rgb="FF000000"/>
        <rFont val="Noto Sans CJK SC"/>
        <family val="2"/>
      </rPr>
      <t xml:space="preserve">股境外项目（泰国、德国）</t>
    </r>
  </si>
  <si>
    <r>
      <rPr>
        <b val="true"/>
        <sz val="10"/>
        <color rgb="FF000000"/>
        <rFont val="Noto Sans CJK SC"/>
        <family val="2"/>
      </rPr>
      <t xml:space="preserve">资本开支合计（历史</t>
    </r>
    <r>
      <rPr>
        <b val="true"/>
        <sz val="10"/>
        <color rgb="FF000000"/>
        <rFont val="Arial"/>
        <family val="0"/>
        <charset val="1"/>
      </rPr>
      <t xml:space="preserve">=</t>
    </r>
    <r>
      <rPr>
        <b val="true"/>
        <sz val="10"/>
        <color rgb="FF000000"/>
        <rFont val="Noto Sans CJK SC"/>
        <family val="2"/>
      </rPr>
      <t xml:space="preserve">购建长期资产支付的现金；预测</t>
    </r>
    <r>
      <rPr>
        <b val="true"/>
        <sz val="10"/>
        <color rgb="FF000000"/>
        <rFont val="Arial"/>
        <family val="0"/>
        <charset val="1"/>
      </rPr>
      <t xml:space="preserve">=</t>
    </r>
    <r>
      <rPr>
        <b val="true"/>
        <sz val="10"/>
        <color rgb="FF000000"/>
        <rFont val="Noto Sans CJK SC"/>
        <family val="2"/>
      </rPr>
      <t xml:space="preserve">当年新增长期资产投入，假设当期付现）</t>
    </r>
  </si>
  <si>
    <t xml:space="preserve">  其中：投入在建工程（历史为权责口径的在建工程增加，与上行现金口径不勾稽）</t>
  </si>
  <si>
    <t xml:space="preserve">  其中：直接购置固定资产（历史为权责口径）</t>
  </si>
  <si>
    <r>
      <rPr>
        <sz val="10"/>
        <color rgb="FF000000"/>
        <rFont val="Noto Sans CJK SC"/>
        <family val="2"/>
      </rPr>
      <t xml:space="preserve">  资本开支</t>
    </r>
    <r>
      <rPr>
        <sz val="10"/>
        <color rgb="FF000000"/>
        <rFont val="Arial"/>
        <family val="0"/>
        <charset val="1"/>
      </rPr>
      <t xml:space="preserve">/</t>
    </r>
    <r>
      <rPr>
        <sz val="10"/>
        <color rgb="FF000000"/>
        <rFont val="Noto Sans CJK SC"/>
        <family val="2"/>
      </rPr>
      <t xml:space="preserve">收入</t>
    </r>
  </si>
  <si>
    <r>
      <rPr>
        <sz val="10"/>
        <color rgb="FF000000"/>
        <rFont val="Noto Sans CJK SC"/>
        <family val="2"/>
      </rPr>
      <t xml:space="preserve">  资本开支</t>
    </r>
    <r>
      <rPr>
        <sz val="10"/>
        <color rgb="FF000000"/>
        <rFont val="Arial"/>
        <family val="0"/>
        <charset val="1"/>
      </rPr>
      <t xml:space="preserve">/</t>
    </r>
    <r>
      <rPr>
        <sz val="10"/>
        <color rgb="FF000000"/>
        <rFont val="Noto Sans CJK SC"/>
        <family val="2"/>
      </rPr>
      <t xml:space="preserve">折旧摊销</t>
    </r>
  </si>
  <si>
    <r>
      <rPr>
        <b val="true"/>
        <sz val="10"/>
        <color rgb="FF1F3864"/>
        <rFont val="Arial"/>
        <family val="0"/>
        <charset val="1"/>
      </rPr>
      <t xml:space="preserve">B. </t>
    </r>
    <r>
      <rPr>
        <b val="true"/>
        <sz val="10"/>
        <color rgb="FF1F3864"/>
        <rFont val="Noto Sans CJK SC"/>
        <family val="2"/>
      </rPr>
      <t xml:space="preserve">在建工程</t>
    </r>
  </si>
  <si>
    <t xml:space="preserve">期初余额</t>
  </si>
  <si>
    <t xml:space="preserve">本期增加（资本开支投入）</t>
  </si>
  <si>
    <t xml:space="preserve">转入固定资产</t>
  </si>
  <si>
    <t xml:space="preserve">期末余额</t>
  </si>
  <si>
    <r>
      <rPr>
        <sz val="10"/>
        <color rgb="FF000000"/>
        <rFont val="Noto Sans CJK SC"/>
        <family val="2"/>
      </rPr>
      <t xml:space="preserve">  转固率（转入</t>
    </r>
    <r>
      <rPr>
        <sz val="10"/>
        <color rgb="FF000000"/>
        <rFont val="Arial"/>
        <family val="0"/>
        <charset val="1"/>
      </rPr>
      <t xml:space="preserve">/</t>
    </r>
    <r>
      <rPr>
        <sz val="10"/>
        <color rgb="FF000000"/>
        <rFont val="Noto Sans CJK SC"/>
        <family val="2"/>
      </rPr>
      <t xml:space="preserve">（期初</t>
    </r>
    <r>
      <rPr>
        <sz val="10"/>
        <color rgb="FF000000"/>
        <rFont val="Arial"/>
        <family val="0"/>
        <charset val="1"/>
      </rPr>
      <t xml:space="preserve">+</t>
    </r>
    <r>
      <rPr>
        <sz val="10"/>
        <color rgb="FF000000"/>
        <rFont val="Noto Sans CJK SC"/>
        <family val="2"/>
      </rPr>
      <t xml:space="preserve">增加））</t>
    </r>
  </si>
  <si>
    <r>
      <rPr>
        <b val="true"/>
        <sz val="10"/>
        <color rgb="FF1F3864"/>
        <rFont val="Arial"/>
        <family val="0"/>
        <charset val="1"/>
      </rPr>
      <t xml:space="preserve">C. </t>
    </r>
    <r>
      <rPr>
        <b val="true"/>
        <sz val="10"/>
        <color rgb="FF1F3864"/>
        <rFont val="Noto Sans CJK SC"/>
        <family val="2"/>
      </rPr>
      <t xml:space="preserve">固定资产（按类别，原值</t>
    </r>
    <r>
      <rPr>
        <b val="true"/>
        <sz val="10"/>
        <color rgb="FF1F3864"/>
        <rFont val="Arial"/>
        <family val="0"/>
        <charset val="1"/>
      </rPr>
      <t xml:space="preserve">/</t>
    </r>
    <r>
      <rPr>
        <b val="true"/>
        <sz val="10"/>
        <color rgb="FF1F3864"/>
        <rFont val="Noto Sans CJK SC"/>
        <family val="2"/>
      </rPr>
      <t xml:space="preserve">累计折旧）</t>
    </r>
  </si>
  <si>
    <t xml:space="preserve">房屋及建筑物</t>
  </si>
  <si>
    <t xml:space="preserve">  原值期初</t>
  </si>
  <si>
    <r>
      <rPr>
        <sz val="10"/>
        <color rgb="FF000000"/>
        <rFont val="Noto Sans CJK SC"/>
        <family val="2"/>
      </rPr>
      <t xml:space="preserve">  本期新增（在建转入</t>
    </r>
    <r>
      <rPr>
        <sz val="10"/>
        <color rgb="FF000000"/>
        <rFont val="Arial"/>
        <family val="0"/>
        <charset val="1"/>
      </rPr>
      <t xml:space="preserve">+</t>
    </r>
    <r>
      <rPr>
        <sz val="10"/>
        <color rgb="FF000000"/>
        <rFont val="Noto Sans CJK SC"/>
        <family val="2"/>
      </rPr>
      <t xml:space="preserve">购置</t>
    </r>
    <r>
      <rPr>
        <sz val="10"/>
        <color rgb="FF000000"/>
        <rFont val="Arial"/>
        <family val="0"/>
        <charset val="1"/>
      </rPr>
      <t xml:space="preserve">+</t>
    </r>
    <r>
      <rPr>
        <sz val="10"/>
        <color rgb="FF000000"/>
        <rFont val="Noto Sans CJK SC"/>
        <family val="2"/>
      </rPr>
      <t xml:space="preserve">其他）</t>
    </r>
  </si>
  <si>
    <t xml:space="preserve">  本期减少（处置报废及其他）</t>
  </si>
  <si>
    <t xml:space="preserve">  原值期末</t>
  </si>
  <si>
    <t xml:space="preserve">  本期折旧</t>
  </si>
  <si>
    <r>
      <rPr>
        <sz val="10"/>
        <color rgb="FF000000"/>
        <rFont val="Noto Sans CJK SC"/>
        <family val="2"/>
      </rPr>
      <t xml:space="preserve">  折旧率（折旧</t>
    </r>
    <r>
      <rPr>
        <sz val="10"/>
        <color rgb="FF000000"/>
        <rFont val="Arial"/>
        <family val="0"/>
        <charset val="1"/>
      </rPr>
      <t xml:space="preserve">/</t>
    </r>
    <r>
      <rPr>
        <sz val="10"/>
        <color rgb="FF000000"/>
        <rFont val="Noto Sans CJK SC"/>
        <family val="2"/>
      </rPr>
      <t xml:space="preserve">平均原值）</t>
    </r>
  </si>
  <si>
    <t xml:space="preserve">  累计折旧期初</t>
  </si>
  <si>
    <t xml:space="preserve">  累计折旧减少（处置及其他）</t>
  </si>
  <si>
    <t xml:space="preserve">  累计折旧期末</t>
  </si>
  <si>
    <t xml:space="preserve">  账面净值（未扣减值）</t>
  </si>
  <si>
    <r>
      <rPr>
        <sz val="10"/>
        <color rgb="FF000000"/>
        <rFont val="Noto Sans CJK SC"/>
        <family val="2"/>
      </rPr>
      <t xml:space="preserve">  净值</t>
    </r>
    <r>
      <rPr>
        <sz val="10"/>
        <color rgb="FF000000"/>
        <rFont val="Arial"/>
        <family val="0"/>
        <charset val="1"/>
      </rPr>
      <t xml:space="preserve">/</t>
    </r>
    <r>
      <rPr>
        <sz val="10"/>
        <color rgb="FF000000"/>
        <rFont val="Noto Sans CJK SC"/>
        <family val="2"/>
      </rPr>
      <t xml:space="preserve">原值（新旧程度）</t>
    </r>
  </si>
  <si>
    <t xml:space="preserve">机器设备</t>
  </si>
  <si>
    <t xml:space="preserve">运输设备</t>
  </si>
  <si>
    <t xml:space="preserve">电子设备及其他</t>
  </si>
  <si>
    <r>
      <rPr>
        <b val="true"/>
        <sz val="10"/>
        <color rgb="FF1F3864"/>
        <rFont val="Arial"/>
        <family val="0"/>
        <charset val="1"/>
      </rPr>
      <t xml:space="preserve">D. </t>
    </r>
    <r>
      <rPr>
        <b val="true"/>
        <sz val="10"/>
        <color rgb="FF1F3864"/>
        <rFont val="Noto Sans CJK SC"/>
        <family val="2"/>
      </rPr>
      <t xml:space="preserve">固定资产合计</t>
    </r>
  </si>
  <si>
    <t xml:space="preserve">固定资产原值</t>
  </si>
  <si>
    <t xml:space="preserve">累计折旧</t>
  </si>
  <si>
    <t xml:space="preserve">减值准备</t>
  </si>
  <si>
    <t xml:space="preserve">加上当年固定资产减值损失（见税务与其他损益）</t>
  </si>
  <si>
    <t xml:space="preserve">固定资产清理</t>
  </si>
  <si>
    <r>
      <rPr>
        <i val="true"/>
        <sz val="10"/>
        <color rgb="FF595959"/>
        <rFont val="Noto Sans CJK SC"/>
        <family val="2"/>
      </rPr>
      <t xml:space="preserve">仅</t>
    </r>
    <r>
      <rPr>
        <i val="true"/>
        <sz val="10"/>
        <color rgb="FF595959"/>
        <rFont val="Arial"/>
        <family val="0"/>
        <charset val="1"/>
      </rPr>
      <t xml:space="preserve">2023</t>
    </r>
    <r>
      <rPr>
        <i val="true"/>
        <sz val="10"/>
        <color rgb="FF595959"/>
        <rFont val="Noto Sans CJK SC"/>
        <family val="2"/>
      </rPr>
      <t xml:space="preserve">年末有余额</t>
    </r>
    <r>
      <rPr>
        <i val="true"/>
        <sz val="10"/>
        <color rgb="FF595959"/>
        <rFont val="Arial"/>
        <family val="0"/>
        <charset val="1"/>
      </rPr>
      <t xml:space="preserve">1.92</t>
    </r>
  </si>
  <si>
    <t xml:space="preserve">固定资产账面价值（含清理）</t>
  </si>
  <si>
    <r>
      <rPr>
        <sz val="10"/>
        <color rgb="FF000000"/>
        <rFont val="Noto Sans CJK SC"/>
        <family val="2"/>
      </rPr>
      <t xml:space="preserve">  校验：类别合计</t>
    </r>
    <r>
      <rPr>
        <sz val="10"/>
        <color rgb="FF000000"/>
        <rFont val="Arial"/>
        <family val="0"/>
        <charset val="1"/>
      </rPr>
      <t xml:space="preserve">-</t>
    </r>
    <r>
      <rPr>
        <sz val="10"/>
        <color rgb="FF000000"/>
        <rFont val="Noto Sans CJK SC"/>
        <family val="2"/>
      </rPr>
      <t xml:space="preserve">资产负债表（历史）</t>
    </r>
  </si>
  <si>
    <t xml:space="preserve">固定资产折旧合计</t>
  </si>
  <si>
    <t xml:space="preserve">处置资产账面净值（假设按账面价值收回现金）</t>
  </si>
  <si>
    <r>
      <rPr>
        <b val="true"/>
        <sz val="10"/>
        <color rgb="FF000000"/>
        <rFont val="Noto Sans CJK SC"/>
        <family val="2"/>
      </rPr>
      <t xml:space="preserve">固定资产</t>
    </r>
    <r>
      <rPr>
        <b val="true"/>
        <sz val="10"/>
        <color rgb="FF000000"/>
        <rFont val="Arial"/>
        <family val="0"/>
        <charset val="1"/>
      </rPr>
      <t xml:space="preserve">+</t>
    </r>
    <r>
      <rPr>
        <b val="true"/>
        <sz val="10"/>
        <color rgb="FF000000"/>
        <rFont val="Noto Sans CJK SC"/>
        <family val="2"/>
      </rPr>
      <t xml:space="preserve">在建工程</t>
    </r>
  </si>
  <si>
    <r>
      <rPr>
        <sz val="10"/>
        <color rgb="FF000000"/>
        <rFont val="Noto Sans CJK SC"/>
        <family val="2"/>
      </rPr>
      <t xml:space="preserve">  固定资产周转率（收入</t>
    </r>
    <r>
      <rPr>
        <sz val="10"/>
        <color rgb="FF000000"/>
        <rFont val="Arial"/>
        <family val="0"/>
        <charset val="1"/>
      </rPr>
      <t xml:space="preserve">/</t>
    </r>
    <r>
      <rPr>
        <sz val="10"/>
        <color rgb="FF000000"/>
        <rFont val="Noto Sans CJK SC"/>
        <family val="2"/>
      </rPr>
      <t xml:space="preserve">平均原值）</t>
    </r>
  </si>
  <si>
    <r>
      <rPr>
        <b val="true"/>
        <sz val="10"/>
        <color rgb="FF1F3864"/>
        <rFont val="Arial"/>
        <family val="0"/>
        <charset val="1"/>
      </rPr>
      <t xml:space="preserve">E. </t>
    </r>
    <r>
      <rPr>
        <b val="true"/>
        <sz val="10"/>
        <color rgb="FF1F3864"/>
        <rFont val="Noto Sans CJK SC"/>
        <family val="2"/>
      </rPr>
      <t xml:space="preserve">无形资产、使用权资产及其他长期资产</t>
    </r>
  </si>
  <si>
    <t xml:space="preserve">无形资产及长期待摊期初</t>
  </si>
  <si>
    <t xml:space="preserve">  本期增加（资本开支）</t>
  </si>
  <si>
    <t xml:space="preserve">  本期摊销</t>
  </si>
  <si>
    <t xml:space="preserve">无形资产及长期待摊期末</t>
  </si>
  <si>
    <t xml:space="preserve">使用权资产（假设续租维持不变）</t>
  </si>
  <si>
    <t xml:space="preserve">  使用权资产折旧</t>
  </si>
  <si>
    <t xml:space="preserve">商誉、投资性房地产及股权投资（维持不变）</t>
  </si>
  <si>
    <r>
      <rPr>
        <b val="true"/>
        <sz val="10"/>
        <color rgb="FF1F3864"/>
        <rFont val="Arial"/>
        <family val="0"/>
        <charset val="1"/>
      </rPr>
      <t xml:space="preserve">F. </t>
    </r>
    <r>
      <rPr>
        <b val="true"/>
        <sz val="10"/>
        <color rgb="FF1F3864"/>
        <rFont val="Noto Sans CJK SC"/>
        <family val="2"/>
      </rPr>
      <t xml:space="preserve">折旧摊销汇总与分摊</t>
    </r>
  </si>
  <si>
    <t xml:space="preserve">折旧摊销合计</t>
  </si>
  <si>
    <r>
      <rPr>
        <sz val="10"/>
        <color rgb="FF000000"/>
        <rFont val="Noto Sans CJK SC"/>
        <family val="2"/>
      </rPr>
      <t xml:space="preserve">  折旧摊销</t>
    </r>
    <r>
      <rPr>
        <sz val="10"/>
        <color rgb="FF000000"/>
        <rFont val="Arial"/>
        <family val="0"/>
        <charset val="1"/>
      </rPr>
      <t xml:space="preserve">/</t>
    </r>
    <r>
      <rPr>
        <sz val="10"/>
        <color rgb="FF000000"/>
        <rFont val="Noto Sans CJK SC"/>
        <family val="2"/>
      </rPr>
      <t xml:space="preserve">收入</t>
    </r>
  </si>
  <si>
    <t xml:space="preserve">  计入营业成本</t>
  </si>
  <si>
    <t xml:space="preserve">  计入研发费用</t>
  </si>
  <si>
    <t xml:space="preserve">  计入销售费用</t>
  </si>
  <si>
    <t xml:space="preserve">  计入管理费用（倒挤）</t>
  </si>
  <si>
    <t xml:space="preserve">营运资金明细（周转天数驱动）</t>
  </si>
  <si>
    <r>
      <rPr>
        <i val="true"/>
        <sz val="10"/>
        <color rgb="FF595959"/>
        <rFont val="Noto Sans CJK SC"/>
        <family val="2"/>
      </rPr>
      <t xml:space="preserve">历史取</t>
    </r>
    <r>
      <rPr>
        <i val="true"/>
        <sz val="10"/>
        <color rgb="FF595959"/>
        <rFont val="Arial"/>
        <family val="0"/>
        <charset val="1"/>
      </rPr>
      <t xml:space="preserve">Wind</t>
    </r>
    <r>
      <rPr>
        <i val="true"/>
        <sz val="10"/>
        <color rgb="FF595959"/>
        <rFont val="Noto Sans CJK SC"/>
        <family val="2"/>
      </rPr>
      <t xml:space="preserve">资产负债表；存货分类来自年报附注。周转天数按期末余额计算。</t>
    </r>
  </si>
  <si>
    <r>
      <rPr>
        <b val="true"/>
        <sz val="10"/>
        <color rgb="FF1F3864"/>
        <rFont val="Arial"/>
        <family val="0"/>
        <charset val="1"/>
      </rPr>
      <t xml:space="preserve">A. </t>
    </r>
    <r>
      <rPr>
        <b val="true"/>
        <sz val="10"/>
        <color rgb="FF1F3864"/>
        <rFont val="Noto Sans CJK SC"/>
        <family val="2"/>
      </rPr>
      <t xml:space="preserve">经营性流动资产</t>
    </r>
  </si>
  <si>
    <t xml:space="preserve">应收票据</t>
  </si>
  <si>
    <t xml:space="preserve">应收账款</t>
  </si>
  <si>
    <t xml:space="preserve">应收款项融资</t>
  </si>
  <si>
    <t xml:space="preserve">预付款项</t>
  </si>
  <si>
    <t xml:space="preserve">其他应收款</t>
  </si>
  <si>
    <r>
      <rPr>
        <sz val="10"/>
        <color rgb="FF000000"/>
        <rFont val="Noto Sans CJK SC"/>
        <family val="2"/>
      </rPr>
      <t xml:space="preserve">  存货</t>
    </r>
    <r>
      <rPr>
        <sz val="10"/>
        <color rgb="FF000000"/>
        <rFont val="Arial"/>
        <family val="0"/>
        <charset val="1"/>
      </rPr>
      <t xml:space="preserve">-</t>
    </r>
    <r>
      <rPr>
        <sz val="10"/>
        <color rgb="FF000000"/>
        <rFont val="Noto Sans CJK SC"/>
        <family val="2"/>
      </rPr>
      <t xml:space="preserve">原材料（账面余额）</t>
    </r>
  </si>
  <si>
    <r>
      <rPr>
        <sz val="10"/>
        <color rgb="FF000000"/>
        <rFont val="Noto Sans CJK SC"/>
        <family val="2"/>
      </rPr>
      <t xml:space="preserve">  存货</t>
    </r>
    <r>
      <rPr>
        <sz val="10"/>
        <color rgb="FF000000"/>
        <rFont val="Arial"/>
        <family val="0"/>
        <charset val="1"/>
      </rPr>
      <t xml:space="preserve">-</t>
    </r>
    <r>
      <rPr>
        <sz val="10"/>
        <color rgb="FF000000"/>
        <rFont val="Noto Sans CJK SC"/>
        <family val="2"/>
      </rPr>
      <t xml:space="preserve">在产品及半成品（账面余额）</t>
    </r>
  </si>
  <si>
    <r>
      <rPr>
        <sz val="10"/>
        <color rgb="FF000000"/>
        <rFont val="Noto Sans CJK SC"/>
        <family val="2"/>
      </rPr>
      <t xml:space="preserve">  存货</t>
    </r>
    <r>
      <rPr>
        <sz val="10"/>
        <color rgb="FF000000"/>
        <rFont val="Arial"/>
        <family val="0"/>
        <charset val="1"/>
      </rPr>
      <t xml:space="preserve">-</t>
    </r>
    <r>
      <rPr>
        <sz val="10"/>
        <color rgb="FF000000"/>
        <rFont val="Noto Sans CJK SC"/>
        <family val="2"/>
      </rPr>
      <t xml:space="preserve">库存商品及发出商品（账面余额）</t>
    </r>
  </si>
  <si>
    <r>
      <rPr>
        <sz val="10"/>
        <color rgb="FF000000"/>
        <rFont val="Noto Sans CJK SC"/>
        <family val="2"/>
      </rPr>
      <t xml:space="preserve">  存货</t>
    </r>
    <r>
      <rPr>
        <sz val="10"/>
        <color rgb="FF000000"/>
        <rFont val="Arial"/>
        <family val="0"/>
        <charset val="1"/>
      </rPr>
      <t xml:space="preserve">-</t>
    </r>
    <r>
      <rPr>
        <sz val="10"/>
        <color rgb="FF000000"/>
        <rFont val="Noto Sans CJK SC"/>
        <family val="2"/>
      </rPr>
      <t xml:space="preserve">其他（周转材料、委托加工等）</t>
    </r>
  </si>
  <si>
    <t xml:space="preserve">  存货跌价准备</t>
  </si>
  <si>
    <t xml:space="preserve">存货（账面价值）</t>
  </si>
  <si>
    <r>
      <rPr>
        <sz val="10"/>
        <color rgb="FF000000"/>
        <rFont val="Noto Sans CJK SC"/>
        <family val="2"/>
      </rPr>
      <t xml:space="preserve">  校验：分类合计</t>
    </r>
    <r>
      <rPr>
        <sz val="10"/>
        <color rgb="FF000000"/>
        <rFont val="Arial"/>
        <family val="0"/>
        <charset val="1"/>
      </rPr>
      <t xml:space="preserve">-</t>
    </r>
    <r>
      <rPr>
        <sz val="10"/>
        <color rgb="FF000000"/>
        <rFont val="Noto Sans CJK SC"/>
        <family val="2"/>
      </rPr>
      <t xml:space="preserve">资产负债表（历史）</t>
    </r>
  </si>
  <si>
    <t xml:space="preserve">其他流动资产</t>
  </si>
  <si>
    <t xml:space="preserve">经营性流动资产合计</t>
  </si>
  <si>
    <r>
      <rPr>
        <b val="true"/>
        <sz val="10"/>
        <color rgb="FF1F3864"/>
        <rFont val="Arial"/>
        <family val="0"/>
        <charset val="1"/>
      </rPr>
      <t xml:space="preserve">B. </t>
    </r>
    <r>
      <rPr>
        <b val="true"/>
        <sz val="10"/>
        <color rgb="FF1F3864"/>
        <rFont val="Noto Sans CJK SC"/>
        <family val="2"/>
      </rPr>
      <t xml:space="preserve">经营性流动负债</t>
    </r>
  </si>
  <si>
    <t xml:space="preserve">应付票据</t>
  </si>
  <si>
    <t xml:space="preserve">应付账款</t>
  </si>
  <si>
    <t xml:space="preserve">合同负债及预收款项</t>
  </si>
  <si>
    <t xml:space="preserve">应付职工薪酬</t>
  </si>
  <si>
    <t xml:space="preserve">应交税费</t>
  </si>
  <si>
    <t xml:space="preserve">其他应付款</t>
  </si>
  <si>
    <t xml:space="preserve">其他流动负债</t>
  </si>
  <si>
    <t xml:space="preserve">经营性流动负债合计</t>
  </si>
  <si>
    <r>
      <rPr>
        <b val="true"/>
        <sz val="10"/>
        <color rgb="FF1F3864"/>
        <rFont val="Arial"/>
        <family val="0"/>
        <charset val="1"/>
      </rPr>
      <t xml:space="preserve">C. </t>
    </r>
    <r>
      <rPr>
        <b val="true"/>
        <sz val="10"/>
        <color rgb="FF1F3864"/>
        <rFont val="Noto Sans CJK SC"/>
        <family val="2"/>
      </rPr>
      <t xml:space="preserve">营运资本与周转</t>
    </r>
  </si>
  <si>
    <r>
      <rPr>
        <b val="true"/>
        <sz val="10"/>
        <color rgb="FF000000"/>
        <rFont val="Noto Sans CJK SC"/>
        <family val="2"/>
      </rPr>
      <t xml:space="preserve">营运资本（经营性流动资产</t>
    </r>
    <r>
      <rPr>
        <b val="true"/>
        <sz val="10"/>
        <color rgb="FF000000"/>
        <rFont val="Arial"/>
        <family val="0"/>
        <charset val="1"/>
      </rPr>
      <t xml:space="preserve">-</t>
    </r>
    <r>
      <rPr>
        <b val="true"/>
        <sz val="10"/>
        <color rgb="FF000000"/>
        <rFont val="Noto Sans CJK SC"/>
        <family val="2"/>
      </rPr>
      <t xml:space="preserve">经营性流动负债）</t>
    </r>
  </si>
  <si>
    <t xml:space="preserve">营运资本增加</t>
  </si>
  <si>
    <r>
      <rPr>
        <sz val="10"/>
        <color rgb="FF000000"/>
        <rFont val="Noto Sans CJK SC"/>
        <family val="2"/>
      </rPr>
      <t xml:space="preserve">  营运资本</t>
    </r>
    <r>
      <rPr>
        <sz val="10"/>
        <color rgb="FF000000"/>
        <rFont val="Arial"/>
        <family val="0"/>
        <charset val="1"/>
      </rPr>
      <t xml:space="preserve">/</t>
    </r>
    <r>
      <rPr>
        <sz val="10"/>
        <color rgb="FF000000"/>
        <rFont val="Noto Sans CJK SC"/>
        <family val="2"/>
      </rPr>
      <t xml:space="preserve">收入</t>
    </r>
  </si>
  <si>
    <r>
      <rPr>
        <sz val="10"/>
        <color rgb="FF000000"/>
        <rFont val="Noto Sans CJK SC"/>
        <family val="2"/>
      </rPr>
      <t xml:space="preserve">应收周转天数（应收票据</t>
    </r>
    <r>
      <rPr>
        <sz val="10"/>
        <color rgb="FF000000"/>
        <rFont val="Arial"/>
        <family val="0"/>
        <charset val="1"/>
      </rPr>
      <t xml:space="preserve">+</t>
    </r>
    <r>
      <rPr>
        <sz val="10"/>
        <color rgb="FF000000"/>
        <rFont val="Noto Sans CJK SC"/>
        <family val="2"/>
      </rPr>
      <t xml:space="preserve">账款</t>
    </r>
    <r>
      <rPr>
        <sz val="10"/>
        <color rgb="FF000000"/>
        <rFont val="Arial"/>
        <family val="0"/>
        <charset val="1"/>
      </rPr>
      <t xml:space="preserve">+</t>
    </r>
    <r>
      <rPr>
        <sz val="10"/>
        <color rgb="FF000000"/>
        <rFont val="Noto Sans CJK SC"/>
        <family val="2"/>
      </rPr>
      <t xml:space="preserve">融资）</t>
    </r>
  </si>
  <si>
    <r>
      <rPr>
        <sz val="10"/>
        <color rgb="FF000000"/>
        <rFont val="Noto Sans CJK SC"/>
        <family val="2"/>
      </rPr>
      <t xml:space="preserve">应付周转天数（应付票据</t>
    </r>
    <r>
      <rPr>
        <sz val="10"/>
        <color rgb="FF000000"/>
        <rFont val="Arial"/>
        <family val="0"/>
        <charset val="1"/>
      </rPr>
      <t xml:space="preserve">+</t>
    </r>
    <r>
      <rPr>
        <sz val="10"/>
        <color rgb="FF000000"/>
        <rFont val="Noto Sans CJK SC"/>
        <family val="2"/>
      </rPr>
      <t xml:space="preserve">账款）</t>
    </r>
  </si>
  <si>
    <t xml:space="preserve">  应收账款天数</t>
  </si>
  <si>
    <t xml:space="preserve">  应收票据天数</t>
  </si>
  <si>
    <t xml:space="preserve">  应收款项融资天数</t>
  </si>
  <si>
    <t xml:space="preserve">  原材料天数（按原材料成本）</t>
  </si>
  <si>
    <t xml:space="preserve">  在产品及半成品天数</t>
  </si>
  <si>
    <t xml:space="preserve">  库存商品及发出商品天数</t>
  </si>
  <si>
    <t xml:space="preserve">  应付票据天数</t>
  </si>
  <si>
    <t xml:space="preserve">  应付账款天数</t>
  </si>
  <si>
    <r>
      <rPr>
        <sz val="10"/>
        <color rgb="FF000000"/>
        <rFont val="Noto Sans CJK SC"/>
        <family val="2"/>
      </rPr>
      <t xml:space="preserve">  存货跌价准备</t>
    </r>
    <r>
      <rPr>
        <sz val="10"/>
        <color rgb="FF000000"/>
        <rFont val="Arial"/>
        <family val="0"/>
        <charset val="1"/>
      </rPr>
      <t xml:space="preserve">/</t>
    </r>
    <r>
      <rPr>
        <sz val="10"/>
        <color rgb="FF000000"/>
        <rFont val="Noto Sans CJK SC"/>
        <family val="2"/>
      </rPr>
      <t xml:space="preserve">存货余额</t>
    </r>
  </si>
  <si>
    <r>
      <rPr>
        <b val="true"/>
        <sz val="14"/>
        <color rgb="FF1F3864"/>
        <rFont val="Noto Sans CJK SC"/>
        <family val="2"/>
      </rPr>
      <t xml:space="preserve">融资、资金与权益（利息按期初</t>
    </r>
    <r>
      <rPr>
        <b val="true"/>
        <sz val="14"/>
        <color rgb="FF1F3864"/>
        <rFont val="Arial"/>
        <family val="0"/>
        <charset val="1"/>
      </rPr>
      <t xml:space="preserve">/</t>
    </r>
    <r>
      <rPr>
        <b val="true"/>
        <sz val="14"/>
        <color rgb="FF1F3864"/>
        <rFont val="Noto Sans CJK SC"/>
        <family val="2"/>
      </rPr>
      <t xml:space="preserve">平均余额，无循环引用）</t>
    </r>
  </si>
  <si>
    <t xml:space="preserve">货币资金由“三表预测”现金流倒挤；利息收入按期初余额计息以避免循环；有息负债按假设的净借款变动滚动。</t>
  </si>
  <si>
    <r>
      <rPr>
        <b val="true"/>
        <sz val="10"/>
        <color rgb="FF1F3864"/>
        <rFont val="Arial"/>
        <family val="0"/>
        <charset val="1"/>
      </rPr>
      <t xml:space="preserve">A. </t>
    </r>
    <r>
      <rPr>
        <b val="true"/>
        <sz val="10"/>
        <color rgb="FF1F3864"/>
        <rFont val="Noto Sans CJK SC"/>
        <family val="2"/>
      </rPr>
      <t xml:space="preserve">货币资金、理财与定期存款</t>
    </r>
  </si>
  <si>
    <t xml:space="preserve">  其中：受限资金</t>
  </si>
  <si>
    <t xml:space="preserve">年报货币资金附注：使用受限的货币资金（票据保证金等）</t>
  </si>
  <si>
    <t xml:space="preserve">  其中：可自由使用</t>
  </si>
  <si>
    <t xml:space="preserve">交易性金融资产（银行理财、结构性存款）</t>
  </si>
  <si>
    <r>
      <rPr>
        <sz val="10"/>
        <color rgb="FF000000"/>
        <rFont val="Noto Sans CJK SC"/>
        <family val="2"/>
      </rPr>
      <t xml:space="preserve">其他非流动资产</t>
    </r>
    <r>
      <rPr>
        <sz val="10"/>
        <color rgb="FF000000"/>
        <rFont val="Arial"/>
        <family val="0"/>
        <charset val="1"/>
      </rPr>
      <t xml:space="preserve">-</t>
    </r>
    <r>
      <rPr>
        <sz val="10"/>
        <color rgb="FF000000"/>
        <rFont val="Noto Sans CJK SC"/>
        <family val="2"/>
      </rPr>
      <t xml:space="preserve">定期存款</t>
    </r>
    <r>
      <rPr>
        <sz val="10"/>
        <color rgb="FF000000"/>
        <rFont val="Arial"/>
        <family val="0"/>
        <charset val="1"/>
      </rPr>
      <t xml:space="preserve">/</t>
    </r>
    <r>
      <rPr>
        <sz val="10"/>
        <color rgb="FF000000"/>
        <rFont val="Noto Sans CJK SC"/>
        <family val="2"/>
      </rPr>
      <t xml:space="preserve">大额存单</t>
    </r>
  </si>
  <si>
    <r>
      <rPr>
        <sz val="10"/>
        <color rgb="FF000000"/>
        <rFont val="Noto Sans CJK SC"/>
        <family val="2"/>
      </rPr>
      <t xml:space="preserve">其他非流动资产</t>
    </r>
    <r>
      <rPr>
        <sz val="10"/>
        <color rgb="FF000000"/>
        <rFont val="Arial"/>
        <family val="0"/>
        <charset val="1"/>
      </rPr>
      <t xml:space="preserve">-</t>
    </r>
    <r>
      <rPr>
        <sz val="10"/>
        <color rgb="FF000000"/>
        <rFont val="Noto Sans CJK SC"/>
        <family val="2"/>
      </rPr>
      <t xml:space="preserve">预付工程设备款及其他</t>
    </r>
  </si>
  <si>
    <t xml:space="preserve">其他非流动资产合计</t>
  </si>
  <si>
    <r>
      <rPr>
        <b val="true"/>
        <sz val="10"/>
        <color rgb="FF1F3864"/>
        <rFont val="Arial"/>
        <family val="0"/>
        <charset val="1"/>
      </rPr>
      <t xml:space="preserve">B. </t>
    </r>
    <r>
      <rPr>
        <b val="true"/>
        <sz val="10"/>
        <color rgb="FF1F3864"/>
        <rFont val="Noto Sans CJK SC"/>
        <family val="2"/>
      </rPr>
      <t xml:space="preserve">利息收入与理财收益</t>
    </r>
  </si>
  <si>
    <t xml:space="preserve">活期及短期存款利息</t>
  </si>
  <si>
    <r>
      <rPr>
        <sz val="10"/>
        <color rgb="FF000000"/>
        <rFont val="Noto Sans CJK SC"/>
        <family val="2"/>
      </rPr>
      <t xml:space="preserve">定期存款</t>
    </r>
    <r>
      <rPr>
        <sz val="10"/>
        <color rgb="FF000000"/>
        <rFont val="Arial"/>
        <family val="0"/>
        <charset val="1"/>
      </rPr>
      <t xml:space="preserve">/</t>
    </r>
    <r>
      <rPr>
        <sz val="10"/>
        <color rgb="FF000000"/>
        <rFont val="Noto Sans CJK SC"/>
        <family val="2"/>
      </rPr>
      <t xml:space="preserve">大额存单利息</t>
    </r>
  </si>
  <si>
    <r>
      <rPr>
        <sz val="10"/>
        <color rgb="FF000000"/>
        <rFont val="Arial"/>
        <family val="0"/>
        <charset val="1"/>
      </rPr>
      <t xml:space="preserve">H</t>
    </r>
    <r>
      <rPr>
        <sz val="10"/>
        <color rgb="FF000000"/>
        <rFont val="Noto Sans CJK SC"/>
        <family val="2"/>
      </rPr>
      <t xml:space="preserve">股募资款当年利息（按在外天数）</t>
    </r>
  </si>
  <si>
    <t xml:space="preserve">利息收入合计</t>
  </si>
  <si>
    <r>
      <rPr>
        <sz val="10"/>
        <color rgb="FF000000"/>
        <rFont val="Noto Sans CJK SC"/>
        <family val="2"/>
      </rPr>
      <t xml:space="preserve">  综合利息收益率（利息收入</t>
    </r>
    <r>
      <rPr>
        <sz val="10"/>
        <color rgb="FF000000"/>
        <rFont val="Arial"/>
        <family val="0"/>
        <charset val="1"/>
      </rPr>
      <t xml:space="preserve">/</t>
    </r>
    <r>
      <rPr>
        <sz val="10"/>
        <color rgb="FF000000"/>
        <rFont val="Noto Sans CJK SC"/>
        <family val="2"/>
      </rPr>
      <t xml:space="preserve">期初货币资金</t>
    </r>
    <r>
      <rPr>
        <sz val="10"/>
        <color rgb="FF000000"/>
        <rFont val="Arial"/>
        <family val="0"/>
        <charset val="1"/>
      </rPr>
      <t xml:space="preserve">+</t>
    </r>
    <r>
      <rPr>
        <sz val="10"/>
        <color rgb="FF000000"/>
        <rFont val="Noto Sans CJK SC"/>
        <family val="2"/>
      </rPr>
      <t xml:space="preserve">其他非流动资产）</t>
    </r>
  </si>
  <si>
    <r>
      <rPr>
        <b val="true"/>
        <sz val="10"/>
        <color rgb="FF000000"/>
        <rFont val="Noto Sans CJK SC"/>
        <family val="2"/>
      </rPr>
      <t xml:space="preserve">投资收益</t>
    </r>
    <r>
      <rPr>
        <b val="true"/>
        <sz val="10"/>
        <color rgb="FF000000"/>
        <rFont val="Arial"/>
        <family val="0"/>
        <charset val="1"/>
      </rPr>
      <t xml:space="preserve">+</t>
    </r>
    <r>
      <rPr>
        <b val="true"/>
        <sz val="10"/>
        <color rgb="FF000000"/>
        <rFont val="Noto Sans CJK SC"/>
        <family val="2"/>
      </rPr>
      <t xml:space="preserve">公允价值变动收益</t>
    </r>
  </si>
  <si>
    <r>
      <rPr>
        <b val="true"/>
        <sz val="10"/>
        <color rgb="FF1F3864"/>
        <rFont val="Arial"/>
        <family val="0"/>
        <charset val="1"/>
      </rPr>
      <t xml:space="preserve">C. </t>
    </r>
    <r>
      <rPr>
        <b val="true"/>
        <sz val="10"/>
        <color rgb="FF1F3864"/>
        <rFont val="Noto Sans CJK SC"/>
        <family val="2"/>
      </rPr>
      <t xml:space="preserve">有息负债与利息支出</t>
    </r>
  </si>
  <si>
    <t xml:space="preserve">短期借款</t>
  </si>
  <si>
    <t xml:space="preserve">长期借款（含一年内到期）</t>
  </si>
  <si>
    <t xml:space="preserve">有息负债合计</t>
  </si>
  <si>
    <t xml:space="preserve">租赁负债（假设维持不变）</t>
  </si>
  <si>
    <t xml:space="preserve">利息费用</t>
  </si>
  <si>
    <r>
      <rPr>
        <sz val="10"/>
        <color rgb="FF000000"/>
        <rFont val="Noto Sans CJK SC"/>
        <family val="2"/>
      </rPr>
      <t xml:space="preserve">  平均借款成本（利息费用</t>
    </r>
    <r>
      <rPr>
        <sz val="10"/>
        <color rgb="FF000000"/>
        <rFont val="Arial"/>
        <family val="0"/>
        <charset val="1"/>
      </rPr>
      <t xml:space="preserve">/</t>
    </r>
    <r>
      <rPr>
        <sz val="10"/>
        <color rgb="FF000000"/>
        <rFont val="Noto Sans CJK SC"/>
        <family val="2"/>
      </rPr>
      <t xml:space="preserve">平均有息负债</t>
    </r>
    <r>
      <rPr>
        <sz val="10"/>
        <color rgb="FF000000"/>
        <rFont val="Arial"/>
        <family val="0"/>
        <charset val="1"/>
      </rPr>
      <t xml:space="preserve">+</t>
    </r>
    <r>
      <rPr>
        <sz val="10"/>
        <color rgb="FF000000"/>
        <rFont val="Noto Sans CJK SC"/>
        <family val="2"/>
      </rPr>
      <t xml:space="preserve">租赁负债）</t>
    </r>
  </si>
  <si>
    <t xml:space="preserve">汇兑损益、手续费及其他</t>
  </si>
  <si>
    <r>
      <rPr>
        <i val="true"/>
        <sz val="10"/>
        <color rgb="FF595959"/>
        <rFont val="Noto Sans CJK SC"/>
        <family val="2"/>
      </rPr>
      <t xml:space="preserve">历史倒挤：财务费用</t>
    </r>
    <r>
      <rPr>
        <i val="true"/>
        <sz val="10"/>
        <color rgb="FF595959"/>
        <rFont val="Arial"/>
        <family val="0"/>
        <charset val="1"/>
      </rPr>
      <t xml:space="preserve">-</t>
    </r>
    <r>
      <rPr>
        <i val="true"/>
        <sz val="10"/>
        <color rgb="FF595959"/>
        <rFont val="Noto Sans CJK SC"/>
        <family val="2"/>
      </rPr>
      <t xml:space="preserve">利息费用</t>
    </r>
    <r>
      <rPr>
        <i val="true"/>
        <sz val="10"/>
        <color rgb="FF595959"/>
        <rFont val="Arial"/>
        <family val="0"/>
        <charset val="1"/>
      </rPr>
      <t xml:space="preserve">+</t>
    </r>
    <r>
      <rPr>
        <i val="true"/>
        <sz val="10"/>
        <color rgb="FF595959"/>
        <rFont val="Noto Sans CJK SC"/>
        <family val="2"/>
      </rPr>
      <t xml:space="preserve">利息收入（主要为汇兑损益）；</t>
    </r>
    <r>
      <rPr>
        <i val="true"/>
        <sz val="10"/>
        <color rgb="FF595959"/>
        <rFont val="Arial"/>
        <family val="0"/>
        <charset val="1"/>
      </rPr>
      <t xml:space="preserve">2026H1</t>
    </r>
    <r>
      <rPr>
        <i val="true"/>
        <sz val="10"/>
        <color rgb="FF595959"/>
        <rFont val="Noto Sans CJK SC"/>
        <family val="2"/>
      </rPr>
      <t xml:space="preserve">受汇率影响汇兑损失增加</t>
    </r>
  </si>
  <si>
    <r>
      <rPr>
        <b val="true"/>
        <sz val="10"/>
        <color rgb="FF1F3864"/>
        <rFont val="Arial"/>
        <family val="0"/>
        <charset val="1"/>
      </rPr>
      <t xml:space="preserve">D. </t>
    </r>
    <r>
      <rPr>
        <b val="true"/>
        <sz val="10"/>
        <color rgb="FF1F3864"/>
        <rFont val="Noto Sans CJK SC"/>
        <family val="2"/>
      </rPr>
      <t xml:space="preserve">所有者权益变动</t>
    </r>
  </si>
  <si>
    <t xml:space="preserve">股本</t>
  </si>
  <si>
    <t xml:space="preserve">资本公积</t>
  </si>
  <si>
    <t xml:space="preserve">减：库存股</t>
  </si>
  <si>
    <t xml:space="preserve">其他综合收益（假设不变）</t>
  </si>
  <si>
    <t xml:space="preserve">盈余公积</t>
  </si>
  <si>
    <r>
      <rPr>
        <i val="true"/>
        <sz val="10"/>
        <color rgb="FF595959"/>
        <rFont val="Arial"/>
        <family val="0"/>
        <charset val="1"/>
      </rPr>
      <t xml:space="preserve">2025</t>
    </r>
    <r>
      <rPr>
        <i val="true"/>
        <sz val="10"/>
        <color rgb="FF595959"/>
        <rFont val="Noto Sans CJK SC"/>
        <family val="2"/>
      </rPr>
      <t xml:space="preserve">年末盈余公积</t>
    </r>
    <r>
      <rPr>
        <i val="true"/>
        <sz val="10"/>
        <color rgb="FF595959"/>
        <rFont val="Arial"/>
        <family val="0"/>
        <charset val="1"/>
      </rPr>
      <t xml:space="preserve">1,131.1</t>
    </r>
    <r>
      <rPr>
        <i val="true"/>
        <sz val="10"/>
        <color rgb="FF595959"/>
        <rFont val="Noto Sans CJK SC"/>
        <family val="2"/>
      </rPr>
      <t xml:space="preserve">百万元已超过股本</t>
    </r>
    <r>
      <rPr>
        <i val="true"/>
        <sz val="10"/>
        <color rgb="FF595959"/>
        <rFont val="Arial"/>
        <family val="0"/>
        <charset val="1"/>
      </rPr>
      <t xml:space="preserve">50%</t>
    </r>
    <r>
      <rPr>
        <i val="true"/>
        <sz val="10"/>
        <color rgb="FF595959"/>
        <rFont val="Noto Sans CJK SC"/>
        <family val="2"/>
      </rPr>
      <t xml:space="preserve">（</t>
    </r>
    <r>
      <rPr>
        <i val="true"/>
        <sz val="10"/>
        <color rgb="FF595959"/>
        <rFont val="Arial"/>
        <family val="0"/>
        <charset val="1"/>
      </rPr>
      <t xml:space="preserve">958.2</t>
    </r>
    <r>
      <rPr>
        <i val="true"/>
        <sz val="10"/>
        <color rgb="FF595959"/>
        <rFont val="Noto Sans CJK SC"/>
        <family val="2"/>
      </rPr>
      <t xml:space="preserve">），母公司可不再提取法定盈余公积；故预测维持不变</t>
    </r>
  </si>
  <si>
    <t xml:space="preserve">未分配利润</t>
  </si>
  <si>
    <r>
      <rPr>
        <sz val="10"/>
        <color rgb="FF000000"/>
        <rFont val="Noto Sans CJK SC"/>
        <family val="2"/>
      </rPr>
      <t xml:space="preserve">  校验：权益明细合计</t>
    </r>
    <r>
      <rPr>
        <sz val="10"/>
        <color rgb="FF000000"/>
        <rFont val="Arial"/>
        <family val="0"/>
        <charset val="1"/>
      </rPr>
      <t xml:space="preserve">-</t>
    </r>
    <r>
      <rPr>
        <sz val="10"/>
        <color rgb="FF000000"/>
        <rFont val="Noto Sans CJK SC"/>
        <family val="2"/>
      </rPr>
      <t xml:space="preserve">报告值（历史）</t>
    </r>
  </si>
  <si>
    <r>
      <rPr>
        <b val="true"/>
        <sz val="10"/>
        <color rgb="FF1F3864"/>
        <rFont val="Arial"/>
        <family val="0"/>
        <charset val="1"/>
      </rPr>
      <t xml:space="preserve">E. </t>
    </r>
    <r>
      <rPr>
        <b val="true"/>
        <sz val="10"/>
        <color rgb="FF1F3864"/>
        <rFont val="Noto Sans CJK SC"/>
        <family val="2"/>
      </rPr>
      <t xml:space="preserve">分红、回购与杠杆</t>
    </r>
  </si>
  <si>
    <t xml:space="preserve">当年派发现金股利</t>
  </si>
  <si>
    <t xml:space="preserve">每股股利（按派息时流通股）</t>
  </si>
  <si>
    <r>
      <rPr>
        <sz val="10"/>
        <color rgb="FF595959"/>
        <rFont val="Noto Sans CJK SC"/>
        <family val="2"/>
      </rPr>
      <t xml:space="preserve">元</t>
    </r>
    <r>
      <rPr>
        <sz val="10"/>
        <color rgb="FF595959"/>
        <rFont val="Arial"/>
        <family val="0"/>
        <charset val="1"/>
      </rPr>
      <t xml:space="preserve">/</t>
    </r>
    <r>
      <rPr>
        <sz val="10"/>
        <color rgb="FF595959"/>
        <rFont val="Noto Sans CJK SC"/>
        <family val="2"/>
      </rPr>
      <t xml:space="preserve">股</t>
    </r>
  </si>
  <si>
    <t xml:space="preserve">  股息率（当前股价）</t>
  </si>
  <si>
    <r>
      <rPr>
        <b val="true"/>
        <sz val="10"/>
        <color rgb="FF000000"/>
        <rFont val="Noto Sans CJK SC"/>
        <family val="2"/>
      </rPr>
      <t xml:space="preserve">净现金（货币资金</t>
    </r>
    <r>
      <rPr>
        <b val="true"/>
        <sz val="10"/>
        <color rgb="FF000000"/>
        <rFont val="Arial"/>
        <family val="0"/>
        <charset val="1"/>
      </rPr>
      <t xml:space="preserve">+</t>
    </r>
    <r>
      <rPr>
        <b val="true"/>
        <sz val="10"/>
        <color rgb="FF000000"/>
        <rFont val="Noto Sans CJK SC"/>
        <family val="2"/>
      </rPr>
      <t xml:space="preserve">理财</t>
    </r>
    <r>
      <rPr>
        <b val="true"/>
        <sz val="10"/>
        <color rgb="FF000000"/>
        <rFont val="Arial"/>
        <family val="0"/>
        <charset val="1"/>
      </rPr>
      <t xml:space="preserve">+</t>
    </r>
    <r>
      <rPr>
        <b val="true"/>
        <sz val="10"/>
        <color rgb="FF000000"/>
        <rFont val="Noto Sans CJK SC"/>
        <family val="2"/>
      </rPr>
      <t xml:space="preserve">一年以上定期存款</t>
    </r>
    <r>
      <rPr>
        <b val="true"/>
        <sz val="10"/>
        <color rgb="FF000000"/>
        <rFont val="Arial"/>
        <family val="0"/>
        <charset val="1"/>
      </rPr>
      <t xml:space="preserve">-</t>
    </r>
    <r>
      <rPr>
        <b val="true"/>
        <sz val="10"/>
        <color rgb="FF000000"/>
        <rFont val="Noto Sans CJK SC"/>
        <family val="2"/>
      </rPr>
      <t xml:space="preserve">有息负债</t>
    </r>
    <r>
      <rPr>
        <b val="true"/>
        <sz val="10"/>
        <color rgb="FF000000"/>
        <rFont val="Arial"/>
        <family val="0"/>
        <charset val="1"/>
      </rPr>
      <t xml:space="preserve">-</t>
    </r>
    <r>
      <rPr>
        <b val="true"/>
        <sz val="10"/>
        <color rgb="FF000000"/>
        <rFont val="Noto Sans CJK SC"/>
        <family val="2"/>
      </rPr>
      <t xml:space="preserve">租赁负债）</t>
    </r>
  </si>
  <si>
    <r>
      <rPr>
        <i val="true"/>
        <sz val="10"/>
        <color rgb="FF595959"/>
        <rFont val="Noto Sans CJK SC"/>
        <family val="2"/>
      </rPr>
      <t xml:space="preserve">一年以上定期存款及大额存单列示于其他非流动资产（年报附注），视同现金；</t>
    </r>
    <r>
      <rPr>
        <i val="true"/>
        <sz val="10"/>
        <color rgb="FF595959"/>
        <rFont val="Arial"/>
        <family val="0"/>
        <charset val="1"/>
      </rPr>
      <t xml:space="preserve">2021A</t>
    </r>
    <r>
      <rPr>
        <i val="true"/>
        <sz val="10"/>
        <color rgb="FF595959"/>
        <rFont val="Noto Sans CJK SC"/>
        <family val="2"/>
      </rPr>
      <t xml:space="preserve">未拆分，按</t>
    </r>
    <r>
      <rPr>
        <i val="true"/>
        <sz val="10"/>
        <color rgb="FF595959"/>
        <rFont val="Arial"/>
        <family val="0"/>
        <charset val="1"/>
      </rPr>
      <t xml:space="preserve">0</t>
    </r>
    <r>
      <rPr>
        <i val="true"/>
        <sz val="10"/>
        <color rgb="FF595959"/>
        <rFont val="Noto Sans CJK SC"/>
        <family val="2"/>
      </rPr>
      <t xml:space="preserve">计</t>
    </r>
  </si>
  <si>
    <r>
      <rPr>
        <sz val="10"/>
        <color rgb="FF000000"/>
        <rFont val="Noto Sans CJK SC"/>
        <family val="2"/>
      </rPr>
      <t xml:space="preserve">利息保障倍数（</t>
    </r>
    <r>
      <rPr>
        <sz val="10"/>
        <color rgb="FF000000"/>
        <rFont val="Arial"/>
        <family val="0"/>
        <charset val="1"/>
      </rPr>
      <t xml:space="preserve">EBIT/</t>
    </r>
    <r>
      <rPr>
        <sz val="10"/>
        <color rgb="FF000000"/>
        <rFont val="Noto Sans CJK SC"/>
        <family val="2"/>
      </rPr>
      <t xml:space="preserve">利息费用）</t>
    </r>
  </si>
  <si>
    <r>
      <rPr>
        <sz val="10"/>
        <color rgb="FF000000"/>
        <rFont val="Noto Sans CJK SC"/>
        <family val="2"/>
      </rPr>
      <t xml:space="preserve">有息负债</t>
    </r>
    <r>
      <rPr>
        <sz val="10"/>
        <color rgb="FF000000"/>
        <rFont val="Arial"/>
        <family val="0"/>
        <charset val="1"/>
      </rPr>
      <t xml:space="preserve">/</t>
    </r>
    <r>
      <rPr>
        <sz val="10"/>
        <color rgb="FF000000"/>
        <rFont val="Noto Sans CJK SC"/>
        <family val="2"/>
      </rPr>
      <t xml:space="preserve">归母权益</t>
    </r>
  </si>
  <si>
    <t xml:space="preserve">税金、其他收益、减值与所得税桥</t>
  </si>
  <si>
    <r>
      <rPr>
        <i val="true"/>
        <sz val="10"/>
        <color rgb="FF595959"/>
        <rFont val="Noto Sans CJK SC"/>
        <family val="2"/>
      </rPr>
      <t xml:space="preserve">所得税：法定</t>
    </r>
    <r>
      <rPr>
        <i val="true"/>
        <sz val="10"/>
        <color rgb="FF595959"/>
        <rFont val="Arial"/>
        <family val="0"/>
        <charset val="1"/>
      </rPr>
      <t xml:space="preserve">15%</t>
    </r>
    <r>
      <rPr>
        <i val="true"/>
        <sz val="10"/>
        <color rgb="FF595959"/>
        <rFont val="Noto Sans CJK SC"/>
        <family val="2"/>
      </rPr>
      <t xml:space="preserve">（高新技术企业）为起点，叠加子公司税率差异、研发费用加计扣除与其他调整。</t>
    </r>
  </si>
  <si>
    <r>
      <rPr>
        <b val="true"/>
        <sz val="10"/>
        <color rgb="FF1F3864"/>
        <rFont val="Arial"/>
        <family val="0"/>
        <charset val="1"/>
      </rPr>
      <t xml:space="preserve">A. </t>
    </r>
    <r>
      <rPr>
        <b val="true"/>
        <sz val="10"/>
        <color rgb="FF1F3864"/>
        <rFont val="Noto Sans CJK SC"/>
        <family val="2"/>
      </rPr>
      <t xml:space="preserve">税金及附加</t>
    </r>
  </si>
  <si>
    <t xml:space="preserve">税金及附加</t>
  </si>
  <si>
    <t xml:space="preserve">  占收入</t>
  </si>
  <si>
    <r>
      <rPr>
        <b val="true"/>
        <sz val="10"/>
        <color rgb="FF1F3864"/>
        <rFont val="Arial"/>
        <family val="0"/>
        <charset val="1"/>
      </rPr>
      <t xml:space="preserve">B. </t>
    </r>
    <r>
      <rPr>
        <b val="true"/>
        <sz val="10"/>
        <color rgb="FF1F3864"/>
        <rFont val="Noto Sans CJK SC"/>
        <family val="2"/>
      </rPr>
      <t xml:space="preserve">其他收益</t>
    </r>
  </si>
  <si>
    <t xml:space="preserve">与资产相关的政府补助摊销（递延收益转入）</t>
  </si>
  <si>
    <t xml:space="preserve">增值税加计抵减</t>
  </si>
  <si>
    <r>
      <rPr>
        <i val="true"/>
        <sz val="10"/>
        <color rgb="FF595959"/>
        <rFont val="Noto Sans CJK SC"/>
        <family val="2"/>
      </rPr>
      <t xml:space="preserve">先进制造业企业按当期可抵扣进项税额加计</t>
    </r>
    <r>
      <rPr>
        <i val="true"/>
        <sz val="10"/>
        <color rgb="FF595959"/>
        <rFont val="Arial"/>
        <family val="0"/>
        <charset val="1"/>
      </rPr>
      <t xml:space="preserve">5%</t>
    </r>
    <r>
      <rPr>
        <i val="true"/>
        <sz val="10"/>
        <color rgb="FF595959"/>
        <rFont val="Noto Sans CJK SC"/>
        <family val="2"/>
      </rPr>
      <t xml:space="preserve">抵减（政策期至</t>
    </r>
    <r>
      <rPr>
        <i val="true"/>
        <sz val="10"/>
        <color rgb="FF595959"/>
        <rFont val="Arial"/>
        <family val="0"/>
        <charset val="1"/>
      </rPr>
      <t xml:space="preserve">2027</t>
    </r>
    <r>
      <rPr>
        <i val="true"/>
        <sz val="10"/>
        <color rgb="FF595959"/>
        <rFont val="Noto Sans CJK SC"/>
        <family val="2"/>
      </rPr>
      <t xml:space="preserve">年底），按原材料成本比例近似</t>
    </r>
  </si>
  <si>
    <t xml:space="preserve">与收益相关的政府补助及其他</t>
  </si>
  <si>
    <t xml:space="preserve">其他收益合计</t>
  </si>
  <si>
    <r>
      <rPr>
        <b val="true"/>
        <sz val="10"/>
        <color rgb="FF1F3864"/>
        <rFont val="Arial"/>
        <family val="0"/>
        <charset val="1"/>
      </rPr>
      <t xml:space="preserve">C. </t>
    </r>
    <r>
      <rPr>
        <b val="true"/>
        <sz val="10"/>
        <color rgb="FF1F3864"/>
        <rFont val="Noto Sans CJK SC"/>
        <family val="2"/>
      </rPr>
      <t xml:space="preserve">减值损失（负数为损失）</t>
    </r>
  </si>
  <si>
    <r>
      <rPr>
        <sz val="10"/>
        <color rgb="FF000000"/>
        <rFont val="Noto Sans CJK SC"/>
        <family val="2"/>
      </rPr>
      <t xml:space="preserve">资产减值损失</t>
    </r>
    <r>
      <rPr>
        <sz val="10"/>
        <color rgb="FF000000"/>
        <rFont val="Arial"/>
        <family val="0"/>
        <charset val="1"/>
      </rPr>
      <t xml:space="preserve">-</t>
    </r>
    <r>
      <rPr>
        <sz val="10"/>
        <color rgb="FF000000"/>
        <rFont val="Noto Sans CJK SC"/>
        <family val="2"/>
      </rPr>
      <t xml:space="preserve">存货跌价（历史</t>
    </r>
    <r>
      <rPr>
        <sz val="10"/>
        <color rgb="FF000000"/>
        <rFont val="Arial"/>
        <family val="0"/>
        <charset val="1"/>
      </rPr>
      <t xml:space="preserve">=</t>
    </r>
    <r>
      <rPr>
        <sz val="10"/>
        <color rgb="FF000000"/>
        <rFont val="Noto Sans CJK SC"/>
        <family val="2"/>
      </rPr>
      <t xml:space="preserve">资产减值损失合计）</t>
    </r>
  </si>
  <si>
    <t xml:space="preserve">信用减值损失</t>
  </si>
  <si>
    <r>
      <rPr>
        <i val="true"/>
        <sz val="10"/>
        <color rgb="FF595959"/>
        <rFont val="Arial"/>
        <family val="0"/>
        <charset val="1"/>
      </rPr>
      <t xml:space="preserve">2026H1</t>
    </r>
    <r>
      <rPr>
        <i val="true"/>
        <sz val="10"/>
        <color rgb="FF595959"/>
        <rFont val="Noto Sans CJK SC"/>
        <family val="2"/>
      </rPr>
      <t xml:space="preserve">计提</t>
    </r>
    <r>
      <rPr>
        <i val="true"/>
        <sz val="10"/>
        <color rgb="FF595959"/>
        <rFont val="Arial"/>
        <family val="0"/>
        <charset val="1"/>
      </rPr>
      <t xml:space="preserve">19.44</t>
    </r>
    <r>
      <rPr>
        <i val="true"/>
        <sz val="10"/>
        <color rgb="FF595959"/>
        <rFont val="Noto Sans CJK SC"/>
        <family val="2"/>
      </rPr>
      <t xml:space="preserve">；历史各期无（历史列含于资产减值损失）</t>
    </r>
  </si>
  <si>
    <t xml:space="preserve">减值损失合计</t>
  </si>
  <si>
    <t xml:space="preserve">资产处置收益</t>
  </si>
  <si>
    <r>
      <rPr>
        <i val="true"/>
        <sz val="10"/>
        <color rgb="FF595959"/>
        <rFont val="Arial"/>
        <family val="0"/>
        <charset val="1"/>
      </rPr>
      <t xml:space="preserve">2026E</t>
    </r>
    <r>
      <rPr>
        <i val="true"/>
        <sz val="10"/>
        <color rgb="FF595959"/>
        <rFont val="Noto Sans CJK SC"/>
        <family val="2"/>
      </rPr>
      <t xml:space="preserve">取</t>
    </r>
    <r>
      <rPr>
        <i val="true"/>
        <sz val="10"/>
        <color rgb="FF595959"/>
        <rFont val="Arial"/>
        <family val="0"/>
        <charset val="1"/>
      </rPr>
      <t xml:space="preserve">2026H1</t>
    </r>
    <r>
      <rPr>
        <i val="true"/>
        <sz val="10"/>
        <color rgb="FF595959"/>
        <rFont val="Noto Sans CJK SC"/>
        <family val="2"/>
      </rPr>
      <t xml:space="preserve">实际值（下半年假设为</t>
    </r>
    <r>
      <rPr>
        <i val="true"/>
        <sz val="10"/>
        <color rgb="FF595959"/>
        <rFont val="Arial"/>
        <family val="0"/>
        <charset val="1"/>
      </rPr>
      <t xml:space="preserve">0</t>
    </r>
    <r>
      <rPr>
        <i val="true"/>
        <sz val="10"/>
        <color rgb="FF595959"/>
        <rFont val="Noto Sans CJK SC"/>
        <family val="2"/>
      </rPr>
      <t xml:space="preserve">）；</t>
    </r>
    <r>
      <rPr>
        <i val="true"/>
        <sz val="10"/>
        <color rgb="FF595959"/>
        <rFont val="Arial"/>
        <family val="0"/>
        <charset val="1"/>
      </rPr>
      <t xml:space="preserve">2027E</t>
    </r>
    <r>
      <rPr>
        <i val="true"/>
        <sz val="10"/>
        <color rgb="FF595959"/>
        <rFont val="Noto Sans CJK SC"/>
        <family val="2"/>
      </rPr>
      <t xml:space="preserve">起为</t>
    </r>
    <r>
      <rPr>
        <i val="true"/>
        <sz val="10"/>
        <color rgb="FF595959"/>
        <rFont val="Arial"/>
        <family val="0"/>
        <charset val="1"/>
      </rPr>
      <t xml:space="preserve">0</t>
    </r>
  </si>
  <si>
    <t xml:space="preserve">营业外收支净额</t>
  </si>
  <si>
    <r>
      <rPr>
        <b val="true"/>
        <sz val="10"/>
        <color rgb="FF1F3864"/>
        <rFont val="Arial"/>
        <family val="0"/>
        <charset val="1"/>
      </rPr>
      <t xml:space="preserve">D. </t>
    </r>
    <r>
      <rPr>
        <b val="true"/>
        <sz val="10"/>
        <color rgb="FF1F3864"/>
        <rFont val="Noto Sans CJK SC"/>
        <family val="2"/>
      </rPr>
      <t xml:space="preserve">所得税桥</t>
    </r>
  </si>
  <si>
    <t xml:space="preserve">按法定适用税率计算的所得税</t>
  </si>
  <si>
    <t xml:space="preserve">子公司适用不同税率的影响</t>
  </si>
  <si>
    <t xml:space="preserve">研发费用加计扣除的影响</t>
  </si>
  <si>
    <t xml:space="preserve">其他调整（不可抵扣、以前年度、非应税等）</t>
  </si>
  <si>
    <t xml:space="preserve">所得税费用</t>
  </si>
  <si>
    <t xml:space="preserve">  税率差异对税率的影响</t>
  </si>
  <si>
    <t xml:space="preserve">pp</t>
  </si>
  <si>
    <t xml:space="preserve">  加计扣除对税率的影响</t>
  </si>
  <si>
    <t xml:space="preserve">  其他调整对税率的影响</t>
  </si>
  <si>
    <r>
      <rPr>
        <b val="true"/>
        <sz val="14"/>
        <color rgb="FF1F3864"/>
        <rFont val="Noto Sans CJK SC"/>
        <family val="2"/>
      </rPr>
      <t xml:space="preserve">股本、库存股、</t>
    </r>
    <r>
      <rPr>
        <b val="true"/>
        <sz val="14"/>
        <color rgb="FF1F3864"/>
        <rFont val="Arial"/>
        <family val="0"/>
        <charset val="1"/>
      </rPr>
      <t xml:space="preserve">H</t>
    </r>
    <r>
      <rPr>
        <b val="true"/>
        <sz val="14"/>
        <color rgb="FF1F3864"/>
        <rFont val="Noto Sans CJK SC"/>
        <family val="2"/>
      </rPr>
      <t xml:space="preserve">股募资与分红</t>
    </r>
  </si>
  <si>
    <r>
      <rPr>
        <i val="true"/>
        <sz val="10"/>
        <color rgb="FF595959"/>
        <rFont val="Noto Sans CJK SC"/>
        <family val="2"/>
      </rPr>
      <t xml:space="preserve">期末流通股本</t>
    </r>
    <r>
      <rPr>
        <i val="true"/>
        <sz val="10"/>
        <color rgb="FF595959"/>
        <rFont val="Arial"/>
        <family val="0"/>
        <charset val="1"/>
      </rPr>
      <t xml:space="preserve">=</t>
    </r>
    <r>
      <rPr>
        <i val="true"/>
        <sz val="10"/>
        <color rgb="FF595959"/>
        <rFont val="Noto Sans CJK SC"/>
        <family val="2"/>
      </rPr>
      <t xml:space="preserve">总股本</t>
    </r>
    <r>
      <rPr>
        <i val="true"/>
        <sz val="10"/>
        <color rgb="FF595959"/>
        <rFont val="Arial"/>
        <family val="0"/>
        <charset val="1"/>
      </rPr>
      <t xml:space="preserve">-</t>
    </r>
    <r>
      <rPr>
        <i val="true"/>
        <sz val="10"/>
        <color rgb="FF595959"/>
        <rFont val="Noto Sans CJK SC"/>
        <family val="2"/>
      </rPr>
      <t xml:space="preserve">库存股，用于</t>
    </r>
    <r>
      <rPr>
        <i val="true"/>
        <sz val="10"/>
        <color rgb="FF595959"/>
        <rFont val="Arial"/>
        <family val="0"/>
        <charset val="1"/>
      </rPr>
      <t xml:space="preserve">EPS</t>
    </r>
    <r>
      <rPr>
        <i val="true"/>
        <sz val="10"/>
        <color rgb="FF595959"/>
        <rFont val="Noto Sans CJK SC"/>
        <family val="2"/>
      </rPr>
      <t xml:space="preserve">、每股净资产与市场倍数；</t>
    </r>
    <r>
      <rPr>
        <i val="true"/>
        <sz val="10"/>
        <color rgb="FF595959"/>
        <rFont val="Arial"/>
        <family val="0"/>
        <charset val="1"/>
      </rPr>
      <t xml:space="preserve">DCF</t>
    </r>
    <r>
      <rPr>
        <i val="true"/>
        <sz val="10"/>
        <color rgb="FF595959"/>
        <rFont val="Noto Sans CJK SC"/>
        <family val="2"/>
      </rPr>
      <t xml:space="preserve">每股价值按含库存股的总股本（全面摊薄）。</t>
    </r>
    <r>
      <rPr>
        <i val="true"/>
        <sz val="10"/>
        <color rgb="FF595959"/>
        <rFont val="Arial"/>
        <family val="0"/>
        <charset val="1"/>
      </rPr>
      <t xml:space="preserve">H</t>
    </r>
    <r>
      <rPr>
        <i val="true"/>
        <sz val="10"/>
        <color rgb="FF595959"/>
        <rFont val="Noto Sans CJK SC"/>
        <family val="2"/>
      </rPr>
      <t xml:space="preserve">股于</t>
    </r>
    <r>
      <rPr>
        <i val="true"/>
        <sz val="10"/>
        <color rgb="FF595959"/>
        <rFont val="Arial"/>
        <family val="0"/>
        <charset val="1"/>
      </rPr>
      <t xml:space="preserve">2026-07-09</t>
    </r>
    <r>
      <rPr>
        <i val="true"/>
        <sz val="10"/>
        <color rgb="FF595959"/>
        <rFont val="Noto Sans CJK SC"/>
        <family val="2"/>
      </rPr>
      <t xml:space="preserve">上市。</t>
    </r>
  </si>
  <si>
    <r>
      <rPr>
        <sz val="10"/>
        <color rgb="FF000000"/>
        <rFont val="Arial"/>
        <family val="0"/>
        <charset val="1"/>
      </rPr>
      <t xml:space="preserve">H</t>
    </r>
    <r>
      <rPr>
        <sz val="10"/>
        <color rgb="FF000000"/>
        <rFont val="Noto Sans CJK SC"/>
        <family val="2"/>
      </rPr>
      <t xml:space="preserve">股新发股数</t>
    </r>
  </si>
  <si>
    <t xml:space="preserve">百万股</t>
  </si>
  <si>
    <r>
      <rPr>
        <sz val="10"/>
        <color rgb="FF000000"/>
        <rFont val="Arial"/>
        <family val="0"/>
        <charset val="1"/>
      </rPr>
      <t xml:space="preserve">H</t>
    </r>
    <r>
      <rPr>
        <sz val="10"/>
        <color rgb="FF000000"/>
        <rFont val="Noto Sans CJK SC"/>
        <family val="2"/>
      </rPr>
      <t xml:space="preserve">股募资总额</t>
    </r>
  </si>
  <si>
    <r>
      <rPr>
        <b val="true"/>
        <sz val="10"/>
        <color rgb="FF000000"/>
        <rFont val="Arial"/>
        <family val="0"/>
        <charset val="1"/>
      </rPr>
      <t xml:space="preserve">H</t>
    </r>
    <r>
      <rPr>
        <b val="true"/>
        <sz val="10"/>
        <color rgb="FF000000"/>
        <rFont val="Noto Sans CJK SC"/>
        <family val="2"/>
      </rPr>
      <t xml:space="preserve">股募资净额</t>
    </r>
  </si>
  <si>
    <t xml:space="preserve">期末总股本</t>
  </si>
  <si>
    <t xml:space="preserve">当年回购金额</t>
  </si>
  <si>
    <t xml:space="preserve">当年回购股数</t>
  </si>
  <si>
    <t xml:space="preserve">期末库存股</t>
  </si>
  <si>
    <t xml:space="preserve">期末流通股本（扣除库存股）</t>
  </si>
  <si>
    <r>
      <rPr>
        <sz val="10"/>
        <color rgb="FF000000"/>
        <rFont val="Noto Sans CJK SC"/>
        <family val="2"/>
      </rPr>
      <t xml:space="preserve">加权平均股本（历史</t>
    </r>
    <r>
      <rPr>
        <sz val="10"/>
        <color rgb="FF000000"/>
        <rFont val="Arial"/>
        <family val="0"/>
        <charset val="1"/>
      </rPr>
      <t xml:space="preserve">=</t>
    </r>
    <r>
      <rPr>
        <sz val="10"/>
        <color rgb="FF000000"/>
        <rFont val="Noto Sans CJK SC"/>
        <family val="2"/>
      </rPr>
      <t xml:space="preserve">归母净利润</t>
    </r>
    <r>
      <rPr>
        <sz val="10"/>
        <color rgb="FF000000"/>
        <rFont val="Arial"/>
        <family val="0"/>
        <charset val="1"/>
      </rPr>
      <t xml:space="preserve">÷</t>
    </r>
    <r>
      <rPr>
        <sz val="10"/>
        <color rgb="FF000000"/>
        <rFont val="Noto Sans CJK SC"/>
        <family val="2"/>
      </rPr>
      <t xml:space="preserve">报告基本每股收益；预测</t>
    </r>
    <r>
      <rPr>
        <sz val="10"/>
        <color rgb="FF000000"/>
        <rFont val="Arial"/>
        <family val="0"/>
        <charset val="1"/>
      </rPr>
      <t xml:space="preserve">H</t>
    </r>
    <r>
      <rPr>
        <sz val="10"/>
        <color rgb="FF000000"/>
        <rFont val="Noto Sans CJK SC"/>
        <family val="2"/>
      </rPr>
      <t xml:space="preserve">股按上市后天数加权）</t>
    </r>
  </si>
  <si>
    <t xml:space="preserve">  对应每股股利</t>
  </si>
  <si>
    <t xml:space="preserve">三表联动预测（利润表、资产负债表、现金流量表）</t>
  </si>
  <si>
    <r>
      <rPr>
        <i val="true"/>
        <sz val="10"/>
        <color rgb="FF595959"/>
        <rFont val="Arial"/>
        <family val="0"/>
        <charset val="1"/>
      </rPr>
      <t xml:space="preserve">2021A-2025A</t>
    </r>
    <r>
      <rPr>
        <i val="true"/>
        <sz val="10"/>
        <color rgb="FF595959"/>
        <rFont val="Noto Sans CJK SC"/>
        <family val="2"/>
      </rPr>
      <t xml:space="preserve">链接历史报表；</t>
    </r>
    <r>
      <rPr>
        <i val="true"/>
        <sz val="10"/>
        <color rgb="FF595959"/>
        <rFont val="Arial"/>
        <family val="0"/>
        <charset val="1"/>
      </rPr>
      <t xml:space="preserve">2026E-2030E</t>
    </r>
    <r>
      <rPr>
        <i val="true"/>
        <sz val="10"/>
        <color rgb="FF595959"/>
        <rFont val="Noto Sans CJK SC"/>
        <family val="2"/>
      </rPr>
      <t xml:space="preserve">链接各明细模块。货币资金由现金流量表倒挤，资产负债表自动配平。</t>
    </r>
  </si>
  <si>
    <t xml:space="preserve">利润表</t>
  </si>
  <si>
    <t xml:space="preserve">营业成本</t>
  </si>
  <si>
    <r>
      <rPr>
        <sz val="10"/>
        <color rgb="FF000000"/>
        <rFont val="Noto Sans CJK SC"/>
        <family val="2"/>
      </rPr>
      <t xml:space="preserve">投资收益</t>
    </r>
    <r>
      <rPr>
        <sz val="10"/>
        <color rgb="FF000000"/>
        <rFont val="Arial"/>
        <family val="0"/>
        <charset val="1"/>
      </rPr>
      <t xml:space="preserve">+</t>
    </r>
    <r>
      <rPr>
        <sz val="10"/>
        <color rgb="FF000000"/>
        <rFont val="Noto Sans CJK SC"/>
        <family val="2"/>
      </rPr>
      <t xml:space="preserve">公允价值变动</t>
    </r>
  </si>
  <si>
    <t xml:space="preserve">资产及信用减值损失</t>
  </si>
  <si>
    <t xml:space="preserve">所得税</t>
  </si>
  <si>
    <t xml:space="preserve">净利润</t>
  </si>
  <si>
    <t xml:space="preserve">少数股东损益</t>
  </si>
  <si>
    <r>
      <rPr>
        <b val="true"/>
        <sz val="10"/>
        <color rgb="FF000000"/>
        <rFont val="Arial"/>
        <family val="0"/>
        <charset val="1"/>
      </rPr>
      <t xml:space="preserve">EPS</t>
    </r>
    <r>
      <rPr>
        <b val="true"/>
        <sz val="10"/>
        <color rgb="FF000000"/>
        <rFont val="Noto Sans CJK SC"/>
        <family val="2"/>
      </rPr>
      <t xml:space="preserve">（按期末流通股本，扣除库存股，元）</t>
    </r>
  </si>
  <si>
    <t xml:space="preserve">元</t>
  </si>
  <si>
    <r>
      <rPr>
        <sz val="10"/>
        <color rgb="FF000000"/>
        <rFont val="Arial"/>
        <family val="0"/>
        <charset val="1"/>
      </rPr>
      <t xml:space="preserve">EPS</t>
    </r>
    <r>
      <rPr>
        <sz val="10"/>
        <color rgb="FF000000"/>
        <rFont val="Noto Sans CJK SC"/>
        <family val="2"/>
      </rPr>
      <t xml:space="preserve">（加权平均股本，元；历史</t>
    </r>
    <r>
      <rPr>
        <sz val="10"/>
        <color rgb="FF000000"/>
        <rFont val="Arial"/>
        <family val="0"/>
        <charset val="1"/>
      </rPr>
      <t xml:space="preserve">=</t>
    </r>
    <r>
      <rPr>
        <sz val="10"/>
        <color rgb="FF000000"/>
        <rFont val="Noto Sans CJK SC"/>
        <family val="2"/>
      </rPr>
      <t xml:space="preserve">报告基本每股收益）</t>
    </r>
  </si>
  <si>
    <r>
      <rPr>
        <b val="true"/>
        <sz val="10"/>
        <color rgb="FF000000"/>
        <rFont val="Arial"/>
        <family val="0"/>
        <charset val="1"/>
      </rPr>
      <t xml:space="preserve">EBIT</t>
    </r>
    <r>
      <rPr>
        <b val="true"/>
        <sz val="10"/>
        <color rgb="FF000000"/>
        <rFont val="Noto Sans CJK SC"/>
        <family val="2"/>
      </rPr>
      <t xml:space="preserve">（剔除利息收支与理财收益；汇兑损益与手续费保留）</t>
    </r>
  </si>
  <si>
    <r>
      <rPr>
        <sz val="10"/>
        <color rgb="FF000000"/>
        <rFont val="Noto Sans CJK SC"/>
        <family val="2"/>
      </rPr>
      <t xml:space="preserve">  校验：营业利润</t>
    </r>
    <r>
      <rPr>
        <sz val="10"/>
        <color rgb="FF000000"/>
        <rFont val="Arial"/>
        <family val="0"/>
        <charset val="1"/>
      </rPr>
      <t xml:space="preserve">-</t>
    </r>
    <r>
      <rPr>
        <sz val="10"/>
        <color rgb="FF000000"/>
        <rFont val="Noto Sans CJK SC"/>
        <family val="2"/>
      </rPr>
      <t xml:space="preserve">报告值（历史）</t>
    </r>
  </si>
  <si>
    <t xml:space="preserve">资产负债表</t>
  </si>
  <si>
    <t xml:space="preserve">交易性金融资产</t>
  </si>
  <si>
    <t xml:space="preserve">流动资产合计</t>
  </si>
  <si>
    <r>
      <rPr>
        <sz val="10"/>
        <color rgb="FF000000"/>
        <rFont val="Noto Sans CJK SC"/>
        <family val="2"/>
      </rPr>
      <t xml:space="preserve">固定资产</t>
    </r>
    <r>
      <rPr>
        <sz val="10"/>
        <color rgb="FF000000"/>
        <rFont val="Arial"/>
        <family val="0"/>
        <charset val="1"/>
      </rPr>
      <t xml:space="preserve">+</t>
    </r>
    <r>
      <rPr>
        <sz val="10"/>
        <color rgb="FF000000"/>
        <rFont val="Noto Sans CJK SC"/>
        <family val="2"/>
      </rPr>
      <t xml:space="preserve">在建工程</t>
    </r>
  </si>
  <si>
    <t xml:space="preserve">无形资产及长期待摊费用</t>
  </si>
  <si>
    <t xml:space="preserve">使用权资产</t>
  </si>
  <si>
    <t xml:space="preserve">商誉、投资性房地产及股权投资</t>
  </si>
  <si>
    <t xml:space="preserve">递延所得税资产</t>
  </si>
  <si>
    <t xml:space="preserve">其他非流动资产（含定期存款）</t>
  </si>
  <si>
    <t xml:space="preserve">非流动资产合计</t>
  </si>
  <si>
    <t xml:space="preserve">租赁负债</t>
  </si>
  <si>
    <t xml:space="preserve">其他非流动负债（递延收益、递延所得税负债、预计负债等）</t>
  </si>
  <si>
    <t xml:space="preserve">少数股东权益</t>
  </si>
  <si>
    <t xml:space="preserve">所有者权益合计</t>
  </si>
  <si>
    <t xml:space="preserve">负债和所有者权益总计</t>
  </si>
  <si>
    <r>
      <rPr>
        <sz val="10"/>
        <color rgb="FF000000"/>
        <rFont val="Noto Sans CJK SC"/>
        <family val="2"/>
      </rPr>
      <t xml:space="preserve">  校验：资产</t>
    </r>
    <r>
      <rPr>
        <sz val="10"/>
        <color rgb="FF000000"/>
        <rFont val="Arial"/>
        <family val="0"/>
        <charset val="1"/>
      </rPr>
      <t xml:space="preserve">-</t>
    </r>
    <r>
      <rPr>
        <sz val="10"/>
        <color rgb="FF000000"/>
        <rFont val="Noto Sans CJK SC"/>
        <family val="2"/>
      </rPr>
      <t xml:space="preserve">负债</t>
    </r>
    <r>
      <rPr>
        <sz val="10"/>
        <color rgb="FF000000"/>
        <rFont val="Arial"/>
        <family val="0"/>
        <charset val="1"/>
      </rPr>
      <t xml:space="preserve">-</t>
    </r>
    <r>
      <rPr>
        <sz val="10"/>
        <color rgb="FF000000"/>
        <rFont val="Noto Sans CJK SC"/>
        <family val="2"/>
      </rPr>
      <t xml:space="preserve">权益</t>
    </r>
  </si>
  <si>
    <r>
      <rPr>
        <sz val="10"/>
        <color rgb="FF000000"/>
        <rFont val="Noto Sans CJK SC"/>
        <family val="2"/>
      </rPr>
      <t xml:space="preserve">  校验：资产总计</t>
    </r>
    <r>
      <rPr>
        <sz val="10"/>
        <color rgb="FF000000"/>
        <rFont val="Arial"/>
        <family val="0"/>
        <charset val="1"/>
      </rPr>
      <t xml:space="preserve">-</t>
    </r>
    <r>
      <rPr>
        <sz val="10"/>
        <color rgb="FF000000"/>
        <rFont val="Noto Sans CJK SC"/>
        <family val="2"/>
      </rPr>
      <t xml:space="preserve">报告值（历史）</t>
    </r>
  </si>
  <si>
    <r>
      <rPr>
        <sz val="10"/>
        <color rgb="FF000000"/>
        <rFont val="Noto Sans CJK SC"/>
        <family val="2"/>
      </rPr>
      <t xml:space="preserve">  校验：负债合计</t>
    </r>
    <r>
      <rPr>
        <sz val="10"/>
        <color rgb="FF000000"/>
        <rFont val="Arial"/>
        <family val="0"/>
        <charset val="1"/>
      </rPr>
      <t xml:space="preserve">-</t>
    </r>
    <r>
      <rPr>
        <sz val="10"/>
        <color rgb="FF000000"/>
        <rFont val="Noto Sans CJK SC"/>
        <family val="2"/>
      </rPr>
      <t xml:space="preserve">报告值（历史）</t>
    </r>
  </si>
  <si>
    <t xml:space="preserve">现金流量表（预测为间接法；历史为报告值）</t>
  </si>
  <si>
    <t xml:space="preserve">营运资本变动（增加为负）</t>
  </si>
  <si>
    <t xml:space="preserve">其他调整（预测：扣除理财收益、加回固定资产减值）</t>
  </si>
  <si>
    <t xml:space="preserve">处置长期资产收回现金</t>
  </si>
  <si>
    <t xml:space="preserve">理财收益、理财与定期存款净额及其他投资</t>
  </si>
  <si>
    <t xml:space="preserve">投资活动现金流量净额</t>
  </si>
  <si>
    <t xml:space="preserve">借款净增加</t>
  </si>
  <si>
    <t xml:space="preserve">现金股利（历史含利息支付）</t>
  </si>
  <si>
    <r>
      <rPr>
        <sz val="10"/>
        <color rgb="FF000000"/>
        <rFont val="Arial"/>
        <family val="0"/>
        <charset val="1"/>
      </rPr>
      <t xml:space="preserve">H</t>
    </r>
    <r>
      <rPr>
        <sz val="10"/>
        <color rgb="FF000000"/>
        <rFont val="Noto Sans CJK SC"/>
        <family val="2"/>
      </rPr>
      <t xml:space="preserve">股募资净额及其他股权融资</t>
    </r>
  </si>
  <si>
    <t xml:space="preserve">租赁付款（本金）</t>
  </si>
  <si>
    <t xml:space="preserve">其他筹资活动</t>
  </si>
  <si>
    <t xml:space="preserve">筹资活动现金流量净额</t>
  </si>
  <si>
    <t xml:space="preserve">汇率变动影响</t>
  </si>
  <si>
    <t xml:space="preserve">现金净增加额</t>
  </si>
  <si>
    <r>
      <rPr>
        <sz val="10"/>
        <color rgb="FF000000"/>
        <rFont val="Noto Sans CJK SC"/>
        <family val="2"/>
      </rPr>
      <t xml:space="preserve">  校验：现金净增加额</t>
    </r>
    <r>
      <rPr>
        <sz val="10"/>
        <color rgb="FF000000"/>
        <rFont val="Arial"/>
        <family val="0"/>
        <charset val="1"/>
      </rPr>
      <t xml:space="preserve">-</t>
    </r>
    <r>
      <rPr>
        <sz val="10"/>
        <color rgb="FF000000"/>
        <rFont val="Noto Sans CJK SC"/>
        <family val="2"/>
      </rPr>
      <t xml:space="preserve">报告值（历史）</t>
    </r>
  </si>
  <si>
    <r>
      <rPr>
        <sz val="10"/>
        <color rgb="FF000000"/>
        <rFont val="Noto Sans CJK SC"/>
        <family val="2"/>
      </rPr>
      <t xml:space="preserve">  校验：货币资金变动</t>
    </r>
    <r>
      <rPr>
        <sz val="10"/>
        <color rgb="FF000000"/>
        <rFont val="Arial"/>
        <family val="0"/>
        <charset val="1"/>
      </rPr>
      <t xml:space="preserve">-</t>
    </r>
    <r>
      <rPr>
        <sz val="10"/>
        <color rgb="FF000000"/>
        <rFont val="Noto Sans CJK SC"/>
        <family val="2"/>
      </rPr>
      <t xml:space="preserve">现金净增加额（预测）</t>
    </r>
  </si>
  <si>
    <t xml:space="preserve">回报、杜邦分解与现金转换</t>
  </si>
  <si>
    <r>
      <rPr>
        <i val="true"/>
        <sz val="10"/>
        <color rgb="FF595959"/>
        <rFont val="Arial"/>
        <family val="0"/>
        <charset val="1"/>
      </rPr>
      <t xml:space="preserve">ROE=</t>
    </r>
    <r>
      <rPr>
        <i val="true"/>
        <sz val="10"/>
        <color rgb="FF595959"/>
        <rFont val="Noto Sans CJK SC"/>
        <family val="2"/>
      </rPr>
      <t xml:space="preserve">净利率</t>
    </r>
    <r>
      <rPr>
        <i val="true"/>
        <sz val="10"/>
        <color rgb="FF595959"/>
        <rFont val="Arial"/>
        <family val="0"/>
        <charset val="1"/>
      </rPr>
      <t xml:space="preserve">×</t>
    </r>
    <r>
      <rPr>
        <i val="true"/>
        <sz val="10"/>
        <color rgb="FF595959"/>
        <rFont val="Noto Sans CJK SC"/>
        <family val="2"/>
      </rPr>
      <t xml:space="preserve">总资产周转率</t>
    </r>
    <r>
      <rPr>
        <i val="true"/>
        <sz val="10"/>
        <color rgb="FF595959"/>
        <rFont val="Arial"/>
        <family val="0"/>
        <charset val="1"/>
      </rPr>
      <t xml:space="preserve">×</t>
    </r>
    <r>
      <rPr>
        <i val="true"/>
        <sz val="10"/>
        <color rgb="FF595959"/>
        <rFont val="Noto Sans CJK SC"/>
        <family val="2"/>
      </rPr>
      <t xml:space="preserve">权益乘数（平均口径）；</t>
    </r>
    <r>
      <rPr>
        <i val="true"/>
        <sz val="10"/>
        <color rgb="FF595959"/>
        <rFont val="Arial"/>
        <family val="0"/>
        <charset val="1"/>
      </rPr>
      <t xml:space="preserve">ROIC=NOPAT/</t>
    </r>
    <r>
      <rPr>
        <i val="true"/>
        <sz val="10"/>
        <color rgb="FF595959"/>
        <rFont val="Noto Sans CJK SC"/>
        <family val="2"/>
      </rPr>
      <t xml:space="preserve">平均投入资本（权益</t>
    </r>
    <r>
      <rPr>
        <i val="true"/>
        <sz val="10"/>
        <color rgb="FF595959"/>
        <rFont val="Arial"/>
        <family val="0"/>
        <charset val="1"/>
      </rPr>
      <t xml:space="preserve">+</t>
    </r>
    <r>
      <rPr>
        <i val="true"/>
        <sz val="10"/>
        <color rgb="FF595959"/>
        <rFont val="Noto Sans CJK SC"/>
        <family val="2"/>
      </rPr>
      <t xml:space="preserve">有息负债</t>
    </r>
    <r>
      <rPr>
        <i val="true"/>
        <sz val="10"/>
        <color rgb="FF595959"/>
        <rFont val="Arial"/>
        <family val="0"/>
        <charset val="1"/>
      </rPr>
      <t xml:space="preserve">+</t>
    </r>
    <r>
      <rPr>
        <i val="true"/>
        <sz val="10"/>
        <color rgb="FF595959"/>
        <rFont val="Noto Sans CJK SC"/>
        <family val="2"/>
      </rPr>
      <t xml:space="preserve">租赁负债</t>
    </r>
    <r>
      <rPr>
        <i val="true"/>
        <sz val="10"/>
        <color rgb="FF595959"/>
        <rFont val="Arial"/>
        <family val="0"/>
        <charset val="1"/>
      </rPr>
      <t xml:space="preserve">-</t>
    </r>
    <r>
      <rPr>
        <i val="true"/>
        <sz val="10"/>
        <color rgb="FF595959"/>
        <rFont val="Noto Sans CJK SC"/>
        <family val="2"/>
      </rPr>
      <t xml:space="preserve">现金类资产）。</t>
    </r>
  </si>
  <si>
    <t xml:space="preserve">归母净利率</t>
  </si>
  <si>
    <r>
      <rPr>
        <sz val="10"/>
        <color rgb="FF000000"/>
        <rFont val="Noto Sans CJK SC"/>
        <family val="2"/>
      </rPr>
      <t xml:space="preserve">总资产周转率（收入</t>
    </r>
    <r>
      <rPr>
        <sz val="10"/>
        <color rgb="FF000000"/>
        <rFont val="Arial"/>
        <family val="0"/>
        <charset val="1"/>
      </rPr>
      <t xml:space="preserve">/</t>
    </r>
    <r>
      <rPr>
        <sz val="10"/>
        <color rgb="FF000000"/>
        <rFont val="Noto Sans CJK SC"/>
        <family val="2"/>
      </rPr>
      <t xml:space="preserve">平均总资产）</t>
    </r>
  </si>
  <si>
    <r>
      <rPr>
        <sz val="10"/>
        <color rgb="FF000000"/>
        <rFont val="Noto Sans CJK SC"/>
        <family val="2"/>
      </rPr>
      <t xml:space="preserve">权益乘数（平均总资产</t>
    </r>
    <r>
      <rPr>
        <sz val="10"/>
        <color rgb="FF000000"/>
        <rFont val="Arial"/>
        <family val="0"/>
        <charset val="1"/>
      </rPr>
      <t xml:space="preserve">/</t>
    </r>
    <r>
      <rPr>
        <sz val="10"/>
        <color rgb="FF000000"/>
        <rFont val="Noto Sans CJK SC"/>
        <family val="2"/>
      </rPr>
      <t xml:space="preserve">平均归母权益）</t>
    </r>
  </si>
  <si>
    <r>
      <rPr>
        <b val="true"/>
        <sz val="10"/>
        <color rgb="FF000000"/>
        <rFont val="Arial"/>
        <family val="0"/>
        <charset val="1"/>
      </rPr>
      <t xml:space="preserve">ROE</t>
    </r>
    <r>
      <rPr>
        <b val="true"/>
        <sz val="10"/>
        <color rgb="FF000000"/>
        <rFont val="Noto Sans CJK SC"/>
        <family val="2"/>
      </rPr>
      <t xml:space="preserve">（杜邦，平均口径）</t>
    </r>
  </si>
  <si>
    <r>
      <rPr>
        <sz val="10"/>
        <color rgb="FF000000"/>
        <rFont val="Arial"/>
        <family val="0"/>
        <charset val="1"/>
      </rPr>
      <t xml:space="preserve">NOPAT</t>
    </r>
    <r>
      <rPr>
        <sz val="10"/>
        <color rgb="FF000000"/>
        <rFont val="Noto Sans CJK SC"/>
        <family val="2"/>
      </rPr>
      <t xml:space="preserve">（</t>
    </r>
    <r>
      <rPr>
        <sz val="10"/>
        <color rgb="FF000000"/>
        <rFont val="Arial"/>
        <family val="0"/>
        <charset val="1"/>
      </rPr>
      <t xml:space="preserve">EBIT×(1-</t>
    </r>
    <r>
      <rPr>
        <sz val="10"/>
        <color rgb="FF000000"/>
        <rFont val="Noto Sans CJK SC"/>
        <family val="2"/>
      </rPr>
      <t xml:space="preserve">实际税率</t>
    </r>
    <r>
      <rPr>
        <sz val="10"/>
        <color rgb="FF000000"/>
        <rFont val="Arial"/>
        <family val="0"/>
        <charset val="1"/>
      </rPr>
      <t xml:space="preserve">)</t>
    </r>
    <r>
      <rPr>
        <sz val="10"/>
        <color rgb="FF000000"/>
        <rFont val="Noto Sans CJK SC"/>
        <family val="2"/>
      </rPr>
      <t xml:space="preserve">）</t>
    </r>
  </si>
  <si>
    <r>
      <rPr>
        <sz val="10"/>
        <color rgb="FF000000"/>
        <rFont val="Noto Sans CJK SC"/>
        <family val="2"/>
      </rPr>
      <t xml:space="preserve">投入资本（权益</t>
    </r>
    <r>
      <rPr>
        <sz val="10"/>
        <color rgb="FF000000"/>
        <rFont val="Arial"/>
        <family val="0"/>
        <charset val="1"/>
      </rPr>
      <t xml:space="preserve">+</t>
    </r>
    <r>
      <rPr>
        <sz val="10"/>
        <color rgb="FF000000"/>
        <rFont val="Noto Sans CJK SC"/>
        <family val="2"/>
      </rPr>
      <t xml:space="preserve">有息负债</t>
    </r>
    <r>
      <rPr>
        <sz val="10"/>
        <color rgb="FF000000"/>
        <rFont val="Arial"/>
        <family val="0"/>
        <charset val="1"/>
      </rPr>
      <t xml:space="preserve">+</t>
    </r>
    <r>
      <rPr>
        <sz val="10"/>
        <color rgb="FF000000"/>
        <rFont val="Noto Sans CJK SC"/>
        <family val="2"/>
      </rPr>
      <t xml:space="preserve">租赁</t>
    </r>
    <r>
      <rPr>
        <sz val="10"/>
        <color rgb="FF000000"/>
        <rFont val="Arial"/>
        <family val="0"/>
        <charset val="1"/>
      </rPr>
      <t xml:space="preserve">-</t>
    </r>
    <r>
      <rPr>
        <sz val="10"/>
        <color rgb="FF000000"/>
        <rFont val="Noto Sans CJK SC"/>
        <family val="2"/>
      </rPr>
      <t xml:space="preserve">现金</t>
    </r>
    <r>
      <rPr>
        <sz val="10"/>
        <color rgb="FF000000"/>
        <rFont val="Arial"/>
        <family val="0"/>
        <charset val="1"/>
      </rPr>
      <t xml:space="preserve">-</t>
    </r>
    <r>
      <rPr>
        <sz val="10"/>
        <color rgb="FF000000"/>
        <rFont val="Noto Sans CJK SC"/>
        <family val="2"/>
      </rPr>
      <t xml:space="preserve">理财</t>
    </r>
    <r>
      <rPr>
        <sz val="10"/>
        <color rgb="FF000000"/>
        <rFont val="Arial"/>
        <family val="0"/>
        <charset val="1"/>
      </rPr>
      <t xml:space="preserve">-</t>
    </r>
    <r>
      <rPr>
        <sz val="10"/>
        <color rgb="FF000000"/>
        <rFont val="Noto Sans CJK SC"/>
        <family val="2"/>
      </rPr>
      <t xml:space="preserve">其他非流动资产）</t>
    </r>
  </si>
  <si>
    <r>
      <rPr>
        <b val="true"/>
        <sz val="10"/>
        <color rgb="FF000000"/>
        <rFont val="Arial"/>
        <family val="0"/>
        <charset val="1"/>
      </rPr>
      <t xml:space="preserve">ROIC</t>
    </r>
    <r>
      <rPr>
        <b val="true"/>
        <sz val="10"/>
        <color rgb="FF000000"/>
        <rFont val="Noto Sans CJK SC"/>
        <family val="2"/>
      </rPr>
      <t xml:space="preserve">（</t>
    </r>
    <r>
      <rPr>
        <b val="true"/>
        <sz val="10"/>
        <color rgb="FF000000"/>
        <rFont val="Arial"/>
        <family val="0"/>
        <charset val="1"/>
      </rPr>
      <t xml:space="preserve">NOPAT/</t>
    </r>
    <r>
      <rPr>
        <b val="true"/>
        <sz val="10"/>
        <color rgb="FF000000"/>
        <rFont val="Noto Sans CJK SC"/>
        <family val="2"/>
      </rPr>
      <t xml:space="preserve">平均投入资本）</t>
    </r>
  </si>
  <si>
    <r>
      <rPr>
        <sz val="10"/>
        <color rgb="FF000000"/>
        <rFont val="Noto Sans CJK SC"/>
        <family val="2"/>
      </rPr>
      <t xml:space="preserve">增量</t>
    </r>
    <r>
      <rPr>
        <sz val="10"/>
        <color rgb="FF000000"/>
        <rFont val="Arial"/>
        <family val="0"/>
        <charset val="1"/>
      </rPr>
      <t xml:space="preserve">ROIC</t>
    </r>
    <r>
      <rPr>
        <sz val="10"/>
        <color rgb="FF000000"/>
        <rFont val="Noto Sans CJK SC"/>
        <family val="2"/>
      </rPr>
      <t xml:space="preserve">（</t>
    </r>
    <r>
      <rPr>
        <sz val="10"/>
        <color rgb="FF000000"/>
        <rFont val="Arial"/>
        <family val="0"/>
        <charset val="1"/>
      </rPr>
      <t xml:space="preserve">ΔNOPAT/Δ</t>
    </r>
    <r>
      <rPr>
        <sz val="10"/>
        <color rgb="FF000000"/>
        <rFont val="Noto Sans CJK SC"/>
        <family val="2"/>
      </rPr>
      <t xml:space="preserve">投入资本）</t>
    </r>
  </si>
  <si>
    <r>
      <rPr>
        <sz val="10"/>
        <color rgb="FF000000"/>
        <rFont val="Noto Sans CJK SC"/>
        <family val="2"/>
      </rPr>
      <t xml:space="preserve">现金转换率（经营现金流</t>
    </r>
    <r>
      <rPr>
        <sz val="10"/>
        <color rgb="FF000000"/>
        <rFont val="Arial"/>
        <family val="0"/>
        <charset val="1"/>
      </rPr>
      <t xml:space="preserve">/</t>
    </r>
    <r>
      <rPr>
        <sz val="10"/>
        <color rgb="FF000000"/>
        <rFont val="Noto Sans CJK SC"/>
        <family val="2"/>
      </rPr>
      <t xml:space="preserve">净利润）</t>
    </r>
  </si>
  <si>
    <r>
      <rPr>
        <sz val="10"/>
        <color rgb="FF000000"/>
        <rFont val="Noto Sans CJK SC"/>
        <family val="2"/>
      </rPr>
      <t xml:space="preserve">自由现金流</t>
    </r>
    <r>
      <rPr>
        <sz val="10"/>
        <color rgb="FF000000"/>
        <rFont val="Arial"/>
        <family val="0"/>
        <charset val="1"/>
      </rPr>
      <t xml:space="preserve">/</t>
    </r>
    <r>
      <rPr>
        <sz val="10"/>
        <color rgb="FF000000"/>
        <rFont val="Noto Sans CJK SC"/>
        <family val="2"/>
      </rPr>
      <t xml:space="preserve">净利润</t>
    </r>
  </si>
  <si>
    <r>
      <rPr>
        <sz val="10"/>
        <color rgb="FF000000"/>
        <rFont val="Noto Sans CJK SC"/>
        <family val="2"/>
      </rPr>
      <t xml:space="preserve">自由现金流收益率（</t>
    </r>
    <r>
      <rPr>
        <sz val="10"/>
        <color rgb="FF000000"/>
        <rFont val="Arial"/>
        <family val="0"/>
        <charset val="1"/>
      </rPr>
      <t xml:space="preserve">FCF/</t>
    </r>
    <r>
      <rPr>
        <sz val="10"/>
        <color rgb="FF000000"/>
        <rFont val="Noto Sans CJK SC"/>
        <family val="2"/>
      </rPr>
      <t xml:space="preserve">当前市值）</t>
    </r>
  </si>
  <si>
    <r>
      <rPr>
        <sz val="10"/>
        <color rgb="FF000000"/>
        <rFont val="Arial"/>
        <family val="0"/>
        <charset val="1"/>
      </rPr>
      <t xml:space="preserve">PE</t>
    </r>
    <r>
      <rPr>
        <sz val="10"/>
        <color rgb="FF000000"/>
        <rFont val="Noto Sans CJK SC"/>
        <family val="2"/>
      </rPr>
      <t xml:space="preserve">（当前股价</t>
    </r>
    <r>
      <rPr>
        <sz val="10"/>
        <color rgb="FF000000"/>
        <rFont val="Arial"/>
        <family val="0"/>
        <charset val="1"/>
      </rPr>
      <t xml:space="preserve">/EPS</t>
    </r>
    <r>
      <rPr>
        <sz val="10"/>
        <color rgb="FF000000"/>
        <rFont val="Noto Sans CJK SC"/>
        <family val="2"/>
      </rPr>
      <t xml:space="preserve">）</t>
    </r>
  </si>
  <si>
    <r>
      <rPr>
        <sz val="10"/>
        <color rgb="FF000000"/>
        <rFont val="Arial"/>
        <family val="0"/>
        <charset val="1"/>
      </rPr>
      <t xml:space="preserve">PB</t>
    </r>
    <r>
      <rPr>
        <sz val="10"/>
        <color rgb="FF000000"/>
        <rFont val="Noto Sans CJK SC"/>
        <family val="2"/>
      </rPr>
      <t xml:space="preserve">（当前股价</t>
    </r>
    <r>
      <rPr>
        <sz val="10"/>
        <color rgb="FF000000"/>
        <rFont val="Arial"/>
        <family val="0"/>
        <charset val="1"/>
      </rPr>
      <t xml:space="preserve">/</t>
    </r>
    <r>
      <rPr>
        <sz val="10"/>
        <color rgb="FF000000"/>
        <rFont val="Noto Sans CJK SC"/>
        <family val="2"/>
      </rPr>
      <t xml:space="preserve">每股净资产）</t>
    </r>
  </si>
  <si>
    <r>
      <rPr>
        <sz val="10"/>
        <color rgb="FF000000"/>
        <rFont val="Arial"/>
        <family val="0"/>
        <charset val="1"/>
      </rPr>
      <t xml:space="preserve">EV/EBITDA</t>
    </r>
    <r>
      <rPr>
        <sz val="10"/>
        <color rgb="FF000000"/>
        <rFont val="Noto Sans CJK SC"/>
        <family val="2"/>
      </rPr>
      <t xml:space="preserve">（</t>
    </r>
    <r>
      <rPr>
        <sz val="10"/>
        <color rgb="FF000000"/>
        <rFont val="Arial"/>
        <family val="0"/>
        <charset val="1"/>
      </rPr>
      <t xml:space="preserve">EV=</t>
    </r>
    <r>
      <rPr>
        <sz val="10"/>
        <color rgb="FF000000"/>
        <rFont val="Noto Sans CJK SC"/>
        <family val="2"/>
      </rPr>
      <t xml:space="preserve">当前股价</t>
    </r>
    <r>
      <rPr>
        <sz val="10"/>
        <color rgb="FF000000"/>
        <rFont val="Arial"/>
        <family val="0"/>
        <charset val="1"/>
      </rPr>
      <t xml:space="preserve">×2026E</t>
    </r>
    <r>
      <rPr>
        <sz val="10"/>
        <color rgb="FF000000"/>
        <rFont val="Noto Sans CJK SC"/>
        <family val="2"/>
      </rPr>
      <t xml:space="preserve">年末流通股</t>
    </r>
    <r>
      <rPr>
        <sz val="10"/>
        <color rgb="FF000000"/>
        <rFont val="Arial"/>
        <family val="0"/>
        <charset val="1"/>
      </rPr>
      <t xml:space="preserve">-2026E</t>
    </r>
    <r>
      <rPr>
        <sz val="10"/>
        <color rgb="FF000000"/>
        <rFont val="Noto Sans CJK SC"/>
        <family val="2"/>
      </rPr>
      <t xml:space="preserve">年末净现金）</t>
    </r>
  </si>
  <si>
    <r>
      <rPr>
        <b val="true"/>
        <sz val="14"/>
        <color rgb="FF1F3864"/>
        <rFont val="Arial"/>
        <family val="0"/>
        <charset val="1"/>
      </rPr>
      <t xml:space="preserve">DCF</t>
    </r>
    <r>
      <rPr>
        <b val="true"/>
        <sz val="14"/>
        <color rgb="FF1F3864"/>
        <rFont val="Noto Sans CJK SC"/>
        <family val="2"/>
      </rPr>
      <t xml:space="preserve">估值（</t>
    </r>
    <r>
      <rPr>
        <b val="true"/>
        <sz val="14"/>
        <color rgb="FF1F3864"/>
        <rFont val="Arial"/>
        <family val="0"/>
        <charset val="1"/>
      </rPr>
      <t xml:space="preserve">FCFF</t>
    </r>
    <r>
      <rPr>
        <b val="true"/>
        <sz val="14"/>
        <color rgb="FF1F3864"/>
        <rFont val="Noto Sans CJK SC"/>
        <family val="2"/>
      </rPr>
      <t xml:space="preserve">，三阶段）与反向</t>
    </r>
    <r>
      <rPr>
        <b val="true"/>
        <sz val="14"/>
        <color rgb="FF1F3864"/>
        <rFont val="Arial"/>
        <family val="0"/>
        <charset val="1"/>
      </rPr>
      <t xml:space="preserve">DCF</t>
    </r>
  </si>
  <si>
    <r>
      <rPr>
        <i val="true"/>
        <sz val="10"/>
        <color rgb="FF595959"/>
        <rFont val="Noto Sans CJK SC"/>
        <family val="2"/>
      </rPr>
      <t xml:space="preserve">估值基准日</t>
    </r>
    <r>
      <rPr>
        <i val="true"/>
        <sz val="10"/>
        <color rgb="FF595959"/>
        <rFont val="Arial"/>
        <family val="0"/>
        <charset val="1"/>
      </rPr>
      <t xml:space="preserve">2026-12-31</t>
    </r>
    <r>
      <rPr>
        <i val="true"/>
        <sz val="10"/>
        <color rgb="FF595959"/>
        <rFont val="Noto Sans CJK SC"/>
        <family val="2"/>
      </rPr>
      <t xml:space="preserve">（使用</t>
    </r>
    <r>
      <rPr>
        <i val="true"/>
        <sz val="10"/>
        <color rgb="FF595959"/>
        <rFont val="Arial"/>
        <family val="0"/>
        <charset val="1"/>
      </rPr>
      <t xml:space="preserve">2026E</t>
    </r>
    <r>
      <rPr>
        <i val="true"/>
        <sz val="10"/>
        <color rgb="FF595959"/>
        <rFont val="Noto Sans CJK SC"/>
        <family val="2"/>
      </rPr>
      <t xml:space="preserve">年末净现金，含</t>
    </r>
    <r>
      <rPr>
        <i val="true"/>
        <sz val="10"/>
        <color rgb="FF595959"/>
        <rFont val="Arial"/>
        <family val="0"/>
        <charset val="1"/>
      </rPr>
      <t xml:space="preserve">H</t>
    </r>
    <r>
      <rPr>
        <i val="true"/>
        <sz val="10"/>
        <color rgb="FF595959"/>
        <rFont val="Noto Sans CJK SC"/>
        <family val="2"/>
      </rPr>
      <t xml:space="preserve">股募资与定期存款）。第一阶段</t>
    </r>
    <r>
      <rPr>
        <i val="true"/>
        <sz val="10"/>
        <color rgb="FF595959"/>
        <rFont val="Arial"/>
        <family val="0"/>
        <charset val="1"/>
      </rPr>
      <t xml:space="preserve">2027E-2030E</t>
    </r>
    <r>
      <rPr>
        <i val="true"/>
        <sz val="10"/>
        <color rgb="FF595959"/>
        <rFont val="Noto Sans CJK SC"/>
        <family val="2"/>
      </rPr>
      <t xml:space="preserve">取自三表；第二阶段</t>
    </r>
    <r>
      <rPr>
        <i val="true"/>
        <sz val="10"/>
        <color rgb="FF595959"/>
        <rFont val="Arial"/>
        <family val="0"/>
        <charset val="1"/>
      </rPr>
      <t xml:space="preserve">2031E-2035E NOPAT</t>
    </r>
    <r>
      <rPr>
        <i val="true"/>
        <sz val="10"/>
        <color rgb="FF595959"/>
        <rFont val="Noto Sans CJK SC"/>
        <family val="2"/>
      </rPr>
      <t xml:space="preserve">按线性递减增速增长，</t>
    </r>
    <r>
      <rPr>
        <i val="true"/>
        <sz val="10"/>
        <color rgb="FF595959"/>
        <rFont val="Arial"/>
        <family val="0"/>
        <charset val="1"/>
      </rPr>
      <t xml:space="preserve">FCFF=NOPAT×(1-</t>
    </r>
    <r>
      <rPr>
        <i val="true"/>
        <sz val="10"/>
        <color rgb="FF595959"/>
        <rFont val="Noto Sans CJK SC"/>
        <family val="2"/>
      </rPr>
      <t xml:space="preserve">增速</t>
    </r>
    <r>
      <rPr>
        <i val="true"/>
        <sz val="10"/>
        <color rgb="FF595959"/>
        <rFont val="Arial"/>
        <family val="0"/>
        <charset val="1"/>
      </rPr>
      <t xml:space="preserve">÷RONIC)</t>
    </r>
    <r>
      <rPr>
        <i val="true"/>
        <sz val="10"/>
        <color rgb="FF595959"/>
        <rFont val="Noto Sans CJK SC"/>
        <family val="2"/>
      </rPr>
      <t xml:space="preserve">；永续期同理。</t>
    </r>
    <r>
      <rPr>
        <i val="true"/>
        <sz val="10"/>
        <color rgb="FF595959"/>
        <rFont val="Arial"/>
        <family val="0"/>
        <charset val="1"/>
      </rPr>
      <t xml:space="preserve">EBIT</t>
    </r>
    <r>
      <rPr>
        <i val="true"/>
        <sz val="10"/>
        <color rgb="FF595959"/>
        <rFont val="Noto Sans CJK SC"/>
        <family val="2"/>
      </rPr>
      <t xml:space="preserve">税率取各年实际税率。</t>
    </r>
  </si>
  <si>
    <r>
      <rPr>
        <sz val="10"/>
        <color rgb="FF000000"/>
        <rFont val="Noto Sans CJK SC"/>
        <family val="2"/>
      </rPr>
      <t xml:space="preserve">股权成本 </t>
    </r>
    <r>
      <rPr>
        <sz val="10"/>
        <color rgb="FF000000"/>
        <rFont val="Arial"/>
        <family val="0"/>
        <charset val="1"/>
      </rPr>
      <t xml:space="preserve">= </t>
    </r>
    <r>
      <rPr>
        <sz val="10"/>
        <color rgb="FF000000"/>
        <rFont val="Noto Sans CJK SC"/>
        <family val="2"/>
      </rPr>
      <t xml:space="preserve">无风险利率 </t>
    </r>
    <r>
      <rPr>
        <sz val="10"/>
        <color rgb="FF000000"/>
        <rFont val="Arial"/>
        <family val="0"/>
        <charset val="1"/>
      </rPr>
      <t xml:space="preserve">+ Beta × </t>
    </r>
    <r>
      <rPr>
        <sz val="10"/>
        <color rgb="FF000000"/>
        <rFont val="Noto Sans CJK SC"/>
        <family val="2"/>
      </rPr>
      <t xml:space="preserve">股权风险溢价</t>
    </r>
  </si>
  <si>
    <t xml:space="preserve">税后债务成本</t>
  </si>
  <si>
    <r>
      <rPr>
        <sz val="10"/>
        <color rgb="FF000000"/>
        <rFont val="Noto Sans CJK SC"/>
        <family val="2"/>
      </rPr>
      <t xml:space="preserve">新增投资资本回报率（</t>
    </r>
    <r>
      <rPr>
        <sz val="10"/>
        <color rgb="FF000000"/>
        <rFont val="Arial"/>
        <family val="0"/>
        <charset val="1"/>
      </rPr>
      <t xml:space="preserve">RONIC</t>
    </r>
    <r>
      <rPr>
        <sz val="10"/>
        <color rgb="FF000000"/>
        <rFont val="Noto Sans CJK SC"/>
        <family val="2"/>
      </rPr>
      <t xml:space="preserve">）</t>
    </r>
  </si>
  <si>
    <r>
      <rPr>
        <sz val="10"/>
        <color rgb="FF000000"/>
        <rFont val="Arial"/>
        <family val="0"/>
        <charset val="1"/>
      </rPr>
      <t xml:space="preserve">2030E</t>
    </r>
    <r>
      <rPr>
        <sz val="10"/>
        <color rgb="FF000000"/>
        <rFont val="Noto Sans CJK SC"/>
        <family val="2"/>
      </rPr>
      <t xml:space="preserve">营业收入增速（第一阶段末）</t>
    </r>
  </si>
  <si>
    <r>
      <rPr>
        <sz val="10"/>
        <color rgb="FF000000"/>
        <rFont val="Noto Sans CJK SC"/>
        <family val="2"/>
      </rPr>
      <t xml:space="preserve">第二阶段起点增速（</t>
    </r>
    <r>
      <rPr>
        <sz val="10"/>
        <color rgb="FF000000"/>
        <rFont val="Arial"/>
        <family val="0"/>
        <charset val="1"/>
      </rPr>
      <t xml:space="preserve">=MAX(</t>
    </r>
    <r>
      <rPr>
        <sz val="10"/>
        <color rgb="FF000000"/>
        <rFont val="Noto Sans CJK SC"/>
        <family val="2"/>
      </rPr>
      <t xml:space="preserve">永续增速</t>
    </r>
    <r>
      <rPr>
        <sz val="10"/>
        <color rgb="FF000000"/>
        <rFont val="Arial"/>
        <family val="0"/>
        <charset val="1"/>
      </rPr>
      <t xml:space="preserve">, 2030E</t>
    </r>
    <r>
      <rPr>
        <sz val="10"/>
        <color rgb="FF000000"/>
        <rFont val="Noto Sans CJK SC"/>
        <family val="2"/>
      </rPr>
      <t xml:space="preserve">收入增速</t>
    </r>
    <r>
      <rPr>
        <sz val="10"/>
        <color rgb="FF000000"/>
        <rFont val="Arial"/>
        <family val="0"/>
        <charset val="1"/>
      </rPr>
      <t xml:space="preserve">)+</t>
    </r>
    <r>
      <rPr>
        <sz val="10"/>
        <color rgb="FF000000"/>
        <rFont val="Noto Sans CJK SC"/>
        <family val="2"/>
      </rPr>
      <t xml:space="preserve">溢价）</t>
    </r>
  </si>
  <si>
    <t xml:space="preserve">第二阶段终点增速（不高于起点、不低于永续增速）</t>
  </si>
  <si>
    <r>
      <rPr>
        <b val="true"/>
        <sz val="10"/>
        <color rgb="FF1F3864"/>
        <rFont val="Noto Sans CJK SC"/>
        <family val="2"/>
      </rPr>
      <t xml:space="preserve">自由现金流（</t>
    </r>
    <r>
      <rPr>
        <b val="true"/>
        <sz val="10"/>
        <color rgb="FF1F3864"/>
        <rFont val="Arial"/>
        <family val="0"/>
        <charset val="1"/>
      </rPr>
      <t xml:space="preserve">FCFF</t>
    </r>
    <r>
      <rPr>
        <b val="true"/>
        <sz val="10"/>
        <color rgb="FF1F3864"/>
        <rFont val="Noto Sans CJK SC"/>
        <family val="2"/>
      </rPr>
      <t xml:space="preserve">）</t>
    </r>
  </si>
  <si>
    <t xml:space="preserve">项目（百万元）</t>
  </si>
  <si>
    <t xml:space="preserve">2031E</t>
  </si>
  <si>
    <t xml:space="preserve">2032E</t>
  </si>
  <si>
    <t xml:space="preserve">2033E</t>
  </si>
  <si>
    <t xml:space="preserve">2034E</t>
  </si>
  <si>
    <t xml:space="preserve">2035E</t>
  </si>
  <si>
    <t xml:space="preserve">折现期（年）</t>
  </si>
  <si>
    <r>
      <rPr>
        <sz val="10"/>
        <color rgb="FF000000"/>
        <rFont val="Arial"/>
        <family val="0"/>
        <charset val="1"/>
      </rPr>
      <t xml:space="preserve">EBIT</t>
    </r>
    <r>
      <rPr>
        <sz val="10"/>
        <color rgb="FF000000"/>
        <rFont val="Noto Sans CJK SC"/>
        <family val="2"/>
      </rPr>
      <t xml:space="preserve">（剔除利息收入与理财收益）</t>
    </r>
  </si>
  <si>
    <r>
      <rPr>
        <sz val="10"/>
        <color rgb="FF000000"/>
        <rFont val="Noto Sans CJK SC"/>
        <family val="2"/>
      </rPr>
      <t xml:space="preserve">减：</t>
    </r>
    <r>
      <rPr>
        <sz val="10"/>
        <color rgb="FF000000"/>
        <rFont val="Arial"/>
        <family val="0"/>
        <charset val="1"/>
      </rPr>
      <t xml:space="preserve">EBIT</t>
    </r>
    <r>
      <rPr>
        <sz val="10"/>
        <color rgb="FF000000"/>
        <rFont val="Noto Sans CJK SC"/>
        <family val="2"/>
      </rPr>
      <t xml:space="preserve">所得税</t>
    </r>
  </si>
  <si>
    <t xml:space="preserve">加：折旧与摊销</t>
  </si>
  <si>
    <t xml:space="preserve">减：资本开支</t>
  </si>
  <si>
    <t xml:space="preserve">减：营运资本增加</t>
  </si>
  <si>
    <t xml:space="preserve">加：处置长期资产收回现金</t>
  </si>
  <si>
    <t xml:space="preserve">增速（第二阶段，线性递减）</t>
  </si>
  <si>
    <r>
      <rPr>
        <sz val="10"/>
        <color rgb="FF000000"/>
        <rFont val="Arial"/>
        <family val="0"/>
        <charset val="1"/>
      </rPr>
      <t xml:space="preserve">NOPAT</t>
    </r>
    <r>
      <rPr>
        <sz val="10"/>
        <color rgb="FF000000"/>
        <rFont val="Noto Sans CJK SC"/>
        <family val="2"/>
      </rPr>
      <t xml:space="preserve">（</t>
    </r>
    <r>
      <rPr>
        <sz val="10"/>
        <color rgb="FF000000"/>
        <rFont val="Arial"/>
        <family val="0"/>
        <charset val="1"/>
      </rPr>
      <t xml:space="preserve">EBIT×(1-</t>
    </r>
    <r>
      <rPr>
        <sz val="10"/>
        <color rgb="FF000000"/>
        <rFont val="Noto Sans CJK SC"/>
        <family val="2"/>
      </rPr>
      <t xml:space="preserve">税率</t>
    </r>
    <r>
      <rPr>
        <sz val="10"/>
        <color rgb="FF000000"/>
        <rFont val="Arial"/>
        <family val="0"/>
        <charset val="1"/>
      </rPr>
      <t xml:space="preserve">)</t>
    </r>
    <r>
      <rPr>
        <sz val="10"/>
        <color rgb="FF000000"/>
        <rFont val="Noto Sans CJK SC"/>
        <family val="2"/>
      </rPr>
      <t xml:space="preserve">；第二阶段按增速滚动）</t>
    </r>
  </si>
  <si>
    <r>
      <rPr>
        <sz val="10"/>
        <color rgb="FF000000"/>
        <rFont val="Noto Sans CJK SC"/>
        <family val="2"/>
      </rPr>
      <t xml:space="preserve">再投资率（第一阶段</t>
    </r>
    <r>
      <rPr>
        <sz val="10"/>
        <color rgb="FF000000"/>
        <rFont val="Arial"/>
        <family val="0"/>
        <charset val="1"/>
      </rPr>
      <t xml:space="preserve">=1-FCFF/NOPAT</t>
    </r>
    <r>
      <rPr>
        <sz val="10"/>
        <color rgb="FF000000"/>
        <rFont val="Noto Sans CJK SC"/>
        <family val="2"/>
      </rPr>
      <t xml:space="preserve">；第二阶段</t>
    </r>
    <r>
      <rPr>
        <sz val="10"/>
        <color rgb="FF000000"/>
        <rFont val="Arial"/>
        <family val="0"/>
        <charset val="1"/>
      </rPr>
      <t xml:space="preserve">=</t>
    </r>
    <r>
      <rPr>
        <sz val="10"/>
        <color rgb="FF000000"/>
        <rFont val="Noto Sans CJK SC"/>
        <family val="2"/>
      </rPr>
      <t xml:space="preserve">增速</t>
    </r>
    <r>
      <rPr>
        <sz val="10"/>
        <color rgb="FF000000"/>
        <rFont val="Arial"/>
        <family val="0"/>
        <charset val="1"/>
      </rPr>
      <t xml:space="preserve">÷RONIC</t>
    </r>
    <r>
      <rPr>
        <sz val="10"/>
        <color rgb="FF000000"/>
        <rFont val="Noto Sans CJK SC"/>
        <family val="2"/>
      </rPr>
      <t xml:space="preserve">）</t>
    </r>
  </si>
  <si>
    <t xml:space="preserve">FCFF</t>
  </si>
  <si>
    <t xml:space="preserve">折现系数</t>
  </si>
  <si>
    <r>
      <rPr>
        <sz val="10"/>
        <color rgb="FF000000"/>
        <rFont val="Arial"/>
        <family val="0"/>
        <charset val="1"/>
      </rPr>
      <t xml:space="preserve">FCFF</t>
    </r>
    <r>
      <rPr>
        <sz val="10"/>
        <color rgb="FF000000"/>
        <rFont val="Noto Sans CJK SC"/>
        <family val="2"/>
      </rPr>
      <t xml:space="preserve">现值</t>
    </r>
  </si>
  <si>
    <t xml:space="preserve">企业价值与股权价值</t>
  </si>
  <si>
    <r>
      <rPr>
        <sz val="10"/>
        <color rgb="FF000000"/>
        <rFont val="Arial"/>
        <family val="0"/>
        <charset val="1"/>
      </rPr>
      <t xml:space="preserve">FCFF</t>
    </r>
    <r>
      <rPr>
        <sz val="10"/>
        <color rgb="FF000000"/>
        <rFont val="Noto Sans CJK SC"/>
        <family val="2"/>
      </rPr>
      <t xml:space="preserve">现值合计（</t>
    </r>
    <r>
      <rPr>
        <sz val="10"/>
        <color rgb="FF000000"/>
        <rFont val="Arial"/>
        <family val="0"/>
        <charset val="1"/>
      </rPr>
      <t xml:space="preserve">2027E-2035E</t>
    </r>
    <r>
      <rPr>
        <sz val="10"/>
        <color rgb="FF000000"/>
        <rFont val="Noto Sans CJK SC"/>
        <family val="2"/>
      </rPr>
      <t xml:space="preserve">）</t>
    </r>
  </si>
  <si>
    <r>
      <rPr>
        <sz val="10"/>
        <color rgb="FF000000"/>
        <rFont val="Noto Sans CJK SC"/>
        <family val="2"/>
      </rPr>
      <t xml:space="preserve">终值（</t>
    </r>
    <r>
      <rPr>
        <sz val="10"/>
        <color rgb="FF000000"/>
        <rFont val="Arial"/>
        <family val="0"/>
        <charset val="1"/>
      </rPr>
      <t xml:space="preserve">2035E</t>
    </r>
    <r>
      <rPr>
        <sz val="10"/>
        <color rgb="FF000000"/>
        <rFont val="Noto Sans CJK SC"/>
        <family val="2"/>
      </rPr>
      <t xml:space="preserve">；</t>
    </r>
    <r>
      <rPr>
        <sz val="10"/>
        <color rgb="FF000000"/>
        <rFont val="Arial"/>
        <family val="0"/>
        <charset val="1"/>
      </rPr>
      <t xml:space="preserve">=NOPAT×(1+g)×(1-g/RONIC)/(WACC-g)</t>
    </r>
    <r>
      <rPr>
        <sz val="10"/>
        <color rgb="FF000000"/>
        <rFont val="Noto Sans CJK SC"/>
        <family val="2"/>
      </rPr>
      <t xml:space="preserve">）</t>
    </r>
  </si>
  <si>
    <t xml:space="preserve">终值现值</t>
  </si>
  <si>
    <r>
      <rPr>
        <sz val="10"/>
        <color rgb="FF000000"/>
        <rFont val="Noto Sans CJK SC"/>
        <family val="2"/>
      </rPr>
      <t xml:space="preserve">企业价值（</t>
    </r>
    <r>
      <rPr>
        <sz val="10"/>
        <color rgb="FF000000"/>
        <rFont val="Arial"/>
        <family val="0"/>
        <charset val="1"/>
      </rPr>
      <t xml:space="preserve">EV</t>
    </r>
    <r>
      <rPr>
        <sz val="10"/>
        <color rgb="FF000000"/>
        <rFont val="Noto Sans CJK SC"/>
        <family val="2"/>
      </rPr>
      <t xml:space="preserve">）</t>
    </r>
  </si>
  <si>
    <r>
      <rPr>
        <sz val="10"/>
        <color rgb="FF000000"/>
        <rFont val="Noto Sans CJK SC"/>
        <family val="2"/>
      </rPr>
      <t xml:space="preserve">  终值占</t>
    </r>
    <r>
      <rPr>
        <sz val="10"/>
        <color rgb="FF000000"/>
        <rFont val="Arial"/>
        <family val="0"/>
        <charset val="1"/>
      </rPr>
      <t xml:space="preserve">EV</t>
    </r>
    <r>
      <rPr>
        <sz val="10"/>
        <color rgb="FF000000"/>
        <rFont val="Noto Sans CJK SC"/>
        <family val="2"/>
      </rPr>
      <t xml:space="preserve">比例</t>
    </r>
  </si>
  <si>
    <r>
      <rPr>
        <sz val="10"/>
        <color rgb="FF000000"/>
        <rFont val="Noto Sans CJK SC"/>
        <family val="2"/>
      </rPr>
      <t xml:space="preserve">加：</t>
    </r>
    <r>
      <rPr>
        <sz val="10"/>
        <color rgb="FF000000"/>
        <rFont val="Arial"/>
        <family val="0"/>
        <charset val="1"/>
      </rPr>
      <t xml:space="preserve">2026E</t>
    </r>
    <r>
      <rPr>
        <sz val="10"/>
        <color rgb="FF000000"/>
        <rFont val="Noto Sans CJK SC"/>
        <family val="2"/>
      </rPr>
      <t xml:space="preserve">年末净现金（货币资金</t>
    </r>
    <r>
      <rPr>
        <sz val="10"/>
        <color rgb="FF000000"/>
        <rFont val="Arial"/>
        <family val="0"/>
        <charset val="1"/>
      </rPr>
      <t xml:space="preserve">+</t>
    </r>
    <r>
      <rPr>
        <sz val="10"/>
        <color rgb="FF000000"/>
        <rFont val="Noto Sans CJK SC"/>
        <family val="2"/>
      </rPr>
      <t xml:space="preserve">理财</t>
    </r>
    <r>
      <rPr>
        <sz val="10"/>
        <color rgb="FF000000"/>
        <rFont val="Arial"/>
        <family val="0"/>
        <charset val="1"/>
      </rPr>
      <t xml:space="preserve">+</t>
    </r>
    <r>
      <rPr>
        <sz val="10"/>
        <color rgb="FF000000"/>
        <rFont val="Noto Sans CJK SC"/>
        <family val="2"/>
      </rPr>
      <t xml:space="preserve">定期存款</t>
    </r>
    <r>
      <rPr>
        <sz val="10"/>
        <color rgb="FF000000"/>
        <rFont val="Arial"/>
        <family val="0"/>
        <charset val="1"/>
      </rPr>
      <t xml:space="preserve">-</t>
    </r>
    <r>
      <rPr>
        <sz val="10"/>
        <color rgb="FF000000"/>
        <rFont val="Noto Sans CJK SC"/>
        <family val="2"/>
      </rPr>
      <t xml:space="preserve">有息负债</t>
    </r>
    <r>
      <rPr>
        <sz val="10"/>
        <color rgb="FF000000"/>
        <rFont val="Arial"/>
        <family val="0"/>
        <charset val="1"/>
      </rPr>
      <t xml:space="preserve">-</t>
    </r>
    <r>
      <rPr>
        <sz val="10"/>
        <color rgb="FF000000"/>
        <rFont val="Noto Sans CJK SC"/>
        <family val="2"/>
      </rPr>
      <t xml:space="preserve">租赁负债）</t>
    </r>
  </si>
  <si>
    <t xml:space="preserve">减：少数股东权益</t>
  </si>
  <si>
    <t xml:space="preserve">股权价值</t>
  </si>
  <si>
    <r>
      <rPr>
        <sz val="10"/>
        <color rgb="FF000000"/>
        <rFont val="Noto Sans CJK SC"/>
        <family val="2"/>
      </rPr>
      <t xml:space="preserve">总股本（百万股，</t>
    </r>
    <r>
      <rPr>
        <sz val="10"/>
        <color rgb="FF000000"/>
        <rFont val="Arial"/>
        <family val="0"/>
        <charset val="1"/>
      </rPr>
      <t xml:space="preserve">2026E</t>
    </r>
    <r>
      <rPr>
        <sz val="10"/>
        <color rgb="FF000000"/>
        <rFont val="Noto Sans CJK SC"/>
        <family val="2"/>
      </rPr>
      <t xml:space="preserve">年末，含库存股，全面摊薄）</t>
    </r>
  </si>
  <si>
    <r>
      <rPr>
        <i val="true"/>
        <sz val="10"/>
        <color rgb="FF595959"/>
        <rFont val="Noto Sans CJK SC"/>
        <family val="2"/>
      </rPr>
      <t xml:space="preserve">库存股拟用于股权激励</t>
    </r>
    <r>
      <rPr>
        <i val="true"/>
        <sz val="10"/>
        <color rgb="FF595959"/>
        <rFont val="Arial"/>
        <family val="0"/>
        <charset val="1"/>
      </rPr>
      <t xml:space="preserve">/</t>
    </r>
    <r>
      <rPr>
        <i val="true"/>
        <sz val="10"/>
        <color rgb="FF595959"/>
        <rFont val="Noto Sans CJK SC"/>
        <family val="2"/>
      </rPr>
      <t xml:space="preserve">员工持股或维护公司价值，未注销，按全面摊薄计入</t>
    </r>
  </si>
  <si>
    <r>
      <rPr>
        <sz val="10"/>
        <color rgb="FF000000"/>
        <rFont val="Noto Sans CJK SC"/>
        <family val="2"/>
      </rPr>
      <t xml:space="preserve">每股价值（元，</t>
    </r>
    <r>
      <rPr>
        <sz val="10"/>
        <color rgb="FF000000"/>
        <rFont val="Arial"/>
        <family val="0"/>
        <charset val="1"/>
      </rPr>
      <t xml:space="preserve">2026-12-31</t>
    </r>
    <r>
      <rPr>
        <sz val="10"/>
        <color rgb="FF000000"/>
        <rFont val="Noto Sans CJK SC"/>
        <family val="2"/>
      </rPr>
      <t xml:space="preserve">）</t>
    </r>
  </si>
  <si>
    <r>
      <rPr>
        <sz val="10"/>
        <color rgb="FF000000"/>
        <rFont val="Noto Sans CJK SC"/>
        <family val="2"/>
      </rPr>
      <t xml:space="preserve">每股价值折回</t>
    </r>
    <r>
      <rPr>
        <sz val="10"/>
        <color rgb="FF000000"/>
        <rFont val="Arial"/>
        <family val="0"/>
        <charset val="1"/>
      </rPr>
      <t xml:space="preserve">2026-09-30</t>
    </r>
    <r>
      <rPr>
        <sz val="10"/>
        <color rgb="FF000000"/>
        <rFont val="Noto Sans CJK SC"/>
        <family val="2"/>
      </rPr>
      <t xml:space="preserve">（按股权成本折现）</t>
    </r>
  </si>
  <si>
    <r>
      <rPr>
        <sz val="10"/>
        <color rgb="FF000000"/>
        <rFont val="Noto Sans CJK SC"/>
        <family val="2"/>
      </rPr>
      <t xml:space="preserve">当前</t>
    </r>
    <r>
      <rPr>
        <sz val="10"/>
        <color rgb="FF000000"/>
        <rFont val="Arial"/>
        <family val="0"/>
        <charset val="1"/>
      </rPr>
      <t xml:space="preserve">A</t>
    </r>
    <r>
      <rPr>
        <sz val="10"/>
        <color rgb="FF000000"/>
        <rFont val="Noto Sans CJK SC"/>
        <family val="2"/>
      </rPr>
      <t xml:space="preserve">股股价（元）</t>
    </r>
  </si>
  <si>
    <r>
      <rPr>
        <sz val="10"/>
        <color rgb="FF000000"/>
        <rFont val="Noto Sans CJK SC"/>
        <family val="2"/>
      </rPr>
      <t xml:space="preserve">隐含</t>
    </r>
    <r>
      <rPr>
        <sz val="10"/>
        <color rgb="FF000000"/>
        <rFont val="Arial"/>
        <family val="0"/>
        <charset val="1"/>
      </rPr>
      <t xml:space="preserve">EV/EBITDA</t>
    </r>
    <r>
      <rPr>
        <sz val="10"/>
        <color rgb="FF000000"/>
        <rFont val="Noto Sans CJK SC"/>
        <family val="2"/>
      </rPr>
      <t xml:space="preserve">（</t>
    </r>
    <r>
      <rPr>
        <sz val="10"/>
        <color rgb="FF000000"/>
        <rFont val="Arial"/>
        <family val="0"/>
        <charset val="1"/>
      </rPr>
      <t xml:space="preserve">2027E</t>
    </r>
    <r>
      <rPr>
        <sz val="10"/>
        <color rgb="FF000000"/>
        <rFont val="Noto Sans CJK SC"/>
        <family val="2"/>
      </rPr>
      <t xml:space="preserve">）</t>
    </r>
  </si>
  <si>
    <r>
      <rPr>
        <sz val="10"/>
        <color rgb="FF000000"/>
        <rFont val="Noto Sans CJK SC"/>
        <family val="2"/>
      </rPr>
      <t xml:space="preserve">隐含</t>
    </r>
    <r>
      <rPr>
        <sz val="10"/>
        <color rgb="FF000000"/>
        <rFont val="Arial"/>
        <family val="0"/>
        <charset val="1"/>
      </rPr>
      <t xml:space="preserve">PE</t>
    </r>
    <r>
      <rPr>
        <sz val="10"/>
        <color rgb="FF000000"/>
        <rFont val="Noto Sans CJK SC"/>
        <family val="2"/>
      </rPr>
      <t xml:space="preserve">（</t>
    </r>
    <r>
      <rPr>
        <sz val="10"/>
        <color rgb="FF000000"/>
        <rFont val="Arial"/>
        <family val="0"/>
        <charset val="1"/>
      </rPr>
      <t xml:space="preserve">2027E</t>
    </r>
    <r>
      <rPr>
        <sz val="10"/>
        <color rgb="FF000000"/>
        <rFont val="Noto Sans CJK SC"/>
        <family val="2"/>
      </rPr>
      <t xml:space="preserve">，股权价值</t>
    </r>
    <r>
      <rPr>
        <sz val="10"/>
        <color rgb="FF000000"/>
        <rFont val="Arial"/>
        <family val="0"/>
        <charset val="1"/>
      </rPr>
      <t xml:space="preserve">÷</t>
    </r>
    <r>
      <rPr>
        <sz val="10"/>
        <color rgb="FF000000"/>
        <rFont val="Noto Sans CJK SC"/>
        <family val="2"/>
      </rPr>
      <t xml:space="preserve">归母净利润）</t>
    </r>
  </si>
  <si>
    <r>
      <rPr>
        <b val="true"/>
        <sz val="10"/>
        <color rgb="FF1F3864"/>
        <rFont val="Noto Sans CJK SC"/>
        <family val="2"/>
      </rPr>
      <t xml:space="preserve">反向</t>
    </r>
    <r>
      <rPr>
        <b val="true"/>
        <sz val="10"/>
        <color rgb="FF1F3864"/>
        <rFont val="Arial"/>
        <family val="0"/>
        <charset val="1"/>
      </rPr>
      <t xml:space="preserve">DCF</t>
    </r>
    <r>
      <rPr>
        <b val="true"/>
        <sz val="10"/>
        <color rgb="FF1F3864"/>
        <rFont val="Noto Sans CJK SC"/>
        <family val="2"/>
      </rPr>
      <t xml:space="preserve">：当前股价隐含了什么（实时公式；其余参数取当前假设）</t>
    </r>
  </si>
  <si>
    <r>
      <rPr>
        <sz val="10"/>
        <color rgb="FF000000"/>
        <rFont val="Noto Sans CJK SC"/>
        <family val="2"/>
      </rPr>
      <t xml:space="preserve">当前股价对应的</t>
    </r>
    <r>
      <rPr>
        <sz val="10"/>
        <color rgb="FF000000"/>
        <rFont val="Arial"/>
        <family val="0"/>
        <charset val="1"/>
      </rPr>
      <t xml:space="preserve">2026-12-31</t>
    </r>
    <r>
      <rPr>
        <sz val="10"/>
        <color rgb="FF000000"/>
        <rFont val="Noto Sans CJK SC"/>
        <family val="2"/>
      </rPr>
      <t xml:space="preserve">股权价值（按股权成本滚动至估值基准日）</t>
    </r>
  </si>
  <si>
    <r>
      <rPr>
        <sz val="10"/>
        <color rgb="FF000000"/>
        <rFont val="Noto Sans CJK SC"/>
        <family val="2"/>
      </rPr>
      <t xml:space="preserve">  减净现金、加少数股东权益后的隐含</t>
    </r>
    <r>
      <rPr>
        <sz val="10"/>
        <color rgb="FF000000"/>
        <rFont val="Arial"/>
        <family val="0"/>
        <charset val="1"/>
      </rPr>
      <t xml:space="preserve">EV</t>
    </r>
  </si>
  <si>
    <r>
      <rPr>
        <sz val="10"/>
        <color rgb="FF000000"/>
        <rFont val="Noto Sans CJK SC"/>
        <family val="2"/>
      </rPr>
      <t xml:space="preserve">  隐含终值（</t>
    </r>
    <r>
      <rPr>
        <sz val="10"/>
        <color rgb="FF000000"/>
        <rFont val="Arial"/>
        <family val="0"/>
        <charset val="1"/>
      </rPr>
      <t xml:space="preserve">2035E</t>
    </r>
    <r>
      <rPr>
        <sz val="10"/>
        <color rgb="FF000000"/>
        <rFont val="Noto Sans CJK SC"/>
        <family val="2"/>
      </rPr>
      <t xml:space="preserve">，未折现）</t>
    </r>
  </si>
  <si>
    <r>
      <rPr>
        <sz val="10"/>
        <color rgb="FF000000"/>
        <rFont val="Noto Sans CJK SC"/>
        <family val="2"/>
      </rPr>
      <t xml:space="preserve">隐含永续增长率（</t>
    </r>
    <r>
      <rPr>
        <sz val="10"/>
        <color rgb="FF000000"/>
        <rFont val="Arial"/>
        <family val="0"/>
        <charset val="1"/>
      </rPr>
      <t xml:space="preserve">WACC</t>
    </r>
    <r>
      <rPr>
        <sz val="10"/>
        <color rgb="FF000000"/>
        <rFont val="Noto Sans CJK SC"/>
        <family val="2"/>
      </rPr>
      <t xml:space="preserve">、</t>
    </r>
    <r>
      <rPr>
        <sz val="10"/>
        <color rgb="FF000000"/>
        <rFont val="Arial"/>
        <family val="0"/>
        <charset val="1"/>
      </rPr>
      <t xml:space="preserve">RONIC</t>
    </r>
    <r>
      <rPr>
        <sz val="10"/>
        <color rgb="FF000000"/>
        <rFont val="Noto Sans CJK SC"/>
        <family val="2"/>
      </rPr>
      <t xml:space="preserve">与前两阶段不变；解二次方程）</t>
    </r>
  </si>
  <si>
    <r>
      <rPr>
        <i val="true"/>
        <sz val="10"/>
        <color rgb="FF595959"/>
        <rFont val="Noto Sans CJK SC"/>
        <family val="2"/>
      </rPr>
      <t xml:space="preserve">若接近或超过</t>
    </r>
    <r>
      <rPr>
        <i val="true"/>
        <sz val="10"/>
        <color rgb="FF595959"/>
        <rFont val="Arial"/>
        <family val="0"/>
        <charset val="1"/>
      </rPr>
      <t xml:space="preserve">WACC</t>
    </r>
    <r>
      <rPr>
        <i val="true"/>
        <sz val="10"/>
        <color rgb="FF595959"/>
        <rFont val="Noto Sans CJK SC"/>
        <family val="2"/>
      </rPr>
      <t xml:space="preserve">，说明当前股价需要显著更高的前期现金流</t>
    </r>
  </si>
  <si>
    <r>
      <rPr>
        <sz val="10"/>
        <color rgb="FF000000"/>
        <rFont val="Noto Sans CJK SC"/>
        <family val="2"/>
      </rPr>
      <t xml:space="preserve">  隐含终值</t>
    </r>
    <r>
      <rPr>
        <sz val="10"/>
        <color rgb="FF000000"/>
        <rFont val="Arial"/>
        <family val="0"/>
        <charset val="1"/>
      </rPr>
      <t xml:space="preserve">/2035E NOPAT</t>
    </r>
  </si>
  <si>
    <r>
      <rPr>
        <sz val="10"/>
        <color rgb="FF000000"/>
        <rFont val="Noto Sans CJK SC"/>
        <family val="2"/>
      </rPr>
      <t xml:space="preserve">当前股价隐含</t>
    </r>
    <r>
      <rPr>
        <sz val="10"/>
        <color rgb="FF000000"/>
        <rFont val="Arial"/>
        <family val="0"/>
        <charset val="1"/>
      </rPr>
      <t xml:space="preserve">EV/EBITDA</t>
    </r>
    <r>
      <rPr>
        <sz val="10"/>
        <color rgb="FF000000"/>
        <rFont val="Noto Sans CJK SC"/>
        <family val="2"/>
      </rPr>
      <t xml:space="preserve">（</t>
    </r>
    <r>
      <rPr>
        <sz val="10"/>
        <color rgb="FF000000"/>
        <rFont val="Arial"/>
        <family val="0"/>
        <charset val="1"/>
      </rPr>
      <t xml:space="preserve">2027E</t>
    </r>
    <r>
      <rPr>
        <sz val="10"/>
        <color rgb="FF000000"/>
        <rFont val="Noto Sans CJK SC"/>
        <family val="2"/>
      </rPr>
      <t xml:space="preserve">，估值基准日口径）</t>
    </r>
  </si>
  <si>
    <r>
      <rPr>
        <sz val="10"/>
        <color rgb="FF000000"/>
        <rFont val="Noto Sans CJK SC"/>
        <family val="2"/>
      </rPr>
      <t xml:space="preserve">当前股价对应</t>
    </r>
    <r>
      <rPr>
        <sz val="10"/>
        <color rgb="FF000000"/>
        <rFont val="Arial"/>
        <family val="0"/>
        <charset val="1"/>
      </rPr>
      <t xml:space="preserve">PE</t>
    </r>
    <r>
      <rPr>
        <sz val="10"/>
        <color rgb="FF000000"/>
        <rFont val="Noto Sans CJK SC"/>
        <family val="2"/>
      </rPr>
      <t xml:space="preserve">（</t>
    </r>
    <r>
      <rPr>
        <sz val="10"/>
        <color rgb="FF000000"/>
        <rFont val="Arial"/>
        <family val="0"/>
        <charset val="1"/>
      </rPr>
      <t xml:space="preserve">2027E</t>
    </r>
    <r>
      <rPr>
        <sz val="10"/>
        <color rgb="FF000000"/>
        <rFont val="Noto Sans CJK SC"/>
        <family val="2"/>
      </rPr>
      <t xml:space="preserve">，流通股口径，与回报分析一致）</t>
    </r>
  </si>
  <si>
    <r>
      <rPr>
        <sz val="10"/>
        <color rgb="FF000000"/>
        <rFont val="Noto Sans CJK SC"/>
        <family val="2"/>
      </rPr>
      <t xml:space="preserve">  其中：每股净现金（元，</t>
    </r>
    <r>
      <rPr>
        <sz val="10"/>
        <color rgb="FF000000"/>
        <rFont val="Arial"/>
        <family val="0"/>
        <charset val="1"/>
      </rPr>
      <t xml:space="preserve">2026E</t>
    </r>
    <r>
      <rPr>
        <sz val="10"/>
        <color rgb="FF000000"/>
        <rFont val="Noto Sans CJK SC"/>
        <family val="2"/>
      </rPr>
      <t xml:space="preserve">年末）</t>
    </r>
  </si>
  <si>
    <r>
      <rPr>
        <sz val="10"/>
        <color rgb="FF000000"/>
        <rFont val="Noto Sans CJK SC"/>
        <family val="2"/>
      </rPr>
      <t xml:space="preserve">隐含</t>
    </r>
    <r>
      <rPr>
        <sz val="10"/>
        <color rgb="FF000000"/>
        <rFont val="Arial"/>
        <family val="0"/>
        <charset val="1"/>
      </rPr>
      <t xml:space="preserve">WACC</t>
    </r>
    <r>
      <rPr>
        <sz val="10"/>
        <color rgb="FF000000"/>
        <rFont val="Noto Sans CJK SC"/>
        <family val="2"/>
      </rPr>
      <t xml:space="preserve">与第二阶段增速：见“敏感性分析”表（由重算引擎求解）</t>
    </r>
  </si>
  <si>
    <r>
      <rPr>
        <b val="true"/>
        <sz val="10"/>
        <color rgb="FF1F3864"/>
        <rFont val="Noto Sans CJK SC"/>
        <family val="2"/>
      </rPr>
      <t xml:space="preserve">敏感性：每股价值（元，</t>
    </r>
    <r>
      <rPr>
        <b val="true"/>
        <sz val="10"/>
        <color rgb="FF1F3864"/>
        <rFont val="Arial"/>
        <family val="0"/>
        <charset val="1"/>
      </rPr>
      <t xml:space="preserve">2026-12-31</t>
    </r>
    <r>
      <rPr>
        <b val="true"/>
        <sz val="10"/>
        <color rgb="FF1F3864"/>
        <rFont val="Noto Sans CJK SC"/>
        <family val="2"/>
      </rPr>
      <t xml:space="preserve">）— </t>
    </r>
    <r>
      <rPr>
        <b val="true"/>
        <sz val="10"/>
        <color rgb="FF1F3864"/>
        <rFont val="Arial"/>
        <family val="0"/>
        <charset val="1"/>
      </rPr>
      <t xml:space="preserve">WACC</t>
    </r>
    <r>
      <rPr>
        <b val="true"/>
        <sz val="10"/>
        <color rgb="FF1F3864"/>
        <rFont val="Noto Sans CJK SC"/>
        <family val="2"/>
      </rPr>
      <t xml:space="preserve">（行）</t>
    </r>
    <r>
      <rPr>
        <b val="true"/>
        <sz val="10"/>
        <color rgb="FF1F3864"/>
        <rFont val="Arial"/>
        <family val="0"/>
        <charset val="1"/>
      </rPr>
      <t xml:space="preserve">× </t>
    </r>
    <r>
      <rPr>
        <b val="true"/>
        <sz val="10"/>
        <color rgb="FF1F3864"/>
        <rFont val="Noto Sans CJK SC"/>
        <family val="2"/>
      </rPr>
      <t xml:space="preserve">永续增长率（列）</t>
    </r>
  </si>
  <si>
    <r>
      <rPr>
        <b val="true"/>
        <sz val="10"/>
        <color rgb="FF000000"/>
        <rFont val="Arial"/>
        <family val="0"/>
        <charset val="1"/>
      </rPr>
      <t xml:space="preserve">WACC \ </t>
    </r>
    <r>
      <rPr>
        <b val="true"/>
        <sz val="10"/>
        <color rgb="FF000000"/>
        <rFont val="Noto Sans CJK SC"/>
        <family val="2"/>
      </rPr>
      <t xml:space="preserve">永续增长率</t>
    </r>
  </si>
  <si>
    <r>
      <rPr>
        <b val="true"/>
        <sz val="10"/>
        <color rgb="FF1F3864"/>
        <rFont val="Noto Sans CJK SC"/>
        <family val="2"/>
      </rPr>
      <t xml:space="preserve">敏感性：每股价值（元）— </t>
    </r>
    <r>
      <rPr>
        <b val="true"/>
        <sz val="10"/>
        <color rgb="FF1F3864"/>
        <rFont val="Arial"/>
        <family val="0"/>
        <charset val="1"/>
      </rPr>
      <t xml:space="preserve">WACC</t>
    </r>
    <r>
      <rPr>
        <b val="true"/>
        <sz val="10"/>
        <color rgb="FF1F3864"/>
        <rFont val="Noto Sans CJK SC"/>
        <family val="2"/>
      </rPr>
      <t xml:space="preserve">（行）</t>
    </r>
    <r>
      <rPr>
        <b val="true"/>
        <sz val="10"/>
        <color rgb="FF1F3864"/>
        <rFont val="Arial"/>
        <family val="0"/>
        <charset val="1"/>
      </rPr>
      <t xml:space="preserve">× </t>
    </r>
    <r>
      <rPr>
        <b val="true"/>
        <sz val="10"/>
        <color rgb="FF1F3864"/>
        <rFont val="Noto Sans CJK SC"/>
        <family val="2"/>
      </rPr>
      <t xml:space="preserve">第二阶段起点增速（列，以当前起点为中心；终点取当前终点）</t>
    </r>
  </si>
  <si>
    <r>
      <rPr>
        <b val="true"/>
        <sz val="10"/>
        <color rgb="FF000000"/>
        <rFont val="Arial"/>
        <family val="0"/>
        <charset val="1"/>
      </rPr>
      <t xml:space="preserve">WACC \ </t>
    </r>
    <r>
      <rPr>
        <b val="true"/>
        <sz val="10"/>
        <color rgb="FF000000"/>
        <rFont val="Noto Sans CJK SC"/>
        <family val="2"/>
      </rPr>
      <t xml:space="preserve">第二阶段起点增速</t>
    </r>
  </si>
  <si>
    <r>
      <rPr>
        <b val="true"/>
        <sz val="14"/>
        <color rgb="FF1F3864"/>
        <rFont val="Noto Sans CJK SC"/>
        <family val="2"/>
      </rPr>
      <t xml:space="preserve">相对估值（</t>
    </r>
    <r>
      <rPr>
        <b val="true"/>
        <sz val="14"/>
        <color rgb="FF1F3864"/>
        <rFont val="Arial"/>
        <family val="0"/>
        <charset val="1"/>
      </rPr>
      <t xml:space="preserve">PE/PB</t>
    </r>
    <r>
      <rPr>
        <b val="true"/>
        <sz val="14"/>
        <color rgb="FF1F3864"/>
        <rFont val="Noto Sans CJK SC"/>
        <family val="2"/>
      </rPr>
      <t xml:space="preserve">）与可比公司</t>
    </r>
  </si>
  <si>
    <t xml:space="preserve">可比公司倍数请按最新行情填入黄底单元格（模型不预填，避免使用过期数据）。</t>
  </si>
  <si>
    <r>
      <rPr>
        <b val="true"/>
        <sz val="10"/>
        <color rgb="FF1F3864"/>
        <rFont val="Arial"/>
        <family val="0"/>
        <charset val="1"/>
      </rPr>
      <t xml:space="preserve">PE</t>
    </r>
    <r>
      <rPr>
        <b val="true"/>
        <sz val="10"/>
        <color rgb="FF1F3864"/>
        <rFont val="Noto Sans CJK SC"/>
        <family val="2"/>
      </rPr>
      <t xml:space="preserve">估值区间（元</t>
    </r>
    <r>
      <rPr>
        <b val="true"/>
        <sz val="10"/>
        <color rgb="FF1F3864"/>
        <rFont val="Arial"/>
        <family val="0"/>
        <charset val="1"/>
      </rPr>
      <t xml:space="preserve">/</t>
    </r>
    <r>
      <rPr>
        <b val="true"/>
        <sz val="10"/>
        <color rgb="FF1F3864"/>
        <rFont val="Noto Sans CJK SC"/>
        <family val="2"/>
      </rPr>
      <t xml:space="preserve">股）</t>
    </r>
  </si>
  <si>
    <r>
      <rPr>
        <b val="true"/>
        <sz val="10"/>
        <color rgb="FFFFFFFF"/>
        <rFont val="Arial"/>
        <family val="0"/>
        <charset val="1"/>
      </rPr>
      <t xml:space="preserve">PE</t>
    </r>
    <r>
      <rPr>
        <b val="true"/>
        <sz val="10"/>
        <color rgb="FFFFFFFF"/>
        <rFont val="Noto Sans CJK SC"/>
        <family val="2"/>
      </rPr>
      <t xml:space="preserve">倍数</t>
    </r>
  </si>
  <si>
    <r>
      <rPr>
        <b val="true"/>
        <sz val="10"/>
        <color rgb="FF000000"/>
        <rFont val="Arial"/>
        <family val="0"/>
        <charset val="1"/>
      </rPr>
      <t xml:space="preserve">EPS</t>
    </r>
    <r>
      <rPr>
        <b val="true"/>
        <sz val="10"/>
        <color rgb="FF000000"/>
        <rFont val="Noto Sans CJK SC"/>
        <family val="2"/>
      </rPr>
      <t xml:space="preserve">（模型，摊薄）</t>
    </r>
  </si>
  <si>
    <r>
      <rPr>
        <b val="true"/>
        <sz val="10"/>
        <color rgb="FF000000"/>
        <rFont val="Noto Sans CJK SC"/>
        <family val="2"/>
      </rPr>
      <t xml:space="preserve">当前股价对应</t>
    </r>
    <r>
      <rPr>
        <b val="true"/>
        <sz val="10"/>
        <color rgb="FF000000"/>
        <rFont val="Arial"/>
        <family val="0"/>
        <charset val="1"/>
      </rPr>
      <t xml:space="preserve">PE</t>
    </r>
  </si>
  <si>
    <r>
      <rPr>
        <b val="true"/>
        <sz val="10"/>
        <color rgb="FF000000"/>
        <rFont val="Noto Sans CJK SC"/>
        <family val="2"/>
      </rPr>
      <t xml:space="preserve">当前股价对应</t>
    </r>
    <r>
      <rPr>
        <b val="true"/>
        <sz val="10"/>
        <color rgb="FF000000"/>
        <rFont val="Arial"/>
        <family val="0"/>
        <charset val="1"/>
      </rPr>
      <t xml:space="preserve">PB</t>
    </r>
  </si>
  <si>
    <r>
      <rPr>
        <b val="true"/>
        <sz val="10"/>
        <color rgb="FF000000"/>
        <rFont val="Noto Sans CJK SC"/>
        <family val="2"/>
      </rPr>
      <t xml:space="preserve">当前股价对应</t>
    </r>
    <r>
      <rPr>
        <b val="true"/>
        <sz val="10"/>
        <color rgb="FF000000"/>
        <rFont val="Arial"/>
        <family val="0"/>
        <charset val="1"/>
      </rPr>
      <t xml:space="preserve">EV/EBITDA</t>
    </r>
  </si>
  <si>
    <t xml:space="preserve">可比公司（请填入最新倍数）</t>
  </si>
  <si>
    <t xml:space="preserve">公司</t>
  </si>
  <si>
    <t xml:space="preserve">代码</t>
  </si>
  <si>
    <t xml:space="preserve">PE 2026E</t>
  </si>
  <si>
    <t xml:space="preserve">PE 2027E</t>
  </si>
  <si>
    <r>
      <rPr>
        <b val="true"/>
        <sz val="10"/>
        <color rgb="FFFFFFFF"/>
        <rFont val="Arial"/>
        <family val="0"/>
        <charset val="1"/>
      </rPr>
      <t xml:space="preserve">PB</t>
    </r>
    <r>
      <rPr>
        <b val="true"/>
        <sz val="10"/>
        <color rgb="FFFFFFFF"/>
        <rFont val="Noto Sans CJK SC"/>
        <family val="2"/>
      </rPr>
      <t xml:space="preserve">（最新）</t>
    </r>
  </si>
  <si>
    <t xml:space="preserve">备注</t>
  </si>
  <si>
    <t xml:space="preserve">风华高科</t>
  </si>
  <si>
    <t xml:space="preserve">000636.SZ</t>
  </si>
  <si>
    <r>
      <rPr>
        <i val="true"/>
        <sz val="10"/>
        <color rgb="FF595959"/>
        <rFont val="Arial"/>
        <family val="0"/>
        <charset val="1"/>
      </rPr>
      <t xml:space="preserve">MLCC</t>
    </r>
    <r>
      <rPr>
        <i val="true"/>
        <sz val="10"/>
        <color rgb="FF595959"/>
        <rFont val="Noto Sans CJK SC"/>
        <family val="2"/>
      </rPr>
      <t xml:space="preserve">、电阻</t>
    </r>
  </si>
  <si>
    <t xml:space="preserve">国瓷材料</t>
  </si>
  <si>
    <t xml:space="preserve">300285.SZ</t>
  </si>
  <si>
    <r>
      <rPr>
        <i val="true"/>
        <sz val="10"/>
        <color rgb="FF595959"/>
        <rFont val="Noto Sans CJK SC"/>
        <family val="2"/>
      </rPr>
      <t xml:space="preserve">电子陶瓷粉体、</t>
    </r>
    <r>
      <rPr>
        <i val="true"/>
        <sz val="10"/>
        <color rgb="FF595959"/>
        <rFont val="Arial"/>
        <family val="0"/>
        <charset val="1"/>
      </rPr>
      <t xml:space="preserve">MLCC</t>
    </r>
    <r>
      <rPr>
        <i val="true"/>
        <sz val="10"/>
        <color rgb="FF595959"/>
        <rFont val="Noto Sans CJK SC"/>
        <family val="2"/>
      </rPr>
      <t xml:space="preserve">介质材料</t>
    </r>
  </si>
  <si>
    <t xml:space="preserve">天孚通信</t>
  </si>
  <si>
    <t xml:space="preserve">300394.SZ</t>
  </si>
  <si>
    <t xml:space="preserve">光器件</t>
  </si>
  <si>
    <t xml:space="preserve">村田制作所</t>
  </si>
  <si>
    <t xml:space="preserve">6981.T</t>
  </si>
  <si>
    <r>
      <rPr>
        <i val="true"/>
        <sz val="10"/>
        <color rgb="FF595959"/>
        <rFont val="Arial"/>
        <family val="0"/>
        <charset val="1"/>
      </rPr>
      <t xml:space="preserve">MLCC</t>
    </r>
    <r>
      <rPr>
        <i val="true"/>
        <sz val="10"/>
        <color rgb="FF595959"/>
        <rFont val="Noto Sans CJK SC"/>
        <family val="2"/>
      </rPr>
      <t xml:space="preserve">龙头</t>
    </r>
  </si>
  <si>
    <t xml:space="preserve">太阳诱电</t>
  </si>
  <si>
    <t xml:space="preserve">6976.T</t>
  </si>
  <si>
    <t xml:space="preserve">MLCC</t>
  </si>
  <si>
    <t xml:space="preserve">京瓷</t>
  </si>
  <si>
    <t xml:space="preserve">6971.T</t>
  </si>
  <si>
    <t xml:space="preserve">精密陶瓷、电子元件</t>
  </si>
  <si>
    <t xml:space="preserve">三星电机</t>
  </si>
  <si>
    <t xml:space="preserve">009150.KS</t>
  </si>
  <si>
    <t xml:space="preserve">可比公司中位数</t>
  </si>
  <si>
    <t xml:space="preserve">按可比中位数的三环每股价值（元）</t>
  </si>
  <si>
    <r>
      <rPr>
        <b val="true"/>
        <sz val="14"/>
        <color rgb="FF1F3864"/>
        <rFont val="Noto Sans CJK SC"/>
        <family val="2"/>
      </rPr>
      <t xml:space="preserve">敏感性分析：龙卷风、二维敏感性与反向</t>
    </r>
    <r>
      <rPr>
        <b val="true"/>
        <sz val="14"/>
        <color rgb="FF1F3864"/>
        <rFont val="Arial"/>
        <family val="0"/>
        <charset val="1"/>
      </rPr>
      <t xml:space="preserve">DCF</t>
    </r>
    <r>
      <rPr>
        <b val="true"/>
        <sz val="14"/>
        <color rgb="FF1F3864"/>
        <rFont val="Noto Sans CJK SC"/>
        <family val="2"/>
      </rPr>
      <t xml:space="preserve">求解（静态结果）</t>
    </r>
  </si>
  <si>
    <r>
      <rPr>
        <i val="true"/>
        <sz val="10"/>
        <color rgb="FF595959"/>
        <rFont val="Noto Sans CJK SC"/>
        <family val="2"/>
      </rPr>
      <t xml:space="preserve">灰色数字为静态结果：由重算引擎在</t>
    </r>
    <r>
      <rPr>
        <i val="true"/>
        <sz val="10"/>
        <color rgb="FF595959"/>
        <rFont val="Arial"/>
        <family val="0"/>
        <charset val="1"/>
      </rPr>
      <t xml:space="preserve">LibreOffice</t>
    </r>
    <r>
      <rPr>
        <i val="true"/>
        <sz val="10"/>
        <color rgb="FF595959"/>
        <rFont val="Noto Sans CJK SC"/>
        <family val="2"/>
      </rPr>
      <t xml:space="preserve">中逐项改变“假设”第四节冲击单元（或估值参数）后整表重算得到，其他假设保持基准情景不变。修改假设后不会自动更新（“校验”表有提示），需重跑</t>
    </r>
    <r>
      <rPr>
        <i val="true"/>
        <sz val="10"/>
        <color rgb="FF595959"/>
        <rFont val="Arial"/>
        <family val="0"/>
        <charset val="1"/>
      </rPr>
      <t xml:space="preserve">sens_v2.py</t>
    </r>
    <r>
      <rPr>
        <i val="true"/>
        <sz val="10"/>
        <color rgb="FF595959"/>
        <rFont val="Noto Sans CJK SC"/>
        <family val="2"/>
      </rPr>
      <t xml:space="preserve">；</t>
    </r>
    <r>
      <rPr>
        <i val="true"/>
        <sz val="10"/>
        <color rgb="FF595959"/>
        <rFont val="Arial"/>
        <family val="0"/>
        <charset val="1"/>
      </rPr>
      <t xml:space="preserve">DCF</t>
    </r>
    <r>
      <rPr>
        <i val="true"/>
        <sz val="10"/>
        <color rgb="FF595959"/>
        <rFont val="Noto Sans CJK SC"/>
        <family val="2"/>
      </rPr>
      <t xml:space="preserve">表内两张敏感性表与反向</t>
    </r>
    <r>
      <rPr>
        <i val="true"/>
        <sz val="10"/>
        <color rgb="FF595959"/>
        <rFont val="Arial"/>
        <family val="0"/>
        <charset val="1"/>
      </rPr>
      <t xml:space="preserve">DCF</t>
    </r>
    <r>
      <rPr>
        <i val="true"/>
        <sz val="10"/>
        <color rgb="FF595959"/>
        <rFont val="Noto Sans CJK SC"/>
        <family val="2"/>
      </rPr>
      <t xml:space="preserve">为实时公式。</t>
    </r>
  </si>
  <si>
    <r>
      <rPr>
        <b val="true"/>
        <sz val="10"/>
        <color rgb="FF1F3864"/>
        <rFont val="Arial"/>
        <family val="0"/>
        <charset val="1"/>
      </rPr>
      <t xml:space="preserve">A. </t>
    </r>
    <r>
      <rPr>
        <b val="true"/>
        <sz val="10"/>
        <color rgb="FF1F3864"/>
        <rFont val="Noto Sans CJK SC"/>
        <family val="2"/>
      </rPr>
      <t xml:space="preserve">基准值（基准情景，全部冲击为</t>
    </r>
    <r>
      <rPr>
        <b val="true"/>
        <sz val="10"/>
        <color rgb="FF1F3864"/>
        <rFont val="Arial"/>
        <family val="0"/>
        <charset val="1"/>
      </rPr>
      <t xml:space="preserve">0</t>
    </r>
    <r>
      <rPr>
        <b val="true"/>
        <sz val="10"/>
        <color rgb="FF1F3864"/>
        <rFont val="Noto Sans CJK SC"/>
        <family val="2"/>
      </rPr>
      <t xml:space="preserve">）</t>
    </r>
  </si>
  <si>
    <r>
      <rPr>
        <sz val="10"/>
        <color rgb="FF000000"/>
        <rFont val="Arial"/>
        <family val="0"/>
        <charset val="1"/>
      </rPr>
      <t xml:space="preserve">2026E</t>
    </r>
    <r>
      <rPr>
        <sz val="10"/>
        <color rgb="FF000000"/>
        <rFont val="Noto Sans CJK SC"/>
        <family val="2"/>
      </rPr>
      <t xml:space="preserve">归母净利润</t>
    </r>
  </si>
  <si>
    <r>
      <rPr>
        <sz val="10"/>
        <color rgb="FF000000"/>
        <rFont val="Arial"/>
        <family val="0"/>
        <charset val="1"/>
      </rPr>
      <t xml:space="preserve">2027E</t>
    </r>
    <r>
      <rPr>
        <sz val="10"/>
        <color rgb="FF000000"/>
        <rFont val="Noto Sans CJK SC"/>
        <family val="2"/>
      </rPr>
      <t xml:space="preserve">归母净利润</t>
    </r>
  </si>
  <si>
    <r>
      <rPr>
        <sz val="10"/>
        <color rgb="FF000000"/>
        <rFont val="Arial"/>
        <family val="0"/>
        <charset val="1"/>
      </rPr>
      <t xml:space="preserve">2030E</t>
    </r>
    <r>
      <rPr>
        <sz val="10"/>
        <color rgb="FF000000"/>
        <rFont val="Noto Sans CJK SC"/>
        <family val="2"/>
      </rPr>
      <t xml:space="preserve">归母净利润</t>
    </r>
  </si>
  <si>
    <r>
      <rPr>
        <sz val="10"/>
        <color rgb="FF000000"/>
        <rFont val="Arial"/>
        <family val="0"/>
        <charset val="1"/>
      </rPr>
      <t xml:space="preserve">2027E</t>
    </r>
    <r>
      <rPr>
        <sz val="10"/>
        <color rgb="FF000000"/>
        <rFont val="Noto Sans CJK SC"/>
        <family val="2"/>
      </rPr>
      <t xml:space="preserve">自由现金流</t>
    </r>
  </si>
  <si>
    <r>
      <rPr>
        <b val="true"/>
        <sz val="10"/>
        <color rgb="FF1F3864"/>
        <rFont val="Arial"/>
        <family val="0"/>
        <charset val="1"/>
      </rPr>
      <t xml:space="preserve">B. </t>
    </r>
    <r>
      <rPr>
        <b val="true"/>
        <sz val="10"/>
        <color rgb="FF1F3864"/>
        <rFont val="Noto Sans CJK SC"/>
        <family val="2"/>
      </rPr>
      <t xml:space="preserve">龙卷风：</t>
    </r>
    <r>
      <rPr>
        <b val="true"/>
        <sz val="10"/>
        <color rgb="FF1F3864"/>
        <rFont val="Arial"/>
        <family val="0"/>
        <charset val="1"/>
      </rPr>
      <t xml:space="preserve">DCF</t>
    </r>
    <r>
      <rPr>
        <b val="true"/>
        <sz val="10"/>
        <color rgb="FF1F3864"/>
        <rFont val="Noto Sans CJK SC"/>
        <family val="2"/>
      </rPr>
      <t xml:space="preserve">每股价值（按区间宽度排序；含估值参数）</t>
    </r>
  </si>
  <si>
    <t xml:space="preserve">变量（冲击幅度）</t>
  </si>
  <si>
    <t xml:space="preserve">不利情形输入</t>
  </si>
  <si>
    <t xml:space="preserve">有利情形输入</t>
  </si>
  <si>
    <r>
      <rPr>
        <b val="true"/>
        <sz val="10"/>
        <color rgb="FFFFFFFF"/>
        <rFont val="Arial"/>
        <family val="0"/>
        <charset val="1"/>
      </rPr>
      <t xml:space="preserve">2027E</t>
    </r>
    <r>
      <rPr>
        <b val="true"/>
        <sz val="10"/>
        <color rgb="FFFFFFFF"/>
        <rFont val="Noto Sans CJK SC"/>
        <family val="2"/>
      </rPr>
      <t xml:space="preserve">归母净利润</t>
    </r>
    <r>
      <rPr>
        <b val="true"/>
        <sz val="10"/>
        <color rgb="FFFFFFFF"/>
        <rFont val="Arial"/>
        <family val="0"/>
        <charset val="1"/>
      </rPr>
      <t xml:space="preserve">·</t>
    </r>
    <r>
      <rPr>
        <b val="true"/>
        <sz val="10"/>
        <color rgb="FFFFFFFF"/>
        <rFont val="Noto Sans CJK SC"/>
        <family val="2"/>
      </rPr>
      <t xml:space="preserve">不利</t>
    </r>
  </si>
  <si>
    <r>
      <rPr>
        <b val="true"/>
        <sz val="10"/>
        <color rgb="FFFFFFFF"/>
        <rFont val="Arial"/>
        <family val="0"/>
        <charset val="1"/>
      </rPr>
      <t xml:space="preserve">2027E</t>
    </r>
    <r>
      <rPr>
        <b val="true"/>
        <sz val="10"/>
        <color rgb="FFFFFFFF"/>
        <rFont val="Noto Sans CJK SC"/>
        <family val="2"/>
      </rPr>
      <t xml:space="preserve">归母净利润</t>
    </r>
    <r>
      <rPr>
        <b val="true"/>
        <sz val="10"/>
        <color rgb="FFFFFFFF"/>
        <rFont val="Arial"/>
        <family val="0"/>
        <charset val="1"/>
      </rPr>
      <t xml:space="preserve">·</t>
    </r>
    <r>
      <rPr>
        <b val="true"/>
        <sz val="10"/>
        <color rgb="FFFFFFFF"/>
        <rFont val="Noto Sans CJK SC"/>
        <family val="2"/>
      </rPr>
      <t xml:space="preserve">有利</t>
    </r>
  </si>
  <si>
    <r>
      <rPr>
        <b val="true"/>
        <sz val="10"/>
        <color rgb="FFFFFFFF"/>
        <rFont val="Arial"/>
        <family val="0"/>
        <charset val="1"/>
      </rPr>
      <t xml:space="preserve">Δ</t>
    </r>
    <r>
      <rPr>
        <b val="true"/>
        <sz val="10"/>
        <color rgb="FFFFFFFF"/>
        <rFont val="Noto Sans CJK SC"/>
        <family val="2"/>
      </rPr>
      <t xml:space="preserve">净利润</t>
    </r>
    <r>
      <rPr>
        <b val="true"/>
        <sz val="10"/>
        <color rgb="FFFFFFFF"/>
        <rFont val="Arial"/>
        <family val="0"/>
        <charset val="1"/>
      </rPr>
      <t xml:space="preserve">·</t>
    </r>
    <r>
      <rPr>
        <b val="true"/>
        <sz val="10"/>
        <color rgb="FFFFFFFF"/>
        <rFont val="Noto Sans CJK SC"/>
        <family val="2"/>
      </rPr>
      <t xml:space="preserve">不利</t>
    </r>
  </si>
  <si>
    <r>
      <rPr>
        <b val="true"/>
        <sz val="10"/>
        <color rgb="FFFFFFFF"/>
        <rFont val="Arial"/>
        <family val="0"/>
        <charset val="1"/>
      </rPr>
      <t xml:space="preserve">Δ</t>
    </r>
    <r>
      <rPr>
        <b val="true"/>
        <sz val="10"/>
        <color rgb="FFFFFFFF"/>
        <rFont val="Noto Sans CJK SC"/>
        <family val="2"/>
      </rPr>
      <t xml:space="preserve">净利润</t>
    </r>
    <r>
      <rPr>
        <b val="true"/>
        <sz val="10"/>
        <color rgb="FFFFFFFF"/>
        <rFont val="Arial"/>
        <family val="0"/>
        <charset val="1"/>
      </rPr>
      <t xml:space="preserve">·</t>
    </r>
    <r>
      <rPr>
        <b val="true"/>
        <sz val="10"/>
        <color rgb="FFFFFFFF"/>
        <rFont val="Noto Sans CJK SC"/>
        <family val="2"/>
      </rPr>
      <t xml:space="preserve">有利</t>
    </r>
  </si>
  <si>
    <r>
      <rPr>
        <b val="true"/>
        <sz val="10"/>
        <color rgb="FFFFFFFF"/>
        <rFont val="Arial"/>
        <family val="0"/>
        <charset val="1"/>
      </rPr>
      <t xml:space="preserve">DCF</t>
    </r>
    <r>
      <rPr>
        <b val="true"/>
        <sz val="10"/>
        <color rgb="FFFFFFFF"/>
        <rFont val="Noto Sans CJK SC"/>
        <family val="2"/>
      </rPr>
      <t xml:space="preserve">每股价值</t>
    </r>
    <r>
      <rPr>
        <b val="true"/>
        <sz val="10"/>
        <color rgb="FFFFFFFF"/>
        <rFont val="Arial"/>
        <family val="0"/>
        <charset val="1"/>
      </rPr>
      <t xml:space="preserve">·</t>
    </r>
    <r>
      <rPr>
        <b val="true"/>
        <sz val="10"/>
        <color rgb="FFFFFFFF"/>
        <rFont val="Noto Sans CJK SC"/>
        <family val="2"/>
      </rPr>
      <t xml:space="preserve">不利</t>
    </r>
  </si>
  <si>
    <r>
      <rPr>
        <b val="true"/>
        <sz val="10"/>
        <color rgb="FFFFFFFF"/>
        <rFont val="Arial"/>
        <family val="0"/>
        <charset val="1"/>
      </rPr>
      <t xml:space="preserve">DCF</t>
    </r>
    <r>
      <rPr>
        <b val="true"/>
        <sz val="10"/>
        <color rgb="FFFFFFFF"/>
        <rFont val="Noto Sans CJK SC"/>
        <family val="2"/>
      </rPr>
      <t xml:space="preserve">每股价值</t>
    </r>
    <r>
      <rPr>
        <b val="true"/>
        <sz val="10"/>
        <color rgb="FFFFFFFF"/>
        <rFont val="Arial"/>
        <family val="0"/>
        <charset val="1"/>
      </rPr>
      <t xml:space="preserve">·</t>
    </r>
    <r>
      <rPr>
        <b val="true"/>
        <sz val="10"/>
        <color rgb="FFFFFFFF"/>
        <rFont val="Noto Sans CJK SC"/>
        <family val="2"/>
      </rPr>
      <t xml:space="preserve">有利</t>
    </r>
  </si>
  <si>
    <r>
      <rPr>
        <b val="true"/>
        <sz val="10"/>
        <color rgb="FFFFFFFF"/>
        <rFont val="Arial"/>
        <family val="0"/>
        <charset val="1"/>
      </rPr>
      <t xml:space="preserve">Δ</t>
    </r>
    <r>
      <rPr>
        <b val="true"/>
        <sz val="10"/>
        <color rgb="FFFFFFFF"/>
        <rFont val="Noto Sans CJK SC"/>
        <family val="2"/>
      </rPr>
      <t xml:space="preserve">每股价值</t>
    </r>
    <r>
      <rPr>
        <b val="true"/>
        <sz val="10"/>
        <color rgb="FFFFFFFF"/>
        <rFont val="Arial"/>
        <family val="0"/>
        <charset val="1"/>
      </rPr>
      <t xml:space="preserve">·</t>
    </r>
    <r>
      <rPr>
        <b val="true"/>
        <sz val="10"/>
        <color rgb="FFFFFFFF"/>
        <rFont val="Noto Sans CJK SC"/>
        <family val="2"/>
      </rPr>
      <t xml:space="preserve">不利</t>
    </r>
  </si>
  <si>
    <r>
      <rPr>
        <b val="true"/>
        <sz val="10"/>
        <color rgb="FFFFFFFF"/>
        <rFont val="Arial"/>
        <family val="0"/>
        <charset val="1"/>
      </rPr>
      <t xml:space="preserve">Δ</t>
    </r>
    <r>
      <rPr>
        <b val="true"/>
        <sz val="10"/>
        <color rgb="FFFFFFFF"/>
        <rFont val="Noto Sans CJK SC"/>
        <family val="2"/>
      </rPr>
      <t xml:space="preserve">每股价值</t>
    </r>
    <r>
      <rPr>
        <b val="true"/>
        <sz val="10"/>
        <color rgb="FFFFFFFF"/>
        <rFont val="Arial"/>
        <family val="0"/>
        <charset val="1"/>
      </rPr>
      <t xml:space="preserve">·</t>
    </r>
    <r>
      <rPr>
        <b val="true"/>
        <sz val="10"/>
        <color rgb="FFFFFFFF"/>
        <rFont val="Noto Sans CJK SC"/>
        <family val="2"/>
      </rPr>
      <t xml:space="preserve">有利</t>
    </r>
  </si>
  <si>
    <t xml:space="preserve">区间宽度</t>
  </si>
  <si>
    <r>
      <rPr>
        <sz val="10"/>
        <color rgb="FF000000"/>
        <rFont val="Arial"/>
        <family val="0"/>
        <charset val="1"/>
      </rPr>
      <t xml:space="preserve">Beta</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</si>
  <si>
    <r>
      <rPr>
        <sz val="10"/>
        <color rgb="FF000000"/>
        <rFont val="Noto Sans CJK SC"/>
        <family val="2"/>
      </rPr>
      <t xml:space="preserve">股权风险溢价（</t>
    </r>
    <r>
      <rPr>
        <sz val="10"/>
        <color rgb="FF000000"/>
        <rFont val="Arial"/>
        <family val="0"/>
        <charset val="1"/>
      </rPr>
      <t xml:space="preserve">±1pp</t>
    </r>
    <r>
      <rPr>
        <sz val="10"/>
        <color rgb="FF000000"/>
        <rFont val="Noto Sans CJK SC"/>
        <family val="2"/>
      </rPr>
      <t xml:space="preserve">）</t>
    </r>
  </si>
  <si>
    <r>
      <rPr>
        <sz val="10"/>
        <color rgb="FF000000"/>
        <rFont val="Noto Sans CJK SC"/>
        <family val="2"/>
      </rPr>
      <t xml:space="preserve">电子元件销量增速（逐年</t>
    </r>
    <r>
      <rPr>
        <sz val="10"/>
        <color rgb="FF000000"/>
        <rFont val="Arial"/>
        <family val="0"/>
        <charset val="1"/>
      </rPr>
      <t xml:space="preserve">±5pp</t>
    </r>
    <r>
      <rPr>
        <sz val="10"/>
        <color rgb="FF000000"/>
        <rFont val="Noto Sans CJK SC"/>
        <family val="2"/>
      </rPr>
      <t xml:space="preserve">）</t>
    </r>
  </si>
  <si>
    <r>
      <rPr>
        <sz val="10"/>
        <color rgb="FF000000"/>
        <rFont val="Noto Sans CJK SC"/>
        <family val="2"/>
      </rPr>
      <t xml:space="preserve">电子元件单价变动（逐年</t>
    </r>
    <r>
      <rPr>
        <sz val="10"/>
        <color rgb="FF000000"/>
        <rFont val="Arial"/>
        <family val="0"/>
        <charset val="1"/>
      </rPr>
      <t xml:space="preserve">±3pp</t>
    </r>
    <r>
      <rPr>
        <sz val="10"/>
        <color rgb="FF000000"/>
        <rFont val="Noto Sans CJK SC"/>
        <family val="2"/>
      </rPr>
      <t xml:space="preserve">）</t>
    </r>
  </si>
  <si>
    <r>
      <rPr>
        <sz val="10"/>
        <color rgb="FF000000"/>
        <rFont val="Noto Sans CJK SC"/>
        <family val="2"/>
      </rPr>
      <t xml:space="preserve">无风险利率（</t>
    </r>
    <r>
      <rPr>
        <sz val="10"/>
        <color rgb="FF000000"/>
        <rFont val="Arial"/>
        <family val="0"/>
        <charset val="1"/>
      </rPr>
      <t xml:space="preserve">±0.5pp</t>
    </r>
    <r>
      <rPr>
        <sz val="10"/>
        <color rgb="FF000000"/>
        <rFont val="Noto Sans CJK SC"/>
        <family val="2"/>
      </rPr>
      <t xml:space="preserve">）</t>
    </r>
  </si>
  <si>
    <r>
      <rPr>
        <sz val="10"/>
        <color rgb="FF000000"/>
        <rFont val="Noto Sans CJK SC"/>
        <family val="2"/>
      </rPr>
      <t xml:space="preserve">通信器件销量增速（逐年</t>
    </r>
    <r>
      <rPr>
        <sz val="10"/>
        <color rgb="FF000000"/>
        <rFont val="Arial"/>
        <family val="0"/>
        <charset val="1"/>
      </rPr>
      <t xml:space="preserve">±5pp</t>
    </r>
    <r>
      <rPr>
        <sz val="10"/>
        <color rgb="FF000000"/>
        <rFont val="Noto Sans CJK SC"/>
        <family val="2"/>
      </rPr>
      <t xml:space="preserve">）</t>
    </r>
  </si>
  <si>
    <r>
      <rPr>
        <sz val="10"/>
        <color rgb="FF000000"/>
        <rFont val="Noto Sans CJK SC"/>
        <family val="2"/>
      </rPr>
      <t xml:space="preserve">新增投资资本回报率</t>
    </r>
    <r>
      <rPr>
        <sz val="10"/>
        <color rgb="FF000000"/>
        <rFont val="Arial"/>
        <family val="0"/>
        <charset val="1"/>
      </rPr>
      <t xml:space="preserve">RONIC</t>
    </r>
    <r>
      <rPr>
        <sz val="10"/>
        <color rgb="FF000000"/>
        <rFont val="Noto Sans CJK SC"/>
        <family val="2"/>
      </rPr>
      <t xml:space="preserve">（</t>
    </r>
    <r>
      <rPr>
        <sz val="10"/>
        <color rgb="FF000000"/>
        <rFont val="Arial"/>
        <family val="0"/>
        <charset val="1"/>
      </rPr>
      <t xml:space="preserve">±10pp</t>
    </r>
    <r>
      <rPr>
        <sz val="10"/>
        <color rgb="FF000000"/>
        <rFont val="Noto Sans CJK SC"/>
        <family val="2"/>
      </rPr>
      <t xml:space="preserve">）</t>
    </r>
  </si>
  <si>
    <r>
      <rPr>
        <sz val="10"/>
        <color rgb="FF000000"/>
        <rFont val="Noto Sans CJK SC"/>
        <family val="2"/>
      </rPr>
      <t xml:space="preserve">全部分部毛利率（</t>
    </r>
    <r>
      <rPr>
        <sz val="10"/>
        <color rgb="FF000000"/>
        <rFont val="Arial"/>
        <family val="0"/>
        <charset val="1"/>
      </rPr>
      <t xml:space="preserve">±2pp</t>
    </r>
    <r>
      <rPr>
        <sz val="10"/>
        <color rgb="FF000000"/>
        <rFont val="Noto Sans CJK SC"/>
        <family val="2"/>
      </rPr>
      <t xml:space="preserve">）</t>
    </r>
  </si>
  <si>
    <r>
      <rPr>
        <sz val="10"/>
        <color rgb="FF000000"/>
        <rFont val="Noto Sans CJK SC"/>
        <family val="2"/>
      </rPr>
      <t xml:space="preserve">第二阶段起点增速溢价（</t>
    </r>
    <r>
      <rPr>
        <sz val="10"/>
        <color rgb="FF000000"/>
        <rFont val="Arial"/>
        <family val="0"/>
        <charset val="1"/>
      </rPr>
      <t xml:space="preserve">±4pp</t>
    </r>
    <r>
      <rPr>
        <sz val="10"/>
        <color rgb="FF000000"/>
        <rFont val="Noto Sans CJK SC"/>
        <family val="2"/>
      </rPr>
      <t xml:space="preserve">）</t>
    </r>
  </si>
  <si>
    <r>
      <rPr>
        <sz val="10"/>
        <color rgb="FF000000"/>
        <rFont val="Noto Sans CJK SC"/>
        <family val="2"/>
      </rPr>
      <t xml:space="preserve">人均薪酬增速（逐年</t>
    </r>
    <r>
      <rPr>
        <sz val="10"/>
        <color rgb="FF000000"/>
        <rFont val="Arial"/>
        <family val="0"/>
        <charset val="1"/>
      </rPr>
      <t xml:space="preserve">±3pp</t>
    </r>
    <r>
      <rPr>
        <sz val="10"/>
        <color rgb="FF000000"/>
        <rFont val="Noto Sans CJK SC"/>
        <family val="2"/>
      </rPr>
      <t xml:space="preserve">）</t>
    </r>
  </si>
  <si>
    <r>
      <rPr>
        <sz val="10"/>
        <color rgb="FF000000"/>
        <rFont val="Noto Sans CJK SC"/>
        <family val="2"/>
      </rPr>
      <t xml:space="preserve">永续增长率（</t>
    </r>
    <r>
      <rPr>
        <sz val="10"/>
        <color rgb="FF000000"/>
        <rFont val="Arial"/>
        <family val="0"/>
        <charset val="1"/>
      </rPr>
      <t xml:space="preserve">±0.5pp</t>
    </r>
    <r>
      <rPr>
        <sz val="10"/>
        <color rgb="FF000000"/>
        <rFont val="Noto Sans CJK SC"/>
        <family val="2"/>
      </rPr>
      <t xml:space="preserve">）</t>
    </r>
  </si>
  <si>
    <r>
      <rPr>
        <sz val="10"/>
        <color rgb="FF000000"/>
        <rFont val="Noto Sans CJK SC"/>
        <family val="2"/>
      </rPr>
      <t xml:space="preserve">员工人数增速（逐年</t>
    </r>
    <r>
      <rPr>
        <sz val="10"/>
        <color rgb="FF000000"/>
        <rFont val="Arial"/>
        <family val="0"/>
        <charset val="1"/>
      </rPr>
      <t xml:space="preserve">±3pp</t>
    </r>
    <r>
      <rPr>
        <sz val="10"/>
        <color rgb="FF000000"/>
        <rFont val="Noto Sans CJK SC"/>
        <family val="2"/>
      </rPr>
      <t xml:space="preserve">）</t>
    </r>
  </si>
  <si>
    <r>
      <rPr>
        <sz val="10"/>
        <color rgb="FF000000"/>
        <rFont val="Noto Sans CJK SC"/>
        <family val="2"/>
      </rPr>
      <t xml:space="preserve">通信器件单价变动（逐年</t>
    </r>
    <r>
      <rPr>
        <sz val="10"/>
        <color rgb="FF000000"/>
        <rFont val="Arial"/>
        <family val="0"/>
        <charset val="1"/>
      </rPr>
      <t xml:space="preserve">±2pp</t>
    </r>
    <r>
      <rPr>
        <sz val="10"/>
        <color rgb="FF000000"/>
        <rFont val="Noto Sans CJK SC"/>
        <family val="2"/>
      </rPr>
      <t xml:space="preserve">）</t>
    </r>
  </si>
  <si>
    <r>
      <rPr>
        <sz val="10"/>
        <color rgb="FF000000"/>
        <rFont val="Noto Sans CJK SC"/>
        <family val="2"/>
      </rPr>
      <t xml:space="preserve">资本开支（</t>
    </r>
    <r>
      <rPr>
        <sz val="10"/>
        <color rgb="FF000000"/>
        <rFont val="Arial"/>
        <family val="0"/>
        <charset val="1"/>
      </rPr>
      <t xml:space="preserve">±25%</t>
    </r>
    <r>
      <rPr>
        <sz val="10"/>
        <color rgb="FF000000"/>
        <rFont val="Noto Sans CJK SC"/>
        <family val="2"/>
      </rPr>
      <t xml:space="preserve">）</t>
    </r>
  </si>
  <si>
    <r>
      <rPr>
        <sz val="10"/>
        <color rgb="FF000000"/>
        <rFont val="Noto Sans CJK SC"/>
        <family val="2"/>
      </rPr>
      <t xml:space="preserve">其他电子及陶瓷材料增速（逐年</t>
    </r>
    <r>
      <rPr>
        <sz val="10"/>
        <color rgb="FF000000"/>
        <rFont val="Arial"/>
        <family val="0"/>
        <charset val="1"/>
      </rPr>
      <t xml:space="preserve">±5pp</t>
    </r>
    <r>
      <rPr>
        <sz val="10"/>
        <color rgb="FF000000"/>
        <rFont val="Noto Sans CJK SC"/>
        <family val="2"/>
      </rPr>
      <t xml:space="preserve">）</t>
    </r>
  </si>
  <si>
    <r>
      <rPr>
        <sz val="10"/>
        <color rgb="FF000000"/>
        <rFont val="Noto Sans CJK SC"/>
        <family val="2"/>
      </rPr>
      <t xml:space="preserve">实际税率（</t>
    </r>
    <r>
      <rPr>
        <sz val="10"/>
        <color rgb="FF000000"/>
        <rFont val="Arial"/>
        <family val="0"/>
        <charset val="1"/>
      </rPr>
      <t xml:space="preserve">±2pp</t>
    </r>
    <r>
      <rPr>
        <sz val="10"/>
        <color rgb="FF000000"/>
        <rFont val="Noto Sans CJK SC"/>
        <family val="2"/>
      </rPr>
      <t xml:space="preserve">）</t>
    </r>
  </si>
  <si>
    <r>
      <rPr>
        <sz val="10"/>
        <color rgb="FF000000"/>
        <rFont val="Noto Sans CJK SC"/>
        <family val="2"/>
      </rPr>
      <t xml:space="preserve">应收与产成品周转天数（</t>
    </r>
    <r>
      <rPr>
        <sz val="10"/>
        <color rgb="FF000000"/>
        <rFont val="Arial"/>
        <family val="0"/>
        <charset val="1"/>
      </rPr>
      <t xml:space="preserve">±15</t>
    </r>
    <r>
      <rPr>
        <sz val="10"/>
        <color rgb="FF000000"/>
        <rFont val="Noto Sans CJK SC"/>
        <family val="2"/>
      </rPr>
      <t xml:space="preserve">天）</t>
    </r>
  </si>
  <si>
    <r>
      <rPr>
        <sz val="10"/>
        <color rgb="FF000000"/>
        <rFont val="Noto Sans CJK SC"/>
        <family val="2"/>
      </rPr>
      <t xml:space="preserve">折旧率（</t>
    </r>
    <r>
      <rPr>
        <sz val="10"/>
        <color rgb="FF000000"/>
        <rFont val="Arial"/>
        <family val="0"/>
        <charset val="1"/>
      </rPr>
      <t xml:space="preserve">±10%</t>
    </r>
    <r>
      <rPr>
        <sz val="10"/>
        <color rgb="FF000000"/>
        <rFont val="Noto Sans CJK SC"/>
        <family val="2"/>
      </rPr>
      <t xml:space="preserve">；估值影响主要来自第二阶段与永续期</t>
    </r>
    <r>
      <rPr>
        <sz val="10"/>
        <color rgb="FF000000"/>
        <rFont val="Arial"/>
        <family val="0"/>
        <charset val="1"/>
      </rPr>
      <t xml:space="preserve">NOPAT</t>
    </r>
    <r>
      <rPr>
        <sz val="10"/>
        <color rgb="FF000000"/>
        <rFont val="Noto Sans CJK SC"/>
        <family val="2"/>
      </rPr>
      <t xml:space="preserve">）</t>
    </r>
  </si>
  <si>
    <r>
      <rPr>
        <sz val="10"/>
        <color rgb="FF000000"/>
        <rFont val="Noto Sans CJK SC"/>
        <family val="2"/>
      </rPr>
      <t xml:space="preserve">三环隔膜片份额（</t>
    </r>
    <r>
      <rPr>
        <sz val="10"/>
        <color rgb="FF000000"/>
        <rFont val="Arial"/>
        <family val="0"/>
        <charset val="1"/>
      </rPr>
      <t xml:space="preserve">±15pp</t>
    </r>
    <r>
      <rPr>
        <sz val="10"/>
        <color rgb="FF000000"/>
        <rFont val="Noto Sans CJK SC"/>
        <family val="2"/>
      </rPr>
      <t xml:space="preserve">）</t>
    </r>
  </si>
  <si>
    <r>
      <rPr>
        <sz val="10"/>
        <color rgb="FF000000"/>
        <rFont val="Noto Sans CJK SC"/>
        <family val="2"/>
      </rPr>
      <t xml:space="preserve">政府补助占收入（</t>
    </r>
    <r>
      <rPr>
        <sz val="10"/>
        <color rgb="FF000000"/>
        <rFont val="Arial"/>
        <family val="0"/>
        <charset val="1"/>
      </rPr>
      <t xml:space="preserve">±0.3pp</t>
    </r>
    <r>
      <rPr>
        <sz val="10"/>
        <color rgb="FF000000"/>
        <rFont val="Noto Sans CJK SC"/>
        <family val="2"/>
      </rPr>
      <t xml:space="preserve">）</t>
    </r>
  </si>
  <si>
    <r>
      <rPr>
        <sz val="10"/>
        <color rgb="FF000000"/>
        <rFont val="Noto Sans CJK SC"/>
        <family val="2"/>
      </rPr>
      <t xml:space="preserve">管理费用其他项占收入（</t>
    </r>
    <r>
      <rPr>
        <sz val="10"/>
        <color rgb="FF000000"/>
        <rFont val="Arial"/>
        <family val="0"/>
        <charset val="1"/>
      </rPr>
      <t xml:space="preserve">±0.3pp</t>
    </r>
    <r>
      <rPr>
        <sz val="10"/>
        <color rgb="FF000000"/>
        <rFont val="Noto Sans CJK SC"/>
        <family val="2"/>
      </rPr>
      <t xml:space="preserve">）</t>
    </r>
  </si>
  <si>
    <r>
      <rPr>
        <sz val="10"/>
        <color rgb="FF000000"/>
        <rFont val="Arial"/>
        <family val="0"/>
        <charset val="1"/>
      </rPr>
      <t xml:space="preserve">Bloom</t>
    </r>
    <r>
      <rPr>
        <sz val="10"/>
        <color rgb="FF000000"/>
        <rFont val="Noto Sans CJK SC"/>
        <family val="2"/>
      </rPr>
      <t xml:space="preserve">电池片层需求（</t>
    </r>
    <r>
      <rPr>
        <sz val="10"/>
        <color rgb="FF000000"/>
        <rFont val="Arial"/>
        <family val="0"/>
        <charset val="1"/>
      </rPr>
      <t xml:space="preserve">±30%</t>
    </r>
    <r>
      <rPr>
        <sz val="10"/>
        <color rgb="FF000000"/>
        <rFont val="Noto Sans CJK SC"/>
        <family val="2"/>
      </rPr>
      <t xml:space="preserve">）</t>
    </r>
  </si>
  <si>
    <r>
      <rPr>
        <sz val="10"/>
        <color rgb="FF000000"/>
        <rFont val="Noto Sans CJK SC"/>
        <family val="2"/>
      </rPr>
      <t xml:space="preserve">隔膜片单价（</t>
    </r>
    <r>
      <rPr>
        <sz val="10"/>
        <color rgb="FF000000"/>
        <rFont val="Arial"/>
        <family val="0"/>
        <charset val="1"/>
      </rPr>
      <t xml:space="preserve">±15%</t>
    </r>
    <r>
      <rPr>
        <sz val="10"/>
        <color rgb="FF000000"/>
        <rFont val="Noto Sans CJK SC"/>
        <family val="2"/>
      </rPr>
      <t xml:space="preserve">）</t>
    </r>
  </si>
  <si>
    <r>
      <rPr>
        <sz val="10"/>
        <color rgb="FF000000"/>
        <rFont val="Noto Sans CJK SC"/>
        <family val="2"/>
      </rPr>
      <t xml:space="preserve">存款及理财收益率（</t>
    </r>
    <r>
      <rPr>
        <sz val="10"/>
        <color rgb="FF000000"/>
        <rFont val="Arial"/>
        <family val="0"/>
        <charset val="1"/>
      </rPr>
      <t xml:space="preserve">±0.5pp</t>
    </r>
    <r>
      <rPr>
        <sz val="10"/>
        <color rgb="FF000000"/>
        <rFont val="Noto Sans CJK SC"/>
        <family val="2"/>
      </rPr>
      <t xml:space="preserve">）</t>
    </r>
  </si>
  <si>
    <r>
      <rPr>
        <b val="true"/>
        <sz val="10"/>
        <color rgb="FF1F3864"/>
        <rFont val="Arial"/>
        <family val="0"/>
        <charset val="1"/>
      </rPr>
      <t xml:space="preserve">C. </t>
    </r>
    <r>
      <rPr>
        <b val="true"/>
        <sz val="10"/>
        <color rgb="FF1F3864"/>
        <rFont val="Noto Sans CJK SC"/>
        <family val="2"/>
      </rPr>
      <t xml:space="preserve">龙卷风：</t>
    </r>
    <r>
      <rPr>
        <b val="true"/>
        <sz val="10"/>
        <color rgb="FF1F3864"/>
        <rFont val="Arial"/>
        <family val="0"/>
        <charset val="1"/>
      </rPr>
      <t xml:space="preserve">2027E</t>
    </r>
    <r>
      <rPr>
        <b val="true"/>
        <sz val="10"/>
        <color rgb="FF1F3864"/>
        <rFont val="Noto Sans CJK SC"/>
        <family val="2"/>
      </rPr>
      <t xml:space="preserve">归母净利润（按区间宽度排序；经营假设）</t>
    </r>
  </si>
  <si>
    <r>
      <rPr>
        <b val="true"/>
        <sz val="10"/>
        <color rgb="FF1F3864"/>
        <rFont val="Arial"/>
        <family val="0"/>
        <charset val="1"/>
      </rPr>
      <t xml:space="preserve">D. </t>
    </r>
    <r>
      <rPr>
        <b val="true"/>
        <sz val="10"/>
        <color rgb="FF1F3864"/>
        <rFont val="Noto Sans CJK SC"/>
        <family val="2"/>
      </rPr>
      <t xml:space="preserve">二维敏感性（行</t>
    </r>
    <r>
      <rPr>
        <b val="true"/>
        <sz val="10"/>
        <color rgb="FF1F3864"/>
        <rFont val="Arial"/>
        <family val="0"/>
        <charset val="1"/>
      </rPr>
      <t xml:space="preserve">×</t>
    </r>
    <r>
      <rPr>
        <b val="true"/>
        <sz val="10"/>
        <color rgb="FF1F3864"/>
        <rFont val="Noto Sans CJK SC"/>
        <family val="2"/>
      </rPr>
      <t xml:space="preserve">列同时冲击，冲击叠加在基准情景各年采用值之上）</t>
    </r>
  </si>
  <si>
    <r>
      <rPr>
        <b val="true"/>
        <sz val="10"/>
        <color rgb="FF1F3864"/>
        <rFont val="Arial"/>
        <family val="0"/>
        <charset val="1"/>
      </rPr>
      <t xml:space="preserve">SOFC</t>
    </r>
    <r>
      <rPr>
        <b val="true"/>
        <sz val="10"/>
        <color rgb="FF1F3864"/>
        <rFont val="Noto Sans CJK SC"/>
        <family val="2"/>
      </rPr>
      <t xml:space="preserve">：</t>
    </r>
    <r>
      <rPr>
        <b val="true"/>
        <sz val="10"/>
        <color rgb="FF1F3864"/>
        <rFont val="Arial"/>
        <family val="0"/>
        <charset val="1"/>
      </rPr>
      <t xml:space="preserve">Bloom</t>
    </r>
    <r>
      <rPr>
        <b val="true"/>
        <sz val="10"/>
        <color rgb="FF1F3864"/>
        <rFont val="Noto Sans CJK SC"/>
        <family val="2"/>
      </rPr>
      <t xml:space="preserve">电池片层需求冲击（行）</t>
    </r>
    <r>
      <rPr>
        <b val="true"/>
        <sz val="10"/>
        <color rgb="FF1F3864"/>
        <rFont val="Arial"/>
        <family val="0"/>
        <charset val="1"/>
      </rPr>
      <t xml:space="preserve">× </t>
    </r>
    <r>
      <rPr>
        <b val="true"/>
        <sz val="10"/>
        <color rgb="FF1F3864"/>
        <rFont val="Noto Sans CJK SC"/>
        <family val="2"/>
      </rPr>
      <t xml:space="preserve">三环份额冲击（列）</t>
    </r>
  </si>
  <si>
    <r>
      <rPr>
        <b val="true"/>
        <sz val="10"/>
        <color rgb="FF000000"/>
        <rFont val="Arial"/>
        <family val="0"/>
        <charset val="1"/>
      </rPr>
      <t xml:space="preserve">2027E</t>
    </r>
    <r>
      <rPr>
        <b val="true"/>
        <sz val="10"/>
        <color rgb="FF000000"/>
        <rFont val="Noto Sans CJK SC"/>
        <family val="2"/>
      </rPr>
      <t xml:space="preserve">归母净利润（百万元）</t>
    </r>
  </si>
  <si>
    <r>
      <rPr>
        <b val="true"/>
        <sz val="10"/>
        <color rgb="FF000000"/>
        <rFont val="Arial"/>
        <family val="0"/>
        <charset val="1"/>
      </rPr>
      <t xml:space="preserve">DCF</t>
    </r>
    <r>
      <rPr>
        <b val="true"/>
        <sz val="10"/>
        <color rgb="FF000000"/>
        <rFont val="Noto Sans CJK SC"/>
        <family val="2"/>
      </rPr>
      <t xml:space="preserve">每股价值（元）</t>
    </r>
  </si>
  <si>
    <r>
      <rPr>
        <b val="true"/>
        <sz val="10"/>
        <color rgb="FF000000"/>
        <rFont val="Noto Sans CJK SC"/>
        <family val="2"/>
      </rPr>
      <t xml:space="preserve">行</t>
    </r>
    <r>
      <rPr>
        <b val="true"/>
        <sz val="10"/>
        <color rgb="FF000000"/>
        <rFont val="Arial"/>
        <family val="0"/>
        <charset val="1"/>
      </rPr>
      <t xml:space="preserve">\</t>
    </r>
    <r>
      <rPr>
        <b val="true"/>
        <sz val="10"/>
        <color rgb="FF000000"/>
        <rFont val="Noto Sans CJK SC"/>
        <family val="2"/>
      </rPr>
      <t xml:space="preserve">列</t>
    </r>
  </si>
  <si>
    <r>
      <rPr>
        <b val="true"/>
        <sz val="10"/>
        <color rgb="FF1F3864"/>
        <rFont val="Noto Sans CJK SC"/>
        <family val="2"/>
      </rPr>
      <t xml:space="preserve">电子元件：单价变动冲击（行）</t>
    </r>
    <r>
      <rPr>
        <b val="true"/>
        <sz val="10"/>
        <color rgb="FF1F3864"/>
        <rFont val="Arial"/>
        <family val="0"/>
        <charset val="1"/>
      </rPr>
      <t xml:space="preserve">× </t>
    </r>
    <r>
      <rPr>
        <b val="true"/>
        <sz val="10"/>
        <color rgb="FF1F3864"/>
        <rFont val="Noto Sans CJK SC"/>
        <family val="2"/>
      </rPr>
      <t xml:space="preserve">销量增速冲击（列）</t>
    </r>
  </si>
  <si>
    <r>
      <rPr>
        <b val="true"/>
        <sz val="10"/>
        <color rgb="FF1F3864"/>
        <rFont val="Noto Sans CJK SC"/>
        <family val="2"/>
      </rPr>
      <t xml:space="preserve">毛利率冲击（行）</t>
    </r>
    <r>
      <rPr>
        <b val="true"/>
        <sz val="10"/>
        <color rgb="FF1F3864"/>
        <rFont val="Arial"/>
        <family val="0"/>
        <charset val="1"/>
      </rPr>
      <t xml:space="preserve">× </t>
    </r>
    <r>
      <rPr>
        <b val="true"/>
        <sz val="10"/>
        <color rgb="FF1F3864"/>
        <rFont val="Noto Sans CJK SC"/>
        <family val="2"/>
      </rPr>
      <t xml:space="preserve">通信器件销量增速冲击（列）</t>
    </r>
  </si>
  <si>
    <r>
      <rPr>
        <b val="true"/>
        <sz val="10"/>
        <color rgb="FF1F3864"/>
        <rFont val="Noto Sans CJK SC"/>
        <family val="2"/>
      </rPr>
      <t xml:space="preserve">资本开支冲击（行）</t>
    </r>
    <r>
      <rPr>
        <b val="true"/>
        <sz val="10"/>
        <color rgb="FF1F3864"/>
        <rFont val="Arial"/>
        <family val="0"/>
        <charset val="1"/>
      </rPr>
      <t xml:space="preserve">× </t>
    </r>
    <r>
      <rPr>
        <b val="true"/>
        <sz val="10"/>
        <color rgb="FF1F3864"/>
        <rFont val="Noto Sans CJK SC"/>
        <family val="2"/>
      </rPr>
      <t xml:space="preserve">周转天数冲击（列）</t>
    </r>
  </si>
  <si>
    <r>
      <rPr>
        <b val="true"/>
        <sz val="10"/>
        <color rgb="FF000000"/>
        <rFont val="Arial"/>
        <family val="0"/>
        <charset val="1"/>
      </rPr>
      <t xml:space="preserve">2027E</t>
    </r>
    <r>
      <rPr>
        <b val="true"/>
        <sz val="10"/>
        <color rgb="FF000000"/>
        <rFont val="Noto Sans CJK SC"/>
        <family val="2"/>
      </rPr>
      <t xml:space="preserve">自由现金流（百万元）</t>
    </r>
  </si>
  <si>
    <r>
      <rPr>
        <b val="true"/>
        <sz val="10"/>
        <color rgb="FF1F3864"/>
        <rFont val="Noto Sans CJK SC"/>
        <family val="2"/>
      </rPr>
      <t xml:space="preserve">人均薪酬增速冲击（行）</t>
    </r>
    <r>
      <rPr>
        <b val="true"/>
        <sz val="10"/>
        <color rgb="FF1F3864"/>
        <rFont val="Arial"/>
        <family val="0"/>
        <charset val="1"/>
      </rPr>
      <t xml:space="preserve">× </t>
    </r>
    <r>
      <rPr>
        <b val="true"/>
        <sz val="10"/>
        <color rgb="FF1F3864"/>
        <rFont val="Noto Sans CJK SC"/>
        <family val="2"/>
      </rPr>
      <t xml:space="preserve">员工人数增速冲击（列）</t>
    </r>
  </si>
  <si>
    <r>
      <rPr>
        <b val="true"/>
        <sz val="10"/>
        <color rgb="FF1F3864"/>
        <rFont val="Arial"/>
        <family val="0"/>
        <charset val="1"/>
      </rPr>
      <t xml:space="preserve">E. </t>
    </r>
    <r>
      <rPr>
        <b val="true"/>
        <sz val="10"/>
        <color rgb="FF1F3864"/>
        <rFont val="Noto Sans CJK SC"/>
        <family val="2"/>
      </rPr>
      <t xml:space="preserve">反向</t>
    </r>
    <r>
      <rPr>
        <b val="true"/>
        <sz val="10"/>
        <color rgb="FF1F3864"/>
        <rFont val="Arial"/>
        <family val="0"/>
        <charset val="1"/>
      </rPr>
      <t xml:space="preserve">DCF</t>
    </r>
    <r>
      <rPr>
        <b val="true"/>
        <sz val="10"/>
        <color rgb="FF1F3864"/>
        <rFont val="Noto Sans CJK SC"/>
        <family val="2"/>
      </rPr>
      <t xml:space="preserve">：让</t>
    </r>
    <r>
      <rPr>
        <b val="true"/>
        <sz val="10"/>
        <color rgb="FF1F3864"/>
        <rFont val="Arial"/>
        <family val="0"/>
        <charset val="1"/>
      </rPr>
      <t xml:space="preserve">DCF</t>
    </r>
    <r>
      <rPr>
        <b val="true"/>
        <sz val="10"/>
        <color rgb="FF1F3864"/>
        <rFont val="Noto Sans CJK SC"/>
        <family val="2"/>
      </rPr>
      <t xml:space="preserve">每股价值（折回当前）等于当前股价，需要什么（每次只动一个变量）</t>
    </r>
  </si>
  <si>
    <t xml:space="preserve">变量</t>
  </si>
  <si>
    <t xml:space="preserve">基准值</t>
  </si>
  <si>
    <t xml:space="preserve">所需值</t>
  </si>
  <si>
    <t xml:space="preserve">所需变化</t>
  </si>
  <si>
    <r>
      <rPr>
        <b val="true"/>
        <sz val="10"/>
        <color rgb="FFFFFFFF"/>
        <rFont val="Noto Sans CJK SC"/>
        <family val="2"/>
      </rPr>
      <t xml:space="preserve">对应</t>
    </r>
    <r>
      <rPr>
        <b val="true"/>
        <sz val="10"/>
        <color rgb="FFFFFFFF"/>
        <rFont val="Arial"/>
        <family val="0"/>
        <charset val="1"/>
      </rPr>
      <t xml:space="preserve">2027E</t>
    </r>
    <r>
      <rPr>
        <b val="true"/>
        <sz val="10"/>
        <color rgb="FFFFFFFF"/>
        <rFont val="Noto Sans CJK SC"/>
        <family val="2"/>
      </rPr>
      <t xml:space="preserve">归母净利润</t>
    </r>
  </si>
  <si>
    <t xml:space="preserve">说明</t>
  </si>
  <si>
    <r>
      <rPr>
        <sz val="10"/>
        <color rgb="FF000000"/>
        <rFont val="Arial"/>
        <family val="0"/>
        <charset val="1"/>
      </rPr>
      <t xml:space="preserve">WACC</t>
    </r>
    <r>
      <rPr>
        <sz val="10"/>
        <color rgb="FF000000"/>
        <rFont val="Noto Sans CJK SC"/>
        <family val="2"/>
      </rPr>
      <t xml:space="preserve">（通过</t>
    </r>
    <r>
      <rPr>
        <sz val="10"/>
        <color rgb="FF000000"/>
        <rFont val="Arial"/>
        <family val="0"/>
        <charset val="1"/>
      </rPr>
      <t xml:space="preserve">Beta</t>
    </r>
    <r>
      <rPr>
        <sz val="10"/>
        <color rgb="FF000000"/>
        <rFont val="Noto Sans CJK SC"/>
        <family val="2"/>
      </rPr>
      <t xml:space="preserve">求解）</t>
    </r>
  </si>
  <si>
    <r>
      <rPr>
        <i val="true"/>
        <sz val="10"/>
        <color rgb="FF595959"/>
        <rFont val="Arial"/>
        <family val="0"/>
        <charset val="1"/>
      </rPr>
      <t xml:space="preserve">WACC</t>
    </r>
    <r>
      <rPr>
        <i val="true"/>
        <sz val="10"/>
        <color rgb="FF595959"/>
        <rFont val="Noto Sans CJK SC"/>
        <family val="2"/>
      </rPr>
      <t xml:space="preserve">需降至约</t>
    </r>
    <r>
      <rPr>
        <i val="true"/>
        <sz val="10"/>
        <color rgb="FF595959"/>
        <rFont val="Arial"/>
        <family val="0"/>
        <charset val="1"/>
      </rPr>
      <t xml:space="preserve">5.6%</t>
    </r>
    <r>
      <rPr>
        <i val="true"/>
        <sz val="10"/>
        <color rgb="FF595959"/>
        <rFont val="Noto Sans CJK SC"/>
        <family val="2"/>
      </rPr>
      <t xml:space="preserve">（对应</t>
    </r>
    <r>
      <rPr>
        <i val="true"/>
        <sz val="10"/>
        <color rgb="FF595959"/>
        <rFont val="Arial"/>
        <family val="0"/>
        <charset val="1"/>
      </rPr>
      <t xml:space="preserve">Beta</t>
    </r>
    <r>
      <rPr>
        <i val="true"/>
        <sz val="10"/>
        <color rgb="FF595959"/>
        <rFont val="Noto Sans CJK SC"/>
        <family val="2"/>
      </rPr>
      <t xml:space="preserve">约</t>
    </r>
    <r>
      <rPr>
        <i val="true"/>
        <sz val="10"/>
        <color rgb="FF595959"/>
        <rFont val="Arial"/>
        <family val="0"/>
        <charset val="1"/>
      </rPr>
      <t xml:space="preserve">0.58</t>
    </r>
    <r>
      <rPr>
        <i val="true"/>
        <sz val="10"/>
        <color rgb="FF595959"/>
        <rFont val="Noto Sans CJK SC"/>
        <family val="2"/>
      </rPr>
      <t xml:space="preserve">）</t>
    </r>
  </si>
  <si>
    <t xml:space="preserve">&gt;18pp</t>
  </si>
  <si>
    <r>
      <rPr>
        <i val="true"/>
        <sz val="10"/>
        <color rgb="FF595959"/>
        <rFont val="Noto Sans CJK SC"/>
        <family val="2"/>
      </rPr>
      <t xml:space="preserve">溢价加到</t>
    </r>
    <r>
      <rPr>
        <i val="true"/>
        <sz val="10"/>
        <color rgb="FF595959"/>
        <rFont val="Arial"/>
        <family val="0"/>
        <charset val="1"/>
      </rPr>
      <t xml:space="preserve">18pp</t>
    </r>
    <r>
      <rPr>
        <i val="true"/>
        <sz val="10"/>
        <color rgb="FF595959"/>
        <rFont val="Noto Sans CJK SC"/>
        <family val="2"/>
      </rPr>
      <t xml:space="preserve">（第二阶段再投资率接近</t>
    </r>
    <r>
      <rPr>
        <i val="true"/>
        <sz val="10"/>
        <color rgb="FF595959"/>
        <rFont val="Arial"/>
        <family val="0"/>
        <charset val="1"/>
      </rPr>
      <t xml:space="preserve">100%</t>
    </r>
    <r>
      <rPr>
        <i val="true"/>
        <sz val="10"/>
        <color rgb="FF595959"/>
        <rFont val="Noto Sans CJK SC"/>
        <family val="2"/>
      </rPr>
      <t xml:space="preserve">）后</t>
    </r>
    <r>
      <rPr>
        <i val="true"/>
        <sz val="10"/>
        <color rgb="FF595959"/>
        <rFont val="Arial"/>
        <family val="0"/>
        <charset val="1"/>
      </rPr>
      <t xml:space="preserve">DCF</t>
    </r>
    <r>
      <rPr>
        <i val="true"/>
        <sz val="10"/>
        <color rgb="FF595959"/>
        <rFont val="Noto Sans CJK SC"/>
        <family val="2"/>
      </rPr>
      <t xml:space="preserve">价值仍低于股价，合理区间内无解（区间上限时与股价差</t>
    </r>
    <r>
      <rPr>
        <i val="true"/>
        <sz val="10"/>
        <color rgb="FF595959"/>
        <rFont val="Arial"/>
        <family val="0"/>
        <charset val="1"/>
      </rPr>
      <t xml:space="preserve">-51.9</t>
    </r>
    <r>
      <rPr>
        <i val="true"/>
        <sz val="10"/>
        <color rgb="FF595959"/>
        <rFont val="Noto Sans CJK SC"/>
        <family val="2"/>
      </rPr>
      <t xml:space="preserve">元）</t>
    </r>
  </si>
  <si>
    <t xml:space="preserve">电子元件销量增速（逐年额外增加）</t>
  </si>
  <si>
    <r>
      <rPr>
        <i val="true"/>
        <sz val="10"/>
        <color rgb="FF595959"/>
        <rFont val="Arial"/>
        <family val="0"/>
        <charset val="1"/>
      </rPr>
      <t xml:space="preserve">2026E-2030E</t>
    </r>
    <r>
      <rPr>
        <i val="true"/>
        <sz val="10"/>
        <color rgb="FF595959"/>
        <rFont val="Noto Sans CJK SC"/>
        <family val="2"/>
      </rPr>
      <t xml:space="preserve">每年销量增速均需在基准之上再加该幅度</t>
    </r>
  </si>
  <si>
    <r>
      <rPr>
        <sz val="10"/>
        <color rgb="FF000000"/>
        <rFont val="Arial"/>
        <family val="0"/>
        <charset val="1"/>
      </rPr>
      <t xml:space="preserve">Bloom</t>
    </r>
    <r>
      <rPr>
        <sz val="10"/>
        <color rgb="FF000000"/>
        <rFont val="Noto Sans CJK SC"/>
        <family val="2"/>
      </rPr>
      <t xml:space="preserve">电池片层需求（倍数冲击）</t>
    </r>
  </si>
  <si>
    <t xml:space="preserve">&gt;+200%</t>
  </si>
  <si>
    <r>
      <rPr>
        <i val="true"/>
        <sz val="10"/>
        <color rgb="FF595959"/>
        <rFont val="Arial"/>
        <family val="0"/>
        <charset val="1"/>
      </rPr>
      <t xml:space="preserve">Bloom</t>
    </r>
    <r>
      <rPr>
        <i val="true"/>
        <sz val="10"/>
        <color rgb="FF595959"/>
        <rFont val="Noto Sans CJK SC"/>
        <family val="2"/>
      </rPr>
      <t xml:space="preserve">需求提高到基准的</t>
    </r>
    <r>
      <rPr>
        <i val="true"/>
        <sz val="10"/>
        <color rgb="FF595959"/>
        <rFont val="Arial"/>
        <family val="0"/>
        <charset val="1"/>
      </rPr>
      <t xml:space="preserve">3</t>
    </r>
    <r>
      <rPr>
        <i val="true"/>
        <sz val="10"/>
        <color rgb="FF595959"/>
        <rFont val="Noto Sans CJK SC"/>
        <family val="2"/>
      </rPr>
      <t xml:space="preserve">倍后</t>
    </r>
    <r>
      <rPr>
        <i val="true"/>
        <sz val="10"/>
        <color rgb="FF595959"/>
        <rFont val="Arial"/>
        <family val="0"/>
        <charset val="1"/>
      </rPr>
      <t xml:space="preserve">DCF</t>
    </r>
    <r>
      <rPr>
        <i val="true"/>
        <sz val="10"/>
        <color rgb="FF595959"/>
        <rFont val="Noto Sans CJK SC"/>
        <family val="2"/>
      </rPr>
      <t xml:space="preserve">价值仍低于股价，合理区间内无解（区间上限时与股价差</t>
    </r>
    <r>
      <rPr>
        <i val="true"/>
        <sz val="10"/>
        <color rgb="FF595959"/>
        <rFont val="Arial"/>
        <family val="0"/>
        <charset val="1"/>
      </rPr>
      <t xml:space="preserve">-62.2</t>
    </r>
    <r>
      <rPr>
        <i val="true"/>
        <sz val="10"/>
        <color rgb="FF595959"/>
        <rFont val="Noto Sans CJK SC"/>
        <family val="2"/>
      </rPr>
      <t xml:space="preserve">元）</t>
    </r>
  </si>
  <si>
    <t xml:space="preserve">全部分部毛利率（同时提升）</t>
  </si>
  <si>
    <t xml:space="preserve">&gt;30pp</t>
  </si>
  <si>
    <r>
      <rPr>
        <i val="true"/>
        <sz val="10"/>
        <color rgb="FF595959"/>
        <rFont val="Noto Sans CJK SC"/>
        <family val="2"/>
      </rPr>
      <t xml:space="preserve">全部分部毛利率提高</t>
    </r>
    <r>
      <rPr>
        <i val="true"/>
        <sz val="10"/>
        <color rgb="FF595959"/>
        <rFont val="Arial"/>
        <family val="0"/>
        <charset val="1"/>
      </rPr>
      <t xml:space="preserve">30pp</t>
    </r>
    <r>
      <rPr>
        <i val="true"/>
        <sz val="10"/>
        <color rgb="FF595959"/>
        <rFont val="Noto Sans CJK SC"/>
        <family val="2"/>
      </rPr>
      <t xml:space="preserve">后</t>
    </r>
    <r>
      <rPr>
        <i val="true"/>
        <sz val="10"/>
        <color rgb="FF595959"/>
        <rFont val="Arial"/>
        <family val="0"/>
        <charset val="1"/>
      </rPr>
      <t xml:space="preserve">DCF</t>
    </r>
    <r>
      <rPr>
        <i val="true"/>
        <sz val="10"/>
        <color rgb="FF595959"/>
        <rFont val="Noto Sans CJK SC"/>
        <family val="2"/>
      </rPr>
      <t xml:space="preserve">价值仍低于股价，合理区间内无解（区间上限时与股价差</t>
    </r>
    <r>
      <rPr>
        <i val="true"/>
        <sz val="10"/>
        <color rgb="FF595959"/>
        <rFont val="Arial"/>
        <family val="0"/>
        <charset val="1"/>
      </rPr>
      <t xml:space="preserve">-20.4</t>
    </r>
    <r>
      <rPr>
        <i val="true"/>
        <sz val="10"/>
        <color rgb="FF595959"/>
        <rFont val="Noto Sans CJK SC"/>
        <family val="2"/>
      </rPr>
      <t xml:space="preserve">元）</t>
    </r>
  </si>
  <si>
    <r>
      <rPr>
        <sz val="10"/>
        <color rgb="FF000000"/>
        <rFont val="Noto Sans CJK SC"/>
        <family val="2"/>
      </rPr>
      <t xml:space="preserve">永续增长率（实时公式，见</t>
    </r>
    <r>
      <rPr>
        <sz val="10"/>
        <color rgb="FF000000"/>
        <rFont val="Arial"/>
        <family val="0"/>
        <charset val="1"/>
      </rPr>
      <t xml:space="preserve">DCF</t>
    </r>
    <r>
      <rPr>
        <sz val="10"/>
        <color rgb="FF000000"/>
        <rFont val="Noto Sans CJK SC"/>
        <family val="2"/>
      </rPr>
      <t xml:space="preserve">估值表）</t>
    </r>
  </si>
  <si>
    <r>
      <rPr>
        <i val="true"/>
        <sz val="10"/>
        <color rgb="FF595959"/>
        <rFont val="Arial"/>
        <family val="0"/>
        <charset val="1"/>
      </rPr>
      <t xml:space="preserve">WACC</t>
    </r>
    <r>
      <rPr>
        <i val="true"/>
        <sz val="10"/>
        <color rgb="FF595959"/>
        <rFont val="Noto Sans CJK SC"/>
        <family val="2"/>
      </rPr>
      <t xml:space="preserve">与前两阶段现金流不变时，股价隐含的永续增长率</t>
    </r>
  </si>
  <si>
    <r>
      <rPr>
        <b val="true"/>
        <sz val="10"/>
        <color rgb="FF1F3864"/>
        <rFont val="Arial"/>
        <family val="0"/>
        <charset val="1"/>
      </rPr>
      <t xml:space="preserve">F. SOFC</t>
    </r>
    <r>
      <rPr>
        <b val="true"/>
        <sz val="10"/>
        <color rgb="FF1F3864"/>
        <rFont val="Noto Sans CJK SC"/>
        <family val="2"/>
      </rPr>
      <t xml:space="preserve">隔膜片对估值的贡献（将</t>
    </r>
    <r>
      <rPr>
        <b val="true"/>
        <sz val="10"/>
        <color rgb="FF1F3864"/>
        <rFont val="Arial"/>
        <family val="0"/>
        <charset val="1"/>
      </rPr>
      <t xml:space="preserve">Bloom</t>
    </r>
    <r>
      <rPr>
        <b val="true"/>
        <sz val="10"/>
        <color rgb="FF1F3864"/>
        <rFont val="Noto Sans CJK SC"/>
        <family val="2"/>
      </rPr>
      <t xml:space="preserve">需求冲击设为</t>
    </r>
    <r>
      <rPr>
        <b val="true"/>
        <sz val="10"/>
        <color rgb="FF1F3864"/>
        <rFont val="Arial"/>
        <family val="0"/>
        <charset val="1"/>
      </rPr>
      <t xml:space="preserve">-100%</t>
    </r>
    <r>
      <rPr>
        <b val="true"/>
        <sz val="10"/>
        <color rgb="FF1F3864"/>
        <rFont val="Noto Sans CJK SC"/>
        <family val="2"/>
      </rPr>
      <t xml:space="preserve">，其余不变）</t>
    </r>
  </si>
  <si>
    <t xml:space="preserve">基准</t>
  </si>
  <si>
    <r>
      <rPr>
        <b val="true"/>
        <sz val="10"/>
        <color rgb="FFFFFFFF"/>
        <rFont val="Noto Sans CJK SC"/>
        <family val="2"/>
      </rPr>
      <t xml:space="preserve">无</t>
    </r>
    <r>
      <rPr>
        <b val="true"/>
        <sz val="10"/>
        <color rgb="FFFFFFFF"/>
        <rFont val="Arial"/>
        <family val="0"/>
        <charset val="1"/>
      </rPr>
      <t xml:space="preserve">SOFC</t>
    </r>
  </si>
  <si>
    <r>
      <rPr>
        <b val="true"/>
        <sz val="10"/>
        <color rgb="FFFFFFFF"/>
        <rFont val="Arial"/>
        <family val="0"/>
        <charset val="1"/>
      </rPr>
      <t xml:space="preserve">SOFC</t>
    </r>
    <r>
      <rPr>
        <b val="true"/>
        <sz val="10"/>
        <color rgb="FFFFFFFF"/>
        <rFont val="Noto Sans CJK SC"/>
        <family val="2"/>
      </rPr>
      <t xml:space="preserve">贡献</t>
    </r>
  </si>
  <si>
    <t xml:space="preserve">占比</t>
  </si>
  <si>
    <r>
      <rPr>
        <b val="true"/>
        <sz val="14"/>
        <color rgb="FF1F3864"/>
        <rFont val="Noto Sans CJK SC"/>
        <family val="2"/>
      </rPr>
      <t xml:space="preserve">情景对比：基准</t>
    </r>
    <r>
      <rPr>
        <b val="true"/>
        <sz val="14"/>
        <color rgb="FF1F3864"/>
        <rFont val="Arial"/>
        <family val="0"/>
        <charset val="1"/>
      </rPr>
      <t xml:space="preserve">/</t>
    </r>
    <r>
      <rPr>
        <b val="true"/>
        <sz val="14"/>
        <color rgb="FF1F3864"/>
        <rFont val="Noto Sans CJK SC"/>
        <family val="2"/>
      </rPr>
      <t xml:space="preserve">乐观</t>
    </r>
    <r>
      <rPr>
        <b val="true"/>
        <sz val="14"/>
        <color rgb="FF1F3864"/>
        <rFont val="Arial"/>
        <family val="0"/>
        <charset val="1"/>
      </rPr>
      <t xml:space="preserve">/</t>
    </r>
    <r>
      <rPr>
        <b val="true"/>
        <sz val="14"/>
        <color rgb="FF1F3864"/>
        <rFont val="Noto Sans CJK SC"/>
        <family val="2"/>
      </rPr>
      <t xml:space="preserve">悲观</t>
    </r>
  </si>
  <si>
    <r>
      <rPr>
        <i val="true"/>
        <sz val="10"/>
        <color rgb="FF595959"/>
        <rFont val="Arial"/>
        <family val="0"/>
        <charset val="1"/>
      </rPr>
      <t xml:space="preserve">A</t>
    </r>
    <r>
      <rPr>
        <i val="true"/>
        <sz val="10"/>
        <color rgb="FF595959"/>
        <rFont val="Noto Sans CJK SC"/>
        <family val="2"/>
      </rPr>
      <t xml:space="preserve">部分为“假设”表中各情景输入值（实时链接）；</t>
    </r>
    <r>
      <rPr>
        <i val="true"/>
        <sz val="10"/>
        <color rgb="FF595959"/>
        <rFont val="Arial"/>
        <family val="0"/>
        <charset val="1"/>
      </rPr>
      <t xml:space="preserve">B</t>
    </r>
    <r>
      <rPr>
        <i val="true"/>
        <sz val="10"/>
        <color rgb="FF595959"/>
        <rFont val="Noto Sans CJK SC"/>
        <family val="2"/>
      </rPr>
      <t xml:space="preserve">、</t>
    </r>
    <r>
      <rPr>
        <i val="true"/>
        <sz val="10"/>
        <color rgb="FF595959"/>
        <rFont val="Arial"/>
        <family val="0"/>
        <charset val="1"/>
      </rPr>
      <t xml:space="preserve">C</t>
    </r>
    <r>
      <rPr>
        <i val="true"/>
        <sz val="10"/>
        <color rgb="FF595959"/>
        <rFont val="Noto Sans CJK SC"/>
        <family val="2"/>
      </rPr>
      <t xml:space="preserve">部分为重算引擎分别切换情景后得到的静态结果。</t>
    </r>
  </si>
  <si>
    <r>
      <rPr>
        <b val="true"/>
        <sz val="10"/>
        <color rgb="FF1F3864"/>
        <rFont val="Arial"/>
        <family val="0"/>
        <charset val="1"/>
      </rPr>
      <t xml:space="preserve">A. </t>
    </r>
    <r>
      <rPr>
        <b val="true"/>
        <sz val="10"/>
        <color rgb="FF1F3864"/>
        <rFont val="Noto Sans CJK SC"/>
        <family val="2"/>
      </rPr>
      <t xml:space="preserve">关键驱动（</t>
    </r>
    <r>
      <rPr>
        <b val="true"/>
        <sz val="10"/>
        <color rgb="FF1F3864"/>
        <rFont val="Arial"/>
        <family val="0"/>
        <charset val="1"/>
      </rPr>
      <t xml:space="preserve">2026E-2030E</t>
    </r>
    <r>
      <rPr>
        <b val="true"/>
        <sz val="10"/>
        <color rgb="FF1F3864"/>
        <rFont val="Noto Sans CJK SC"/>
        <family val="2"/>
      </rPr>
      <t xml:space="preserve">，实时链接“假设”）</t>
    </r>
  </si>
  <si>
    <t xml:space="preserve">驱动</t>
  </si>
  <si>
    <t xml:space="preserve">情景</t>
  </si>
  <si>
    <t xml:space="preserve">电子元件 销量增速</t>
  </si>
  <si>
    <t xml:space="preserve">乐观</t>
  </si>
  <si>
    <t xml:space="preserve">悲观</t>
  </si>
  <si>
    <t xml:space="preserve">电子元件 单价变动</t>
  </si>
  <si>
    <t xml:space="preserve">通信器件 销量增速</t>
  </si>
  <si>
    <t xml:space="preserve">通信器件 单价变动</t>
  </si>
  <si>
    <r>
      <rPr>
        <b val="true"/>
        <sz val="10"/>
        <color rgb="FF000000"/>
        <rFont val="Arial"/>
        <family val="0"/>
        <charset val="1"/>
      </rPr>
      <t xml:space="preserve">Bloom</t>
    </r>
    <r>
      <rPr>
        <b val="true"/>
        <sz val="10"/>
        <color rgb="FF000000"/>
        <rFont val="Noto Sans CJK SC"/>
        <family val="2"/>
      </rPr>
      <t xml:space="preserve">电池片层需求（</t>
    </r>
    <r>
      <rPr>
        <b val="true"/>
        <sz val="10"/>
        <color rgb="FF000000"/>
        <rFont val="Arial"/>
        <family val="0"/>
        <charset val="1"/>
      </rPr>
      <t xml:space="preserve">GW</t>
    </r>
    <r>
      <rPr>
        <b val="true"/>
        <sz val="10"/>
        <color rgb="FF000000"/>
        <rFont val="Noto Sans CJK SC"/>
        <family val="2"/>
      </rPr>
      <t xml:space="preserve">）</t>
    </r>
  </si>
  <si>
    <t xml:space="preserve">三环隔膜片份额</t>
  </si>
  <si>
    <r>
      <rPr>
        <b val="true"/>
        <sz val="10"/>
        <color rgb="FF000000"/>
        <rFont val="Noto Sans CJK SC"/>
        <family val="2"/>
      </rPr>
      <t xml:space="preserve">隔膜片单价（元</t>
    </r>
    <r>
      <rPr>
        <b val="true"/>
        <sz val="10"/>
        <color rgb="FF000000"/>
        <rFont val="Arial"/>
        <family val="0"/>
        <charset val="1"/>
      </rPr>
      <t xml:space="preserve">/</t>
    </r>
    <r>
      <rPr>
        <b val="true"/>
        <sz val="10"/>
        <color rgb="FF000000"/>
        <rFont val="Noto Sans CJK SC"/>
        <family val="2"/>
      </rPr>
      <t xml:space="preserve">片）</t>
    </r>
  </si>
  <si>
    <t xml:space="preserve">国内扩产资本开支</t>
  </si>
  <si>
    <r>
      <rPr>
        <b val="true"/>
        <sz val="10"/>
        <color rgb="FF1F3864"/>
        <rFont val="Arial"/>
        <family val="0"/>
        <charset val="1"/>
      </rPr>
      <t xml:space="preserve">B. </t>
    </r>
    <r>
      <rPr>
        <b val="true"/>
        <sz val="10"/>
        <color rgb="FF1F3864"/>
        <rFont val="Noto Sans CJK SC"/>
        <family val="2"/>
      </rPr>
      <t xml:space="preserve">关键输出（静态）</t>
    </r>
  </si>
  <si>
    <t xml:space="preserve">营业收入同比</t>
  </si>
  <si>
    <r>
      <rPr>
        <b val="true"/>
        <sz val="10"/>
        <color rgb="FF000000"/>
        <rFont val="Arial"/>
        <family val="0"/>
        <charset val="1"/>
      </rPr>
      <t xml:space="preserve">SOFC</t>
    </r>
    <r>
      <rPr>
        <b val="true"/>
        <sz val="10"/>
        <color rgb="FF000000"/>
        <rFont val="Noto Sans CJK SC"/>
        <family val="2"/>
      </rPr>
      <t xml:space="preserve">隔膜片收入</t>
    </r>
  </si>
  <si>
    <t xml:space="preserve">归母净利润同比</t>
  </si>
  <si>
    <r>
      <rPr>
        <b val="true"/>
        <sz val="10"/>
        <color rgb="FF000000"/>
        <rFont val="Arial"/>
        <family val="0"/>
        <charset val="1"/>
      </rPr>
      <t xml:space="preserve">EPS</t>
    </r>
    <r>
      <rPr>
        <b val="true"/>
        <sz val="10"/>
        <color rgb="FF000000"/>
        <rFont val="Noto Sans CJK SC"/>
        <family val="2"/>
      </rPr>
      <t xml:space="preserve">（元）</t>
    </r>
  </si>
  <si>
    <t xml:space="preserve">自由现金流</t>
  </si>
  <si>
    <t xml:space="preserve">净现金</t>
  </si>
  <si>
    <r>
      <rPr>
        <b val="true"/>
        <sz val="10"/>
        <color rgb="FF1F3864"/>
        <rFont val="Arial"/>
        <family val="0"/>
        <charset val="1"/>
      </rPr>
      <t xml:space="preserve">C. </t>
    </r>
    <r>
      <rPr>
        <b val="true"/>
        <sz val="10"/>
        <color rgb="FF1F3864"/>
        <rFont val="Noto Sans CJK SC"/>
        <family val="2"/>
      </rPr>
      <t xml:space="preserve">估值（静态）</t>
    </r>
  </si>
  <si>
    <r>
      <rPr>
        <sz val="10"/>
        <color rgb="FF000000"/>
        <rFont val="Arial"/>
        <family val="0"/>
        <charset val="1"/>
      </rPr>
      <t xml:space="preserve">DCF</t>
    </r>
    <r>
      <rPr>
        <sz val="10"/>
        <color rgb="FF000000"/>
        <rFont val="Noto Sans CJK SC"/>
        <family val="2"/>
      </rPr>
      <t xml:space="preserve">隐含</t>
    </r>
    <r>
      <rPr>
        <sz val="10"/>
        <color rgb="FF000000"/>
        <rFont val="Arial"/>
        <family val="0"/>
        <charset val="1"/>
      </rPr>
      <t xml:space="preserve">2027E EV/EBITDA</t>
    </r>
  </si>
  <si>
    <t xml:space="preserve">当前股价隐含永续增长率</t>
  </si>
  <si>
    <r>
      <rPr>
        <b val="true"/>
        <sz val="14"/>
        <color rgb="FF1F3864"/>
        <rFont val="Arial"/>
        <family val="0"/>
        <charset val="1"/>
      </rPr>
      <t xml:space="preserve">SOFC</t>
    </r>
    <r>
      <rPr>
        <b val="true"/>
        <sz val="14"/>
        <color rgb="FF1F3864"/>
        <rFont val="Noto Sans CJK SC"/>
        <family val="2"/>
      </rPr>
      <t xml:space="preserve">隔膜片敏感性（</t>
    </r>
    <r>
      <rPr>
        <b val="true"/>
        <sz val="14"/>
        <color rgb="FF1F3864"/>
        <rFont val="Arial"/>
        <family val="0"/>
        <charset val="1"/>
      </rPr>
      <t xml:space="preserve">2027E</t>
    </r>
    <r>
      <rPr>
        <b val="true"/>
        <sz val="14"/>
        <color rgb="FF1F3864"/>
        <rFont val="Noto Sans CJK SC"/>
        <family val="2"/>
      </rPr>
      <t xml:space="preserve">，实时公式）</t>
    </r>
  </si>
  <si>
    <r>
      <rPr>
        <i val="true"/>
        <sz val="10"/>
        <color rgb="FF595959"/>
        <rFont val="Noto Sans CJK SC"/>
        <family val="2"/>
      </rPr>
      <t xml:space="preserve">收入</t>
    </r>
    <r>
      <rPr>
        <i val="true"/>
        <sz val="10"/>
        <color rgb="FF595959"/>
        <rFont val="Arial"/>
        <family val="0"/>
        <charset val="1"/>
      </rPr>
      <t xml:space="preserve">=Bloom</t>
    </r>
    <r>
      <rPr>
        <i val="true"/>
        <sz val="10"/>
        <color rgb="FF595959"/>
        <rFont val="Noto Sans CJK SC"/>
        <family val="2"/>
      </rPr>
      <t xml:space="preserve">电池片层需求（</t>
    </r>
    <r>
      <rPr>
        <i val="true"/>
        <sz val="10"/>
        <color rgb="FF595959"/>
        <rFont val="Arial"/>
        <family val="0"/>
        <charset val="1"/>
      </rPr>
      <t xml:space="preserve">GW</t>
    </r>
    <r>
      <rPr>
        <i val="true"/>
        <sz val="10"/>
        <color rgb="FF595959"/>
        <rFont val="Noto Sans CJK SC"/>
        <family val="2"/>
      </rPr>
      <t xml:space="preserve">）</t>
    </r>
    <r>
      <rPr>
        <i val="true"/>
        <sz val="10"/>
        <color rgb="FF595959"/>
        <rFont val="Arial"/>
        <family val="0"/>
        <charset val="1"/>
      </rPr>
      <t xml:space="preserve">×(1000/</t>
    </r>
    <r>
      <rPr>
        <i val="true"/>
        <sz val="10"/>
        <color rgb="FF595959"/>
        <rFont val="Noto Sans CJK SC"/>
        <family val="2"/>
      </rPr>
      <t xml:space="preserve">单片功率</t>
    </r>
    <r>
      <rPr>
        <i val="true"/>
        <sz val="10"/>
        <color rgb="FF595959"/>
        <rFont val="Arial"/>
        <family val="0"/>
        <charset val="1"/>
      </rPr>
      <t xml:space="preserve">W)×</t>
    </r>
    <r>
      <rPr>
        <i val="true"/>
        <sz val="10"/>
        <color rgb="FF595959"/>
        <rFont val="Noto Sans CJK SC"/>
        <family val="2"/>
      </rPr>
      <t xml:space="preserve">三环份额</t>
    </r>
    <r>
      <rPr>
        <i val="true"/>
        <sz val="10"/>
        <color rgb="FF595959"/>
        <rFont val="Arial"/>
        <family val="0"/>
        <charset val="1"/>
      </rPr>
      <t xml:space="preserve">×</t>
    </r>
    <r>
      <rPr>
        <i val="true"/>
        <sz val="10"/>
        <color rgb="FF595959"/>
        <rFont val="Noto Sans CJK SC"/>
        <family val="2"/>
      </rPr>
      <t xml:space="preserve">单价；需求与单片功率取“假设”当前情景</t>
    </r>
    <r>
      <rPr>
        <i val="true"/>
        <sz val="10"/>
        <color rgb="FF595959"/>
        <rFont val="Arial"/>
        <family val="0"/>
        <charset val="1"/>
      </rPr>
      <t xml:space="preserve">2027E</t>
    </r>
    <r>
      <rPr>
        <i val="true"/>
        <sz val="10"/>
        <color rgb="FF595959"/>
        <rFont val="Noto Sans CJK SC"/>
        <family val="2"/>
      </rPr>
      <t xml:space="preserve">采用值。</t>
    </r>
  </si>
  <si>
    <r>
      <rPr>
        <sz val="10"/>
        <color rgb="FF000000"/>
        <rFont val="Arial"/>
        <family val="0"/>
        <charset val="1"/>
      </rPr>
      <t xml:space="preserve">2027E Bloom</t>
    </r>
    <r>
      <rPr>
        <sz val="10"/>
        <color rgb="FF000000"/>
        <rFont val="Noto Sans CJK SC"/>
        <family val="2"/>
      </rPr>
      <t xml:space="preserve">电池片层需求（</t>
    </r>
    <r>
      <rPr>
        <sz val="10"/>
        <color rgb="FF000000"/>
        <rFont val="Arial"/>
        <family val="0"/>
        <charset val="1"/>
      </rPr>
      <t xml:space="preserve">GW</t>
    </r>
    <r>
      <rPr>
        <sz val="10"/>
        <color rgb="FF000000"/>
        <rFont val="Noto Sans CJK SC"/>
        <family val="2"/>
      </rPr>
      <t xml:space="preserve">）</t>
    </r>
  </si>
  <si>
    <r>
      <rPr>
        <sz val="10"/>
        <color rgb="FF000000"/>
        <rFont val="Arial"/>
        <family val="0"/>
        <charset val="1"/>
      </rPr>
      <t xml:space="preserve">2027E</t>
    </r>
    <r>
      <rPr>
        <sz val="10"/>
        <color rgb="FF000000"/>
        <rFont val="Noto Sans CJK SC"/>
        <family val="2"/>
      </rPr>
      <t xml:space="preserve">单片功率（</t>
    </r>
    <r>
      <rPr>
        <sz val="10"/>
        <color rgb="FF000000"/>
        <rFont val="Arial"/>
        <family val="0"/>
        <charset val="1"/>
      </rPr>
      <t xml:space="preserve">W/</t>
    </r>
    <r>
      <rPr>
        <sz val="10"/>
        <color rgb="FF000000"/>
        <rFont val="Noto Sans CJK SC"/>
        <family val="2"/>
      </rPr>
      <t xml:space="preserve">片）</t>
    </r>
  </si>
  <si>
    <r>
      <rPr>
        <sz val="10"/>
        <color rgb="FF000000"/>
        <rFont val="Arial"/>
        <family val="0"/>
        <charset val="1"/>
      </rPr>
      <t xml:space="preserve">SOFC</t>
    </r>
    <r>
      <rPr>
        <sz val="10"/>
        <color rgb="FF000000"/>
        <rFont val="Noto Sans CJK SC"/>
        <family val="2"/>
      </rPr>
      <t xml:space="preserve">隔膜片毛利率（</t>
    </r>
    <r>
      <rPr>
        <sz val="10"/>
        <color rgb="FF000000"/>
        <rFont val="Arial"/>
        <family val="0"/>
        <charset val="1"/>
      </rPr>
      <t xml:space="preserve">2027E</t>
    </r>
    <r>
      <rPr>
        <sz val="10"/>
        <color rgb="FF000000"/>
        <rFont val="Noto Sans CJK SC"/>
        <family val="2"/>
      </rPr>
      <t xml:space="preserve">采用值）</t>
    </r>
  </si>
  <si>
    <r>
      <rPr>
        <sz val="10"/>
        <color rgb="FF000000"/>
        <rFont val="Noto Sans CJK SC"/>
        <family val="2"/>
      </rPr>
      <t xml:space="preserve">毛利转净利系数（取</t>
    </r>
    <r>
      <rPr>
        <sz val="10"/>
        <color rgb="FF000000"/>
        <rFont val="Arial"/>
        <family val="0"/>
        <charset val="1"/>
      </rPr>
      <t xml:space="preserve">2027E</t>
    </r>
    <r>
      <rPr>
        <sz val="10"/>
        <color rgb="FF000000"/>
        <rFont val="Noto Sans CJK SC"/>
        <family val="2"/>
      </rPr>
      <t xml:space="preserve">公司整体归母净利润</t>
    </r>
    <r>
      <rPr>
        <sz val="10"/>
        <color rgb="FF000000"/>
        <rFont val="Arial"/>
        <family val="0"/>
        <charset val="1"/>
      </rPr>
      <t xml:space="preserve">÷</t>
    </r>
    <r>
      <rPr>
        <sz val="10"/>
        <color rgb="FF000000"/>
        <rFont val="Noto Sans CJK SC"/>
        <family val="2"/>
      </rPr>
      <t xml:space="preserve">毛利）</t>
    </r>
  </si>
  <si>
    <r>
      <rPr>
        <sz val="10"/>
        <color rgb="FF000000"/>
        <rFont val="Arial"/>
        <family val="0"/>
        <charset val="1"/>
      </rPr>
      <t xml:space="preserve">2027E</t>
    </r>
    <r>
      <rPr>
        <sz val="10"/>
        <color rgb="FF000000"/>
        <rFont val="Noto Sans CJK SC"/>
        <family val="2"/>
      </rPr>
      <t xml:space="preserve">模型归母净利润</t>
    </r>
  </si>
  <si>
    <r>
      <rPr>
        <sz val="10"/>
        <color rgb="FF000000"/>
        <rFont val="Arial"/>
        <family val="0"/>
        <charset val="1"/>
      </rPr>
      <t xml:space="preserve">2027E</t>
    </r>
    <r>
      <rPr>
        <sz val="10"/>
        <color rgb="FF000000"/>
        <rFont val="Noto Sans CJK SC"/>
        <family val="2"/>
      </rPr>
      <t xml:space="preserve">模型</t>
    </r>
    <r>
      <rPr>
        <sz val="10"/>
        <color rgb="FF000000"/>
        <rFont val="Arial"/>
        <family val="0"/>
        <charset val="1"/>
      </rPr>
      <t xml:space="preserve">SOFC</t>
    </r>
    <r>
      <rPr>
        <sz val="10"/>
        <color rgb="FF000000"/>
        <rFont val="Noto Sans CJK SC"/>
        <family val="2"/>
      </rPr>
      <t xml:space="preserve">隔膜片收入</t>
    </r>
  </si>
  <si>
    <r>
      <rPr>
        <b val="true"/>
        <sz val="10"/>
        <color rgb="FF1F3864"/>
        <rFont val="Arial"/>
        <family val="0"/>
        <charset val="1"/>
      </rPr>
      <t xml:space="preserve">2027E SOFC</t>
    </r>
    <r>
      <rPr>
        <b val="true"/>
        <sz val="10"/>
        <color rgb="FF1F3864"/>
        <rFont val="Noto Sans CJK SC"/>
        <family val="2"/>
      </rPr>
      <t xml:space="preserve">隔膜片收入（百万元）：三环份额（行）</t>
    </r>
    <r>
      <rPr>
        <b val="true"/>
        <sz val="10"/>
        <color rgb="FF1F3864"/>
        <rFont val="Arial"/>
        <family val="0"/>
        <charset val="1"/>
      </rPr>
      <t xml:space="preserve">× </t>
    </r>
    <r>
      <rPr>
        <b val="true"/>
        <sz val="10"/>
        <color rgb="FF1F3864"/>
        <rFont val="Noto Sans CJK SC"/>
        <family val="2"/>
      </rPr>
      <t xml:space="preserve">单价（列）</t>
    </r>
  </si>
  <si>
    <r>
      <rPr>
        <b val="true"/>
        <sz val="10"/>
        <color rgb="FF000000"/>
        <rFont val="Noto Sans CJK SC"/>
        <family val="2"/>
      </rPr>
      <t xml:space="preserve">份额 </t>
    </r>
    <r>
      <rPr>
        <b val="true"/>
        <sz val="10"/>
        <color rgb="FF000000"/>
        <rFont val="Arial"/>
        <family val="0"/>
        <charset val="1"/>
      </rPr>
      <t xml:space="preserve">\ </t>
    </r>
    <r>
      <rPr>
        <b val="true"/>
        <sz val="10"/>
        <color rgb="FF000000"/>
        <rFont val="Noto Sans CJK SC"/>
        <family val="2"/>
      </rPr>
      <t xml:space="preserve">单价（元</t>
    </r>
    <r>
      <rPr>
        <b val="true"/>
        <sz val="10"/>
        <color rgb="FF000000"/>
        <rFont val="Arial"/>
        <family val="0"/>
        <charset val="1"/>
      </rPr>
      <t xml:space="preserve">/</t>
    </r>
    <r>
      <rPr>
        <b val="true"/>
        <sz val="10"/>
        <color rgb="FF000000"/>
        <rFont val="Noto Sans CJK SC"/>
        <family val="2"/>
      </rPr>
      <t xml:space="preserve">片）</t>
    </r>
  </si>
  <si>
    <r>
      <rPr>
        <b val="true"/>
        <sz val="10"/>
        <color rgb="FF1F3864"/>
        <rFont val="Arial"/>
        <family val="0"/>
        <charset val="1"/>
      </rPr>
      <t xml:space="preserve">SOFC</t>
    </r>
    <r>
      <rPr>
        <b val="true"/>
        <sz val="10"/>
        <color rgb="FF1F3864"/>
        <rFont val="Noto Sans CJK SC"/>
        <family val="2"/>
      </rPr>
      <t xml:space="preserve">隔膜片净利润占</t>
    </r>
    <r>
      <rPr>
        <b val="true"/>
        <sz val="10"/>
        <color rgb="FF1F3864"/>
        <rFont val="Arial"/>
        <family val="0"/>
        <charset val="1"/>
      </rPr>
      <t xml:space="preserve">2027E</t>
    </r>
    <r>
      <rPr>
        <b val="true"/>
        <sz val="10"/>
        <color rgb="FF1F3864"/>
        <rFont val="Noto Sans CJK SC"/>
        <family val="2"/>
      </rPr>
      <t xml:space="preserve">归母净利润比例</t>
    </r>
  </si>
  <si>
    <r>
      <rPr>
        <b val="true"/>
        <sz val="10"/>
        <color rgb="FF1F3864"/>
        <rFont val="Arial"/>
        <family val="0"/>
        <charset val="1"/>
      </rPr>
      <t xml:space="preserve">Bloom</t>
    </r>
    <r>
      <rPr>
        <b val="true"/>
        <sz val="10"/>
        <color rgb="FF1F3864"/>
        <rFont val="Noto Sans CJK SC"/>
        <family val="2"/>
      </rPr>
      <t xml:space="preserve">需求（</t>
    </r>
    <r>
      <rPr>
        <b val="true"/>
        <sz val="10"/>
        <color rgb="FF1F3864"/>
        <rFont val="Arial"/>
        <family val="0"/>
        <charset val="1"/>
      </rPr>
      <t xml:space="preserve">GW</t>
    </r>
    <r>
      <rPr>
        <b val="true"/>
        <sz val="10"/>
        <color rgb="FF1F3864"/>
        <rFont val="Noto Sans CJK SC"/>
        <family val="2"/>
      </rPr>
      <t xml:space="preserve">，行）</t>
    </r>
    <r>
      <rPr>
        <b val="true"/>
        <sz val="10"/>
        <color rgb="FF1F3864"/>
        <rFont val="Arial"/>
        <family val="0"/>
        <charset val="1"/>
      </rPr>
      <t xml:space="preserve">× </t>
    </r>
    <r>
      <rPr>
        <b val="true"/>
        <sz val="10"/>
        <color rgb="FF1F3864"/>
        <rFont val="Noto Sans CJK SC"/>
        <family val="2"/>
      </rPr>
      <t xml:space="preserve">单片功率（</t>
    </r>
    <r>
      <rPr>
        <b val="true"/>
        <sz val="10"/>
        <color rgb="FF1F3864"/>
        <rFont val="Arial"/>
        <family val="0"/>
        <charset val="1"/>
      </rPr>
      <t xml:space="preserve">W</t>
    </r>
    <r>
      <rPr>
        <b val="true"/>
        <sz val="10"/>
        <color rgb="FF1F3864"/>
        <rFont val="Noto Sans CJK SC"/>
        <family val="2"/>
      </rPr>
      <t xml:space="preserve">，列）：</t>
    </r>
    <r>
      <rPr>
        <b val="true"/>
        <sz val="10"/>
        <color rgb="FF1F3864"/>
        <rFont val="Arial"/>
        <family val="0"/>
        <charset val="1"/>
      </rPr>
      <t xml:space="preserve">2027E SOFC</t>
    </r>
    <r>
      <rPr>
        <b val="true"/>
        <sz val="10"/>
        <color rgb="FF1F3864"/>
        <rFont val="Noto Sans CJK SC"/>
        <family val="2"/>
      </rPr>
      <t xml:space="preserve">收入（份额与单价取当前情景）</t>
    </r>
  </si>
  <si>
    <t xml:space="preserve">GW \ W</t>
  </si>
  <si>
    <r>
      <rPr>
        <b val="true"/>
        <sz val="14"/>
        <color rgb="FF1F3864"/>
        <rFont val="Noto Sans CJK SC"/>
        <family val="2"/>
      </rPr>
      <t xml:space="preserve">模型与</t>
    </r>
    <r>
      <rPr>
        <b val="true"/>
        <sz val="14"/>
        <color rgb="FF1F3864"/>
        <rFont val="Arial"/>
        <family val="0"/>
        <charset val="1"/>
      </rPr>
      <t xml:space="preserve">Wind</t>
    </r>
    <r>
      <rPr>
        <b val="true"/>
        <sz val="14"/>
        <color rgb="FF1F3864"/>
        <rFont val="Noto Sans CJK SC"/>
        <family val="2"/>
      </rPr>
      <t xml:space="preserve">一致预期对比（仅作参照，不作为模型输入）</t>
    </r>
  </si>
  <si>
    <r>
      <rPr>
        <i val="true"/>
        <sz val="10"/>
        <color rgb="FF595959"/>
        <rFont val="Noto Sans CJK SC"/>
        <family val="2"/>
      </rPr>
      <t xml:space="preserve">资料来源：</t>
    </r>
    <r>
      <rPr>
        <i val="true"/>
        <sz val="10"/>
        <color rgb="FF595959"/>
        <rFont val="Arial"/>
        <family val="0"/>
        <charset val="1"/>
      </rPr>
      <t xml:space="preserve">Wind</t>
    </r>
    <r>
      <rPr>
        <i val="true"/>
        <sz val="10"/>
        <color rgb="FF595959"/>
        <rFont val="Noto Sans CJK SC"/>
        <family val="2"/>
      </rPr>
      <t xml:space="preserve">盈利预测（截至</t>
    </r>
    <r>
      <rPr>
        <i val="true"/>
        <sz val="10"/>
        <color rgb="FF595959"/>
        <rFont val="Arial"/>
        <family val="0"/>
        <charset val="1"/>
      </rPr>
      <t xml:space="preserve">2026-09-30</t>
    </r>
    <r>
      <rPr>
        <i val="true"/>
        <sz val="10"/>
        <color rgb="FF595959"/>
        <rFont val="Noto Sans CJK SC"/>
        <family val="2"/>
      </rPr>
      <t xml:space="preserve">，</t>
    </r>
    <r>
      <rPr>
        <i val="true"/>
        <sz val="10"/>
        <color rgb="FF595959"/>
        <rFont val="Arial"/>
        <family val="0"/>
        <charset val="1"/>
      </rPr>
      <t xml:space="preserve">12</t>
    </r>
    <r>
      <rPr>
        <i val="true"/>
        <sz val="10"/>
        <color rgb="FF595959"/>
        <rFont val="Noto Sans CJK SC"/>
        <family val="2"/>
      </rPr>
      <t xml:space="preserve">家机构）。一致预期</t>
    </r>
    <r>
      <rPr>
        <i val="true"/>
        <sz val="10"/>
        <color rgb="FF595959"/>
        <rFont val="Arial"/>
        <family val="0"/>
        <charset val="1"/>
      </rPr>
      <t xml:space="preserve">EPS</t>
    </r>
    <r>
      <rPr>
        <i val="true"/>
        <sz val="10"/>
        <color rgb="FF595959"/>
        <rFont val="Noto Sans CJK SC"/>
        <family val="2"/>
      </rPr>
      <t xml:space="preserve">隐含股本约</t>
    </r>
    <r>
      <rPr>
        <i val="true"/>
        <sz val="10"/>
        <color rgb="FF595959"/>
        <rFont val="Arial"/>
        <family val="0"/>
        <charset val="1"/>
      </rPr>
      <t xml:space="preserve">1,995-1,999</t>
    </r>
    <r>
      <rPr>
        <i val="true"/>
        <sz val="10"/>
        <color rgb="FF595959"/>
        <rFont val="Noto Sans CJK SC"/>
        <family val="2"/>
      </rPr>
      <t xml:space="preserve">百万股（</t>
    </r>
    <r>
      <rPr>
        <i val="true"/>
        <sz val="10"/>
        <color rgb="FF595959"/>
        <rFont val="Arial"/>
        <family val="0"/>
        <charset val="1"/>
      </rPr>
      <t xml:space="preserve">H</t>
    </r>
    <r>
      <rPr>
        <i val="true"/>
        <sz val="10"/>
        <color rgb="FF595959"/>
        <rFont val="Noto Sans CJK SC"/>
        <family val="2"/>
      </rPr>
      <t xml:space="preserve">股发行后总股本），模型</t>
    </r>
    <r>
      <rPr>
        <i val="true"/>
        <sz val="10"/>
        <color rgb="FF595959"/>
        <rFont val="Arial"/>
        <family val="0"/>
        <charset val="1"/>
      </rPr>
      <t xml:space="preserve">EPS</t>
    </r>
    <r>
      <rPr>
        <i val="true"/>
        <sz val="10"/>
        <color rgb="FF595959"/>
        <rFont val="Noto Sans CJK SC"/>
        <family val="2"/>
      </rPr>
      <t xml:space="preserve">按扣除库存股的期末流通股本，</t>
    </r>
    <r>
      <rPr>
        <i val="true"/>
        <sz val="10"/>
        <color rgb="FF595959"/>
        <rFont val="Arial"/>
        <family val="0"/>
        <charset val="1"/>
      </rPr>
      <t xml:space="preserve">EPS</t>
    </r>
    <r>
      <rPr>
        <i val="true"/>
        <sz val="10"/>
        <color rgb="FF595959"/>
        <rFont val="Noto Sans CJK SC"/>
        <family val="2"/>
      </rPr>
      <t xml:space="preserve">比较以归母净利润为准。</t>
    </r>
  </si>
  <si>
    <t xml:space="preserve">营业收入（一致预期）</t>
  </si>
  <si>
    <t xml:space="preserve">归母净利润（一致预期）</t>
  </si>
  <si>
    <r>
      <rPr>
        <sz val="10"/>
        <color rgb="FF000000"/>
        <rFont val="Arial"/>
        <family val="0"/>
        <charset val="1"/>
      </rPr>
      <t xml:space="preserve">EPS</t>
    </r>
    <r>
      <rPr>
        <sz val="10"/>
        <color rgb="FF000000"/>
        <rFont val="Noto Sans CJK SC"/>
        <family val="2"/>
      </rPr>
      <t xml:space="preserve">（一致预期，元）</t>
    </r>
  </si>
  <si>
    <t xml:space="preserve">营业收入（模型）</t>
  </si>
  <si>
    <t xml:space="preserve">归母净利润（模型）</t>
  </si>
  <si>
    <r>
      <rPr>
        <b val="true"/>
        <sz val="10"/>
        <color rgb="FF000000"/>
        <rFont val="Arial"/>
        <family val="0"/>
        <charset val="1"/>
      </rPr>
      <t xml:space="preserve">EPS</t>
    </r>
    <r>
      <rPr>
        <b val="true"/>
        <sz val="10"/>
        <color rgb="FF000000"/>
        <rFont val="Noto Sans CJK SC"/>
        <family val="2"/>
      </rPr>
      <t xml:space="preserve">（模型，元）</t>
    </r>
  </si>
  <si>
    <r>
      <rPr>
        <sz val="10"/>
        <color rgb="FF000000"/>
        <rFont val="Noto Sans CJK SC"/>
        <family val="2"/>
      </rPr>
      <t xml:space="preserve">营业收入：模型</t>
    </r>
    <r>
      <rPr>
        <sz val="10"/>
        <color rgb="FF000000"/>
        <rFont val="Arial"/>
        <family val="0"/>
        <charset val="1"/>
      </rPr>
      <t xml:space="preserve">/</t>
    </r>
    <r>
      <rPr>
        <sz val="10"/>
        <color rgb="FF000000"/>
        <rFont val="Noto Sans CJK SC"/>
        <family val="2"/>
      </rPr>
      <t xml:space="preserve">一致预期</t>
    </r>
    <r>
      <rPr>
        <sz val="10"/>
        <color rgb="FF000000"/>
        <rFont val="Arial"/>
        <family val="0"/>
        <charset val="1"/>
      </rPr>
      <t xml:space="preserve">-1</t>
    </r>
  </si>
  <si>
    <r>
      <rPr>
        <sz val="10"/>
        <color rgb="FF000000"/>
        <rFont val="Noto Sans CJK SC"/>
        <family val="2"/>
      </rPr>
      <t xml:space="preserve">归母净利润：模型</t>
    </r>
    <r>
      <rPr>
        <sz val="10"/>
        <color rgb="FF000000"/>
        <rFont val="Arial"/>
        <family val="0"/>
        <charset val="1"/>
      </rPr>
      <t xml:space="preserve">/</t>
    </r>
    <r>
      <rPr>
        <sz val="10"/>
        <color rgb="FF000000"/>
        <rFont val="Noto Sans CJK SC"/>
        <family val="2"/>
      </rPr>
      <t xml:space="preserve">一致预期</t>
    </r>
    <r>
      <rPr>
        <sz val="10"/>
        <color rgb="FF000000"/>
        <rFont val="Arial"/>
        <family val="0"/>
        <charset val="1"/>
      </rPr>
      <t xml:space="preserve">-1</t>
    </r>
  </si>
  <si>
    <r>
      <rPr>
        <sz val="10"/>
        <color rgb="FF000000"/>
        <rFont val="Arial"/>
        <family val="0"/>
        <charset val="1"/>
      </rPr>
      <t xml:space="preserve">EPS</t>
    </r>
    <r>
      <rPr>
        <sz val="10"/>
        <color rgb="FF000000"/>
        <rFont val="Noto Sans CJK SC"/>
        <family val="2"/>
      </rPr>
      <t xml:space="preserve">：模型</t>
    </r>
    <r>
      <rPr>
        <sz val="10"/>
        <color rgb="FF000000"/>
        <rFont val="Arial"/>
        <family val="0"/>
        <charset val="1"/>
      </rPr>
      <t xml:space="preserve">/</t>
    </r>
    <r>
      <rPr>
        <sz val="10"/>
        <color rgb="FF000000"/>
        <rFont val="Noto Sans CJK SC"/>
        <family val="2"/>
      </rPr>
      <t xml:space="preserve">一致预期</t>
    </r>
    <r>
      <rPr>
        <sz val="10"/>
        <color rgb="FF000000"/>
        <rFont val="Arial"/>
        <family val="0"/>
        <charset val="1"/>
      </rPr>
      <t xml:space="preserve">-1</t>
    </r>
  </si>
  <si>
    <r>
      <rPr>
        <b val="true"/>
        <sz val="10"/>
        <color rgb="FF1F3864"/>
        <rFont val="Noto Sans CJK SC"/>
        <family val="2"/>
      </rPr>
      <t xml:space="preserve">一致预期分布（</t>
    </r>
    <r>
      <rPr>
        <b val="true"/>
        <sz val="10"/>
        <color rgb="FF1F3864"/>
        <rFont val="Arial"/>
        <family val="0"/>
        <charset val="1"/>
      </rPr>
      <t xml:space="preserve">2026E</t>
    </r>
    <r>
      <rPr>
        <b val="true"/>
        <sz val="10"/>
        <color rgb="FF1F3864"/>
        <rFont val="Noto Sans CJK SC"/>
        <family val="2"/>
      </rPr>
      <t xml:space="preserve">归母净利润，百万元）</t>
    </r>
  </si>
  <si>
    <t xml:space="preserve">中值</t>
  </si>
  <si>
    <t xml:space="preserve">最大值</t>
  </si>
  <si>
    <t xml:space="preserve">最小值</t>
  </si>
  <si>
    <t xml:space="preserve">标准差</t>
  </si>
  <si>
    <t xml:space="preserve">预测机构数</t>
  </si>
  <si>
    <t xml:space="preserve">三环集团 单季度利润表、现金流与利润率</t>
  </si>
  <si>
    <r>
      <rPr>
        <i val="true"/>
        <sz val="10"/>
        <color rgb="FF595959"/>
        <rFont val="Noto Sans CJK SC"/>
        <family val="2"/>
      </rPr>
      <t xml:space="preserve">资料来源：</t>
    </r>
    <r>
      <rPr>
        <i val="true"/>
        <sz val="10"/>
        <color rgb="FF595959"/>
        <rFont val="Arial"/>
        <family val="0"/>
        <charset val="1"/>
      </rPr>
      <t xml:space="preserve">Wind</t>
    </r>
    <r>
      <rPr>
        <i val="true"/>
        <sz val="10"/>
        <color rgb="FF595959"/>
        <rFont val="Noto Sans CJK SC"/>
        <family val="2"/>
      </rPr>
      <t xml:space="preserve">单季度利润表与现金流量表（公司公告值），万元</t>
    </r>
    <r>
      <rPr>
        <i val="true"/>
        <sz val="10"/>
        <color rgb="FF595959"/>
        <rFont val="Arial"/>
        <family val="0"/>
        <charset val="1"/>
      </rPr>
      <t xml:space="preserve">÷100=</t>
    </r>
    <r>
      <rPr>
        <i val="true"/>
        <sz val="10"/>
        <color rgb="FF595959"/>
        <rFont val="Noto Sans CJK SC"/>
        <family val="2"/>
      </rPr>
      <t xml:space="preserve">百万元。增速与利润率为公式。</t>
    </r>
  </si>
  <si>
    <t xml:space="preserve">2024Q1</t>
  </si>
  <si>
    <t xml:space="preserve">2024Q2</t>
  </si>
  <si>
    <t xml:space="preserve">2024Q3</t>
  </si>
  <si>
    <t xml:space="preserve">2024Q4</t>
  </si>
  <si>
    <t xml:space="preserve">财务费用</t>
  </si>
  <si>
    <t xml:space="preserve">购建长期资产支付的现金</t>
  </si>
  <si>
    <t xml:space="preserve">分配股利、利润或偿付利息支付的现金</t>
  </si>
  <si>
    <t xml:space="preserve">利润率与增速（公式）</t>
  </si>
  <si>
    <r>
      <rPr>
        <sz val="10"/>
        <color rgb="FF000000"/>
        <rFont val="Noto Sans CJK SC"/>
        <family val="2"/>
      </rPr>
      <t xml:space="preserve">期间费用率（销售</t>
    </r>
    <r>
      <rPr>
        <sz val="10"/>
        <color rgb="FF000000"/>
        <rFont val="Arial"/>
        <family val="0"/>
        <charset val="1"/>
      </rPr>
      <t xml:space="preserve">+</t>
    </r>
    <r>
      <rPr>
        <sz val="10"/>
        <color rgb="FF000000"/>
        <rFont val="Noto Sans CJK SC"/>
        <family val="2"/>
      </rPr>
      <t xml:space="preserve">管理</t>
    </r>
    <r>
      <rPr>
        <sz val="10"/>
        <color rgb="FF000000"/>
        <rFont val="Arial"/>
        <family val="0"/>
        <charset val="1"/>
      </rPr>
      <t xml:space="preserve">+</t>
    </r>
    <r>
      <rPr>
        <sz val="10"/>
        <color rgb="FF000000"/>
        <rFont val="Noto Sans CJK SC"/>
        <family val="2"/>
      </rPr>
      <t xml:space="preserve">研发）</t>
    </r>
  </si>
  <si>
    <t xml:space="preserve">营业利润率</t>
  </si>
  <si>
    <t xml:space="preserve">所得税实际税率</t>
  </si>
  <si>
    <t xml:space="preserve">营业收入环比</t>
  </si>
  <si>
    <t xml:space="preserve">归母净利润环比</t>
  </si>
  <si>
    <r>
      <rPr>
        <b val="true"/>
        <sz val="10"/>
        <color rgb="FF1F3864"/>
        <rFont val="Arial"/>
        <family val="0"/>
        <charset val="1"/>
      </rPr>
      <t xml:space="preserve">2026E</t>
    </r>
    <r>
      <rPr>
        <b val="true"/>
        <sz val="10"/>
        <color rgb="FF1F3864"/>
        <rFont val="Noto Sans CJK SC"/>
        <family val="2"/>
      </rPr>
      <t xml:space="preserve">隐含下半年（模型全年</t>
    </r>
    <r>
      <rPr>
        <b val="true"/>
        <sz val="10"/>
        <color rgb="FF1F3864"/>
        <rFont val="Arial"/>
        <family val="0"/>
        <charset val="1"/>
      </rPr>
      <t xml:space="preserve">-2026H1</t>
    </r>
    <r>
      <rPr>
        <b val="true"/>
        <sz val="10"/>
        <color rgb="FF1F3864"/>
        <rFont val="Noto Sans CJK SC"/>
        <family val="2"/>
      </rPr>
      <t xml:space="preserve">实际）</t>
    </r>
  </si>
  <si>
    <r>
      <rPr>
        <sz val="10"/>
        <color rgb="FF000000"/>
        <rFont val="Arial"/>
        <family val="0"/>
        <charset val="1"/>
      </rPr>
      <t xml:space="preserve">2026E </t>
    </r>
    <r>
      <rPr>
        <sz val="10"/>
        <color rgb="FF000000"/>
        <rFont val="Noto Sans CJK SC"/>
        <family val="2"/>
      </rPr>
      <t xml:space="preserve">营业收入（模型）</t>
    </r>
  </si>
  <si>
    <r>
      <rPr>
        <sz val="10"/>
        <color rgb="FF000000"/>
        <rFont val="Arial"/>
        <family val="0"/>
        <charset val="1"/>
      </rPr>
      <t xml:space="preserve">  2026H1 </t>
    </r>
    <r>
      <rPr>
        <sz val="10"/>
        <color rgb="FF000000"/>
        <rFont val="Noto Sans CJK SC"/>
        <family val="2"/>
      </rPr>
      <t xml:space="preserve">营业收入（实际）</t>
    </r>
  </si>
  <si>
    <r>
      <rPr>
        <sz val="10"/>
        <color rgb="FF000000"/>
        <rFont val="Noto Sans CJK SC"/>
        <family val="2"/>
      </rPr>
      <t xml:space="preserve">  隐含</t>
    </r>
    <r>
      <rPr>
        <sz val="10"/>
        <color rgb="FF000000"/>
        <rFont val="Arial"/>
        <family val="0"/>
        <charset val="1"/>
      </rPr>
      <t xml:space="preserve">2026H2 </t>
    </r>
    <r>
      <rPr>
        <sz val="10"/>
        <color rgb="FF000000"/>
        <rFont val="Noto Sans CJK SC"/>
        <family val="2"/>
      </rPr>
      <t xml:space="preserve">营业收入</t>
    </r>
  </si>
  <si>
    <r>
      <rPr>
        <sz val="10"/>
        <color rgb="FF000000"/>
        <rFont val="Noto Sans CJK SC"/>
        <family val="2"/>
      </rPr>
      <t xml:space="preserve">  隐含</t>
    </r>
    <r>
      <rPr>
        <sz val="10"/>
        <color rgb="FF000000"/>
        <rFont val="Arial"/>
        <family val="0"/>
        <charset val="1"/>
      </rPr>
      <t xml:space="preserve">H2/H1</t>
    </r>
  </si>
  <si>
    <r>
      <rPr>
        <sz val="10"/>
        <color rgb="FF000000"/>
        <rFont val="Noto Sans CJK SC"/>
        <family val="2"/>
      </rPr>
      <t xml:space="preserve">  参照：</t>
    </r>
    <r>
      <rPr>
        <sz val="10"/>
        <color rgb="FF000000"/>
        <rFont val="Arial"/>
        <family val="0"/>
        <charset val="1"/>
      </rPr>
      <t xml:space="preserve">2025H2/2025H1</t>
    </r>
  </si>
  <si>
    <r>
      <rPr>
        <sz val="10"/>
        <color rgb="FF000000"/>
        <rFont val="Arial"/>
        <family val="0"/>
        <charset val="1"/>
      </rPr>
      <t xml:space="preserve">2026E </t>
    </r>
    <r>
      <rPr>
        <sz val="10"/>
        <color rgb="FF000000"/>
        <rFont val="Noto Sans CJK SC"/>
        <family val="2"/>
      </rPr>
      <t xml:space="preserve">归母净利润（模型）</t>
    </r>
  </si>
  <si>
    <r>
      <rPr>
        <sz val="10"/>
        <color rgb="FF000000"/>
        <rFont val="Arial"/>
        <family val="0"/>
        <charset val="1"/>
      </rPr>
      <t xml:space="preserve">  2026H1 </t>
    </r>
    <r>
      <rPr>
        <sz val="10"/>
        <color rgb="FF000000"/>
        <rFont val="Noto Sans CJK SC"/>
        <family val="2"/>
      </rPr>
      <t xml:space="preserve">归母净利润（实际）</t>
    </r>
  </si>
  <si>
    <r>
      <rPr>
        <sz val="10"/>
        <color rgb="FF000000"/>
        <rFont val="Noto Sans CJK SC"/>
        <family val="2"/>
      </rPr>
      <t xml:space="preserve">  隐含</t>
    </r>
    <r>
      <rPr>
        <sz val="10"/>
        <color rgb="FF000000"/>
        <rFont val="Arial"/>
        <family val="0"/>
        <charset val="1"/>
      </rPr>
      <t xml:space="preserve">2026H2 </t>
    </r>
    <r>
      <rPr>
        <sz val="10"/>
        <color rgb="FF000000"/>
        <rFont val="Noto Sans CJK SC"/>
        <family val="2"/>
      </rPr>
      <t xml:space="preserve">归母净利润</t>
    </r>
  </si>
  <si>
    <t xml:space="preserve">三环集团 历史利润表（合并）</t>
  </si>
  <si>
    <r>
      <rPr>
        <i val="true"/>
        <sz val="10"/>
        <color rgb="FF595959"/>
        <rFont val="Noto Sans CJK SC"/>
        <family val="2"/>
      </rPr>
      <t xml:space="preserve">资料来源：</t>
    </r>
    <r>
      <rPr>
        <i val="true"/>
        <sz val="10"/>
        <color rgb="FF595959"/>
        <rFont val="Arial"/>
        <family val="0"/>
        <charset val="1"/>
      </rPr>
      <t xml:space="preserve">Wind</t>
    </r>
    <r>
      <rPr>
        <i val="true"/>
        <sz val="10"/>
        <color rgb="FF595959"/>
        <rFont val="Noto Sans CJK SC"/>
        <family val="2"/>
      </rPr>
      <t xml:space="preserve">（公司公告值）；原始单位万元，已除以</t>
    </r>
    <r>
      <rPr>
        <i val="true"/>
        <sz val="10"/>
        <color rgb="FF595959"/>
        <rFont val="Arial"/>
        <family val="0"/>
        <charset val="1"/>
      </rPr>
      <t xml:space="preserve">100</t>
    </r>
    <r>
      <rPr>
        <i val="true"/>
        <sz val="10"/>
        <color rgb="FF595959"/>
        <rFont val="Noto Sans CJK SC"/>
        <family val="2"/>
      </rPr>
      <t xml:space="preserve">换算为百万元。蓝字为历史录入值。</t>
    </r>
  </si>
  <si>
    <t xml:space="preserve">2019A</t>
  </si>
  <si>
    <t xml:space="preserve">2020A</t>
  </si>
  <si>
    <t xml:space="preserve">2025H1</t>
  </si>
  <si>
    <t xml:space="preserve">2026H1</t>
  </si>
  <si>
    <t xml:space="preserve">营业总收入</t>
  </si>
  <si>
    <t xml:space="preserve">    营业收入</t>
  </si>
  <si>
    <t xml:space="preserve">营业总成本</t>
  </si>
  <si>
    <t xml:space="preserve">    营业成本</t>
  </si>
  <si>
    <t xml:space="preserve">    税金及附加</t>
  </si>
  <si>
    <t xml:space="preserve">    销售费用</t>
  </si>
  <si>
    <t xml:space="preserve">    管理费用</t>
  </si>
  <si>
    <t xml:space="preserve">    研发费用</t>
  </si>
  <si>
    <t xml:space="preserve">    财务费用</t>
  </si>
  <si>
    <t xml:space="preserve">    其中：利息费用</t>
  </si>
  <si>
    <t xml:space="preserve">          减：利息收入</t>
  </si>
  <si>
    <t xml:space="preserve">    加：其他收益</t>
  </si>
  <si>
    <t xml:space="preserve">    投资净收益</t>
  </si>
  <si>
    <t xml:space="preserve">    其中：对联营企业和合营企业的投资收益</t>
  </si>
  <si>
    <t xml:space="preserve">    公允价值变动净收益</t>
  </si>
  <si>
    <t xml:space="preserve">    资产减值损失</t>
  </si>
  <si>
    <t xml:space="preserve">    信用减值损失</t>
  </si>
  <si>
    <t xml:space="preserve">    资产处置收益</t>
  </si>
  <si>
    <t xml:space="preserve">    加：营业外收入</t>
  </si>
  <si>
    <t xml:space="preserve">    减：营业外支出</t>
  </si>
  <si>
    <t xml:space="preserve">    减：所得税</t>
  </si>
  <si>
    <t xml:space="preserve">    持续经营净利润</t>
  </si>
  <si>
    <t xml:space="preserve">    减：少数股东损益</t>
  </si>
  <si>
    <t xml:space="preserve">    归属于母公司所有者的净利润</t>
  </si>
  <si>
    <t xml:space="preserve">    加：其他综合收益</t>
  </si>
  <si>
    <t xml:space="preserve">综合收益总额</t>
  </si>
  <si>
    <t xml:space="preserve">    减：归属于少数股东的综合收益总额</t>
  </si>
  <si>
    <t xml:space="preserve">    归属于母公司普通股东综合收益总额</t>
  </si>
  <si>
    <t xml:space="preserve">    基本每股收益</t>
  </si>
  <si>
    <t xml:space="preserve">    稀释每股收益</t>
  </si>
  <si>
    <t xml:space="preserve">三环集团 历史资产负债表（合并）</t>
  </si>
  <si>
    <t xml:space="preserve">    货币资金</t>
  </si>
  <si>
    <t xml:space="preserve">    交易性金融资产</t>
  </si>
  <si>
    <t xml:space="preserve">    应收票据及应收账款</t>
  </si>
  <si>
    <t xml:space="preserve">      应收票据</t>
  </si>
  <si>
    <t xml:space="preserve">      应收账款</t>
  </si>
  <si>
    <t xml:space="preserve">    应收款项融资</t>
  </si>
  <si>
    <t xml:space="preserve">    预付款项</t>
  </si>
  <si>
    <r>
      <rPr>
        <sz val="10"/>
        <color rgb="FF000000"/>
        <rFont val="Noto Sans CJK SC"/>
        <family val="2"/>
      </rPr>
      <t xml:space="preserve">    其他应收款</t>
    </r>
    <r>
      <rPr>
        <sz val="10"/>
        <color rgb="FF000000"/>
        <rFont val="Arial"/>
        <family val="0"/>
        <charset val="1"/>
      </rPr>
      <t xml:space="preserve">(</t>
    </r>
    <r>
      <rPr>
        <sz val="10"/>
        <color rgb="FF000000"/>
        <rFont val="Noto Sans CJK SC"/>
        <family val="2"/>
      </rPr>
      <t xml:space="preserve">合计</t>
    </r>
    <r>
      <rPr>
        <sz val="10"/>
        <color rgb="FF000000"/>
        <rFont val="Arial"/>
        <family val="0"/>
        <charset val="1"/>
      </rPr>
      <t xml:space="preserve">)</t>
    </r>
  </si>
  <si>
    <t xml:space="preserve">      应收股利</t>
  </si>
  <si>
    <t xml:space="preserve">      应收利息</t>
  </si>
  <si>
    <t xml:space="preserve">      其他应收款</t>
  </si>
  <si>
    <t xml:space="preserve">    存货</t>
  </si>
  <si>
    <t xml:space="preserve">    其他流动资产</t>
  </si>
  <si>
    <t xml:space="preserve">    流动资产合计</t>
  </si>
  <si>
    <t xml:space="preserve">    长期股权投资</t>
  </si>
  <si>
    <t xml:space="preserve">    其他权益工具投资</t>
  </si>
  <si>
    <t xml:space="preserve">    投资性房地产</t>
  </si>
  <si>
    <r>
      <rPr>
        <sz val="10"/>
        <color rgb="FF000000"/>
        <rFont val="Noto Sans CJK SC"/>
        <family val="2"/>
      </rPr>
      <t xml:space="preserve">    固定资产</t>
    </r>
    <r>
      <rPr>
        <sz val="10"/>
        <color rgb="FF000000"/>
        <rFont val="Arial"/>
        <family val="0"/>
        <charset val="1"/>
      </rPr>
      <t xml:space="preserve">(</t>
    </r>
    <r>
      <rPr>
        <sz val="10"/>
        <color rgb="FF000000"/>
        <rFont val="Noto Sans CJK SC"/>
        <family val="2"/>
      </rPr>
      <t xml:space="preserve">合计</t>
    </r>
    <r>
      <rPr>
        <sz val="10"/>
        <color rgb="FF000000"/>
        <rFont val="Arial"/>
        <family val="0"/>
        <charset val="1"/>
      </rPr>
      <t xml:space="preserve">)</t>
    </r>
  </si>
  <si>
    <t xml:space="preserve">      固定资产</t>
  </si>
  <si>
    <t xml:space="preserve">      固定资产清理</t>
  </si>
  <si>
    <r>
      <rPr>
        <sz val="10"/>
        <color rgb="FF000000"/>
        <rFont val="Noto Sans CJK SC"/>
        <family val="2"/>
      </rPr>
      <t xml:space="preserve">    在建工程</t>
    </r>
    <r>
      <rPr>
        <sz val="10"/>
        <color rgb="FF000000"/>
        <rFont val="Arial"/>
        <family val="0"/>
        <charset val="1"/>
      </rPr>
      <t xml:space="preserve">(</t>
    </r>
    <r>
      <rPr>
        <sz val="10"/>
        <color rgb="FF000000"/>
        <rFont val="Noto Sans CJK SC"/>
        <family val="2"/>
      </rPr>
      <t xml:space="preserve">合计</t>
    </r>
    <r>
      <rPr>
        <sz val="10"/>
        <color rgb="FF000000"/>
        <rFont val="Arial"/>
        <family val="0"/>
        <charset val="1"/>
      </rPr>
      <t xml:space="preserve">)</t>
    </r>
  </si>
  <si>
    <t xml:space="preserve">      在建工程</t>
  </si>
  <si>
    <t xml:space="preserve">    使用权资产</t>
  </si>
  <si>
    <t xml:space="preserve">    无形资产</t>
  </si>
  <si>
    <t xml:space="preserve">    商誉</t>
  </si>
  <si>
    <t xml:space="preserve">    长期待摊费用</t>
  </si>
  <si>
    <t xml:space="preserve">    递延所得税资产</t>
  </si>
  <si>
    <t xml:space="preserve">    其他非流动资产</t>
  </si>
  <si>
    <t xml:space="preserve">    非流动资产合计</t>
  </si>
  <si>
    <t xml:space="preserve">    短期借款</t>
  </si>
  <si>
    <t xml:space="preserve">    应付票据及应付账款</t>
  </si>
  <si>
    <t xml:space="preserve">      应付票据</t>
  </si>
  <si>
    <t xml:space="preserve">      应付账款</t>
  </si>
  <si>
    <t xml:space="preserve">    预收款项</t>
  </si>
  <si>
    <t xml:space="preserve">    合同负债</t>
  </si>
  <si>
    <t xml:space="preserve">    应付职工薪酬</t>
  </si>
  <si>
    <t xml:space="preserve">    应交税费</t>
  </si>
  <si>
    <r>
      <rPr>
        <sz val="10"/>
        <color rgb="FF000000"/>
        <rFont val="Noto Sans CJK SC"/>
        <family val="2"/>
      </rPr>
      <t xml:space="preserve">    其他应付款</t>
    </r>
    <r>
      <rPr>
        <sz val="10"/>
        <color rgb="FF000000"/>
        <rFont val="Arial"/>
        <family val="0"/>
        <charset val="1"/>
      </rPr>
      <t xml:space="preserve">(</t>
    </r>
    <r>
      <rPr>
        <sz val="10"/>
        <color rgb="FF000000"/>
        <rFont val="Noto Sans CJK SC"/>
        <family val="2"/>
      </rPr>
      <t xml:space="preserve">合计</t>
    </r>
    <r>
      <rPr>
        <sz val="10"/>
        <color rgb="FF000000"/>
        <rFont val="Arial"/>
        <family val="0"/>
        <charset val="1"/>
      </rPr>
      <t xml:space="preserve">)</t>
    </r>
  </si>
  <si>
    <t xml:space="preserve">      应付股利</t>
  </si>
  <si>
    <t xml:space="preserve">      其他应付款</t>
  </si>
  <si>
    <t xml:space="preserve">    一年内到期的非流动负债</t>
  </si>
  <si>
    <t xml:space="preserve">    其他流动负债</t>
  </si>
  <si>
    <t xml:space="preserve">    流动负债合计</t>
  </si>
  <si>
    <t xml:space="preserve">    长期借款</t>
  </si>
  <si>
    <t xml:space="preserve">    租赁负债</t>
  </si>
  <si>
    <r>
      <rPr>
        <sz val="10"/>
        <color rgb="FF000000"/>
        <rFont val="Noto Sans CJK SC"/>
        <family val="2"/>
      </rPr>
      <t xml:space="preserve">    长期应付款</t>
    </r>
    <r>
      <rPr>
        <sz val="10"/>
        <color rgb="FF000000"/>
        <rFont val="Arial"/>
        <family val="0"/>
        <charset val="1"/>
      </rPr>
      <t xml:space="preserve">(</t>
    </r>
    <r>
      <rPr>
        <sz val="10"/>
        <color rgb="FF000000"/>
        <rFont val="Noto Sans CJK SC"/>
        <family val="2"/>
      </rPr>
      <t xml:space="preserve">合计</t>
    </r>
    <r>
      <rPr>
        <sz val="10"/>
        <color rgb="FF000000"/>
        <rFont val="Arial"/>
        <family val="0"/>
        <charset val="1"/>
      </rPr>
      <t xml:space="preserve">)</t>
    </r>
  </si>
  <si>
    <t xml:space="preserve">      长期应付款</t>
  </si>
  <si>
    <t xml:space="preserve">      专项应付款</t>
  </si>
  <si>
    <t xml:space="preserve">    预计负债</t>
  </si>
  <si>
    <t xml:space="preserve">    递延所得税负债</t>
  </si>
  <si>
    <r>
      <rPr>
        <sz val="10"/>
        <color rgb="FF000000"/>
        <rFont val="Noto Sans CJK SC"/>
        <family val="2"/>
      </rPr>
      <t xml:space="preserve">    递延收益</t>
    </r>
    <r>
      <rPr>
        <sz val="10"/>
        <color rgb="FF000000"/>
        <rFont val="Arial"/>
        <family val="0"/>
        <charset val="1"/>
      </rPr>
      <t xml:space="preserve">-</t>
    </r>
    <r>
      <rPr>
        <sz val="10"/>
        <color rgb="FF000000"/>
        <rFont val="Noto Sans CJK SC"/>
        <family val="2"/>
      </rPr>
      <t xml:space="preserve">非流动负债</t>
    </r>
  </si>
  <si>
    <t xml:space="preserve">    其他非流动负债</t>
  </si>
  <si>
    <t xml:space="preserve">    非流动负债合计</t>
  </si>
  <si>
    <t xml:space="preserve">    负债合计</t>
  </si>
  <si>
    <r>
      <rPr>
        <sz val="10"/>
        <color rgb="FF000000"/>
        <rFont val="Noto Sans CJK SC"/>
        <family val="2"/>
      </rPr>
      <t xml:space="preserve">    实收资本</t>
    </r>
    <r>
      <rPr>
        <sz val="10"/>
        <color rgb="FF000000"/>
        <rFont val="Arial"/>
        <family val="0"/>
        <charset val="1"/>
      </rPr>
      <t xml:space="preserve">(</t>
    </r>
    <r>
      <rPr>
        <sz val="10"/>
        <color rgb="FF000000"/>
        <rFont val="Noto Sans CJK SC"/>
        <family val="2"/>
      </rPr>
      <t xml:space="preserve">或股本</t>
    </r>
    <r>
      <rPr>
        <sz val="10"/>
        <color rgb="FF000000"/>
        <rFont val="Arial"/>
        <family val="0"/>
        <charset val="1"/>
      </rPr>
      <t xml:space="preserve">)</t>
    </r>
  </si>
  <si>
    <t xml:space="preserve">    资本公积</t>
  </si>
  <si>
    <t xml:space="preserve">    减：库存股</t>
  </si>
  <si>
    <t xml:space="preserve">    其他综合收益</t>
  </si>
  <si>
    <t xml:space="preserve">    盈余公积</t>
  </si>
  <si>
    <t xml:space="preserve">    未分配利润</t>
  </si>
  <si>
    <t xml:space="preserve">    归属于母公司所有者权益合计</t>
  </si>
  <si>
    <t xml:space="preserve">    少数股东权益</t>
  </si>
  <si>
    <t xml:space="preserve">    所有者权益合计</t>
  </si>
  <si>
    <t xml:space="preserve">三环集团 历史现金流量表（合并）</t>
  </si>
  <si>
    <t xml:space="preserve">    销售商品、提供劳务收到的现金</t>
  </si>
  <si>
    <t xml:space="preserve">    收到的税费返还</t>
  </si>
  <si>
    <t xml:space="preserve">    收到其他与经营活动有关的现金</t>
  </si>
  <si>
    <t xml:space="preserve">    经营活动现金流入小计</t>
  </si>
  <si>
    <t xml:space="preserve">    购买商品、接受劳务支付的现金</t>
  </si>
  <si>
    <t xml:space="preserve">    支付给职工以及为职工支付的现金</t>
  </si>
  <si>
    <t xml:space="preserve">    支付的各项税费</t>
  </si>
  <si>
    <t xml:space="preserve">    支付其他与经营活动有关的现金</t>
  </si>
  <si>
    <t xml:space="preserve">    经营活动现金流出小计</t>
  </si>
  <si>
    <t xml:space="preserve">    经营活动产生的现金流量净额</t>
  </si>
  <si>
    <t xml:space="preserve">    收回投资收到的现金</t>
  </si>
  <si>
    <t xml:space="preserve">    取得投资收益收到的现金</t>
  </si>
  <si>
    <t xml:space="preserve">    处置固定资产、无形资产和其他长期资产收回的现金净额</t>
  </si>
  <si>
    <t xml:space="preserve">    收到其他与投资活动有关的现金</t>
  </si>
  <si>
    <t xml:space="preserve">    投资活动现金流入小计</t>
  </si>
  <si>
    <t xml:space="preserve">    购建固定资产、无形资产和其他长期资产支付的现金</t>
  </si>
  <si>
    <t xml:space="preserve">    投资支付的现金</t>
  </si>
  <si>
    <t xml:space="preserve">    支付其他与投资活动有关的现金</t>
  </si>
  <si>
    <t xml:space="preserve">    投资活动现金流出小计</t>
  </si>
  <si>
    <t xml:space="preserve">    投资活动产生的现金流量净额</t>
  </si>
  <si>
    <t xml:space="preserve">    吸收投资收到的现金</t>
  </si>
  <si>
    <t xml:space="preserve">    其中：子公司吸收少数股东投资收到的现金</t>
  </si>
  <si>
    <t xml:space="preserve">    取得借款收到的现金</t>
  </si>
  <si>
    <t xml:space="preserve">    收到其他与筹资活动有关的现金</t>
  </si>
  <si>
    <t xml:space="preserve">    筹资活动现金流入小计</t>
  </si>
  <si>
    <t xml:space="preserve">    偿还债务支付的现金</t>
  </si>
  <si>
    <t xml:space="preserve">    分配股利、利润或偿付利息支付的现金</t>
  </si>
  <si>
    <t xml:space="preserve">    其中：子公司支付给少数股东的股利、利润</t>
  </si>
  <si>
    <t xml:space="preserve">    支付其他与筹资活动有关的现金</t>
  </si>
  <si>
    <t xml:space="preserve">    筹资活动现金流出小计</t>
  </si>
  <si>
    <t xml:space="preserve">    筹资活动产生的现金流量净额</t>
  </si>
  <si>
    <t xml:space="preserve">汇率变动对现金的影响</t>
  </si>
  <si>
    <t xml:space="preserve">现金及现金等价物净增加额</t>
  </si>
  <si>
    <t xml:space="preserve">    期初现金及现金等价物余额</t>
  </si>
  <si>
    <t xml:space="preserve">    期末现金及现金等价物余额</t>
  </si>
  <si>
    <t xml:space="preserve">    净利润</t>
  </si>
  <si>
    <t xml:space="preserve">    加：资产减值准备</t>
  </si>
  <si>
    <t xml:space="preserve">        信用减值损失</t>
  </si>
  <si>
    <t xml:space="preserve">        固定资产折旧、油气资产折耗、生产性生物资产折旧</t>
  </si>
  <si>
    <t xml:space="preserve">        无形资产摊销</t>
  </si>
  <si>
    <t xml:space="preserve">        使用权资产折旧</t>
  </si>
  <si>
    <t xml:space="preserve">        长期待摊费用摊销</t>
  </si>
  <si>
    <t xml:space="preserve">        处置固定资产、无形资产和其他长期资产的损失</t>
  </si>
  <si>
    <t xml:space="preserve">        固定资产报废损失</t>
  </si>
  <si>
    <t xml:space="preserve">        公允价值变动损失</t>
  </si>
  <si>
    <t xml:space="preserve">        财务费用</t>
  </si>
  <si>
    <t xml:space="preserve">        投资损失</t>
  </si>
  <si>
    <t xml:space="preserve">        递延所得税资产减少</t>
  </si>
  <si>
    <t xml:space="preserve">        递延所得税负债增加</t>
  </si>
  <si>
    <t xml:space="preserve">        存货的减少</t>
  </si>
  <si>
    <t xml:space="preserve">        经营性应收项目的减少</t>
  </si>
  <si>
    <t xml:space="preserve">        经营性应付项目的增加</t>
  </si>
  <si>
    <r>
      <rPr>
        <sz val="10"/>
        <color rgb="FF000000"/>
        <rFont val="Noto Sans CJK SC"/>
        <family val="2"/>
      </rPr>
      <t xml:space="preserve">    间接法</t>
    </r>
    <r>
      <rPr>
        <sz val="10"/>
        <color rgb="FF000000"/>
        <rFont val="Arial"/>
        <family val="0"/>
        <charset val="1"/>
      </rPr>
      <t xml:space="preserve">-</t>
    </r>
    <r>
      <rPr>
        <sz val="10"/>
        <color rgb="FF000000"/>
        <rFont val="Noto Sans CJK SC"/>
        <family val="2"/>
      </rPr>
      <t xml:space="preserve">经营活动产生的现金流量净额</t>
    </r>
  </si>
  <si>
    <t xml:space="preserve">    现金的期末余额</t>
  </si>
  <si>
    <t xml:space="preserve">    减：现金的期初余额</t>
  </si>
  <si>
    <r>
      <rPr>
        <sz val="10"/>
        <color rgb="FF000000"/>
        <rFont val="Noto Sans CJK SC"/>
        <family val="2"/>
      </rPr>
      <t xml:space="preserve">    间接法</t>
    </r>
    <r>
      <rPr>
        <sz val="10"/>
        <color rgb="FF000000"/>
        <rFont val="Arial"/>
        <family val="0"/>
        <charset val="1"/>
      </rPr>
      <t xml:space="preserve">-</t>
    </r>
    <r>
      <rPr>
        <sz val="10"/>
        <color rgb="FF000000"/>
        <rFont val="Noto Sans CJK SC"/>
        <family val="2"/>
      </rPr>
      <t xml:space="preserve">现金及现金等价物净增加额</t>
    </r>
  </si>
  <si>
    <r>
      <rPr>
        <b val="true"/>
        <sz val="14"/>
        <color rgb="FF1F3864"/>
        <rFont val="Noto Sans CJK SC"/>
        <family val="2"/>
      </rPr>
      <t xml:space="preserve">财务报表附注明细（年报</t>
    </r>
    <r>
      <rPr>
        <b val="true"/>
        <sz val="14"/>
        <color rgb="FF1F3864"/>
        <rFont val="Arial"/>
        <family val="0"/>
        <charset val="1"/>
      </rPr>
      <t xml:space="preserve">/</t>
    </r>
    <r>
      <rPr>
        <b val="true"/>
        <sz val="14"/>
        <color rgb="FF1F3864"/>
        <rFont val="Noto Sans CJK SC"/>
        <family val="2"/>
      </rPr>
      <t xml:space="preserve">半年报原文提取，供核对）</t>
    </r>
  </si>
  <si>
    <r>
      <rPr>
        <i val="true"/>
        <sz val="10"/>
        <color rgb="FF595959"/>
        <rFont val="Noto Sans CJK SC"/>
        <family val="2"/>
      </rPr>
      <t xml:space="preserve">金额单位为元或万元的表已换算为百万元（比例、单价、股数、人数等非金额行列保持原值）；其他单位按原披露列示，以每张表的单位行为准。模型明细表中的历史数据均取自本表或</t>
    </r>
    <r>
      <rPr>
        <i val="true"/>
        <sz val="10"/>
        <color rgb="FF595959"/>
        <rFont val="Arial"/>
        <family val="0"/>
        <charset val="1"/>
      </rPr>
      <t xml:space="preserve">Wind</t>
    </r>
    <r>
      <rPr>
        <i val="true"/>
        <sz val="10"/>
        <color rgb="FF595959"/>
        <rFont val="Noto Sans CJK SC"/>
        <family val="2"/>
      </rPr>
      <t xml:space="preserve">报表。</t>
    </r>
  </si>
  <si>
    <r>
      <rPr>
        <b val="true"/>
        <sz val="10"/>
        <color rgb="FF1F3864"/>
        <rFont val="Arial"/>
        <family val="0"/>
        <charset val="1"/>
      </rPr>
      <t xml:space="preserve">D1</t>
    </r>
    <r>
      <rPr>
        <b val="true"/>
        <sz val="10"/>
        <color rgb="FF1F3864"/>
        <rFont val="Noto Sans CJK SC"/>
        <family val="2"/>
      </rPr>
      <t xml:space="preserve">　固定资产、在建工程、无形资产与折旧摊销</t>
    </r>
  </si>
  <si>
    <r>
      <rPr>
        <b val="true"/>
        <sz val="10"/>
        <color rgb="FF1F3864"/>
        <rFont val="Noto Sans CJK SC"/>
        <family val="2"/>
      </rPr>
      <t xml:space="preserve">固定资产折旧政策</t>
    </r>
    <r>
      <rPr>
        <b val="true"/>
        <sz val="10"/>
        <color rgb="FF1F3864"/>
        <rFont val="Arial"/>
        <family val="0"/>
        <charset val="1"/>
      </rPr>
      <t xml:space="preserve">(</t>
    </r>
    <r>
      <rPr>
        <b val="true"/>
        <sz val="10"/>
        <color rgb="FF1F3864"/>
        <rFont val="Noto Sans CJK SC"/>
        <family val="2"/>
      </rPr>
      <t xml:space="preserve">年限平均法</t>
    </r>
    <r>
      <rPr>
        <b val="true"/>
        <sz val="10"/>
        <color rgb="FF1F3864"/>
        <rFont val="Arial"/>
        <family val="0"/>
        <charset val="1"/>
      </rPr>
      <t xml:space="preserve">)</t>
    </r>
    <r>
      <rPr>
        <b val="true"/>
        <sz val="10"/>
        <color rgb="FF1F3864"/>
        <rFont val="Noto Sans CJK SC"/>
        <family val="2"/>
      </rPr>
      <t xml:space="preserve">：类别</t>
    </r>
    <r>
      <rPr>
        <b val="true"/>
        <sz val="10"/>
        <color rgb="FF1F3864"/>
        <rFont val="Arial"/>
        <family val="0"/>
        <charset val="1"/>
      </rPr>
      <t xml:space="preserve">/</t>
    </r>
    <r>
      <rPr>
        <b val="true"/>
        <sz val="10"/>
        <color rgb="FF1F3864"/>
        <rFont val="Noto Sans CJK SC"/>
        <family val="2"/>
      </rPr>
      <t xml:space="preserve">折旧年限</t>
    </r>
    <r>
      <rPr>
        <b val="true"/>
        <sz val="10"/>
        <color rgb="FF1F3864"/>
        <rFont val="Arial"/>
        <family val="0"/>
        <charset val="1"/>
      </rPr>
      <t xml:space="preserve">/</t>
    </r>
    <r>
      <rPr>
        <b val="true"/>
        <sz val="10"/>
        <color rgb="FF1F3864"/>
        <rFont val="Noto Sans CJK SC"/>
        <family val="2"/>
      </rPr>
      <t xml:space="preserve">残值率</t>
    </r>
    <r>
      <rPr>
        <b val="true"/>
        <sz val="10"/>
        <color rgb="FF1F3864"/>
        <rFont val="Arial"/>
        <family val="0"/>
        <charset val="1"/>
      </rPr>
      <t xml:space="preserve">/</t>
    </r>
    <r>
      <rPr>
        <b val="true"/>
        <sz val="10"/>
        <color rgb="FF1F3864"/>
        <rFont val="Noto Sans CJK SC"/>
        <family val="2"/>
      </rPr>
      <t xml:space="preserve">年折旧率</t>
    </r>
  </si>
  <si>
    <r>
      <rPr>
        <i val="true"/>
        <sz val="10"/>
        <color rgb="FF595959"/>
        <rFont val="Noto Sans CJK SC"/>
        <family val="2"/>
      </rPr>
      <t xml:space="preserve">单位：年 </t>
    </r>
    <r>
      <rPr>
        <i val="true"/>
        <sz val="10"/>
        <color rgb="FF595959"/>
        <rFont val="Arial"/>
        <family val="0"/>
        <charset val="1"/>
      </rPr>
      <t xml:space="preserve">/ %</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 第八节 财务报告 五、重要会计政策及会计估计 </t>
    </r>
    <r>
      <rPr>
        <i val="true"/>
        <sz val="10"/>
        <color rgb="FF595959"/>
        <rFont val="Arial"/>
        <family val="0"/>
        <charset val="1"/>
      </rPr>
      <t xml:space="preserve">15</t>
    </r>
    <r>
      <rPr>
        <i val="true"/>
        <sz val="10"/>
        <color rgb="FF595959"/>
        <rFont val="Noto Sans CJK SC"/>
        <family val="2"/>
      </rPr>
      <t xml:space="preserve">、固定资产</t>
    </r>
    <r>
      <rPr>
        <i val="true"/>
        <sz val="10"/>
        <color rgb="FF595959"/>
        <rFont val="Arial"/>
        <family val="0"/>
        <charset val="1"/>
      </rPr>
      <t xml:space="preserve">(2)</t>
    </r>
    <r>
      <rPr>
        <i val="true"/>
        <sz val="10"/>
        <color rgb="FF595959"/>
        <rFont val="Noto Sans CJK SC"/>
        <family val="2"/>
      </rPr>
      <t xml:space="preserve">折旧方法 </t>
    </r>
    <r>
      <rPr>
        <i val="true"/>
        <sz val="10"/>
        <color rgb="FF595959"/>
        <rFont val="Arial"/>
        <family val="0"/>
        <charset val="1"/>
      </rPr>
      <t xml:space="preserve">(pdf p.97); 2026</t>
    </r>
    <r>
      <rPr>
        <i val="true"/>
        <sz val="10"/>
        <color rgb="FF595959"/>
        <rFont val="Noto Sans CJK SC"/>
        <family val="2"/>
      </rPr>
      <t xml:space="preserve">半年报 第八节 五、</t>
    </r>
    <r>
      <rPr>
        <i val="true"/>
        <sz val="10"/>
        <color rgb="FF595959"/>
        <rFont val="Arial"/>
        <family val="0"/>
        <charset val="1"/>
      </rPr>
      <t xml:space="preserve">15 (pdf p.61-62) </t>
    </r>
    <r>
      <rPr>
        <i val="true"/>
        <sz val="10"/>
        <color rgb="FF595959"/>
        <rFont val="Noto Sans CJK SC"/>
        <family val="2"/>
      </rPr>
      <t xml:space="preserve">完全相同</t>
    </r>
  </si>
  <si>
    <r>
      <rPr>
        <b val="true"/>
        <sz val="10"/>
        <color rgb="FFFFFFFF"/>
        <rFont val="Noto Sans CJK SC"/>
        <family val="2"/>
      </rPr>
      <t xml:space="preserve">折旧年限</t>
    </r>
    <r>
      <rPr>
        <b val="true"/>
        <sz val="10"/>
        <color rgb="FFFFFFFF"/>
        <rFont val="Arial"/>
        <family val="0"/>
        <charset val="1"/>
      </rPr>
      <t xml:space="preserve">_min_</t>
    </r>
    <r>
      <rPr>
        <b val="true"/>
        <sz val="10"/>
        <color rgb="FFFFFFFF"/>
        <rFont val="Noto Sans CJK SC"/>
        <family val="2"/>
      </rPr>
      <t xml:space="preserve">年</t>
    </r>
  </si>
  <si>
    <r>
      <rPr>
        <b val="true"/>
        <sz val="10"/>
        <color rgb="FFFFFFFF"/>
        <rFont val="Noto Sans CJK SC"/>
        <family val="2"/>
      </rPr>
      <t xml:space="preserve">折旧年限</t>
    </r>
    <r>
      <rPr>
        <b val="true"/>
        <sz val="10"/>
        <color rgb="FFFFFFFF"/>
        <rFont val="Arial"/>
        <family val="0"/>
        <charset val="1"/>
      </rPr>
      <t xml:space="preserve">_max_</t>
    </r>
    <r>
      <rPr>
        <b val="true"/>
        <sz val="10"/>
        <color rgb="FFFFFFFF"/>
        <rFont val="Noto Sans CJK SC"/>
        <family val="2"/>
      </rPr>
      <t xml:space="preserve">年</t>
    </r>
  </si>
  <si>
    <r>
      <rPr>
        <b val="true"/>
        <sz val="10"/>
        <color rgb="FFFFFFFF"/>
        <rFont val="Noto Sans CJK SC"/>
        <family val="2"/>
      </rPr>
      <t xml:space="preserve">残值率</t>
    </r>
    <r>
      <rPr>
        <b val="true"/>
        <sz val="10"/>
        <color rgb="FFFFFFFF"/>
        <rFont val="Arial"/>
        <family val="0"/>
        <charset val="1"/>
      </rPr>
      <t xml:space="preserve">_min_pct</t>
    </r>
  </si>
  <si>
    <r>
      <rPr>
        <b val="true"/>
        <sz val="10"/>
        <color rgb="FFFFFFFF"/>
        <rFont val="Noto Sans CJK SC"/>
        <family val="2"/>
      </rPr>
      <t xml:space="preserve">残值率</t>
    </r>
    <r>
      <rPr>
        <b val="true"/>
        <sz val="10"/>
        <color rgb="FFFFFFFF"/>
        <rFont val="Arial"/>
        <family val="0"/>
        <charset val="1"/>
      </rPr>
      <t xml:space="preserve">_max_pct</t>
    </r>
  </si>
  <si>
    <r>
      <rPr>
        <b val="true"/>
        <sz val="10"/>
        <color rgb="FFFFFFFF"/>
        <rFont val="Noto Sans CJK SC"/>
        <family val="2"/>
      </rPr>
      <t xml:space="preserve">年折旧率</t>
    </r>
    <r>
      <rPr>
        <b val="true"/>
        <sz val="10"/>
        <color rgb="FFFFFFFF"/>
        <rFont val="Arial"/>
        <family val="0"/>
        <charset val="1"/>
      </rPr>
      <t xml:space="preserve">_min_pct</t>
    </r>
  </si>
  <si>
    <r>
      <rPr>
        <b val="true"/>
        <sz val="10"/>
        <color rgb="FFFFFFFF"/>
        <rFont val="Noto Sans CJK SC"/>
        <family val="2"/>
      </rPr>
      <t xml:space="preserve">年折旧率</t>
    </r>
    <r>
      <rPr>
        <b val="true"/>
        <sz val="10"/>
        <color rgb="FFFFFFFF"/>
        <rFont val="Arial"/>
        <family val="0"/>
        <charset val="1"/>
      </rPr>
      <t xml:space="preserve">_max_pct</t>
    </r>
  </si>
  <si>
    <r>
      <rPr>
        <sz val="10"/>
        <color rgb="FF000000"/>
        <rFont val="Noto Sans CJK SC"/>
        <family val="2"/>
      </rPr>
      <t xml:space="preserve">房屋及建筑物</t>
    </r>
    <r>
      <rPr>
        <sz val="10"/>
        <color rgb="FF000000"/>
        <rFont val="Arial"/>
        <family val="0"/>
        <charset val="1"/>
      </rPr>
      <t xml:space="preserve">-</t>
    </r>
    <r>
      <rPr>
        <sz val="10"/>
        <color rgb="FF000000"/>
        <rFont val="Noto Sans CJK SC"/>
        <family val="2"/>
      </rPr>
      <t xml:space="preserve">生产用房</t>
    </r>
  </si>
  <si>
    <r>
      <rPr>
        <sz val="10"/>
        <color rgb="FF000000"/>
        <rFont val="Noto Sans CJK SC"/>
        <family val="2"/>
      </rPr>
      <t xml:space="preserve">房屋及建筑物</t>
    </r>
    <r>
      <rPr>
        <sz val="10"/>
        <color rgb="FF000000"/>
        <rFont val="Arial"/>
        <family val="0"/>
        <charset val="1"/>
      </rPr>
      <t xml:space="preserve">-</t>
    </r>
    <r>
      <rPr>
        <sz val="10"/>
        <color rgb="FF000000"/>
        <rFont val="Noto Sans CJK SC"/>
        <family val="2"/>
      </rPr>
      <t xml:space="preserve">受腐蚀生产用房</t>
    </r>
  </si>
  <si>
    <r>
      <rPr>
        <sz val="10"/>
        <color rgb="FF000000"/>
        <rFont val="Noto Sans CJK SC"/>
        <family val="2"/>
      </rPr>
      <t xml:space="preserve">房屋及建筑物</t>
    </r>
    <r>
      <rPr>
        <sz val="10"/>
        <color rgb="FF000000"/>
        <rFont val="Arial"/>
        <family val="0"/>
        <charset val="1"/>
      </rPr>
      <t xml:space="preserve">-</t>
    </r>
    <r>
      <rPr>
        <sz val="10"/>
        <color rgb="FF000000"/>
        <rFont val="Noto Sans CJK SC"/>
        <family val="2"/>
      </rPr>
      <t xml:space="preserve">非生产用房</t>
    </r>
  </si>
  <si>
    <r>
      <rPr>
        <sz val="10"/>
        <color rgb="FF000000"/>
        <rFont val="Noto Sans CJK SC"/>
        <family val="2"/>
      </rPr>
      <t xml:space="preserve">房屋及建筑物</t>
    </r>
    <r>
      <rPr>
        <sz val="10"/>
        <color rgb="FF000000"/>
        <rFont val="Arial"/>
        <family val="0"/>
        <charset val="1"/>
      </rPr>
      <t xml:space="preserve">-</t>
    </r>
    <r>
      <rPr>
        <sz val="10"/>
        <color rgb="FF000000"/>
        <rFont val="Noto Sans CJK SC"/>
        <family val="2"/>
      </rPr>
      <t xml:space="preserve">其他建筑物</t>
    </r>
  </si>
  <si>
    <r>
      <rPr>
        <sz val="10"/>
        <color rgb="FF000000"/>
        <rFont val="Noto Sans CJK SC"/>
        <family val="2"/>
      </rPr>
      <t xml:space="preserve">电子设备及其他 </t>
    </r>
    <r>
      <rPr>
        <sz val="10"/>
        <color rgb="FF000000"/>
        <rFont val="Arial"/>
        <family val="0"/>
        <charset val="1"/>
      </rPr>
      <t xml:space="preserve">(FY2023</t>
    </r>
    <r>
      <rPr>
        <sz val="10"/>
        <color rgb="FF000000"/>
        <rFont val="Noto Sans CJK SC"/>
        <family val="2"/>
      </rPr>
      <t xml:space="preserve">年报称</t>
    </r>
    <r>
      <rPr>
        <sz val="10"/>
        <color rgb="FF000000"/>
        <rFont val="Arial"/>
        <family val="0"/>
        <charset val="1"/>
      </rPr>
      <t xml:space="preserve">'</t>
    </r>
    <r>
      <rPr>
        <sz val="10"/>
        <color rgb="FF000000"/>
        <rFont val="Noto Sans CJK SC"/>
        <family val="2"/>
      </rPr>
      <t xml:space="preserve">其他工具</t>
    </r>
    <r>
      <rPr>
        <sz val="10"/>
        <color rgb="FF000000"/>
        <rFont val="Arial"/>
        <family val="0"/>
        <charset val="1"/>
      </rPr>
      <t xml:space="preserve">')</t>
    </r>
  </si>
  <si>
    <r>
      <rPr>
        <b val="true"/>
        <sz val="10"/>
        <color rgb="FF1F3864"/>
        <rFont val="Noto Sans CJK SC"/>
        <family val="2"/>
      </rPr>
      <t xml:space="preserve">使用寿命有限的无形资产预计使用寿命</t>
    </r>
    <r>
      <rPr>
        <b val="true"/>
        <sz val="10"/>
        <color rgb="FF1F3864"/>
        <rFont val="Arial"/>
        <family val="0"/>
        <charset val="1"/>
      </rPr>
      <t xml:space="preserve">(</t>
    </r>
    <r>
      <rPr>
        <b val="true"/>
        <sz val="10"/>
        <color rgb="FF1F3864"/>
        <rFont val="Noto Sans CJK SC"/>
        <family val="2"/>
      </rPr>
      <t xml:space="preserve">年限平均法</t>
    </r>
    <r>
      <rPr>
        <b val="true"/>
        <sz val="10"/>
        <color rgb="FF1F3864"/>
        <rFont val="Arial"/>
        <family val="0"/>
        <charset val="1"/>
      </rPr>
      <t xml:space="preserve">)</t>
    </r>
  </si>
  <si>
    <r>
      <rPr>
        <i val="true"/>
        <sz val="10"/>
        <color rgb="FF595959"/>
        <rFont val="Noto Sans CJK SC"/>
        <family val="2"/>
      </rPr>
      <t xml:space="preserve">单位：年；来源：</t>
    </r>
    <r>
      <rPr>
        <i val="true"/>
        <sz val="10"/>
        <color rgb="FF595959"/>
        <rFont val="Arial"/>
        <family val="0"/>
        <charset val="1"/>
      </rPr>
      <t xml:space="preserve">FY2025</t>
    </r>
    <r>
      <rPr>
        <i val="true"/>
        <sz val="10"/>
        <color rgb="FF595959"/>
        <rFont val="Noto Sans CJK SC"/>
        <family val="2"/>
      </rPr>
      <t xml:space="preserve">年报 第八节 五、</t>
    </r>
    <r>
      <rPr>
        <i val="true"/>
        <sz val="10"/>
        <color rgb="FF595959"/>
        <rFont val="Arial"/>
        <family val="0"/>
        <charset val="1"/>
      </rPr>
      <t xml:space="preserve">19</t>
    </r>
    <r>
      <rPr>
        <i val="true"/>
        <sz val="10"/>
        <color rgb="FF595959"/>
        <rFont val="Noto Sans CJK SC"/>
        <family val="2"/>
      </rPr>
      <t xml:space="preserve">、无形资产</t>
    </r>
    <r>
      <rPr>
        <i val="true"/>
        <sz val="10"/>
        <color rgb="FF595959"/>
        <rFont val="Arial"/>
        <family val="0"/>
        <charset val="1"/>
      </rPr>
      <t xml:space="preserve">(1) (pdf p.99); 2026</t>
    </r>
    <r>
      <rPr>
        <i val="true"/>
        <sz val="10"/>
        <color rgb="FF595959"/>
        <rFont val="Noto Sans CJK SC"/>
        <family val="2"/>
      </rPr>
      <t xml:space="preserve">半年报 第八节 五、</t>
    </r>
    <r>
      <rPr>
        <i val="true"/>
        <sz val="10"/>
        <color rgb="FF595959"/>
        <rFont val="Arial"/>
        <family val="0"/>
        <charset val="1"/>
      </rPr>
      <t xml:space="preserve">19 (pdf p.62-63) </t>
    </r>
    <r>
      <rPr>
        <i val="true"/>
        <sz val="10"/>
        <color rgb="FF595959"/>
        <rFont val="Noto Sans CJK SC"/>
        <family val="2"/>
      </rPr>
      <t xml:space="preserve">相同</t>
    </r>
  </si>
  <si>
    <r>
      <rPr>
        <b val="true"/>
        <sz val="10"/>
        <color rgb="FFFFFFFF"/>
        <rFont val="Noto Sans CJK SC"/>
        <family val="2"/>
      </rPr>
      <t xml:space="preserve">预计使用寿命</t>
    </r>
    <r>
      <rPr>
        <b val="true"/>
        <sz val="10"/>
        <color rgb="FFFFFFFF"/>
        <rFont val="Arial"/>
        <family val="0"/>
        <charset val="1"/>
      </rPr>
      <t xml:space="preserve">_min_</t>
    </r>
    <r>
      <rPr>
        <b val="true"/>
        <sz val="10"/>
        <color rgb="FFFFFFFF"/>
        <rFont val="Noto Sans CJK SC"/>
        <family val="2"/>
      </rPr>
      <t xml:space="preserve">年</t>
    </r>
  </si>
  <si>
    <r>
      <rPr>
        <b val="true"/>
        <sz val="10"/>
        <color rgb="FFFFFFFF"/>
        <rFont val="Noto Sans CJK SC"/>
        <family val="2"/>
      </rPr>
      <t xml:space="preserve">预计使用寿命</t>
    </r>
    <r>
      <rPr>
        <b val="true"/>
        <sz val="10"/>
        <color rgb="FFFFFFFF"/>
        <rFont val="Arial"/>
        <family val="0"/>
        <charset val="1"/>
      </rPr>
      <t xml:space="preserve">_max_</t>
    </r>
    <r>
      <rPr>
        <b val="true"/>
        <sz val="10"/>
        <color rgb="FFFFFFFF"/>
        <rFont val="Noto Sans CJK SC"/>
        <family val="2"/>
      </rPr>
      <t xml:space="preserve">年</t>
    </r>
  </si>
  <si>
    <t xml:space="preserve">土地使用权</t>
  </si>
  <si>
    <t xml:space="preserve">软件</t>
  </si>
  <si>
    <t xml:space="preserve">专利技术</t>
  </si>
  <si>
    <r>
      <rPr>
        <b val="true"/>
        <sz val="10"/>
        <color rgb="FF1F3864"/>
        <rFont val="Noto Sans CJK SC"/>
        <family val="2"/>
      </rPr>
      <t xml:space="preserve">固定资产汇总</t>
    </r>
    <r>
      <rPr>
        <b val="true"/>
        <sz val="10"/>
        <color rgb="FF1F3864"/>
        <rFont val="Arial"/>
        <family val="0"/>
        <charset val="1"/>
      </rPr>
      <t xml:space="preserve">(</t>
    </r>
    <r>
      <rPr>
        <b val="true"/>
        <sz val="10"/>
        <color rgb="FF1F3864"/>
        <rFont val="Noto Sans CJK SC"/>
        <family val="2"/>
      </rPr>
      <t xml:space="preserve">合计列，取自各期原值</t>
    </r>
    <r>
      <rPr>
        <b val="true"/>
        <sz val="10"/>
        <color rgb="FF1F3864"/>
        <rFont val="Arial"/>
        <family val="0"/>
        <charset val="1"/>
      </rPr>
      <t xml:space="preserve">/</t>
    </r>
    <r>
      <rPr>
        <b val="true"/>
        <sz val="10"/>
        <color rgb="FF1F3864"/>
        <rFont val="Noto Sans CJK SC"/>
        <family val="2"/>
      </rPr>
      <t xml:space="preserve">折旧</t>
    </r>
    <r>
      <rPr>
        <b val="true"/>
        <sz val="10"/>
        <color rgb="FF1F3864"/>
        <rFont val="Arial"/>
        <family val="0"/>
        <charset val="1"/>
      </rPr>
      <t xml:space="preserve">/</t>
    </r>
    <r>
      <rPr>
        <b val="true"/>
        <sz val="10"/>
        <color rgb="FF1F3864"/>
        <rFont val="Noto Sans CJK SC"/>
        <family val="2"/>
      </rPr>
      <t xml:space="preserve">减值变动表</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</si>
  <si>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FY2022</t>
    </r>
    <r>
      <rPr>
        <i val="true"/>
        <sz val="10"/>
        <color rgb="FF595959"/>
        <rFont val="Noto Sans CJK SC"/>
        <family val="2"/>
      </rPr>
      <t xml:space="preserve">期末</t>
    </r>
    <r>
      <rPr>
        <i val="true"/>
        <sz val="10"/>
        <color rgb="FF595959"/>
        <rFont val="Arial"/>
        <family val="0"/>
        <charset val="1"/>
      </rPr>
      <t xml:space="preserve">=FY2023</t>
    </r>
    <r>
      <rPr>
        <i val="true"/>
        <sz val="10"/>
        <color rgb="FF595959"/>
        <rFont val="Noto Sans CJK SC"/>
        <family val="2"/>
      </rPr>
      <t xml:space="preserve">年报变动表期初</t>
    </r>
    <r>
      <rPr>
        <i val="true"/>
        <sz val="10"/>
        <color rgb="FF595959"/>
        <rFont val="Arial"/>
        <family val="0"/>
        <charset val="1"/>
      </rPr>
      <t xml:space="preserve">; </t>
    </r>
    <r>
      <rPr>
        <i val="true"/>
        <sz val="10"/>
        <color rgb="FF595959"/>
        <rFont val="Noto Sans CJK SC"/>
        <family val="2"/>
      </rPr>
      <t xml:space="preserve">其余见各期 </t>
    </r>
    <r>
      <rPr>
        <i val="true"/>
        <sz val="10"/>
        <color rgb="FF595959"/>
        <rFont val="Arial"/>
        <family val="0"/>
        <charset val="1"/>
      </rPr>
      <t xml:space="preserve">D1_ppe_rf_* </t>
    </r>
    <r>
      <rPr>
        <i val="true"/>
        <sz val="10"/>
        <color rgb="FF595959"/>
        <rFont val="Noto Sans CJK SC"/>
        <family val="2"/>
      </rPr>
      <t xml:space="preserve">表</t>
    </r>
    <r>
      <rPr>
        <i val="true"/>
        <sz val="10"/>
        <color rgb="FF595959"/>
        <rFont val="Arial"/>
        <family val="0"/>
        <charset val="1"/>
      </rPr>
      <t xml:space="preserve">; </t>
    </r>
    <r>
      <rPr>
        <i val="true"/>
        <sz val="10"/>
        <color rgb="FF595959"/>
        <rFont val="Noto Sans CJK SC"/>
        <family val="2"/>
      </rPr>
      <t xml:space="preserve">各期合并资产负债表固定资产行</t>
    </r>
  </si>
  <si>
    <t xml:space="preserve">FY2022</t>
  </si>
  <si>
    <t xml:space="preserve">FY2023</t>
  </si>
  <si>
    <t xml:space="preserve">FY2024</t>
  </si>
  <si>
    <t xml:space="preserve">FY2025</t>
  </si>
  <si>
    <t xml:space="preserve">原值期末余额</t>
  </si>
  <si>
    <t xml:space="preserve">累计折旧期末余额</t>
  </si>
  <si>
    <t xml:space="preserve">减值准备期末余额</t>
  </si>
  <si>
    <t xml:space="preserve">固定资产账面价值期末</t>
  </si>
  <si>
    <r>
      <rPr>
        <sz val="10"/>
        <color rgb="FF000000"/>
        <rFont val="Noto Sans CJK SC"/>
        <family val="2"/>
      </rPr>
      <t xml:space="preserve">资产负债表</t>
    </r>
    <r>
      <rPr>
        <sz val="10"/>
        <color rgb="FF000000"/>
        <rFont val="Arial"/>
        <family val="0"/>
        <charset val="1"/>
      </rPr>
      <t xml:space="preserve">-</t>
    </r>
    <r>
      <rPr>
        <sz val="10"/>
        <color rgb="FF000000"/>
        <rFont val="Noto Sans CJK SC"/>
        <family val="2"/>
      </rPr>
      <t xml:space="preserve">固定资产</t>
    </r>
    <r>
      <rPr>
        <sz val="10"/>
        <color rgb="FF000000"/>
        <rFont val="Arial"/>
        <family val="0"/>
        <charset val="1"/>
      </rPr>
      <t xml:space="preserve">(</t>
    </r>
    <r>
      <rPr>
        <sz val="10"/>
        <color rgb="FF000000"/>
        <rFont val="Noto Sans CJK SC"/>
        <family val="2"/>
      </rPr>
      <t xml:space="preserve">含固定资产清理</t>
    </r>
    <r>
      <rPr>
        <sz val="10"/>
        <color rgb="FF000000"/>
        <rFont val="Arial"/>
        <family val="0"/>
        <charset val="1"/>
      </rPr>
      <t xml:space="preserve">)</t>
    </r>
  </si>
  <si>
    <r>
      <rPr>
        <sz val="10"/>
        <color rgb="FF000000"/>
        <rFont val="Noto Sans CJK SC"/>
        <family val="2"/>
      </rPr>
      <t xml:space="preserve">本期原值增加</t>
    </r>
    <r>
      <rPr>
        <sz val="10"/>
        <color rgb="FF000000"/>
        <rFont val="Arial"/>
        <family val="0"/>
        <charset val="1"/>
      </rPr>
      <t xml:space="preserve">-</t>
    </r>
    <r>
      <rPr>
        <sz val="10"/>
        <color rgb="FF000000"/>
        <rFont val="Noto Sans CJK SC"/>
        <family val="2"/>
      </rPr>
      <t xml:space="preserve">购置</t>
    </r>
  </si>
  <si>
    <r>
      <rPr>
        <sz val="10"/>
        <color rgb="FF000000"/>
        <rFont val="Noto Sans CJK SC"/>
        <family val="2"/>
      </rPr>
      <t xml:space="preserve">本期原值增加</t>
    </r>
    <r>
      <rPr>
        <sz val="10"/>
        <color rgb="FF000000"/>
        <rFont val="Arial"/>
        <family val="0"/>
        <charset val="1"/>
      </rPr>
      <t xml:space="preserve">-</t>
    </r>
    <r>
      <rPr>
        <sz val="10"/>
        <color rgb="FF000000"/>
        <rFont val="Noto Sans CJK SC"/>
        <family val="2"/>
      </rPr>
      <t xml:space="preserve">在建工程转入</t>
    </r>
  </si>
  <si>
    <r>
      <rPr>
        <sz val="10"/>
        <color rgb="FF000000"/>
        <rFont val="Noto Sans CJK SC"/>
        <family val="2"/>
      </rPr>
      <t xml:space="preserve">本期原值减少</t>
    </r>
    <r>
      <rPr>
        <sz val="10"/>
        <color rgb="FF000000"/>
        <rFont val="Arial"/>
        <family val="0"/>
        <charset val="1"/>
      </rPr>
      <t xml:space="preserve">-</t>
    </r>
    <r>
      <rPr>
        <sz val="10"/>
        <color rgb="FF000000"/>
        <rFont val="Noto Sans CJK SC"/>
        <family val="2"/>
      </rPr>
      <t xml:space="preserve">处置或报废</t>
    </r>
  </si>
  <si>
    <r>
      <rPr>
        <sz val="10"/>
        <color rgb="FF000000"/>
        <rFont val="Noto Sans CJK SC"/>
        <family val="2"/>
      </rPr>
      <t xml:space="preserve">本期累计折旧增加</t>
    </r>
    <r>
      <rPr>
        <sz val="10"/>
        <color rgb="FF000000"/>
        <rFont val="Arial"/>
        <family val="0"/>
        <charset val="1"/>
      </rPr>
      <t xml:space="preserve">-</t>
    </r>
    <r>
      <rPr>
        <sz val="10"/>
        <color rgb="FF000000"/>
        <rFont val="Noto Sans CJK SC"/>
        <family val="2"/>
      </rPr>
      <t xml:space="preserve">计提</t>
    </r>
  </si>
  <si>
    <r>
      <rPr>
        <sz val="10"/>
        <color rgb="FF000000"/>
        <rFont val="Noto Sans CJK SC"/>
        <family val="2"/>
      </rPr>
      <t xml:space="preserve">本期累计折旧减少</t>
    </r>
    <r>
      <rPr>
        <sz val="10"/>
        <color rgb="FF000000"/>
        <rFont val="Arial"/>
        <family val="0"/>
        <charset val="1"/>
      </rPr>
      <t xml:space="preserve">-</t>
    </r>
    <r>
      <rPr>
        <sz val="10"/>
        <color rgb="FF000000"/>
        <rFont val="Noto Sans CJK SC"/>
        <family val="2"/>
      </rPr>
      <t xml:space="preserve">处置或报废</t>
    </r>
  </si>
  <si>
    <r>
      <rPr>
        <sz val="10"/>
        <color rgb="FF000000"/>
        <rFont val="Noto Sans CJK SC"/>
        <family val="2"/>
      </rPr>
      <t xml:space="preserve">本期减值准备</t>
    </r>
    <r>
      <rPr>
        <sz val="10"/>
        <color rgb="FF000000"/>
        <rFont val="Arial"/>
        <family val="0"/>
        <charset val="1"/>
      </rPr>
      <t xml:space="preserve">-</t>
    </r>
    <r>
      <rPr>
        <sz val="10"/>
        <color rgb="FF000000"/>
        <rFont val="Noto Sans CJK SC"/>
        <family val="2"/>
      </rPr>
      <t xml:space="preserve">计提</t>
    </r>
  </si>
  <si>
    <r>
      <rPr>
        <b val="true"/>
        <sz val="10"/>
        <color rgb="FF1F3864"/>
        <rFont val="Noto Sans CJK SC"/>
        <family val="2"/>
      </rPr>
      <t xml:space="preserve">固定资产变动表 </t>
    </r>
    <r>
      <rPr>
        <b val="true"/>
        <sz val="10"/>
        <color rgb="FF1F3864"/>
        <rFont val="Arial"/>
        <family val="0"/>
        <charset val="1"/>
      </rPr>
      <t xml:space="preserve">FY2023</t>
    </r>
    <r>
      <rPr>
        <b val="true"/>
        <sz val="10"/>
        <color rgb="FF1F3864"/>
        <rFont val="Noto Sans CJK SC"/>
        <family val="2"/>
      </rPr>
      <t xml:space="preserve">（本期发生额为</t>
    </r>
    <r>
      <rPr>
        <b val="true"/>
        <sz val="10"/>
        <color rgb="FF1F3864"/>
        <rFont val="Arial"/>
        <family val="0"/>
        <charset val="1"/>
      </rPr>
      <t xml:space="preserve">12</t>
    </r>
    <r>
      <rPr>
        <b val="true"/>
        <sz val="10"/>
        <color rgb="FF1F3864"/>
        <rFont val="Noto Sans CJK SC"/>
        <family val="2"/>
      </rPr>
      <t xml:space="preserve">个月）</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</si>
  <si>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第十节 财务报告 七、合并财务报表项目注释 固定资产</t>
    </r>
    <r>
      <rPr>
        <i val="true"/>
        <sz val="10"/>
        <color rgb="FF595959"/>
        <rFont val="Arial"/>
        <family val="0"/>
        <charset val="1"/>
      </rPr>
      <t xml:space="preserve">(1)</t>
    </r>
    <r>
      <rPr>
        <i val="true"/>
        <sz val="10"/>
        <color rgb="FF595959"/>
        <rFont val="Noto Sans CJK SC"/>
        <family val="2"/>
      </rPr>
      <t xml:space="preserve">固定资产情况</t>
    </r>
    <r>
      <rPr>
        <i val="true"/>
        <sz val="10"/>
        <color rgb="FF595959"/>
        <rFont val="Arial"/>
        <family val="0"/>
        <charset val="1"/>
      </rPr>
      <t xml:space="preserve">, pdf p.125-126</t>
    </r>
  </si>
  <si>
    <t xml:space="preserve">房屋建筑物</t>
  </si>
  <si>
    <t xml:space="preserve">运输工具</t>
  </si>
  <si>
    <t xml:space="preserve">其他工具</t>
  </si>
  <si>
    <t xml:space="preserve">合计</t>
  </si>
  <si>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期初余额</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</si>
  <si>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本期增加金额</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</si>
  <si>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购置</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</si>
  <si>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在建工程转入</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</si>
  <si>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汇率变动</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</si>
  <si>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本期减少金额</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</si>
  <si>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处置或报废</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</si>
  <si>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转入投资性房地产</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</si>
  <si>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期末余额</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</si>
  <si>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期初余额</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</si>
  <si>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本期增加金额</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</si>
  <si>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计提</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</si>
  <si>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汇率变动</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</si>
  <si>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本期减少金额</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</si>
  <si>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处置或报废</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</si>
  <si>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转入投资性房地产</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</si>
  <si>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期末余额</t>
    </r>
  </si>
  <si>
    <r>
      <rPr>
        <sz val="10"/>
        <color rgb="FF000000"/>
        <rFont val="Noto Sans CJK SC"/>
        <family val="2"/>
      </rPr>
      <t xml:space="preserve">减值准备</t>
    </r>
    <r>
      <rPr>
        <sz val="10"/>
        <color rgb="FF000000"/>
        <rFont val="Arial"/>
        <family val="0"/>
        <charset val="1"/>
      </rPr>
      <t xml:space="preserve">|</t>
    </r>
    <r>
      <rPr>
        <sz val="10"/>
        <color rgb="FF000000"/>
        <rFont val="Noto Sans CJK SC"/>
        <family val="2"/>
      </rPr>
      <t xml:space="preserve">期初余额</t>
    </r>
  </si>
  <si>
    <r>
      <rPr>
        <sz val="10"/>
        <color rgb="FF000000"/>
        <rFont val="Noto Sans CJK SC"/>
        <family val="2"/>
      </rPr>
      <t xml:space="preserve">减值准备</t>
    </r>
    <r>
      <rPr>
        <sz val="10"/>
        <color rgb="FF000000"/>
        <rFont val="Arial"/>
        <family val="0"/>
        <charset val="1"/>
      </rPr>
      <t xml:space="preserve">|</t>
    </r>
    <r>
      <rPr>
        <sz val="10"/>
        <color rgb="FF000000"/>
        <rFont val="Noto Sans CJK SC"/>
        <family val="2"/>
      </rPr>
      <t xml:space="preserve">本期增加</t>
    </r>
    <r>
      <rPr>
        <sz val="10"/>
        <color rgb="FF000000"/>
        <rFont val="Arial"/>
        <family val="0"/>
        <charset val="1"/>
      </rPr>
      <t xml:space="preserve">:</t>
    </r>
    <r>
      <rPr>
        <sz val="10"/>
        <color rgb="FF000000"/>
        <rFont val="Noto Sans CJK SC"/>
        <family val="2"/>
      </rPr>
      <t xml:space="preserve">计提</t>
    </r>
  </si>
  <si>
    <r>
      <rPr>
        <sz val="10"/>
        <color rgb="FF000000"/>
        <rFont val="Noto Sans CJK SC"/>
        <family val="2"/>
      </rPr>
      <t xml:space="preserve">减值准备</t>
    </r>
    <r>
      <rPr>
        <sz val="10"/>
        <color rgb="FF000000"/>
        <rFont val="Arial"/>
        <family val="0"/>
        <charset val="1"/>
      </rPr>
      <t xml:space="preserve">|</t>
    </r>
    <r>
      <rPr>
        <sz val="10"/>
        <color rgb="FF000000"/>
        <rFont val="Noto Sans CJK SC"/>
        <family val="2"/>
      </rPr>
      <t xml:space="preserve">本期减少</t>
    </r>
    <r>
      <rPr>
        <sz val="10"/>
        <color rgb="FF000000"/>
        <rFont val="Arial"/>
        <family val="0"/>
        <charset val="1"/>
      </rPr>
      <t xml:space="preserve">:</t>
    </r>
    <r>
      <rPr>
        <sz val="10"/>
        <color rgb="FF000000"/>
        <rFont val="Noto Sans CJK SC"/>
        <family val="2"/>
      </rPr>
      <t xml:space="preserve">处置或报废</t>
    </r>
  </si>
  <si>
    <r>
      <rPr>
        <sz val="10"/>
        <color rgb="FF000000"/>
        <rFont val="Noto Sans CJK SC"/>
        <family val="2"/>
      </rPr>
      <t xml:space="preserve">减值准备</t>
    </r>
    <r>
      <rPr>
        <sz val="10"/>
        <color rgb="FF000000"/>
        <rFont val="Arial"/>
        <family val="0"/>
        <charset val="1"/>
      </rPr>
      <t xml:space="preserve">|</t>
    </r>
    <r>
      <rPr>
        <sz val="10"/>
        <color rgb="FF000000"/>
        <rFont val="Noto Sans CJK SC"/>
        <family val="2"/>
      </rPr>
      <t xml:space="preserve">期末余额</t>
    </r>
  </si>
  <si>
    <r>
      <rPr>
        <sz val="10"/>
        <color rgb="FF000000"/>
        <rFont val="Noto Sans CJK SC"/>
        <family val="2"/>
      </rPr>
      <t xml:space="preserve">账面价值</t>
    </r>
    <r>
      <rPr>
        <sz val="10"/>
        <color rgb="FF000000"/>
        <rFont val="Arial"/>
        <family val="0"/>
        <charset val="1"/>
      </rPr>
      <t xml:space="preserve">|</t>
    </r>
    <r>
      <rPr>
        <sz val="10"/>
        <color rgb="FF000000"/>
        <rFont val="Noto Sans CJK SC"/>
        <family val="2"/>
      </rPr>
      <t xml:space="preserve">期末账面价值</t>
    </r>
  </si>
  <si>
    <r>
      <rPr>
        <sz val="10"/>
        <color rgb="FF000000"/>
        <rFont val="Noto Sans CJK SC"/>
        <family val="2"/>
      </rPr>
      <t xml:space="preserve">账面价值</t>
    </r>
    <r>
      <rPr>
        <sz val="10"/>
        <color rgb="FF000000"/>
        <rFont val="Arial"/>
        <family val="0"/>
        <charset val="1"/>
      </rPr>
      <t xml:space="preserve">|</t>
    </r>
    <r>
      <rPr>
        <sz val="10"/>
        <color rgb="FF000000"/>
        <rFont val="Noto Sans CJK SC"/>
        <family val="2"/>
      </rPr>
      <t xml:space="preserve">期初账面价值</t>
    </r>
  </si>
  <si>
    <r>
      <rPr>
        <b val="true"/>
        <sz val="10"/>
        <color rgb="FF1F3864"/>
        <rFont val="Noto Sans CJK SC"/>
        <family val="2"/>
      </rPr>
      <t xml:space="preserve">固定资产变动表 </t>
    </r>
    <r>
      <rPr>
        <b val="true"/>
        <sz val="10"/>
        <color rgb="FF1F3864"/>
        <rFont val="Arial"/>
        <family val="0"/>
        <charset val="1"/>
      </rPr>
      <t xml:space="preserve">FY2024</t>
    </r>
    <r>
      <rPr>
        <b val="true"/>
        <sz val="10"/>
        <color rgb="FF1F3864"/>
        <rFont val="Noto Sans CJK SC"/>
        <family val="2"/>
      </rPr>
      <t xml:space="preserve">（本期发生额为</t>
    </r>
    <r>
      <rPr>
        <b val="true"/>
        <sz val="10"/>
        <color rgb="FF1F3864"/>
        <rFont val="Arial"/>
        <family val="0"/>
        <charset val="1"/>
      </rPr>
      <t xml:space="preserve">12</t>
    </r>
    <r>
      <rPr>
        <b val="true"/>
        <sz val="10"/>
        <color rgb="FF1F3864"/>
        <rFont val="Noto Sans CJK SC"/>
        <family val="2"/>
      </rPr>
      <t xml:space="preserve">个月）</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</si>
  <si>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第十节 财务报告 七、合并财务报表项目注释 固定资产</t>
    </r>
    <r>
      <rPr>
        <i val="true"/>
        <sz val="10"/>
        <color rgb="FF595959"/>
        <rFont val="Arial"/>
        <family val="0"/>
        <charset val="1"/>
      </rPr>
      <t xml:space="preserve">(1)</t>
    </r>
    <r>
      <rPr>
        <i val="true"/>
        <sz val="10"/>
        <color rgb="FF595959"/>
        <rFont val="Noto Sans CJK SC"/>
        <family val="2"/>
      </rPr>
      <t xml:space="preserve">固定资产情况</t>
    </r>
    <r>
      <rPr>
        <i val="true"/>
        <sz val="10"/>
        <color rgb="FF595959"/>
        <rFont val="Arial"/>
        <family val="0"/>
        <charset val="1"/>
      </rPr>
      <t xml:space="preserve">, pdf p.138-139 (pdfplumber</t>
    </r>
    <r>
      <rPr>
        <i val="true"/>
        <sz val="10"/>
        <color rgb="FF595959"/>
        <rFont val="Noto Sans CJK SC"/>
        <family val="2"/>
      </rPr>
      <t xml:space="preserve">列错位已按行内求和校正</t>
    </r>
    <r>
      <rPr>
        <i val="true"/>
        <sz val="10"/>
        <color rgb="FF595959"/>
        <rFont val="Arial"/>
        <family val="0"/>
        <charset val="1"/>
      </rPr>
      <t xml:space="preserve">)</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</si>
  <si>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投资性房地产转入</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</si>
  <si>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汇率变动</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</si>
  <si>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投资性房地产转入</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</si>
  <si>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汇率变动</t>
    </r>
  </si>
  <si>
    <r>
      <rPr>
        <b val="true"/>
        <sz val="10"/>
        <color rgb="FF1F3864"/>
        <rFont val="Noto Sans CJK SC"/>
        <family val="2"/>
      </rPr>
      <t xml:space="preserve">固定资产变动表 </t>
    </r>
    <r>
      <rPr>
        <b val="true"/>
        <sz val="10"/>
        <color rgb="FF1F3864"/>
        <rFont val="Arial"/>
        <family val="0"/>
        <charset val="1"/>
      </rPr>
      <t xml:space="preserve">2025H1</t>
    </r>
    <r>
      <rPr>
        <b val="true"/>
        <sz val="10"/>
        <color rgb="FF1F3864"/>
        <rFont val="Noto Sans CJK SC"/>
        <family val="2"/>
      </rPr>
      <t xml:space="preserve">（本期发生额为</t>
    </r>
    <r>
      <rPr>
        <b val="true"/>
        <sz val="10"/>
        <color rgb="FF1F3864"/>
        <rFont val="Arial"/>
        <family val="0"/>
        <charset val="1"/>
      </rPr>
      <t xml:space="preserve">6</t>
    </r>
    <r>
      <rPr>
        <b val="true"/>
        <sz val="10"/>
        <color rgb="FF1F3864"/>
        <rFont val="Noto Sans CJK SC"/>
        <family val="2"/>
      </rPr>
      <t xml:space="preserve">个月）</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</si>
  <si>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第八节 财务报告 七、合并财务报表项目注释 固定资产</t>
    </r>
    <r>
      <rPr>
        <i val="true"/>
        <sz val="10"/>
        <color rgb="FF595959"/>
        <rFont val="Arial"/>
        <family val="0"/>
        <charset val="1"/>
      </rPr>
      <t xml:space="preserve">(1), pdf p.82-84 (</t>
    </r>
    <r>
      <rPr>
        <i val="true"/>
        <sz val="10"/>
        <color rgb="FF595959"/>
        <rFont val="Noto Sans CJK SC"/>
        <family val="2"/>
      </rPr>
      <t xml:space="preserve">期初账面价值 </t>
    </r>
    <r>
      <rPr>
        <i val="true"/>
        <sz val="10"/>
        <color rgb="FF595959"/>
        <rFont val="Arial"/>
        <family val="0"/>
        <charset val="1"/>
      </rPr>
      <t xml:space="preserve">row wraps onto p.84)</t>
    </r>
  </si>
  <si>
    <r>
      <rPr>
        <b val="true"/>
        <sz val="10"/>
        <color rgb="FF1F3864"/>
        <rFont val="Noto Sans CJK SC"/>
        <family val="2"/>
      </rPr>
      <t xml:space="preserve">固定资产变动表 </t>
    </r>
    <r>
      <rPr>
        <b val="true"/>
        <sz val="10"/>
        <color rgb="FF1F3864"/>
        <rFont val="Arial"/>
        <family val="0"/>
        <charset val="1"/>
      </rPr>
      <t xml:space="preserve">FY2025</t>
    </r>
    <r>
      <rPr>
        <b val="true"/>
        <sz val="10"/>
        <color rgb="FF1F3864"/>
        <rFont val="Noto Sans CJK SC"/>
        <family val="2"/>
      </rPr>
      <t xml:space="preserve">（本期发生额为</t>
    </r>
    <r>
      <rPr>
        <b val="true"/>
        <sz val="10"/>
        <color rgb="FF1F3864"/>
        <rFont val="Arial"/>
        <family val="0"/>
        <charset val="1"/>
      </rPr>
      <t xml:space="preserve">12</t>
    </r>
    <r>
      <rPr>
        <b val="true"/>
        <sz val="10"/>
        <color rgb="FF1F3864"/>
        <rFont val="Noto Sans CJK SC"/>
        <family val="2"/>
      </rPr>
      <t xml:space="preserve">个月）</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</si>
  <si>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财务报告 七、合并财务报表项目注释 </t>
    </r>
    <r>
      <rPr>
        <i val="true"/>
        <sz val="10"/>
        <color rgb="FF595959"/>
        <rFont val="Arial"/>
        <family val="0"/>
        <charset val="1"/>
      </rPr>
      <t xml:space="preserve">12</t>
    </r>
    <r>
      <rPr>
        <i val="true"/>
        <sz val="10"/>
        <color rgb="FF595959"/>
        <rFont val="Noto Sans CJK SC"/>
        <family val="2"/>
      </rPr>
      <t xml:space="preserve">、固定资产</t>
    </r>
    <r>
      <rPr>
        <i val="true"/>
        <sz val="10"/>
        <color rgb="FF595959"/>
        <rFont val="Arial"/>
        <family val="0"/>
        <charset val="1"/>
      </rPr>
      <t xml:space="preserve">(1), pdf p.120-121 (text wrapped digits confirmed with pdfplumber)</t>
    </r>
  </si>
  <si>
    <r>
      <rPr>
        <b val="true"/>
        <sz val="10"/>
        <color rgb="FF1F3864"/>
        <rFont val="Noto Sans CJK SC"/>
        <family val="2"/>
      </rPr>
      <t xml:space="preserve">固定资产变动表 </t>
    </r>
    <r>
      <rPr>
        <b val="true"/>
        <sz val="10"/>
        <color rgb="FF1F3864"/>
        <rFont val="Arial"/>
        <family val="0"/>
        <charset val="1"/>
      </rPr>
      <t xml:space="preserve">2026H1</t>
    </r>
    <r>
      <rPr>
        <b val="true"/>
        <sz val="10"/>
        <color rgb="FF1F3864"/>
        <rFont val="Noto Sans CJK SC"/>
        <family val="2"/>
      </rPr>
      <t xml:space="preserve">（本期发生额为</t>
    </r>
    <r>
      <rPr>
        <b val="true"/>
        <sz val="10"/>
        <color rgb="FF1F3864"/>
        <rFont val="Arial"/>
        <family val="0"/>
        <charset val="1"/>
      </rPr>
      <t xml:space="preserve">6</t>
    </r>
    <r>
      <rPr>
        <b val="true"/>
        <sz val="10"/>
        <color rgb="FF1F3864"/>
        <rFont val="Noto Sans CJK SC"/>
        <family val="2"/>
      </rPr>
      <t xml:space="preserve">个月）</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</si>
  <si>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 财务报告 七、合并财务报表项目注释 固定资产</t>
    </r>
    <r>
      <rPr>
        <i val="true"/>
        <sz val="10"/>
        <color rgb="FF595959"/>
        <rFont val="Arial"/>
        <family val="0"/>
        <charset val="1"/>
      </rPr>
      <t xml:space="preserve">(1), pdf p.84-85</t>
    </r>
  </si>
  <si>
    <r>
      <rPr>
        <b val="true"/>
        <sz val="10"/>
        <color rgb="FF1F3864"/>
        <rFont val="Noto Sans CJK SC"/>
        <family val="2"/>
      </rPr>
      <t xml:space="preserve">在建工程账面余额明细</t>
    </r>
    <r>
      <rPr>
        <b val="true"/>
        <sz val="10"/>
        <color rgb="FF1F3864"/>
        <rFont val="Arial"/>
        <family val="0"/>
        <charset val="1"/>
      </rPr>
      <t xml:space="preserve">(</t>
    </r>
    <r>
      <rPr>
        <b val="true"/>
        <sz val="10"/>
        <color rgb="FF1F3864"/>
        <rFont val="Noto Sans CJK SC"/>
        <family val="2"/>
      </rPr>
      <t xml:space="preserve">按项目，无减值准备</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</si>
  <si>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七、在建工程</t>
    </r>
    <r>
      <rPr>
        <i val="true"/>
        <sz val="10"/>
        <color rgb="FF595959"/>
        <rFont val="Arial"/>
        <family val="0"/>
        <charset val="1"/>
      </rPr>
      <t xml:space="preserve">(1) pdf p.127-128 (FY2022=</t>
    </r>
    <r>
      <rPr>
        <i val="true"/>
        <sz val="10"/>
        <color rgb="FF595959"/>
        <rFont val="Noto Sans CJK SC"/>
        <family val="2"/>
      </rPr>
      <t xml:space="preserve">期初</t>
    </r>
    <r>
      <rPr>
        <i val="true"/>
        <sz val="10"/>
        <color rgb="FF595959"/>
        <rFont val="Arial"/>
        <family val="0"/>
        <charset val="1"/>
      </rPr>
      <t xml:space="preserve">); FY2024</t>
    </r>
    <r>
      <rPr>
        <i val="true"/>
        <sz val="10"/>
        <color rgb="FF595959"/>
        <rFont val="Noto Sans CJK SC"/>
        <family val="2"/>
      </rPr>
      <t xml:space="preserve">年报 第十节 七、在建工程</t>
    </r>
    <r>
      <rPr>
        <i val="true"/>
        <sz val="10"/>
        <color rgb="FF595959"/>
        <rFont val="Arial"/>
        <family val="0"/>
        <charset val="1"/>
      </rPr>
      <t xml:space="preserve">(1) pdf p.140-141; 2025</t>
    </r>
    <r>
      <rPr>
        <i val="true"/>
        <sz val="10"/>
        <color rgb="FF595959"/>
        <rFont val="Noto Sans CJK SC"/>
        <family val="2"/>
      </rPr>
      <t xml:space="preserve">半年报 第八节 七、在建工程</t>
    </r>
    <r>
      <rPr>
        <i val="true"/>
        <sz val="10"/>
        <color rgb="FF595959"/>
        <rFont val="Arial"/>
        <family val="0"/>
        <charset val="1"/>
      </rPr>
      <t xml:space="preserve">(1) pdf p.84-85</t>
    </r>
  </si>
  <si>
    <t xml:space="preserve">德阳新厂区工程</t>
  </si>
  <si>
    <t xml:space="preserve">零星工程</t>
  </si>
  <si>
    <t xml:space="preserve">设备安装工程</t>
  </si>
  <si>
    <t xml:space="preserve">先进功能陶瓷及装备基地项目</t>
  </si>
  <si>
    <t xml:space="preserve">成都三环研究院</t>
  </si>
  <si>
    <t xml:space="preserve">Annex Building Construction</t>
  </si>
  <si>
    <r>
      <rPr>
        <sz val="10"/>
        <color rgb="FF000000"/>
        <rFont val="Arial"/>
        <family val="0"/>
        <charset val="1"/>
      </rPr>
      <t xml:space="preserve">Glory Winner (Thailand) Co., Ltd.</t>
    </r>
    <r>
      <rPr>
        <sz val="10"/>
        <color rgb="FF000000"/>
        <rFont val="Noto Sans CJK SC"/>
        <family val="2"/>
      </rPr>
      <t xml:space="preserve">新厂区工程</t>
    </r>
  </si>
  <si>
    <r>
      <rPr>
        <sz val="10"/>
        <color rgb="FF000000"/>
        <rFont val="Noto Sans CJK SC"/>
        <family val="2"/>
      </rPr>
      <t xml:space="preserve">苏州三环科技有限公司华东区</t>
    </r>
    <r>
      <rPr>
        <sz val="10"/>
        <color rgb="FF000000"/>
        <rFont val="Arial"/>
        <family val="0"/>
        <charset val="1"/>
      </rPr>
      <t xml:space="preserve">(</t>
    </r>
    <r>
      <rPr>
        <sz val="10"/>
        <color rgb="FF000000"/>
        <rFont val="Noto Sans CJK SC"/>
        <family val="2"/>
      </rPr>
      <t xml:space="preserve">研发制造</t>
    </r>
    <r>
      <rPr>
        <sz val="10"/>
        <color rgb="FF000000"/>
        <rFont val="Arial"/>
        <family val="0"/>
        <charset val="1"/>
      </rPr>
      <t xml:space="preserve">)</t>
    </r>
    <r>
      <rPr>
        <sz val="10"/>
        <color rgb="FF000000"/>
        <rFont val="Noto Sans CJK SC"/>
        <family val="2"/>
      </rPr>
      <t xml:space="preserve">总部项目</t>
    </r>
  </si>
  <si>
    <t xml:space="preserve">德阳新厂区扩建工程</t>
  </si>
  <si>
    <r>
      <rPr>
        <b val="true"/>
        <sz val="10"/>
        <color rgb="FF1F3864"/>
        <rFont val="Noto Sans CJK SC"/>
        <family val="2"/>
      </rPr>
      <t xml:space="preserve">在建工程账面余额</t>
    </r>
    <r>
      <rPr>
        <b val="true"/>
        <sz val="10"/>
        <color rgb="FF1F3864"/>
        <rFont val="Arial"/>
        <family val="0"/>
        <charset val="1"/>
      </rPr>
      <t xml:space="preserve">(</t>
    </r>
    <r>
      <rPr>
        <b val="true"/>
        <sz val="10"/>
        <color rgb="FF1F3864"/>
        <rFont val="Noto Sans CJK SC"/>
        <family val="2"/>
      </rPr>
      <t xml:space="preserve">按类别，无减值准备</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</si>
  <si>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七、</t>
    </r>
    <r>
      <rPr>
        <i val="true"/>
        <sz val="10"/>
        <color rgb="FF595959"/>
        <rFont val="Arial"/>
        <family val="0"/>
        <charset val="1"/>
      </rPr>
      <t xml:space="preserve">13</t>
    </r>
    <r>
      <rPr>
        <i val="true"/>
        <sz val="10"/>
        <color rgb="FF595959"/>
        <rFont val="Noto Sans CJK SC"/>
        <family val="2"/>
      </rPr>
      <t xml:space="preserve">、在建工程</t>
    </r>
    <r>
      <rPr>
        <i val="true"/>
        <sz val="10"/>
        <color rgb="FF595959"/>
        <rFont val="Arial"/>
        <family val="0"/>
        <charset val="1"/>
      </rPr>
      <t xml:space="preserve">(1) pdf p.122 (FY2024=</t>
    </r>
    <r>
      <rPr>
        <i val="true"/>
        <sz val="10"/>
        <color rgb="FF595959"/>
        <rFont val="Noto Sans CJK SC"/>
        <family val="2"/>
      </rPr>
      <t xml:space="preserve">期初</t>
    </r>
    <r>
      <rPr>
        <i val="true"/>
        <sz val="10"/>
        <color rgb="FF595959"/>
        <rFont val="Arial"/>
        <family val="0"/>
        <charset val="1"/>
      </rPr>
      <t xml:space="preserve">, re-presented by category); 2026</t>
    </r>
    <r>
      <rPr>
        <i val="true"/>
        <sz val="10"/>
        <color rgb="FF595959"/>
        <rFont val="Noto Sans CJK SC"/>
        <family val="2"/>
      </rPr>
      <t xml:space="preserve">半年报 第八节 七、在建工程</t>
    </r>
    <r>
      <rPr>
        <i val="true"/>
        <sz val="10"/>
        <color rgb="FF595959"/>
        <rFont val="Arial"/>
        <family val="0"/>
        <charset val="1"/>
      </rPr>
      <t xml:space="preserve">(1) pdf p.86</t>
    </r>
  </si>
  <si>
    <t xml:space="preserve">建筑工程</t>
  </si>
  <si>
    <r>
      <rPr>
        <b val="true"/>
        <sz val="10"/>
        <color rgb="FF1F3864"/>
        <rFont val="Noto Sans CJK SC"/>
        <family val="2"/>
      </rPr>
      <t xml:space="preserve">重要在建工程项目本期变动情况 </t>
    </r>
    <r>
      <rPr>
        <b val="true"/>
        <sz val="10"/>
        <color rgb="FF1F3864"/>
        <rFont val="Arial"/>
        <family val="0"/>
        <charset val="1"/>
      </rPr>
      <t xml:space="preserve">FY2023</t>
    </r>
    <r>
      <rPr>
        <b val="true"/>
        <sz val="10"/>
        <color rgb="FF1F3864"/>
        <rFont val="Noto Sans CJK SC"/>
        <family val="2"/>
      </rPr>
      <t xml:space="preserve">（方括号内为资金来源；利息资本化各栏均为空）</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</si>
  <si>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t>
    </r>
    <r>
      <rPr>
        <i val="true"/>
        <sz val="10"/>
        <color rgb="FF595959"/>
        <rFont val="Noto Sans CJK SC"/>
        <family val="2"/>
      </rPr>
      <t xml:space="preserve">比例列为</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FY2023</t>
    </r>
    <r>
      <rPr>
        <i val="true"/>
        <sz val="10"/>
        <color rgb="FF595959"/>
        <rFont val="Noto Sans CJK SC"/>
        <family val="2"/>
      </rPr>
      <t xml:space="preserve">年报 第十节 七、在建工程</t>
    </r>
    <r>
      <rPr>
        <i val="true"/>
        <sz val="10"/>
        <color rgb="FF595959"/>
        <rFont val="Arial"/>
        <family val="0"/>
        <charset val="1"/>
      </rPr>
      <t xml:space="preserve">(2) pdf p.128-129</t>
    </r>
  </si>
  <si>
    <t xml:space="preserve">预算数</t>
  </si>
  <si>
    <t xml:space="preserve">本期增加金额</t>
  </si>
  <si>
    <t xml:space="preserve">本期转入固定资产金额</t>
  </si>
  <si>
    <t xml:space="preserve">本期其他减少金额</t>
  </si>
  <si>
    <r>
      <rPr>
        <b val="true"/>
        <sz val="10"/>
        <color rgb="FFFFFFFF"/>
        <rFont val="Noto Sans CJK SC"/>
        <family val="2"/>
      </rPr>
      <t xml:space="preserve">工程累计投入占预算比例</t>
    </r>
    <r>
      <rPr>
        <b val="true"/>
        <sz val="10"/>
        <color rgb="FFFFFFFF"/>
        <rFont val="Arial"/>
        <family val="0"/>
        <charset val="1"/>
      </rPr>
      <t xml:space="preserve">_pct</t>
    </r>
  </si>
  <si>
    <r>
      <rPr>
        <b val="true"/>
        <sz val="10"/>
        <color rgb="FFFFFFFF"/>
        <rFont val="Noto Sans CJK SC"/>
        <family val="2"/>
      </rPr>
      <t xml:space="preserve">工程进度</t>
    </r>
    <r>
      <rPr>
        <b val="true"/>
        <sz val="10"/>
        <color rgb="FFFFFFFF"/>
        <rFont val="Arial"/>
        <family val="0"/>
        <charset val="1"/>
      </rPr>
      <t xml:space="preserve">_pct</t>
    </r>
  </si>
  <si>
    <r>
      <rPr>
        <sz val="10"/>
        <color rgb="FF000000"/>
        <rFont val="Noto Sans CJK SC"/>
        <family val="2"/>
      </rPr>
      <t xml:space="preserve">德阳新厂区工程 </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</si>
  <si>
    <r>
      <rPr>
        <sz val="10"/>
        <color rgb="FF000000"/>
        <rFont val="Noto Sans CJK SC"/>
        <family val="2"/>
      </rPr>
      <t xml:space="preserve">先进功能陶瓷及装备基地项目 </t>
    </r>
    <r>
      <rPr>
        <sz val="10"/>
        <color rgb="FF000000"/>
        <rFont val="Arial"/>
        <family val="0"/>
        <charset val="1"/>
      </rPr>
      <t xml:space="preserve">[</t>
    </r>
    <r>
      <rPr>
        <sz val="10"/>
        <color rgb="FF000000"/>
        <rFont val="Noto Sans CJK SC"/>
        <family val="2"/>
      </rPr>
      <t xml:space="preserve">募集资金、自有资金</t>
    </r>
    <r>
      <rPr>
        <sz val="10"/>
        <color rgb="FF000000"/>
        <rFont val="Arial"/>
        <family val="0"/>
        <charset val="1"/>
      </rPr>
      <t xml:space="preserve">]</t>
    </r>
  </si>
  <si>
    <r>
      <rPr>
        <sz val="10"/>
        <color rgb="FF000000"/>
        <rFont val="Arial"/>
        <family val="0"/>
        <charset val="1"/>
      </rPr>
      <t xml:space="preserve">Glory Winner (Thailand) Co., Ltd.</t>
    </r>
    <r>
      <rPr>
        <sz val="10"/>
        <color rgb="FF000000"/>
        <rFont val="Noto Sans CJK SC"/>
        <family val="2"/>
      </rPr>
      <t xml:space="preserve">新厂区工程 </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</si>
  <si>
    <r>
      <rPr>
        <sz val="10"/>
        <color rgb="FF000000"/>
        <rFont val="Noto Sans CJK SC"/>
        <family val="2"/>
      </rPr>
      <t xml:space="preserve">苏州三环科技有限公司华东区研发制造总部项目 </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</si>
  <si>
    <r>
      <rPr>
        <sz val="10"/>
        <color rgb="FF000000"/>
        <rFont val="Noto Sans CJK SC"/>
        <family val="2"/>
      </rPr>
      <t xml:space="preserve">成都三环研究院 </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</si>
  <si>
    <r>
      <rPr>
        <b val="true"/>
        <sz val="10"/>
        <color rgb="FF1F3864"/>
        <rFont val="Noto Sans CJK SC"/>
        <family val="2"/>
      </rPr>
      <t xml:space="preserve">重要在建工程项目本期变动情况 </t>
    </r>
    <r>
      <rPr>
        <b val="true"/>
        <sz val="10"/>
        <color rgb="FF1F3864"/>
        <rFont val="Arial"/>
        <family val="0"/>
        <charset val="1"/>
      </rPr>
      <t xml:space="preserve">FY2024</t>
    </r>
    <r>
      <rPr>
        <b val="true"/>
        <sz val="10"/>
        <color rgb="FF1F3864"/>
        <rFont val="Noto Sans CJK SC"/>
        <family val="2"/>
      </rPr>
      <t xml:space="preserve">（方括号内为资金来源；利息资本化各栏均为空）</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</si>
  <si>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t>
    </r>
    <r>
      <rPr>
        <i val="true"/>
        <sz val="10"/>
        <color rgb="FF595959"/>
        <rFont val="Noto Sans CJK SC"/>
        <family val="2"/>
      </rPr>
      <t xml:space="preserve">比例列为</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FY2024</t>
    </r>
    <r>
      <rPr>
        <i val="true"/>
        <sz val="10"/>
        <color rgb="FF595959"/>
        <rFont val="Noto Sans CJK SC"/>
        <family val="2"/>
      </rPr>
      <t xml:space="preserve">年报 第十节 七、在建工程</t>
    </r>
    <r>
      <rPr>
        <i val="true"/>
        <sz val="10"/>
        <color rgb="FF595959"/>
        <rFont val="Arial"/>
        <family val="0"/>
        <charset val="1"/>
      </rPr>
      <t xml:space="preserve">(2) pdf p.141-142 (Glory Winner row wraps across pages; digits confirmed with pdftotext)</t>
    </r>
  </si>
  <si>
    <r>
      <rPr>
        <sz val="10"/>
        <color rgb="FF000000"/>
        <rFont val="Noto Sans CJK SC"/>
        <family val="2"/>
      </rPr>
      <t xml:space="preserve">苏州三环科技有限公司华东区总部项目 </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</si>
  <si>
    <r>
      <rPr>
        <sz val="10"/>
        <color rgb="FF000000"/>
        <rFont val="Noto Sans CJK SC"/>
        <family val="2"/>
      </rPr>
      <t xml:space="preserve">德阳新厂区扩建工程 </t>
    </r>
    <r>
      <rPr>
        <sz val="10"/>
        <color rgb="FF000000"/>
        <rFont val="Arial"/>
        <family val="0"/>
        <charset val="1"/>
      </rPr>
      <t xml:space="preserve">[</t>
    </r>
    <r>
      <rPr>
        <sz val="10"/>
        <color rgb="FF000000"/>
        <rFont val="Noto Sans CJK SC"/>
        <family val="2"/>
      </rPr>
      <t xml:space="preserve">募集资金、自有资金</t>
    </r>
    <r>
      <rPr>
        <sz val="10"/>
        <color rgb="FF000000"/>
        <rFont val="Arial"/>
        <family val="0"/>
        <charset val="1"/>
      </rPr>
      <t xml:space="preserve">]</t>
    </r>
  </si>
  <si>
    <r>
      <rPr>
        <b val="true"/>
        <sz val="10"/>
        <color rgb="FF1F3864"/>
        <rFont val="Noto Sans CJK SC"/>
        <family val="2"/>
      </rPr>
      <t xml:space="preserve">重要在建工程项目本期变动情况 </t>
    </r>
    <r>
      <rPr>
        <b val="true"/>
        <sz val="10"/>
        <color rgb="FF1F3864"/>
        <rFont val="Arial"/>
        <family val="0"/>
        <charset val="1"/>
      </rPr>
      <t xml:space="preserve">2025H1</t>
    </r>
    <r>
      <rPr>
        <b val="true"/>
        <sz val="10"/>
        <color rgb="FF1F3864"/>
        <rFont val="Noto Sans CJK SC"/>
        <family val="2"/>
      </rPr>
      <t xml:space="preserve">（方括号内为资金来源；利息资本化各栏均为空）</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</si>
  <si>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t>
    </r>
    <r>
      <rPr>
        <i val="true"/>
        <sz val="10"/>
        <color rgb="FF595959"/>
        <rFont val="Noto Sans CJK SC"/>
        <family val="2"/>
      </rPr>
      <t xml:space="preserve">比例列为</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半年报 第八节 七、在建工程</t>
    </r>
    <r>
      <rPr>
        <i val="true"/>
        <sz val="10"/>
        <color rgb="FF595959"/>
        <rFont val="Arial"/>
        <family val="0"/>
        <charset val="1"/>
      </rPr>
      <t xml:space="preserve">(2) pdf p.85-86 (Glory Winner row wraps; confirmed with pdftotext)</t>
    </r>
  </si>
  <si>
    <r>
      <rPr>
        <b val="true"/>
        <sz val="10"/>
        <color rgb="FF1F3864"/>
        <rFont val="Noto Sans CJK SC"/>
        <family val="2"/>
      </rPr>
      <t xml:space="preserve">重要在建工程项目本期变动情况 </t>
    </r>
    <r>
      <rPr>
        <b val="true"/>
        <sz val="10"/>
        <color rgb="FF1F3864"/>
        <rFont val="Arial"/>
        <family val="0"/>
        <charset val="1"/>
      </rPr>
      <t xml:space="preserve">FY2025</t>
    </r>
    <r>
      <rPr>
        <b val="true"/>
        <sz val="10"/>
        <color rgb="FF1F3864"/>
        <rFont val="Noto Sans CJK SC"/>
        <family val="2"/>
      </rPr>
      <t xml:space="preserve">（方括号内为资金来源；利息资本化各栏均为空）</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</si>
  <si>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t>
    </r>
    <r>
      <rPr>
        <i val="true"/>
        <sz val="10"/>
        <color rgb="FF595959"/>
        <rFont val="Noto Sans CJK SC"/>
        <family val="2"/>
      </rPr>
      <t xml:space="preserve">比例列为</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七、</t>
    </r>
    <r>
      <rPr>
        <i val="true"/>
        <sz val="10"/>
        <color rgb="FF595959"/>
        <rFont val="Arial"/>
        <family val="0"/>
        <charset val="1"/>
      </rPr>
      <t xml:space="preserve">13</t>
    </r>
    <r>
      <rPr>
        <i val="true"/>
        <sz val="10"/>
        <color rgb="FF595959"/>
        <rFont val="Noto Sans CJK SC"/>
        <family val="2"/>
      </rPr>
      <t xml:space="preserve">、在建工程</t>
    </r>
    <r>
      <rPr>
        <i val="true"/>
        <sz val="10"/>
        <color rgb="FF595959"/>
        <rFont val="Arial"/>
        <family val="0"/>
        <charset val="1"/>
      </rPr>
      <t xml:space="preserve">(2) pdf p.122 (text badly wrapped; values taken from pdfplumber table)</t>
    </r>
  </si>
  <si>
    <r>
      <rPr>
        <sz val="10"/>
        <color rgb="FF000000"/>
        <rFont val="Noto Sans CJK SC"/>
        <family val="2"/>
      </rPr>
      <t xml:space="preserve">德阳新厂区扩建工程 </t>
    </r>
    <r>
      <rPr>
        <sz val="10"/>
        <color rgb="FF000000"/>
        <rFont val="Arial"/>
        <family val="0"/>
        <charset val="1"/>
      </rPr>
      <t xml:space="preserve">[</t>
    </r>
    <r>
      <rPr>
        <sz val="10"/>
        <color rgb="FF000000"/>
        <rFont val="Noto Sans CJK SC"/>
        <family val="2"/>
      </rPr>
      <t xml:space="preserve">自有资金、募集资金</t>
    </r>
    <r>
      <rPr>
        <sz val="10"/>
        <color rgb="FF000000"/>
        <rFont val="Arial"/>
        <family val="0"/>
        <charset val="1"/>
      </rPr>
      <t xml:space="preserve">]</t>
    </r>
  </si>
  <si>
    <r>
      <rPr>
        <b val="true"/>
        <sz val="10"/>
        <color rgb="FF1F3864"/>
        <rFont val="Noto Sans CJK SC"/>
        <family val="2"/>
      </rPr>
      <t xml:space="preserve">重要在建工程项目本期变动情况 </t>
    </r>
    <r>
      <rPr>
        <b val="true"/>
        <sz val="10"/>
        <color rgb="FF1F3864"/>
        <rFont val="Arial"/>
        <family val="0"/>
        <charset val="1"/>
      </rPr>
      <t xml:space="preserve">2026H1</t>
    </r>
    <r>
      <rPr>
        <b val="true"/>
        <sz val="10"/>
        <color rgb="FF1F3864"/>
        <rFont val="Noto Sans CJK SC"/>
        <family val="2"/>
      </rPr>
      <t xml:space="preserve">（方括号内为资金来源；利息资本化各栏均为空）</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</si>
  <si>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t>
    </r>
    <r>
      <rPr>
        <i val="true"/>
        <sz val="10"/>
        <color rgb="FF595959"/>
        <rFont val="Noto Sans CJK SC"/>
        <family val="2"/>
      </rPr>
      <t xml:space="preserve">比例列为</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2026</t>
    </r>
    <r>
      <rPr>
        <i val="true"/>
        <sz val="10"/>
        <color rgb="FF595959"/>
        <rFont val="Noto Sans CJK SC"/>
        <family val="2"/>
      </rPr>
      <t xml:space="preserve">半年报 第八节 七、在建工程</t>
    </r>
    <r>
      <rPr>
        <i val="true"/>
        <sz val="10"/>
        <color rgb="FF595959"/>
        <rFont val="Arial"/>
        <family val="0"/>
        <charset val="1"/>
      </rPr>
      <t xml:space="preserve">(2) pdf p.86</t>
    </r>
  </si>
  <si>
    <r>
      <rPr>
        <sz val="10"/>
        <color rgb="FF000000"/>
        <rFont val="Noto Sans CJK SC"/>
        <family val="2"/>
      </rPr>
      <t xml:space="preserve">新厂区建设工程 </t>
    </r>
    <r>
      <rPr>
        <sz val="10"/>
        <color rgb="FF000000"/>
        <rFont val="Arial"/>
        <family val="0"/>
        <charset val="1"/>
      </rPr>
      <t xml:space="preserve">[</t>
    </r>
    <r>
      <rPr>
        <sz val="10"/>
        <color rgb="FF000000"/>
        <rFont val="Noto Sans CJK SC"/>
        <family val="2"/>
      </rPr>
      <t xml:space="preserve">募集资金、自有资金</t>
    </r>
    <r>
      <rPr>
        <sz val="10"/>
        <color rgb="FF000000"/>
        <rFont val="Arial"/>
        <family val="0"/>
        <charset val="1"/>
      </rPr>
      <t xml:space="preserve">]</t>
    </r>
  </si>
  <si>
    <r>
      <rPr>
        <b val="true"/>
        <sz val="10"/>
        <color rgb="FF1F3864"/>
        <rFont val="Noto Sans CJK SC"/>
        <family val="2"/>
      </rPr>
      <t xml:space="preserve">无形资产变动表 </t>
    </r>
    <r>
      <rPr>
        <b val="true"/>
        <sz val="10"/>
        <color rgb="FF1F3864"/>
        <rFont val="Arial"/>
        <family val="0"/>
        <charset val="1"/>
      </rPr>
      <t xml:space="preserve">FY2023</t>
    </r>
    <r>
      <rPr>
        <b val="true"/>
        <sz val="10"/>
        <color rgb="FF1F3864"/>
        <rFont val="Noto Sans CJK SC"/>
        <family val="2"/>
      </rPr>
      <t xml:space="preserve">（无减值准备；非专利技术列全空）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</si>
  <si>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七、无形资产</t>
    </r>
    <r>
      <rPr>
        <i val="true"/>
        <sz val="10"/>
        <color rgb="FF595959"/>
        <rFont val="Arial"/>
        <family val="0"/>
        <charset val="1"/>
      </rPr>
      <t xml:space="preserve">(1) pdf p.130-131</t>
    </r>
  </si>
  <si>
    <t xml:space="preserve">专利权</t>
  </si>
  <si>
    <t xml:space="preserve">非专利技术</t>
  </si>
  <si>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其他</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</si>
  <si>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期初余额</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</si>
  <si>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本期增加金额</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</si>
  <si>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计提</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</si>
  <si>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汇率变动</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</si>
  <si>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本期减少金额</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</si>
  <si>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期末余额</t>
    </r>
  </si>
  <si>
    <r>
      <rPr>
        <b val="true"/>
        <sz val="10"/>
        <color rgb="FF1F3864"/>
        <rFont val="Noto Sans CJK SC"/>
        <family val="2"/>
      </rPr>
      <t xml:space="preserve">无形资产变动表 </t>
    </r>
    <r>
      <rPr>
        <b val="true"/>
        <sz val="10"/>
        <color rgb="FF1F3864"/>
        <rFont val="Arial"/>
        <family val="0"/>
        <charset val="1"/>
      </rPr>
      <t xml:space="preserve">FY2024</t>
    </r>
    <r>
      <rPr>
        <b val="true"/>
        <sz val="10"/>
        <color rgb="FF1F3864"/>
        <rFont val="Noto Sans CJK SC"/>
        <family val="2"/>
      </rPr>
      <t xml:space="preserve">（无减值准备；非专利技术列全空）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</si>
  <si>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FY2024</t>
    </r>
    <r>
      <rPr>
        <i val="true"/>
        <sz val="10"/>
        <color rgb="FF595959"/>
        <rFont val="Noto Sans CJK SC"/>
        <family val="2"/>
      </rPr>
      <t xml:space="preserve">年报 第十节 七、无形资产</t>
    </r>
    <r>
      <rPr>
        <i val="true"/>
        <sz val="10"/>
        <color rgb="FF595959"/>
        <rFont val="Arial"/>
        <family val="0"/>
        <charset val="1"/>
      </rPr>
      <t xml:space="preserve">(1) pdf p.143-144</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</si>
  <si>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汇率变动</t>
    </r>
  </si>
  <si>
    <r>
      <rPr>
        <b val="true"/>
        <sz val="10"/>
        <color rgb="FF1F3864"/>
        <rFont val="Noto Sans CJK SC"/>
        <family val="2"/>
      </rPr>
      <t xml:space="preserve">无形资产变动表 </t>
    </r>
    <r>
      <rPr>
        <b val="true"/>
        <sz val="10"/>
        <color rgb="FF1F3864"/>
        <rFont val="Arial"/>
        <family val="0"/>
        <charset val="1"/>
      </rPr>
      <t xml:space="preserve">2025H1</t>
    </r>
    <r>
      <rPr>
        <b val="true"/>
        <sz val="10"/>
        <color rgb="FF1F3864"/>
        <rFont val="Noto Sans CJK SC"/>
        <family val="2"/>
      </rPr>
      <t xml:space="preserve">（无减值准备；非专利技术列全空）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</si>
  <si>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半年报 第八节 七、无形资产</t>
    </r>
    <r>
      <rPr>
        <i val="true"/>
        <sz val="10"/>
        <color rgb="FF595959"/>
        <rFont val="Arial"/>
        <family val="0"/>
        <charset val="1"/>
      </rPr>
      <t xml:space="preserve">(1) pdf p.87-88</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</si>
  <si>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其他</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</si>
  <si>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处置</t>
    </r>
  </si>
  <si>
    <r>
      <rPr>
        <sz val="10"/>
        <color rgb="FF000000"/>
        <rFont val="Noto Sans CJK SC"/>
        <family val="2"/>
      </rPr>
      <t xml:space="preserve">累计摊销</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处置</t>
    </r>
  </si>
  <si>
    <r>
      <rPr>
        <b val="true"/>
        <sz val="10"/>
        <color rgb="FF1F3864"/>
        <rFont val="Noto Sans CJK SC"/>
        <family val="2"/>
      </rPr>
      <t xml:space="preserve">无形资产变动表 </t>
    </r>
    <r>
      <rPr>
        <b val="true"/>
        <sz val="10"/>
        <color rgb="FF1F3864"/>
        <rFont val="Arial"/>
        <family val="0"/>
        <charset val="1"/>
      </rPr>
      <t xml:space="preserve">FY2025</t>
    </r>
    <r>
      <rPr>
        <b val="true"/>
        <sz val="10"/>
        <color rgb="FF1F3864"/>
        <rFont val="Noto Sans CJK SC"/>
        <family val="2"/>
      </rPr>
      <t xml:space="preserve">（无减值准备；非专利技术列全空）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</si>
  <si>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七、</t>
    </r>
    <r>
      <rPr>
        <i val="true"/>
        <sz val="10"/>
        <color rgb="FF595959"/>
        <rFont val="Arial"/>
        <family val="0"/>
        <charset val="1"/>
      </rPr>
      <t xml:space="preserve">15</t>
    </r>
    <r>
      <rPr>
        <i val="true"/>
        <sz val="10"/>
        <color rgb="FF595959"/>
        <rFont val="Noto Sans CJK SC"/>
        <family val="2"/>
      </rPr>
      <t xml:space="preserve">、无形资产</t>
    </r>
    <r>
      <rPr>
        <i val="true"/>
        <sz val="10"/>
        <color rgb="FF595959"/>
        <rFont val="Arial"/>
        <family val="0"/>
        <charset val="1"/>
      </rPr>
      <t xml:space="preserve">(1) pdf p.123-124</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</si>
  <si>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契税</t>
    </r>
    <r>
      <rPr>
        <sz val="10"/>
        <color rgb="FF000000"/>
        <rFont val="Arial"/>
        <family val="0"/>
        <charset val="1"/>
      </rPr>
      <t xml:space="preserve">)</t>
    </r>
  </si>
  <si>
    <r>
      <rPr>
        <b val="true"/>
        <sz val="10"/>
        <color rgb="FF1F3864"/>
        <rFont val="Noto Sans CJK SC"/>
        <family val="2"/>
      </rPr>
      <t xml:space="preserve">无形资产变动表 </t>
    </r>
    <r>
      <rPr>
        <b val="true"/>
        <sz val="10"/>
        <color rgb="FF1F3864"/>
        <rFont val="Arial"/>
        <family val="0"/>
        <charset val="1"/>
      </rPr>
      <t xml:space="preserve">2026H1</t>
    </r>
    <r>
      <rPr>
        <b val="true"/>
        <sz val="10"/>
        <color rgb="FF1F3864"/>
        <rFont val="Noto Sans CJK SC"/>
        <family val="2"/>
      </rPr>
      <t xml:space="preserve">（无减值准备；非专利技术列全空）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</si>
  <si>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半年报 第八节 七、无形资产</t>
    </r>
    <r>
      <rPr>
        <i val="true"/>
        <sz val="10"/>
        <color rgb="FF595959"/>
        <rFont val="Arial"/>
        <family val="0"/>
        <charset val="1"/>
      </rPr>
      <t xml:space="preserve">(1) pdf p.88-89</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</si>
  <si>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类别变更增加及其他</t>
    </r>
  </si>
  <si>
    <r>
      <rPr>
        <b val="true"/>
        <sz val="10"/>
        <color rgb="FF1F3864"/>
        <rFont val="Noto Sans CJK SC"/>
        <family val="2"/>
      </rPr>
      <t xml:space="preserve">使用权资产变动表 </t>
    </r>
    <r>
      <rPr>
        <b val="true"/>
        <sz val="10"/>
        <color rgb="FF1F3864"/>
        <rFont val="Arial"/>
        <family val="0"/>
        <charset val="1"/>
      </rPr>
      <t xml:space="preserve">FY2023</t>
    </r>
    <r>
      <rPr>
        <b val="true"/>
        <sz val="10"/>
        <color rgb="FF1F3864"/>
        <rFont val="Noto Sans CJK SC"/>
        <family val="2"/>
      </rPr>
      <t xml:space="preserve">（无减值准备；</t>
    </r>
    <r>
      <rPr>
        <b val="true"/>
        <sz val="10"/>
        <color rgb="FF1F3864"/>
        <rFont val="Arial"/>
        <family val="0"/>
        <charset val="1"/>
      </rPr>
      <t xml:space="preserve">FY2023</t>
    </r>
    <r>
      <rPr>
        <b val="true"/>
        <sz val="10"/>
        <color rgb="FF1F3864"/>
        <rFont val="Noto Sans CJK SC"/>
        <family val="2"/>
      </rPr>
      <t xml:space="preserve">年报第三列称运输工具）</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</si>
  <si>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七、使用权资产</t>
    </r>
    <r>
      <rPr>
        <i val="true"/>
        <sz val="10"/>
        <color rgb="FF595959"/>
        <rFont val="Arial"/>
        <family val="0"/>
        <charset val="1"/>
      </rPr>
      <t xml:space="preserve">(1) pdf p.129-130</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</si>
  <si>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租入</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</si>
  <si>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合同变更</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</si>
  <si>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合同变更</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</si>
  <si>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类别调整</t>
    </r>
    <r>
      <rPr>
        <sz val="10"/>
        <color rgb="FF000000"/>
        <rFont val="Arial"/>
        <family val="0"/>
        <charset val="1"/>
      </rPr>
      <t xml:space="preserve">)</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</si>
  <si>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处置</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</si>
  <si>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合同变更</t>
    </r>
  </si>
  <si>
    <r>
      <rPr>
        <b val="true"/>
        <sz val="10"/>
        <color rgb="FF1F3864"/>
        <rFont val="Noto Sans CJK SC"/>
        <family val="2"/>
      </rPr>
      <t xml:space="preserve">使用权资产变动表 </t>
    </r>
    <r>
      <rPr>
        <b val="true"/>
        <sz val="10"/>
        <color rgb="FF1F3864"/>
        <rFont val="Arial"/>
        <family val="0"/>
        <charset val="1"/>
      </rPr>
      <t xml:space="preserve">FY2024</t>
    </r>
    <r>
      <rPr>
        <b val="true"/>
        <sz val="10"/>
        <color rgb="FF1F3864"/>
        <rFont val="Noto Sans CJK SC"/>
        <family val="2"/>
      </rPr>
      <t xml:space="preserve">（无减值准备）</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</si>
  <si>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FY2024</t>
    </r>
    <r>
      <rPr>
        <i val="true"/>
        <sz val="10"/>
        <color rgb="FF595959"/>
        <rFont val="Noto Sans CJK SC"/>
        <family val="2"/>
      </rPr>
      <t xml:space="preserve">年报 第十节 七、使用权资产</t>
    </r>
    <r>
      <rPr>
        <i val="true"/>
        <sz val="10"/>
        <color rgb="FF595959"/>
        <rFont val="Arial"/>
        <family val="0"/>
        <charset val="1"/>
      </rPr>
      <t xml:space="preserve">(1) pdf p.142-143</t>
    </r>
  </si>
  <si>
    <r>
      <rPr>
        <b val="true"/>
        <sz val="10"/>
        <color rgb="FF1F3864"/>
        <rFont val="Noto Sans CJK SC"/>
        <family val="2"/>
      </rPr>
      <t xml:space="preserve">使用权资产变动表 </t>
    </r>
    <r>
      <rPr>
        <b val="true"/>
        <sz val="10"/>
        <color rgb="FF1F3864"/>
        <rFont val="Arial"/>
        <family val="0"/>
        <charset val="1"/>
      </rPr>
      <t xml:space="preserve">2025H1</t>
    </r>
    <r>
      <rPr>
        <b val="true"/>
        <sz val="10"/>
        <color rgb="FF1F3864"/>
        <rFont val="Noto Sans CJK SC"/>
        <family val="2"/>
      </rPr>
      <t xml:space="preserve">（无减值准备）</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</si>
  <si>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半年报 第八节 七、使用权资产</t>
    </r>
    <r>
      <rPr>
        <i val="true"/>
        <sz val="10"/>
        <color rgb="FF595959"/>
        <rFont val="Arial"/>
        <family val="0"/>
        <charset val="1"/>
      </rPr>
      <t xml:space="preserve">(1) pdf p.86-87</t>
    </r>
  </si>
  <si>
    <r>
      <rPr>
        <b val="true"/>
        <sz val="10"/>
        <color rgb="FF1F3864"/>
        <rFont val="Noto Sans CJK SC"/>
        <family val="2"/>
      </rPr>
      <t xml:space="preserve">使用权资产变动表 </t>
    </r>
    <r>
      <rPr>
        <b val="true"/>
        <sz val="10"/>
        <color rgb="FF1F3864"/>
        <rFont val="Arial"/>
        <family val="0"/>
        <charset val="1"/>
      </rPr>
      <t xml:space="preserve">FY2025</t>
    </r>
    <r>
      <rPr>
        <b val="true"/>
        <sz val="10"/>
        <color rgb="FF1F3864"/>
        <rFont val="Noto Sans CJK SC"/>
        <family val="2"/>
      </rPr>
      <t xml:space="preserve">（无减值准备）</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</si>
  <si>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七、</t>
    </r>
    <r>
      <rPr>
        <i val="true"/>
        <sz val="10"/>
        <color rgb="FF595959"/>
        <rFont val="Arial"/>
        <family val="0"/>
        <charset val="1"/>
      </rPr>
      <t xml:space="preserve">14</t>
    </r>
    <r>
      <rPr>
        <i val="true"/>
        <sz val="10"/>
        <color rgb="FF595959"/>
        <rFont val="Noto Sans CJK SC"/>
        <family val="2"/>
      </rPr>
      <t xml:space="preserve">、使用权资产</t>
    </r>
    <r>
      <rPr>
        <i val="true"/>
        <sz val="10"/>
        <color rgb="FF595959"/>
        <rFont val="Arial"/>
        <family val="0"/>
        <charset val="1"/>
      </rPr>
      <t xml:space="preserve">(1) pdf p.123</t>
    </r>
  </si>
  <si>
    <r>
      <rPr>
        <b val="true"/>
        <sz val="10"/>
        <color rgb="FF1F3864"/>
        <rFont val="Noto Sans CJK SC"/>
        <family val="2"/>
      </rPr>
      <t xml:space="preserve">使用权资产变动表 </t>
    </r>
    <r>
      <rPr>
        <b val="true"/>
        <sz val="10"/>
        <color rgb="FF1F3864"/>
        <rFont val="Arial"/>
        <family val="0"/>
        <charset val="1"/>
      </rPr>
      <t xml:space="preserve">2026H1</t>
    </r>
    <r>
      <rPr>
        <b val="true"/>
        <sz val="10"/>
        <color rgb="FF1F3864"/>
        <rFont val="Noto Sans CJK SC"/>
        <family val="2"/>
      </rPr>
      <t xml:space="preserve">（无减值准备）</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</si>
  <si>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半年报 第八节 七、使用权资产</t>
    </r>
    <r>
      <rPr>
        <i val="true"/>
        <sz val="10"/>
        <color rgb="FF595959"/>
        <rFont val="Arial"/>
        <family val="0"/>
        <charset val="1"/>
      </rPr>
      <t xml:space="preserve">(1) pdf p.87</t>
    </r>
  </si>
  <si>
    <r>
      <rPr>
        <b val="true"/>
        <sz val="10"/>
        <color rgb="FF1F3864"/>
        <rFont val="Noto Sans CJK SC"/>
        <family val="2"/>
      </rPr>
      <t xml:space="preserve">长期待摊费用变动</t>
    </r>
    <r>
      <rPr>
        <b val="true"/>
        <sz val="10"/>
        <color rgb="FF1F3864"/>
        <rFont val="Arial"/>
        <family val="0"/>
        <charset val="1"/>
      </rPr>
      <t xml:space="preserve">(</t>
    </r>
    <r>
      <rPr>
        <b val="true"/>
        <sz val="10"/>
        <color rgb="FF1F3864"/>
        <rFont val="Noto Sans CJK SC"/>
        <family val="2"/>
      </rPr>
      <t xml:space="preserve">行</t>
    </r>
    <r>
      <rPr>
        <b val="true"/>
        <sz val="10"/>
        <color rgb="FF1F3864"/>
        <rFont val="Arial"/>
        <family val="0"/>
        <charset val="1"/>
      </rPr>
      <t xml:space="preserve">=</t>
    </r>
    <r>
      <rPr>
        <b val="true"/>
        <sz val="10"/>
        <color rgb="FF1F3864"/>
        <rFont val="Noto Sans CJK SC"/>
        <family val="2"/>
      </rPr>
      <t xml:space="preserve">期间</t>
    </r>
    <r>
      <rPr>
        <b val="true"/>
        <sz val="10"/>
        <color rgb="FF1F3864"/>
        <rFont val="Arial"/>
        <family val="0"/>
        <charset val="1"/>
      </rPr>
      <t xml:space="preserve">|</t>
    </r>
    <r>
      <rPr>
        <b val="true"/>
        <sz val="10"/>
        <color rgb="FF1F3864"/>
        <rFont val="Noto Sans CJK SC"/>
        <family val="2"/>
      </rPr>
      <t xml:space="preserve">项目</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</si>
  <si>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七、长期待摊费用 </t>
    </r>
    <r>
      <rPr>
        <i val="true"/>
        <sz val="10"/>
        <color rgb="FF595959"/>
        <rFont val="Arial"/>
        <family val="0"/>
        <charset val="1"/>
      </rPr>
      <t xml:space="preserve">pdf p.133; FY2024</t>
    </r>
    <r>
      <rPr>
        <i val="true"/>
        <sz val="10"/>
        <color rgb="FF595959"/>
        <rFont val="Noto Sans CJK SC"/>
        <family val="2"/>
      </rPr>
      <t xml:space="preserve">年报 第十节 </t>
    </r>
    <r>
      <rPr>
        <i val="true"/>
        <sz val="10"/>
        <color rgb="FF595959"/>
        <rFont val="Arial"/>
        <family val="0"/>
        <charset val="1"/>
      </rPr>
      <t xml:space="preserve">pdf p.147; 2025</t>
    </r>
    <r>
      <rPr>
        <i val="true"/>
        <sz val="10"/>
        <color rgb="FF595959"/>
        <rFont val="Noto Sans CJK SC"/>
        <family val="2"/>
      </rPr>
      <t xml:space="preserve">半年报 第八节 </t>
    </r>
    <r>
      <rPr>
        <i val="true"/>
        <sz val="10"/>
        <color rgb="FF595959"/>
        <rFont val="Arial"/>
        <family val="0"/>
        <charset val="1"/>
      </rPr>
      <t xml:space="preserve">pdf p.90; FY2025</t>
    </r>
    <r>
      <rPr>
        <i val="true"/>
        <sz val="10"/>
        <color rgb="FF595959"/>
        <rFont val="Noto Sans CJK SC"/>
        <family val="2"/>
      </rPr>
      <t xml:space="preserve">年报 第八节 七、</t>
    </r>
    <r>
      <rPr>
        <i val="true"/>
        <sz val="10"/>
        <color rgb="FF595959"/>
        <rFont val="Arial"/>
        <family val="0"/>
        <charset val="1"/>
      </rPr>
      <t xml:space="preserve">17</t>
    </r>
    <r>
      <rPr>
        <i val="true"/>
        <sz val="10"/>
        <color rgb="FF595959"/>
        <rFont val="Noto Sans CJK SC"/>
        <family val="2"/>
      </rPr>
      <t xml:space="preserve">、长期待摊费用 </t>
    </r>
    <r>
      <rPr>
        <i val="true"/>
        <sz val="10"/>
        <color rgb="FF595959"/>
        <rFont val="Arial"/>
        <family val="0"/>
        <charset val="1"/>
      </rPr>
      <t xml:space="preserve">pdf p.126; 2026</t>
    </r>
    <r>
      <rPr>
        <i val="true"/>
        <sz val="10"/>
        <color rgb="FF595959"/>
        <rFont val="Noto Sans CJK SC"/>
        <family val="2"/>
      </rPr>
      <t xml:space="preserve">半年报 第八节 </t>
    </r>
    <r>
      <rPr>
        <i val="true"/>
        <sz val="10"/>
        <color rgb="FF595959"/>
        <rFont val="Arial"/>
        <family val="0"/>
        <charset val="1"/>
      </rPr>
      <t xml:space="preserve">pdf p.89</t>
    </r>
  </si>
  <si>
    <t xml:space="preserve">本期摊销金额</t>
  </si>
  <si>
    <t xml:space="preserve">其他减少金额</t>
  </si>
  <si>
    <r>
      <rPr>
        <sz val="10"/>
        <color rgb="FF000000"/>
        <rFont val="Arial"/>
        <family val="0"/>
        <charset val="1"/>
      </rPr>
      <t xml:space="preserve">FY2023|</t>
    </r>
    <r>
      <rPr>
        <sz val="10"/>
        <color rgb="FF000000"/>
        <rFont val="Noto Sans CJK SC"/>
        <family val="2"/>
      </rPr>
      <t xml:space="preserve">装修配套工程</t>
    </r>
  </si>
  <si>
    <r>
      <rPr>
        <sz val="10"/>
        <color rgb="FF000000"/>
        <rFont val="Arial"/>
        <family val="0"/>
        <charset val="1"/>
      </rPr>
      <t xml:space="preserve">FY2023|</t>
    </r>
    <r>
      <rPr>
        <sz val="10"/>
        <color rgb="FF000000"/>
        <rFont val="Noto Sans CJK SC"/>
        <family val="2"/>
      </rPr>
      <t xml:space="preserve">网络建设工程</t>
    </r>
  </si>
  <si>
    <r>
      <rPr>
        <sz val="10"/>
        <color rgb="FF000000"/>
        <rFont val="Arial"/>
        <family val="0"/>
        <charset val="1"/>
      </rPr>
      <t xml:space="preserve">FY2023|</t>
    </r>
    <r>
      <rPr>
        <sz val="10"/>
        <color rgb="FF000000"/>
        <rFont val="Noto Sans CJK SC"/>
        <family val="2"/>
      </rPr>
      <t xml:space="preserve">合计</t>
    </r>
  </si>
  <si>
    <r>
      <rPr>
        <sz val="10"/>
        <color rgb="FF000000"/>
        <rFont val="Arial"/>
        <family val="0"/>
        <charset val="1"/>
      </rPr>
      <t xml:space="preserve">FY2024|</t>
    </r>
    <r>
      <rPr>
        <sz val="10"/>
        <color rgb="FF000000"/>
        <rFont val="Noto Sans CJK SC"/>
        <family val="2"/>
      </rPr>
      <t xml:space="preserve">装修配套工程</t>
    </r>
  </si>
  <si>
    <r>
      <rPr>
        <sz val="10"/>
        <color rgb="FF000000"/>
        <rFont val="Arial"/>
        <family val="0"/>
        <charset val="1"/>
      </rPr>
      <t xml:space="preserve">FY2024|</t>
    </r>
    <r>
      <rPr>
        <sz val="10"/>
        <color rgb="FF000000"/>
        <rFont val="Noto Sans CJK SC"/>
        <family val="2"/>
      </rPr>
      <t xml:space="preserve">网络建设工程</t>
    </r>
  </si>
  <si>
    <r>
      <rPr>
        <sz val="10"/>
        <color rgb="FF000000"/>
        <rFont val="Arial"/>
        <family val="0"/>
        <charset val="1"/>
      </rPr>
      <t xml:space="preserve">FY2024|</t>
    </r>
    <r>
      <rPr>
        <sz val="10"/>
        <color rgb="FF000000"/>
        <rFont val="Noto Sans CJK SC"/>
        <family val="2"/>
      </rPr>
      <t xml:space="preserve">合计</t>
    </r>
  </si>
  <si>
    <r>
      <rPr>
        <sz val="10"/>
        <color rgb="FF000000"/>
        <rFont val="Arial"/>
        <family val="0"/>
        <charset val="1"/>
      </rPr>
      <t xml:space="preserve">2025H1|</t>
    </r>
    <r>
      <rPr>
        <sz val="10"/>
        <color rgb="FF000000"/>
        <rFont val="Noto Sans CJK SC"/>
        <family val="2"/>
      </rPr>
      <t xml:space="preserve">装修配套工程</t>
    </r>
  </si>
  <si>
    <r>
      <rPr>
        <sz val="10"/>
        <color rgb="FF000000"/>
        <rFont val="Arial"/>
        <family val="0"/>
        <charset val="1"/>
      </rPr>
      <t xml:space="preserve">2025H1|</t>
    </r>
    <r>
      <rPr>
        <sz val="10"/>
        <color rgb="FF000000"/>
        <rFont val="Noto Sans CJK SC"/>
        <family val="2"/>
      </rPr>
      <t xml:space="preserve">网络建设工程</t>
    </r>
  </si>
  <si>
    <r>
      <rPr>
        <sz val="10"/>
        <color rgb="FF000000"/>
        <rFont val="Arial"/>
        <family val="0"/>
        <charset val="1"/>
      </rPr>
      <t xml:space="preserve">2025H1|</t>
    </r>
    <r>
      <rPr>
        <sz val="10"/>
        <color rgb="FF000000"/>
        <rFont val="Noto Sans CJK SC"/>
        <family val="2"/>
      </rPr>
      <t xml:space="preserve">合计</t>
    </r>
  </si>
  <si>
    <r>
      <rPr>
        <sz val="10"/>
        <color rgb="FF000000"/>
        <rFont val="Arial"/>
        <family val="0"/>
        <charset val="1"/>
      </rPr>
      <t xml:space="preserve">FY2025|</t>
    </r>
    <r>
      <rPr>
        <sz val="10"/>
        <color rgb="FF000000"/>
        <rFont val="Noto Sans CJK SC"/>
        <family val="2"/>
      </rPr>
      <t xml:space="preserve">装修配套工程</t>
    </r>
  </si>
  <si>
    <r>
      <rPr>
        <sz val="10"/>
        <color rgb="FF000000"/>
        <rFont val="Arial"/>
        <family val="0"/>
        <charset val="1"/>
      </rPr>
      <t xml:space="preserve">FY2025|</t>
    </r>
    <r>
      <rPr>
        <sz val="10"/>
        <color rgb="FF000000"/>
        <rFont val="Noto Sans CJK SC"/>
        <family val="2"/>
      </rPr>
      <t xml:space="preserve">网络建设工程</t>
    </r>
  </si>
  <si>
    <r>
      <rPr>
        <sz val="10"/>
        <color rgb="FF000000"/>
        <rFont val="Arial"/>
        <family val="0"/>
        <charset val="1"/>
      </rPr>
      <t xml:space="preserve">FY2025|</t>
    </r>
    <r>
      <rPr>
        <sz val="10"/>
        <color rgb="FF000000"/>
        <rFont val="Noto Sans CJK SC"/>
        <family val="2"/>
      </rPr>
      <t xml:space="preserve">合计</t>
    </r>
  </si>
  <si>
    <r>
      <rPr>
        <sz val="10"/>
        <color rgb="FF000000"/>
        <rFont val="Arial"/>
        <family val="0"/>
        <charset val="1"/>
      </rPr>
      <t xml:space="preserve">2026H1|</t>
    </r>
    <r>
      <rPr>
        <sz val="10"/>
        <color rgb="FF000000"/>
        <rFont val="Noto Sans CJK SC"/>
        <family val="2"/>
      </rPr>
      <t xml:space="preserve">装修配套工程</t>
    </r>
  </si>
  <si>
    <r>
      <rPr>
        <sz val="10"/>
        <color rgb="FF000000"/>
        <rFont val="Arial"/>
        <family val="0"/>
        <charset val="1"/>
      </rPr>
      <t xml:space="preserve">2026H1|</t>
    </r>
    <r>
      <rPr>
        <sz val="10"/>
        <color rgb="FF000000"/>
        <rFont val="Noto Sans CJK SC"/>
        <family val="2"/>
      </rPr>
      <t xml:space="preserve">网络建设工程</t>
    </r>
  </si>
  <si>
    <r>
      <rPr>
        <sz val="10"/>
        <color rgb="FF000000"/>
        <rFont val="Arial"/>
        <family val="0"/>
        <charset val="1"/>
      </rPr>
      <t xml:space="preserve">2026H1|</t>
    </r>
    <r>
      <rPr>
        <sz val="10"/>
        <color rgb="FF000000"/>
        <rFont val="Noto Sans CJK SC"/>
        <family val="2"/>
      </rPr>
      <t xml:space="preserve">合计</t>
    </r>
  </si>
  <si>
    <r>
      <rPr>
        <b val="true"/>
        <sz val="10"/>
        <color rgb="FF1F3864"/>
        <rFont val="Noto Sans CJK SC"/>
        <family val="2"/>
      </rPr>
      <t xml:space="preserve">投资性房地产</t>
    </r>
    <r>
      <rPr>
        <b val="true"/>
        <sz val="10"/>
        <color rgb="FF1F3864"/>
        <rFont val="Arial"/>
        <family val="0"/>
        <charset val="1"/>
      </rPr>
      <t xml:space="preserve">(</t>
    </r>
    <r>
      <rPr>
        <b val="true"/>
        <sz val="10"/>
        <color rgb="FF1F3864"/>
        <rFont val="Noto Sans CJK SC"/>
        <family val="2"/>
      </rPr>
      <t xml:space="preserve">成本模式，全部为房屋、建筑物</t>
    </r>
    <r>
      <rPr>
        <b val="true"/>
        <sz val="10"/>
        <color rgb="FF1F3864"/>
        <rFont val="Arial"/>
        <family val="0"/>
        <charset val="1"/>
      </rPr>
      <t xml:space="preserve">)</t>
    </r>
    <r>
      <rPr>
        <b val="true"/>
        <sz val="10"/>
        <color rgb="FF1F3864"/>
        <rFont val="Noto Sans CJK SC"/>
        <family val="2"/>
      </rPr>
      <t xml:space="preserve">变动</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</si>
  <si>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七、投资性房地产 </t>
    </r>
    <r>
      <rPr>
        <i val="true"/>
        <sz val="10"/>
        <color rgb="FF595959"/>
        <rFont val="Arial"/>
        <family val="0"/>
        <charset val="1"/>
      </rPr>
      <t xml:space="preserve">pdf p.124-125; FY2024</t>
    </r>
    <r>
      <rPr>
        <i val="true"/>
        <sz val="10"/>
        <color rgb="FF595959"/>
        <rFont val="Noto Sans CJK SC"/>
        <family val="2"/>
      </rPr>
      <t xml:space="preserve">年报 第十节 </t>
    </r>
    <r>
      <rPr>
        <i val="true"/>
        <sz val="10"/>
        <color rgb="FF595959"/>
        <rFont val="Arial"/>
        <family val="0"/>
        <charset val="1"/>
      </rPr>
      <t xml:space="preserve">pdf p.136-137; 2025</t>
    </r>
    <r>
      <rPr>
        <i val="true"/>
        <sz val="10"/>
        <color rgb="FF595959"/>
        <rFont val="Noto Sans CJK SC"/>
        <family val="2"/>
      </rPr>
      <t xml:space="preserve">半年报 第八节 </t>
    </r>
    <r>
      <rPr>
        <i val="true"/>
        <sz val="10"/>
        <color rgb="FF595959"/>
        <rFont val="Arial"/>
        <family val="0"/>
        <charset val="1"/>
      </rPr>
      <t xml:space="preserve">pdf p.81-82; FY2025</t>
    </r>
    <r>
      <rPr>
        <i val="true"/>
        <sz val="10"/>
        <color rgb="FF595959"/>
        <rFont val="Noto Sans CJK SC"/>
        <family val="2"/>
      </rPr>
      <t xml:space="preserve">年报 第八节 七、</t>
    </r>
    <r>
      <rPr>
        <i val="true"/>
        <sz val="10"/>
        <color rgb="FF595959"/>
        <rFont val="Arial"/>
        <family val="0"/>
        <charset val="1"/>
      </rPr>
      <t xml:space="preserve">11</t>
    </r>
    <r>
      <rPr>
        <i val="true"/>
        <sz val="10"/>
        <color rgb="FF595959"/>
        <rFont val="Noto Sans CJK SC"/>
        <family val="2"/>
      </rPr>
      <t xml:space="preserve">、投资性房地产 </t>
    </r>
    <r>
      <rPr>
        <i val="true"/>
        <sz val="10"/>
        <color rgb="FF595959"/>
        <rFont val="Arial"/>
        <family val="0"/>
        <charset val="1"/>
      </rPr>
      <t xml:space="preserve">pdf p.118-119; 2026</t>
    </r>
    <r>
      <rPr>
        <i val="true"/>
        <sz val="10"/>
        <color rgb="FF595959"/>
        <rFont val="Noto Sans CJK SC"/>
        <family val="2"/>
      </rPr>
      <t xml:space="preserve">半年报 第八节 </t>
    </r>
    <r>
      <rPr>
        <i val="true"/>
        <sz val="10"/>
        <color rgb="FF595959"/>
        <rFont val="Arial"/>
        <family val="0"/>
        <charset val="1"/>
      </rPr>
      <t xml:space="preserve">pdf p.82-83</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</si>
  <si>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存货</t>
    </r>
    <r>
      <rPr>
        <sz val="10"/>
        <color rgb="FF000000"/>
        <rFont val="Arial"/>
        <family val="0"/>
        <charset val="1"/>
      </rPr>
      <t xml:space="preserve">/</t>
    </r>
    <r>
      <rPr>
        <sz val="10"/>
        <color rgb="FF000000"/>
        <rFont val="Noto Sans CJK SC"/>
        <family val="2"/>
      </rPr>
      <t xml:space="preserve">固定资产</t>
    </r>
    <r>
      <rPr>
        <sz val="10"/>
        <color rgb="FF000000"/>
        <rFont val="Arial"/>
        <family val="0"/>
        <charset val="1"/>
      </rPr>
      <t xml:space="preserve">/</t>
    </r>
    <r>
      <rPr>
        <sz val="10"/>
        <color rgb="FF000000"/>
        <rFont val="Noto Sans CJK SC"/>
        <family val="2"/>
      </rPr>
      <t xml:space="preserve">在建工程转入</t>
    </r>
  </si>
  <si>
    <r>
      <rPr>
        <sz val="10"/>
        <color rgb="FF000000"/>
        <rFont val="Noto Sans CJK SC"/>
        <family val="2"/>
      </rPr>
      <t xml:space="preserve">原值</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转入固定资产</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</si>
  <si>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计提或摊销</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</si>
  <si>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固定资产转入</t>
    </r>
  </si>
  <si>
    <r>
      <rPr>
        <sz val="10"/>
        <color rgb="FF000000"/>
        <rFont val="Noto Sans CJK SC"/>
        <family val="2"/>
      </rPr>
      <t xml:space="preserve">累计折旧</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r>
      <rPr>
        <sz val="10"/>
        <color rgb="FF000000"/>
        <rFont val="Noto Sans CJK SC"/>
        <family val="2"/>
      </rPr>
      <t xml:space="preserve">转入固定资产</t>
    </r>
  </si>
  <si>
    <r>
      <rPr>
        <b val="true"/>
        <sz val="10"/>
        <color rgb="FF1F3864"/>
        <rFont val="Noto Sans CJK SC"/>
        <family val="2"/>
      </rPr>
      <t xml:space="preserve">折旧摊销：现金流量表补充资料 </t>
    </r>
    <r>
      <rPr>
        <b val="true"/>
        <sz val="10"/>
        <color rgb="FF1F3864"/>
        <rFont val="Arial"/>
        <family val="0"/>
        <charset val="1"/>
      </rPr>
      <t xml:space="preserve">vs </t>
    </r>
    <r>
      <rPr>
        <b val="true"/>
        <sz val="10"/>
        <color rgb="FF1F3864"/>
        <rFont val="Noto Sans CJK SC"/>
        <family val="2"/>
      </rPr>
      <t xml:space="preserve">附注计提额</t>
    </r>
  </si>
  <si>
    <r>
      <rPr>
        <i val="true"/>
        <sz val="10"/>
        <color rgb="FF595959"/>
        <rFont val="Noto Sans CJK SC"/>
        <family val="2"/>
      </rPr>
      <t xml:space="preserve">单位：百万元（原表单位元；比例、单价、股数、人数等非金额行列保持原值；原单位说明：元）；来源：各期合并现金流量表补充资料</t>
    </r>
    <r>
      <rPr>
        <i val="true"/>
        <sz val="10"/>
        <color rgb="FF595959"/>
        <rFont val="Arial"/>
        <family val="0"/>
        <charset val="1"/>
      </rPr>
      <t xml:space="preserve">(1) </t>
    </r>
    <r>
      <rPr>
        <i val="true"/>
        <sz val="10"/>
        <color rgb="FF595959"/>
        <rFont val="Noto Sans CJK SC"/>
        <family val="2"/>
      </rPr>
      <t xml:space="preserve">将净利润调节为经营活动现金流量</t>
    </r>
    <r>
      <rPr>
        <i val="true"/>
        <sz val="10"/>
        <color rgb="FF595959"/>
        <rFont val="Arial"/>
        <family val="0"/>
        <charset val="1"/>
      </rPr>
      <t xml:space="preserve">; </t>
    </r>
    <r>
      <rPr>
        <i val="true"/>
        <sz val="10"/>
        <color rgb="FF595959"/>
        <rFont val="Noto Sans CJK SC"/>
        <family val="2"/>
      </rPr>
      <t xml:space="preserve">附注各资产变动表计提行</t>
    </r>
    <r>
      <rPr>
        <i val="true"/>
        <sz val="10"/>
        <color rgb="FF595959"/>
        <rFont val="Arial"/>
        <family val="0"/>
        <charset val="1"/>
      </rPr>
      <t xml:space="preserve">. FY2022/2024H1 </t>
    </r>
    <r>
      <rPr>
        <i val="true"/>
        <sz val="10"/>
        <color rgb="FF595959"/>
        <rFont val="Noto Sans CJK SC"/>
        <family val="2"/>
      </rPr>
      <t xml:space="preserve">为上期比较数</t>
    </r>
  </si>
  <si>
    <t xml:space="preserve">2024H1</t>
  </si>
  <si>
    <r>
      <rPr>
        <sz val="10"/>
        <color rgb="FF000000"/>
        <rFont val="Noto Sans CJK SC"/>
        <family val="2"/>
      </rPr>
      <t xml:space="preserve">现金流量表补充资料</t>
    </r>
    <r>
      <rPr>
        <sz val="10"/>
        <color rgb="FF000000"/>
        <rFont val="Arial"/>
        <family val="0"/>
        <charset val="1"/>
      </rPr>
      <t xml:space="preserve">|</t>
    </r>
    <r>
      <rPr>
        <sz val="10"/>
        <color rgb="FF000000"/>
        <rFont val="Noto Sans CJK SC"/>
        <family val="2"/>
      </rPr>
      <t xml:space="preserve">固定资产折旧、油气资产折耗、生产性生物资产折旧</t>
    </r>
  </si>
  <si>
    <r>
      <rPr>
        <sz val="10"/>
        <color rgb="FF000000"/>
        <rFont val="Noto Sans CJK SC"/>
        <family val="2"/>
      </rPr>
      <t xml:space="preserve">现金流量表补充资料</t>
    </r>
    <r>
      <rPr>
        <sz val="10"/>
        <color rgb="FF000000"/>
        <rFont val="Arial"/>
        <family val="0"/>
        <charset val="1"/>
      </rPr>
      <t xml:space="preserve">|</t>
    </r>
    <r>
      <rPr>
        <sz val="10"/>
        <color rgb="FF000000"/>
        <rFont val="Noto Sans CJK SC"/>
        <family val="2"/>
      </rPr>
      <t xml:space="preserve">使用权资产折旧</t>
    </r>
  </si>
  <si>
    <r>
      <rPr>
        <sz val="10"/>
        <color rgb="FF000000"/>
        <rFont val="Noto Sans CJK SC"/>
        <family val="2"/>
      </rPr>
      <t xml:space="preserve">现金流量表补充资料</t>
    </r>
    <r>
      <rPr>
        <sz val="10"/>
        <color rgb="FF000000"/>
        <rFont val="Arial"/>
        <family val="0"/>
        <charset val="1"/>
      </rPr>
      <t xml:space="preserve">|</t>
    </r>
    <r>
      <rPr>
        <sz val="10"/>
        <color rgb="FF000000"/>
        <rFont val="Noto Sans CJK SC"/>
        <family val="2"/>
      </rPr>
      <t xml:space="preserve">无形资产摊销</t>
    </r>
  </si>
  <si>
    <r>
      <rPr>
        <sz val="10"/>
        <color rgb="FF000000"/>
        <rFont val="Noto Sans CJK SC"/>
        <family val="2"/>
      </rPr>
      <t xml:space="preserve">现金流量表补充资料</t>
    </r>
    <r>
      <rPr>
        <sz val="10"/>
        <color rgb="FF000000"/>
        <rFont val="Arial"/>
        <family val="0"/>
        <charset val="1"/>
      </rPr>
      <t xml:space="preserve">|</t>
    </r>
    <r>
      <rPr>
        <sz val="10"/>
        <color rgb="FF000000"/>
        <rFont val="Noto Sans CJK SC"/>
        <family val="2"/>
      </rPr>
      <t xml:space="preserve">长期待摊费用摊销</t>
    </r>
  </si>
  <si>
    <r>
      <rPr>
        <sz val="10"/>
        <color rgb="FF000000"/>
        <rFont val="Noto Sans CJK SC"/>
        <family val="2"/>
      </rPr>
      <t xml:space="preserve">附注</t>
    </r>
    <r>
      <rPr>
        <sz val="10"/>
        <color rgb="FF000000"/>
        <rFont val="Arial"/>
        <family val="0"/>
        <charset val="1"/>
      </rPr>
      <t xml:space="preserve">|</t>
    </r>
    <r>
      <rPr>
        <sz val="10"/>
        <color rgb="FF000000"/>
        <rFont val="Noto Sans CJK SC"/>
        <family val="2"/>
      </rPr>
      <t xml:space="preserve">固定资产折旧计提</t>
    </r>
  </si>
  <si>
    <r>
      <rPr>
        <sz val="10"/>
        <color rgb="FF000000"/>
        <rFont val="Noto Sans CJK SC"/>
        <family val="2"/>
      </rPr>
      <t xml:space="preserve">附注</t>
    </r>
    <r>
      <rPr>
        <sz val="10"/>
        <color rgb="FF000000"/>
        <rFont val="Arial"/>
        <family val="0"/>
        <charset val="1"/>
      </rPr>
      <t xml:space="preserve">|</t>
    </r>
    <r>
      <rPr>
        <sz val="10"/>
        <color rgb="FF000000"/>
        <rFont val="Noto Sans CJK SC"/>
        <family val="2"/>
      </rPr>
      <t xml:space="preserve">投资性房地产折旧计提</t>
    </r>
  </si>
  <si>
    <r>
      <rPr>
        <sz val="10"/>
        <color rgb="FF000000"/>
        <rFont val="Noto Sans CJK SC"/>
        <family val="2"/>
      </rPr>
      <t xml:space="preserve">附注</t>
    </r>
    <r>
      <rPr>
        <sz val="10"/>
        <color rgb="FF000000"/>
        <rFont val="Arial"/>
        <family val="0"/>
        <charset val="1"/>
      </rPr>
      <t xml:space="preserve">|</t>
    </r>
    <r>
      <rPr>
        <sz val="10"/>
        <color rgb="FF000000"/>
        <rFont val="Noto Sans CJK SC"/>
        <family val="2"/>
      </rPr>
      <t xml:space="preserve">使用权资产折旧计提</t>
    </r>
  </si>
  <si>
    <r>
      <rPr>
        <sz val="10"/>
        <color rgb="FF000000"/>
        <rFont val="Noto Sans CJK SC"/>
        <family val="2"/>
      </rPr>
      <t xml:space="preserve">附注</t>
    </r>
    <r>
      <rPr>
        <sz val="10"/>
        <color rgb="FF000000"/>
        <rFont val="Arial"/>
        <family val="0"/>
        <charset val="1"/>
      </rPr>
      <t xml:space="preserve">|</t>
    </r>
    <r>
      <rPr>
        <sz val="10"/>
        <color rgb="FF000000"/>
        <rFont val="Noto Sans CJK SC"/>
        <family val="2"/>
      </rPr>
      <t xml:space="preserve">无形资产摊销计提</t>
    </r>
  </si>
  <si>
    <r>
      <rPr>
        <sz val="10"/>
        <color rgb="FF000000"/>
        <rFont val="Noto Sans CJK SC"/>
        <family val="2"/>
      </rPr>
      <t xml:space="preserve">附注</t>
    </r>
    <r>
      <rPr>
        <sz val="10"/>
        <color rgb="FF000000"/>
        <rFont val="Arial"/>
        <family val="0"/>
        <charset val="1"/>
      </rPr>
      <t xml:space="preserve">|</t>
    </r>
    <r>
      <rPr>
        <sz val="10"/>
        <color rgb="FF000000"/>
        <rFont val="Noto Sans CJK SC"/>
        <family val="2"/>
      </rPr>
      <t xml:space="preserve">长期待摊费用摊销</t>
    </r>
  </si>
  <si>
    <r>
      <rPr>
        <b val="true"/>
        <sz val="10"/>
        <color rgb="FF1F3864"/>
        <rFont val="Noto Sans CJK SC"/>
        <family val="2"/>
      </rPr>
      <t xml:space="preserve">合并现金流量表：长期资产购建</t>
    </r>
    <r>
      <rPr>
        <b val="true"/>
        <sz val="10"/>
        <color rgb="FF1F3864"/>
        <rFont val="Arial"/>
        <family val="0"/>
        <charset val="1"/>
      </rPr>
      <t xml:space="preserve">/</t>
    </r>
    <r>
      <rPr>
        <b val="true"/>
        <sz val="10"/>
        <color rgb="FF1F3864"/>
        <rFont val="Noto Sans CJK SC"/>
        <family val="2"/>
      </rPr>
      <t xml:space="preserve">处置现金</t>
    </r>
  </si>
  <si>
    <r>
      <rPr>
        <i val="true"/>
        <sz val="10"/>
        <color rgb="FF595959"/>
        <rFont val="Noto Sans CJK SC"/>
        <family val="2"/>
      </rPr>
      <t xml:space="preserve">单位：百万元（原表单位元；比例、单价、股数、人数等非金额行列保持原值；原单位说明：元）；来源：各期合并现金流量表 投资活动 </t>
    </r>
    <r>
      <rPr>
        <i val="true"/>
        <sz val="10"/>
        <color rgb="FF595959"/>
        <rFont val="Arial"/>
        <family val="0"/>
        <charset val="1"/>
      </rPr>
      <t xml:space="preserve">(FY2022</t>
    </r>
    <r>
      <rPr>
        <i val="true"/>
        <sz val="10"/>
        <color rgb="FF595959"/>
        <rFont val="Noto Sans CJK SC"/>
        <family val="2"/>
      </rPr>
      <t xml:space="preserve">、</t>
    </r>
    <r>
      <rPr>
        <i val="true"/>
        <sz val="10"/>
        <color rgb="FF595959"/>
        <rFont val="Arial"/>
        <family val="0"/>
        <charset val="1"/>
      </rPr>
      <t xml:space="preserve">2024H1 </t>
    </r>
    <r>
      <rPr>
        <i val="true"/>
        <sz val="10"/>
        <color rgb="FF595959"/>
        <rFont val="Noto Sans CJK SC"/>
        <family val="2"/>
      </rPr>
      <t xml:space="preserve">为上期比较数</t>
    </r>
    <r>
      <rPr>
        <i val="true"/>
        <sz val="10"/>
        <color rgb="FF595959"/>
        <rFont val="Arial"/>
        <family val="0"/>
        <charset val="1"/>
      </rPr>
      <t xml:space="preserve">)</t>
    </r>
  </si>
  <si>
    <t xml:space="preserve">购建固定资产、无形资产和其他长期资产支付的现金</t>
  </si>
  <si>
    <t xml:space="preserve">处置固定资产、无形资产和其他长期资产收回的现金净额</t>
  </si>
  <si>
    <r>
      <rPr>
        <b val="true"/>
        <sz val="10"/>
        <color rgb="FF1F3864"/>
        <rFont val="Noto Sans CJK SC"/>
        <family val="2"/>
      </rPr>
      <t xml:space="preserve">其他非流动资产构成</t>
    </r>
    <r>
      <rPr>
        <b val="true"/>
        <sz val="10"/>
        <color rgb="FF1F3864"/>
        <rFont val="Arial"/>
        <family val="0"/>
        <charset val="1"/>
      </rPr>
      <t xml:space="preserve">(</t>
    </r>
    <r>
      <rPr>
        <b val="true"/>
        <sz val="10"/>
        <color rgb="FF1F3864"/>
        <rFont val="Noto Sans CJK SC"/>
        <family val="2"/>
      </rPr>
      <t xml:space="preserve">预付设备</t>
    </r>
    <r>
      <rPr>
        <b val="true"/>
        <sz val="10"/>
        <color rgb="FF1F3864"/>
        <rFont val="Arial"/>
        <family val="0"/>
        <charset val="1"/>
      </rPr>
      <t xml:space="preserve">/</t>
    </r>
    <r>
      <rPr>
        <b val="true"/>
        <sz val="10"/>
        <color rgb="FF1F3864"/>
        <rFont val="Noto Sans CJK SC"/>
        <family val="2"/>
      </rPr>
      <t xml:space="preserve">工程</t>
    </r>
    <r>
      <rPr>
        <b val="true"/>
        <sz val="10"/>
        <color rgb="FF1F3864"/>
        <rFont val="Arial"/>
        <family val="0"/>
        <charset val="1"/>
      </rPr>
      <t xml:space="preserve">/</t>
    </r>
    <r>
      <rPr>
        <b val="true"/>
        <sz val="10"/>
        <color rgb="FF1F3864"/>
        <rFont val="Noto Sans CJK SC"/>
        <family val="2"/>
      </rPr>
      <t xml:space="preserve">土地款与长期定期存款</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</si>
  <si>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单位：百万元（原表单位元；比例、单价、股数、人数等非金额行列保持原值；原单位说明：元）；来源：各期附注 其他非流动资产 </t>
    </r>
    <r>
      <rPr>
        <i val="true"/>
        <sz val="10"/>
        <color rgb="FF595959"/>
        <rFont val="Arial"/>
        <family val="0"/>
        <charset val="1"/>
      </rPr>
      <t xml:space="preserve">(FY2023</t>
    </r>
    <r>
      <rPr>
        <i val="true"/>
        <sz val="10"/>
        <color rgb="FF595959"/>
        <rFont val="Noto Sans CJK SC"/>
        <family val="2"/>
      </rPr>
      <t xml:space="preserve">年报 第十节 七、</t>
    </r>
    <r>
      <rPr>
        <i val="true"/>
        <sz val="10"/>
        <color rgb="FF595959"/>
        <rFont val="Arial"/>
        <family val="0"/>
        <charset val="1"/>
      </rPr>
      <t xml:space="preserve">20; FY2024</t>
    </r>
    <r>
      <rPr>
        <i val="true"/>
        <sz val="10"/>
        <color rgb="FF595959"/>
        <rFont val="Noto Sans CJK SC"/>
        <family val="2"/>
      </rPr>
      <t xml:space="preserve">年报 第十节 七、</t>
    </r>
    <r>
      <rPr>
        <i val="true"/>
        <sz val="10"/>
        <color rgb="FF595959"/>
        <rFont val="Arial"/>
        <family val="0"/>
        <charset val="1"/>
      </rPr>
      <t xml:space="preserve">19; 2025</t>
    </r>
    <r>
      <rPr>
        <i val="true"/>
        <sz val="10"/>
        <color rgb="FF595959"/>
        <rFont val="Noto Sans CJK SC"/>
        <family val="2"/>
      </rPr>
      <t xml:space="preserve">半年报 第八节 七、</t>
    </r>
    <r>
      <rPr>
        <i val="true"/>
        <sz val="10"/>
        <color rgb="FF595959"/>
        <rFont val="Arial"/>
        <family val="0"/>
        <charset val="1"/>
      </rPr>
      <t xml:space="preserve">19; FY2025</t>
    </r>
    <r>
      <rPr>
        <i val="true"/>
        <sz val="10"/>
        <color rgb="FF595959"/>
        <rFont val="Noto Sans CJK SC"/>
        <family val="2"/>
      </rPr>
      <t xml:space="preserve">年报 第八节 七、</t>
    </r>
    <r>
      <rPr>
        <i val="true"/>
        <sz val="10"/>
        <color rgb="FF595959"/>
        <rFont val="Arial"/>
        <family val="0"/>
        <charset val="1"/>
      </rPr>
      <t xml:space="preserve">19; 2026</t>
    </r>
    <r>
      <rPr>
        <i val="true"/>
        <sz val="10"/>
        <color rgb="FF595959"/>
        <rFont val="Noto Sans CJK SC"/>
        <family val="2"/>
      </rPr>
      <t xml:space="preserve">半年报 第八节 七、</t>
    </r>
    <r>
      <rPr>
        <i val="true"/>
        <sz val="10"/>
        <color rgb="FF595959"/>
        <rFont val="Arial"/>
        <family val="0"/>
        <charset val="1"/>
      </rPr>
      <t xml:space="preserve">19); wrapped digits rejoined</t>
    </r>
  </si>
  <si>
    <t xml:space="preserve">预付设备款</t>
  </si>
  <si>
    <t xml:space="preserve">预付工程款</t>
  </si>
  <si>
    <t xml:space="preserve">预付土地款</t>
  </si>
  <si>
    <r>
      <rPr>
        <sz val="10"/>
        <color rgb="FF000000"/>
        <rFont val="Noto Sans CJK SC"/>
        <family val="2"/>
      </rPr>
      <t xml:space="preserve">到期日一年以上的定期存款</t>
    </r>
    <r>
      <rPr>
        <sz val="10"/>
        <color rgb="FF000000"/>
        <rFont val="Arial"/>
        <family val="0"/>
        <charset val="1"/>
      </rPr>
      <t xml:space="preserve">(</t>
    </r>
    <r>
      <rPr>
        <sz val="10"/>
        <color rgb="FF000000"/>
        <rFont val="Noto Sans CJK SC"/>
        <family val="2"/>
      </rPr>
      <t xml:space="preserve">及大额存单</t>
    </r>
    <r>
      <rPr>
        <sz val="10"/>
        <color rgb="FF000000"/>
        <rFont val="Arial"/>
        <family val="0"/>
        <charset val="1"/>
      </rPr>
      <t xml:space="preserve">)</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</si>
  <si>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资产负债表其他非流动资产</t>
    </r>
    <r>
      <rPr>
        <sz val="10"/>
        <color rgb="FF000000"/>
        <rFont val="Arial"/>
        <family val="0"/>
        <charset val="1"/>
      </rPr>
      <t xml:space="preserve">)</t>
    </r>
  </si>
  <si>
    <r>
      <rPr>
        <b val="true"/>
        <sz val="10"/>
        <color rgb="FF1F3864"/>
        <rFont val="Arial"/>
        <family val="0"/>
        <charset val="1"/>
      </rPr>
      <t xml:space="preserve">2021</t>
    </r>
    <r>
      <rPr>
        <b val="true"/>
        <sz val="10"/>
        <color rgb="FF1F3864"/>
        <rFont val="Noto Sans CJK SC"/>
        <family val="2"/>
      </rPr>
      <t xml:space="preserve">年向特定对象发行股票募集资金及承诺投资项目</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</si>
  <si>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(source discloses </t>
    </r>
    <r>
      <rPr>
        <i val="true"/>
        <sz val="10"/>
        <color rgb="FF595959"/>
        <rFont val="Noto Sans CJK SC"/>
        <family val="2"/>
      </rPr>
      <t xml:space="preserve">万元</t>
    </r>
    <r>
      <rPr>
        <i val="true"/>
        <sz val="10"/>
        <color rgb="FF595959"/>
        <rFont val="Arial"/>
        <family val="0"/>
        <charset val="1"/>
      </rPr>
      <t xml:space="preserve">; converted exactly ×10000); rows ending _pct are %</t>
    </r>
    <r>
      <rPr>
        <i val="true"/>
        <sz val="10"/>
        <color rgb="FF595959"/>
        <rFont val="Noto Sans CJK SC"/>
        <family val="2"/>
      </rPr>
      <t xml:space="preserve">）；来源：</t>
    </r>
    <r>
      <rPr>
        <i val="true"/>
        <sz val="10"/>
        <color rgb="FF595959"/>
        <rFont val="Arial"/>
        <family val="0"/>
        <charset val="1"/>
      </rPr>
      <t xml:space="preserve">FY2023</t>
    </r>
    <r>
      <rPr>
        <i val="true"/>
        <sz val="10"/>
        <color rgb="FF595959"/>
        <rFont val="Noto Sans CJK SC"/>
        <family val="2"/>
      </rPr>
      <t xml:space="preserve">年报 第三节 募集资金使用情况 </t>
    </r>
    <r>
      <rPr>
        <i val="true"/>
        <sz val="10"/>
        <color rgb="FF595959"/>
        <rFont val="Arial"/>
        <family val="0"/>
        <charset val="1"/>
      </rPr>
      <t xml:space="preserve">pdf p.20-21; FY2024</t>
    </r>
    <r>
      <rPr>
        <i val="true"/>
        <sz val="10"/>
        <color rgb="FF595959"/>
        <rFont val="Noto Sans CJK SC"/>
        <family val="2"/>
      </rPr>
      <t xml:space="preserve">年报 第三节 </t>
    </r>
    <r>
      <rPr>
        <i val="true"/>
        <sz val="10"/>
        <color rgb="FF595959"/>
        <rFont val="Arial"/>
        <family val="0"/>
        <charset val="1"/>
      </rPr>
      <t xml:space="preserve">pdf p.20-22; 2025</t>
    </r>
    <r>
      <rPr>
        <i val="true"/>
        <sz val="10"/>
        <color rgb="FF595959"/>
        <rFont val="Noto Sans CJK SC"/>
        <family val="2"/>
      </rPr>
      <t xml:space="preserve">半年报 第三节 </t>
    </r>
    <r>
      <rPr>
        <i val="true"/>
        <sz val="10"/>
        <color rgb="FF595959"/>
        <rFont val="Arial"/>
        <family val="0"/>
        <charset val="1"/>
      </rPr>
      <t xml:space="preserve">pdf p.13-15; FY2025</t>
    </r>
    <r>
      <rPr>
        <i val="true"/>
        <sz val="10"/>
        <color rgb="FF595959"/>
        <rFont val="Noto Sans CJK SC"/>
        <family val="2"/>
      </rPr>
      <t xml:space="preserve">年报 第五节 重要事项 十六、募集资金使用情况 </t>
    </r>
    <r>
      <rPr>
        <i val="true"/>
        <sz val="10"/>
        <color rgb="FF595959"/>
        <rFont val="Arial"/>
        <family val="0"/>
        <charset val="1"/>
      </rPr>
      <t xml:space="preserve">pdf p.50-53; 2026</t>
    </r>
    <r>
      <rPr>
        <i val="true"/>
        <sz val="10"/>
        <color rgb="FF595959"/>
        <rFont val="Noto Sans CJK SC"/>
        <family val="2"/>
      </rPr>
      <t xml:space="preserve">半年报 第三节 </t>
    </r>
    <r>
      <rPr>
        <i val="true"/>
        <sz val="10"/>
        <color rgb="FF595959"/>
        <rFont val="Arial"/>
        <family val="0"/>
        <charset val="1"/>
      </rPr>
      <t xml:space="preserve">pdf p.13-15</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</si>
  <si>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募集资金总额</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</si>
  <si>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募集资金净额</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</si>
  <si>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本期已使用募集资金总额</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</si>
  <si>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已累计使用募集资金总额</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</si>
  <si>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报告期末募集资金使用比例</t>
    </r>
    <r>
      <rPr>
        <sz val="10"/>
        <color rgb="FF000000"/>
        <rFont val="Arial"/>
        <family val="0"/>
        <charset val="1"/>
      </rPr>
      <t xml:space="preserve">_pct</t>
    </r>
  </si>
  <si>
    <r>
      <rPr>
        <sz val="10"/>
        <color rgb="FF000000"/>
        <rFont val="Arial"/>
        <family val="0"/>
        <charset val="1"/>
      </rPr>
      <t xml:space="preserve">2021</t>
    </r>
    <r>
      <rPr>
        <sz val="10"/>
        <color rgb="FF000000"/>
        <rFont val="Noto Sans CJK SC"/>
        <family val="2"/>
      </rPr>
      <t xml:space="preserve">年向特定对象发行股票</t>
    </r>
    <r>
      <rPr>
        <sz val="10"/>
        <color rgb="FF000000"/>
        <rFont val="Arial"/>
        <family val="0"/>
        <charset val="1"/>
      </rPr>
      <t xml:space="preserve">|</t>
    </r>
    <r>
      <rPr>
        <sz val="10"/>
        <color rgb="FF000000"/>
        <rFont val="Noto Sans CJK SC"/>
        <family val="2"/>
      </rPr>
      <t xml:space="preserve">尚未使用募集资金总额</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</si>
  <si>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募集资金承诺投资总额</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</si>
  <si>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调整后投资总额</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</si>
  <si>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本报告期投入金额</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</si>
  <si>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截至期末累计投入金额</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</si>
  <si>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截至期末投资进度</t>
    </r>
    <r>
      <rPr>
        <sz val="10"/>
        <color rgb="FF000000"/>
        <rFont val="Arial"/>
        <family val="0"/>
        <charset val="1"/>
      </rPr>
      <t xml:space="preserve">_pct</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</si>
  <si>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募集资金承诺投资总额</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</si>
  <si>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调整后投资总额</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</si>
  <si>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本报告期投入金额</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</si>
  <si>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截至期末累计投入金额</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</si>
  <si>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截至期末投资进度</t>
    </r>
    <r>
      <rPr>
        <sz val="10"/>
        <color rgb="FF000000"/>
        <rFont val="Arial"/>
        <family val="0"/>
        <charset val="1"/>
      </rPr>
      <t xml:space="preserve">_pct</t>
    </r>
  </si>
  <si>
    <r>
      <rPr>
        <b val="true"/>
        <sz val="10"/>
        <color rgb="FF1F3864"/>
        <rFont val="Noto Sans CJK SC"/>
        <family val="2"/>
      </rPr>
      <t xml:space="preserve">与固定资产折旧相关的递延所得税</t>
    </r>
    <r>
      <rPr>
        <b val="true"/>
        <sz val="10"/>
        <color rgb="FF1F3864"/>
        <rFont val="Arial"/>
        <family val="0"/>
        <charset val="1"/>
      </rPr>
      <t xml:space="preserve">(</t>
    </r>
    <r>
      <rPr>
        <b val="true"/>
        <sz val="10"/>
        <color rgb="FF1F3864"/>
        <rFont val="Noto Sans CJK SC"/>
        <family val="2"/>
      </rPr>
      <t xml:space="preserve">未经抵销</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</si>
  <si>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单位：百万元（原表单位元；比例、单价、股数、人数等非金额行列保持原值；原单位说明：元）；来源：各期附注 递延所得税资产</t>
    </r>
    <r>
      <rPr>
        <i val="true"/>
        <sz val="10"/>
        <color rgb="FF595959"/>
        <rFont val="Arial"/>
        <family val="0"/>
        <charset val="1"/>
      </rPr>
      <t xml:space="preserve">/</t>
    </r>
    <r>
      <rPr>
        <i val="true"/>
        <sz val="10"/>
        <color rgb="FF595959"/>
        <rFont val="Noto Sans CJK SC"/>
        <family val="2"/>
      </rPr>
      <t xml:space="preserve">递延所得税负债</t>
    </r>
    <r>
      <rPr>
        <i val="true"/>
        <sz val="10"/>
        <color rgb="FF595959"/>
        <rFont val="Arial"/>
        <family val="0"/>
        <charset val="1"/>
      </rPr>
      <t xml:space="preserve">(1)(2) </t>
    </r>
    <r>
      <rPr>
        <i val="true"/>
        <sz val="10"/>
        <color rgb="FF595959"/>
        <rFont val="Noto Sans CJK SC"/>
        <family val="2"/>
      </rPr>
      <t xml:space="preserve">未经抵销</t>
    </r>
    <r>
      <rPr>
        <i val="true"/>
        <sz val="10"/>
        <color rgb="FF595959"/>
        <rFont val="Arial"/>
        <family val="0"/>
        <charset val="1"/>
      </rPr>
      <t xml:space="preserve">; FY2022 = FY2023</t>
    </r>
    <r>
      <rPr>
        <i val="true"/>
        <sz val="10"/>
        <color rgb="FF595959"/>
        <rFont val="Noto Sans CJK SC"/>
        <family val="2"/>
      </rPr>
      <t xml:space="preserve">年报期初</t>
    </r>
  </si>
  <si>
    <r>
      <rPr>
        <sz val="10"/>
        <color rgb="FF000000"/>
        <rFont val="Noto Sans CJK SC"/>
        <family val="2"/>
      </rPr>
      <t xml:space="preserve">递延所得税负债</t>
    </r>
    <r>
      <rPr>
        <sz val="10"/>
        <color rgb="FF000000"/>
        <rFont val="Arial"/>
        <family val="0"/>
        <charset val="1"/>
      </rPr>
      <t xml:space="preserve">|</t>
    </r>
    <r>
      <rPr>
        <sz val="10"/>
        <color rgb="FF000000"/>
        <rFont val="Noto Sans CJK SC"/>
        <family val="2"/>
      </rPr>
      <t xml:space="preserve">固定资产折旧</t>
    </r>
    <r>
      <rPr>
        <sz val="10"/>
        <color rgb="FF000000"/>
        <rFont val="Arial"/>
        <family val="0"/>
        <charset val="1"/>
      </rPr>
      <t xml:space="preserve">|</t>
    </r>
    <r>
      <rPr>
        <sz val="10"/>
        <color rgb="FF000000"/>
        <rFont val="Noto Sans CJK SC"/>
        <family val="2"/>
      </rPr>
      <t xml:space="preserve">应纳税暂时性差异</t>
    </r>
  </si>
  <si>
    <r>
      <rPr>
        <sz val="10"/>
        <color rgb="FF000000"/>
        <rFont val="Noto Sans CJK SC"/>
        <family val="2"/>
      </rPr>
      <t xml:space="preserve">递延所得税负债</t>
    </r>
    <r>
      <rPr>
        <sz val="10"/>
        <color rgb="FF000000"/>
        <rFont val="Arial"/>
        <family val="0"/>
        <charset val="1"/>
      </rPr>
      <t xml:space="preserve">|</t>
    </r>
    <r>
      <rPr>
        <sz val="10"/>
        <color rgb="FF000000"/>
        <rFont val="Noto Sans CJK SC"/>
        <family val="2"/>
      </rPr>
      <t xml:space="preserve">固定资产折旧</t>
    </r>
    <r>
      <rPr>
        <sz val="10"/>
        <color rgb="FF000000"/>
        <rFont val="Arial"/>
        <family val="0"/>
        <charset val="1"/>
      </rPr>
      <t xml:space="preserve">|</t>
    </r>
    <r>
      <rPr>
        <sz val="10"/>
        <color rgb="FF000000"/>
        <rFont val="Noto Sans CJK SC"/>
        <family val="2"/>
      </rPr>
      <t xml:space="preserve">递延所得税负债</t>
    </r>
  </si>
  <si>
    <r>
      <rPr>
        <sz val="10"/>
        <color rgb="FF000000"/>
        <rFont val="Noto Sans CJK SC"/>
        <family val="2"/>
      </rPr>
      <t xml:space="preserve">递延所得税资产</t>
    </r>
    <r>
      <rPr>
        <sz val="10"/>
        <color rgb="FF000000"/>
        <rFont val="Arial"/>
        <family val="0"/>
        <charset val="1"/>
      </rPr>
      <t xml:space="preserve">|</t>
    </r>
    <r>
      <rPr>
        <sz val="10"/>
        <color rgb="FF000000"/>
        <rFont val="Noto Sans CJK SC"/>
        <family val="2"/>
      </rPr>
      <t xml:space="preserve">固定资产折旧</t>
    </r>
    <r>
      <rPr>
        <sz val="10"/>
        <color rgb="FF000000"/>
        <rFont val="Arial"/>
        <family val="0"/>
        <charset val="1"/>
      </rPr>
      <t xml:space="preserve">|</t>
    </r>
    <r>
      <rPr>
        <sz val="10"/>
        <color rgb="FF000000"/>
        <rFont val="Noto Sans CJK SC"/>
        <family val="2"/>
      </rPr>
      <t xml:space="preserve">可抵扣暂时性差异</t>
    </r>
  </si>
  <si>
    <r>
      <rPr>
        <sz val="10"/>
        <color rgb="FF000000"/>
        <rFont val="Noto Sans CJK SC"/>
        <family val="2"/>
      </rPr>
      <t xml:space="preserve">递延所得税资产</t>
    </r>
    <r>
      <rPr>
        <sz val="10"/>
        <color rgb="FF000000"/>
        <rFont val="Arial"/>
        <family val="0"/>
        <charset val="1"/>
      </rPr>
      <t xml:space="preserve">|</t>
    </r>
    <r>
      <rPr>
        <sz val="10"/>
        <color rgb="FF000000"/>
        <rFont val="Noto Sans CJK SC"/>
        <family val="2"/>
      </rPr>
      <t xml:space="preserve">固定资产折旧</t>
    </r>
    <r>
      <rPr>
        <sz val="10"/>
        <color rgb="FF000000"/>
        <rFont val="Arial"/>
        <family val="0"/>
        <charset val="1"/>
      </rPr>
      <t xml:space="preserve">|</t>
    </r>
    <r>
      <rPr>
        <sz val="10"/>
        <color rgb="FF000000"/>
        <rFont val="Noto Sans CJK SC"/>
        <family val="2"/>
      </rPr>
      <t xml:space="preserve">递延所得税资产</t>
    </r>
  </si>
  <si>
    <r>
      <rPr>
        <b val="true"/>
        <sz val="10"/>
        <color rgb="FF1F3864"/>
        <rFont val="Noto Sans CJK SC"/>
        <family val="2"/>
      </rPr>
      <t xml:space="preserve">费用明细中的折旧摊销</t>
    </r>
    <r>
      <rPr>
        <b val="true"/>
        <sz val="10"/>
        <color rgb="FF1F3864"/>
        <rFont val="Arial"/>
        <family val="0"/>
        <charset val="1"/>
      </rPr>
      <t xml:space="preserve">(</t>
    </r>
    <r>
      <rPr>
        <b val="true"/>
        <sz val="10"/>
        <color rgb="FF1F3864"/>
        <rFont val="Noto Sans CJK SC"/>
        <family val="2"/>
      </rPr>
      <t xml:space="preserve">管理费用</t>
    </r>
    <r>
      <rPr>
        <b val="true"/>
        <sz val="10"/>
        <color rgb="FF1F3864"/>
        <rFont val="Arial"/>
        <family val="0"/>
        <charset val="1"/>
      </rPr>
      <t xml:space="preserve">/</t>
    </r>
    <r>
      <rPr>
        <b val="true"/>
        <sz val="10"/>
        <color rgb="FF1F3864"/>
        <rFont val="Noto Sans CJK SC"/>
        <family val="2"/>
      </rPr>
      <t xml:space="preserve">研发费用</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</si>
  <si>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单位：百万元（原表单位元；比例、单价、股数、人数等非金额行列保持原值；原单位说明：元）；来源：各期附注 管理费用、研发费用明细</t>
    </r>
    <r>
      <rPr>
        <i val="true"/>
        <sz val="10"/>
        <color rgb="FF595959"/>
        <rFont val="Arial"/>
        <family val="0"/>
        <charset val="1"/>
      </rPr>
      <t xml:space="preserve">; FY2022/2024H1 </t>
    </r>
    <r>
      <rPr>
        <i val="true"/>
        <sz val="10"/>
        <color rgb="FF595959"/>
        <rFont val="Noto Sans CJK SC"/>
        <family val="2"/>
      </rPr>
      <t xml:space="preserve">为上期比较数</t>
    </r>
    <r>
      <rPr>
        <i val="true"/>
        <sz val="10"/>
        <color rgb="FF595959"/>
        <rFont val="Arial"/>
        <family val="0"/>
        <charset val="1"/>
      </rPr>
      <t xml:space="preserve">; 2026</t>
    </r>
    <r>
      <rPr>
        <i val="true"/>
        <sz val="10"/>
        <color rgb="FF595959"/>
        <rFont val="Noto Sans CJK SC"/>
        <family val="2"/>
      </rPr>
      <t xml:space="preserve">半年报管理费用改为</t>
    </r>
    <r>
      <rPr>
        <i val="true"/>
        <sz val="10"/>
        <color rgb="FF595959"/>
        <rFont val="Arial"/>
        <family val="0"/>
        <charset val="1"/>
      </rPr>
      <t xml:space="preserve">'</t>
    </r>
    <r>
      <rPr>
        <i val="true"/>
        <sz val="10"/>
        <color rgb="FF595959"/>
        <rFont val="Noto Sans CJK SC"/>
        <family val="2"/>
      </rPr>
      <t xml:space="preserve">折旧和摊销费</t>
    </r>
    <r>
      <rPr>
        <i val="true"/>
        <sz val="10"/>
        <color rgb="FF595959"/>
        <rFont val="Arial"/>
        <family val="0"/>
        <charset val="1"/>
      </rPr>
      <t xml:space="preserve">'</t>
    </r>
    <r>
      <rPr>
        <i val="true"/>
        <sz val="10"/>
        <color rgb="FF595959"/>
        <rFont val="Noto Sans CJK SC"/>
        <family val="2"/>
      </rPr>
      <t xml:space="preserve">单行</t>
    </r>
  </si>
  <si>
    <r>
      <rPr>
        <sz val="10"/>
        <color rgb="FF000000"/>
        <rFont val="Noto Sans CJK SC"/>
        <family val="2"/>
      </rPr>
      <t xml:space="preserve">管理费用</t>
    </r>
    <r>
      <rPr>
        <sz val="10"/>
        <color rgb="FF000000"/>
        <rFont val="Arial"/>
        <family val="0"/>
        <charset val="1"/>
      </rPr>
      <t xml:space="preserve">|</t>
    </r>
    <r>
      <rPr>
        <sz val="10"/>
        <color rgb="FF000000"/>
        <rFont val="Noto Sans CJK SC"/>
        <family val="2"/>
      </rPr>
      <t xml:space="preserve">固定资产折旧</t>
    </r>
  </si>
  <si>
    <r>
      <rPr>
        <sz val="10"/>
        <color rgb="FF000000"/>
        <rFont val="Noto Sans CJK SC"/>
        <family val="2"/>
      </rPr>
      <t xml:space="preserve">管理费用</t>
    </r>
    <r>
      <rPr>
        <sz val="10"/>
        <color rgb="FF000000"/>
        <rFont val="Arial"/>
        <family val="0"/>
        <charset val="1"/>
      </rPr>
      <t xml:space="preserve">|</t>
    </r>
    <r>
      <rPr>
        <sz val="10"/>
        <color rgb="FF000000"/>
        <rFont val="Noto Sans CJK SC"/>
        <family val="2"/>
      </rPr>
      <t xml:space="preserve">无形资产摊销</t>
    </r>
  </si>
  <si>
    <r>
      <rPr>
        <sz val="10"/>
        <color rgb="FF000000"/>
        <rFont val="Noto Sans CJK SC"/>
        <family val="2"/>
      </rPr>
      <t xml:space="preserve">管理费用</t>
    </r>
    <r>
      <rPr>
        <sz val="10"/>
        <color rgb="FF000000"/>
        <rFont val="Arial"/>
        <family val="0"/>
        <charset val="1"/>
      </rPr>
      <t xml:space="preserve">|</t>
    </r>
    <r>
      <rPr>
        <sz val="10"/>
        <color rgb="FF000000"/>
        <rFont val="Noto Sans CJK SC"/>
        <family val="2"/>
      </rPr>
      <t xml:space="preserve">使用权资产折旧</t>
    </r>
  </si>
  <si>
    <r>
      <rPr>
        <sz val="10"/>
        <color rgb="FF000000"/>
        <rFont val="Noto Sans CJK SC"/>
        <family val="2"/>
      </rPr>
      <t xml:space="preserve">管理费用</t>
    </r>
    <r>
      <rPr>
        <sz val="10"/>
        <color rgb="FF000000"/>
        <rFont val="Arial"/>
        <family val="0"/>
        <charset val="1"/>
      </rPr>
      <t xml:space="preserve">|</t>
    </r>
    <r>
      <rPr>
        <sz val="10"/>
        <color rgb="FF000000"/>
        <rFont val="Noto Sans CJK SC"/>
        <family val="2"/>
      </rPr>
      <t xml:space="preserve">折旧和摊销费</t>
    </r>
    <r>
      <rPr>
        <sz val="10"/>
        <color rgb="FF000000"/>
        <rFont val="Arial"/>
        <family val="0"/>
        <charset val="1"/>
      </rPr>
      <t xml:space="preserve">(2026H1</t>
    </r>
    <r>
      <rPr>
        <sz val="10"/>
        <color rgb="FF000000"/>
        <rFont val="Noto Sans CJK SC"/>
        <family val="2"/>
      </rPr>
      <t xml:space="preserve">报告口径</t>
    </r>
    <r>
      <rPr>
        <sz val="10"/>
        <color rgb="FF000000"/>
        <rFont val="Arial"/>
        <family val="0"/>
        <charset val="1"/>
      </rPr>
      <t xml:space="preserve">,</t>
    </r>
    <r>
      <rPr>
        <sz val="10"/>
        <color rgb="FF000000"/>
        <rFont val="Noto Sans CJK SC"/>
        <family val="2"/>
      </rPr>
      <t xml:space="preserve">含上年同期重述</t>
    </r>
    <r>
      <rPr>
        <sz val="10"/>
        <color rgb="FF000000"/>
        <rFont val="Arial"/>
        <family val="0"/>
        <charset val="1"/>
      </rPr>
      <t xml:space="preserve">)</t>
    </r>
  </si>
  <si>
    <r>
      <rPr>
        <sz val="10"/>
        <color rgb="FF000000"/>
        <rFont val="Noto Sans CJK SC"/>
        <family val="2"/>
      </rPr>
      <t xml:space="preserve">研发费用</t>
    </r>
    <r>
      <rPr>
        <sz val="10"/>
        <color rgb="FF000000"/>
        <rFont val="Arial"/>
        <family val="0"/>
        <charset val="1"/>
      </rPr>
      <t xml:space="preserve">|</t>
    </r>
    <r>
      <rPr>
        <sz val="10"/>
        <color rgb="FF000000"/>
        <rFont val="Noto Sans CJK SC"/>
        <family val="2"/>
      </rPr>
      <t xml:space="preserve">折旧摊销费用</t>
    </r>
  </si>
  <si>
    <r>
      <rPr>
        <b val="true"/>
        <sz val="10"/>
        <color rgb="FF1F3864"/>
        <rFont val="Noto Sans CJK SC"/>
        <family val="2"/>
      </rPr>
      <t xml:space="preserve">固定资产</t>
    </r>
    <r>
      <rPr>
        <b val="true"/>
        <sz val="10"/>
        <color rgb="FF1F3864"/>
        <rFont val="Arial"/>
        <family val="0"/>
        <charset val="1"/>
      </rPr>
      <t xml:space="preserve">/</t>
    </r>
    <r>
      <rPr>
        <b val="true"/>
        <sz val="10"/>
        <color rgb="FF1F3864"/>
        <rFont val="Noto Sans CJK SC"/>
        <family val="2"/>
      </rPr>
      <t xml:space="preserve">土地其他披露：经营租出、未办妥产权证书</t>
    </r>
    <r>
      <rPr>
        <b val="true"/>
        <sz val="10"/>
        <color rgb="FF1F3864"/>
        <rFont val="Arial"/>
        <family val="0"/>
        <charset val="1"/>
      </rPr>
      <t xml:space="preserve">(</t>
    </r>
    <r>
      <rPr>
        <b val="true"/>
        <sz val="10"/>
        <color rgb="FF1F3864"/>
        <rFont val="Noto Sans CJK SC"/>
        <family val="2"/>
      </rPr>
      <t xml:space="preserve">账面价值</t>
    </r>
    <r>
      <rPr>
        <b val="true"/>
        <sz val="10"/>
        <color rgb="FF1F3864"/>
        <rFont val="Arial"/>
        <family val="0"/>
        <charset val="1"/>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</si>
  <si>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七、固定资产</t>
    </r>
    <r>
      <rPr>
        <i val="true"/>
        <sz val="10"/>
        <color rgb="FF595959"/>
        <rFont val="Arial"/>
        <family val="0"/>
        <charset val="1"/>
      </rPr>
      <t xml:space="preserve">(3)(4) pdf p.126-127, </t>
    </r>
    <r>
      <rPr>
        <i val="true"/>
        <sz val="10"/>
        <color rgb="FF595959"/>
        <rFont val="Noto Sans CJK SC"/>
        <family val="2"/>
      </rPr>
      <t xml:space="preserve">无形资产</t>
    </r>
    <r>
      <rPr>
        <i val="true"/>
        <sz val="10"/>
        <color rgb="FF595959"/>
        <rFont val="Arial"/>
        <family val="0"/>
        <charset val="1"/>
      </rPr>
      <t xml:space="preserve">(2) ; FY2024</t>
    </r>
    <r>
      <rPr>
        <i val="true"/>
        <sz val="10"/>
        <color rgb="FF595959"/>
        <rFont val="Noto Sans CJK SC"/>
        <family val="2"/>
      </rPr>
      <t xml:space="preserve">年报 第十节 七、固定资产</t>
    </r>
    <r>
      <rPr>
        <i val="true"/>
        <sz val="10"/>
        <color rgb="FF595959"/>
        <rFont val="Arial"/>
        <family val="0"/>
        <charset val="1"/>
      </rPr>
      <t xml:space="preserve">(3)(4) pdf p.139-140, </t>
    </r>
    <r>
      <rPr>
        <i val="true"/>
        <sz val="10"/>
        <color rgb="FF595959"/>
        <rFont val="Noto Sans CJK SC"/>
        <family val="2"/>
      </rPr>
      <t xml:space="preserve">无形资产</t>
    </r>
    <r>
      <rPr>
        <i val="true"/>
        <sz val="10"/>
        <color rgb="FF595959"/>
        <rFont val="Arial"/>
        <family val="0"/>
        <charset val="1"/>
      </rPr>
      <t xml:space="preserve">(3) pdf p.145; 2025</t>
    </r>
    <r>
      <rPr>
        <i val="true"/>
        <sz val="10"/>
        <color rgb="FF595959"/>
        <rFont val="Noto Sans CJK SC"/>
        <family val="2"/>
      </rPr>
      <t xml:space="preserve">半年报 第八节 七、固定资产 </t>
    </r>
    <r>
      <rPr>
        <i val="true"/>
        <sz val="10"/>
        <color rgb="FF595959"/>
        <rFont val="Arial"/>
        <family val="0"/>
        <charset val="1"/>
      </rPr>
      <t xml:space="preserve">pdf p.84, </t>
    </r>
    <r>
      <rPr>
        <i val="true"/>
        <sz val="10"/>
        <color rgb="FF595959"/>
        <rFont val="Noto Sans CJK SC"/>
        <family val="2"/>
      </rPr>
      <t xml:space="preserve">无形资产</t>
    </r>
    <r>
      <rPr>
        <i val="true"/>
        <sz val="10"/>
        <color rgb="FF595959"/>
        <rFont val="Arial"/>
        <family val="0"/>
        <charset val="1"/>
      </rPr>
      <t xml:space="preserve">(2) pdf p.88; FY2025</t>
    </r>
    <r>
      <rPr>
        <i val="true"/>
        <sz val="10"/>
        <color rgb="FF595959"/>
        <rFont val="Noto Sans CJK SC"/>
        <family val="2"/>
      </rPr>
      <t xml:space="preserve">年报 第八节 七、</t>
    </r>
    <r>
      <rPr>
        <i val="true"/>
        <sz val="10"/>
        <color rgb="FF595959"/>
        <rFont val="Arial"/>
        <family val="0"/>
        <charset val="1"/>
      </rPr>
      <t xml:space="preserve">12(3)/15(3) pdf p.121/p.125</t>
    </r>
  </si>
  <si>
    <r>
      <rPr>
        <sz val="10"/>
        <color rgb="FF000000"/>
        <rFont val="Noto Sans CJK SC"/>
        <family val="2"/>
      </rPr>
      <t xml:space="preserve">通过经营租赁租出的固定资产</t>
    </r>
    <r>
      <rPr>
        <sz val="10"/>
        <color rgb="FF000000"/>
        <rFont val="Arial"/>
        <family val="0"/>
        <charset val="1"/>
      </rPr>
      <t xml:space="preserve">-</t>
    </r>
    <r>
      <rPr>
        <sz val="10"/>
        <color rgb="FF000000"/>
        <rFont val="Noto Sans CJK SC"/>
        <family val="2"/>
      </rPr>
      <t xml:space="preserve">房屋建筑物 期末账面价值</t>
    </r>
  </si>
  <si>
    <r>
      <rPr>
        <sz val="10"/>
        <color rgb="FF000000"/>
        <rFont val="Noto Sans CJK SC"/>
        <family val="2"/>
      </rPr>
      <t xml:space="preserve">未办妥产权证书的固定资产 账面价值合计</t>
    </r>
    <r>
      <rPr>
        <sz val="10"/>
        <color rgb="FF000000"/>
        <rFont val="Arial"/>
        <family val="0"/>
        <charset val="1"/>
      </rPr>
      <t xml:space="preserve">(</t>
    </r>
    <r>
      <rPr>
        <sz val="10"/>
        <color rgb="FF000000"/>
        <rFont val="Noto Sans CJK SC"/>
        <family val="2"/>
      </rPr>
      <t xml:space="preserve">均为办理中</t>
    </r>
    <r>
      <rPr>
        <sz val="10"/>
        <color rgb="FF000000"/>
        <rFont val="Arial"/>
        <family val="0"/>
        <charset val="1"/>
      </rPr>
      <t xml:space="preserve">)</t>
    </r>
  </si>
  <si>
    <r>
      <rPr>
        <sz val="10"/>
        <color rgb="FF000000"/>
        <rFont val="Noto Sans CJK SC"/>
        <family val="2"/>
      </rPr>
      <t xml:space="preserve">未办妥产权证书的土地使用权</t>
    </r>
    <r>
      <rPr>
        <sz val="10"/>
        <color rgb="FF000000"/>
        <rFont val="Arial"/>
        <family val="0"/>
        <charset val="1"/>
      </rPr>
      <t xml:space="preserve">(</t>
    </r>
    <r>
      <rPr>
        <sz val="10"/>
        <color rgb="FF000000"/>
        <rFont val="Noto Sans CJK SC"/>
        <family val="2"/>
      </rPr>
      <t xml:space="preserve">四厂区</t>
    </r>
    <r>
      <rPr>
        <sz val="10"/>
        <color rgb="FF000000"/>
        <rFont val="Arial"/>
        <family val="0"/>
        <charset val="1"/>
      </rPr>
      <t xml:space="preserve">) </t>
    </r>
    <r>
      <rPr>
        <sz val="10"/>
        <color rgb="FF000000"/>
        <rFont val="Noto Sans CJK SC"/>
        <family val="2"/>
      </rPr>
      <t xml:space="preserve">账面价值</t>
    </r>
  </si>
  <si>
    <r>
      <rPr>
        <b val="true"/>
        <sz val="10"/>
        <color rgb="FF1F3864"/>
        <rFont val="Noto Sans CJK SC"/>
        <family val="2"/>
      </rPr>
      <t xml:space="preserve">商誉</t>
    </r>
    <r>
      <rPr>
        <b val="true"/>
        <sz val="10"/>
        <color rgb="FF1F3864"/>
        <rFont val="Arial"/>
        <family val="0"/>
        <charset val="1"/>
      </rPr>
      <t xml:space="preserve">(Vermes Microdispensing GmbH)</t>
    </r>
    <r>
      <rPr>
        <b val="true"/>
        <sz val="10"/>
        <color rgb="FF1F3864"/>
        <rFont val="Noto Sans CJK SC"/>
        <family val="2"/>
      </rPr>
      <t xml:space="preserve">：原值</t>
    </r>
    <r>
      <rPr>
        <b val="true"/>
        <sz val="10"/>
        <color rgb="FF1F3864"/>
        <rFont val="Arial"/>
        <family val="0"/>
        <charset val="1"/>
      </rPr>
      <t xml:space="preserve">/</t>
    </r>
    <r>
      <rPr>
        <b val="true"/>
        <sz val="10"/>
        <color rgb="FF1F3864"/>
        <rFont val="Noto Sans CJK SC"/>
        <family val="2"/>
      </rPr>
      <t xml:space="preserve">减值准备</t>
    </r>
    <r>
      <rPr>
        <b val="true"/>
        <sz val="10"/>
        <color rgb="FF1F3864"/>
        <rFont val="Arial"/>
        <family val="0"/>
        <charset val="1"/>
      </rPr>
      <t xml:space="preserve">/</t>
    </r>
    <r>
      <rPr>
        <b val="true"/>
        <sz val="10"/>
        <color rgb="FF1F3864"/>
        <rFont val="Noto Sans CJK SC"/>
        <family val="2"/>
      </rPr>
      <t xml:space="preserve">账面价值；变动全部为外币报表折算</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</si>
  <si>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 第十节 七、商誉 </t>
    </r>
    <r>
      <rPr>
        <i val="true"/>
        <sz val="10"/>
        <color rgb="FF595959"/>
        <rFont val="Arial"/>
        <family val="0"/>
        <charset val="1"/>
      </rPr>
      <t xml:space="preserve">pdf p.132 (FY2022=</t>
    </r>
    <r>
      <rPr>
        <i val="true"/>
        <sz val="10"/>
        <color rgb="FF595959"/>
        <rFont val="Noto Sans CJK SC"/>
        <family val="2"/>
      </rPr>
      <t xml:space="preserve">期初</t>
    </r>
    <r>
      <rPr>
        <i val="true"/>
        <sz val="10"/>
        <color rgb="FF595959"/>
        <rFont val="Arial"/>
        <family val="0"/>
        <charset val="1"/>
      </rPr>
      <t xml:space="preserve">); FY2024</t>
    </r>
    <r>
      <rPr>
        <i val="true"/>
        <sz val="10"/>
        <color rgb="FF595959"/>
        <rFont val="Noto Sans CJK SC"/>
        <family val="2"/>
      </rPr>
      <t xml:space="preserve">年报 第十节 七、商誉 </t>
    </r>
    <r>
      <rPr>
        <i val="true"/>
        <sz val="10"/>
        <color rgb="FF595959"/>
        <rFont val="Arial"/>
        <family val="0"/>
        <charset val="1"/>
      </rPr>
      <t xml:space="preserve">pdf p.145; 2025</t>
    </r>
    <r>
      <rPr>
        <i val="true"/>
        <sz val="10"/>
        <color rgb="FF595959"/>
        <rFont val="Noto Sans CJK SC"/>
        <family val="2"/>
      </rPr>
      <t xml:space="preserve">半年报 第八节 七、商誉 </t>
    </r>
    <r>
      <rPr>
        <i val="true"/>
        <sz val="10"/>
        <color rgb="FF595959"/>
        <rFont val="Arial"/>
        <family val="0"/>
        <charset val="1"/>
      </rPr>
      <t xml:space="preserve">pdf p.88-89; FY2025</t>
    </r>
    <r>
      <rPr>
        <i val="true"/>
        <sz val="10"/>
        <color rgb="FF595959"/>
        <rFont val="Noto Sans CJK SC"/>
        <family val="2"/>
      </rPr>
      <t xml:space="preserve">年报 第八节 七、</t>
    </r>
    <r>
      <rPr>
        <i val="true"/>
        <sz val="10"/>
        <color rgb="FF595959"/>
        <rFont val="Arial"/>
        <family val="0"/>
        <charset val="1"/>
      </rPr>
      <t xml:space="preserve">16</t>
    </r>
    <r>
      <rPr>
        <i val="true"/>
        <sz val="10"/>
        <color rgb="FF595959"/>
        <rFont val="Noto Sans CJK SC"/>
        <family val="2"/>
      </rPr>
      <t xml:space="preserve">、商誉 </t>
    </r>
    <r>
      <rPr>
        <i val="true"/>
        <sz val="10"/>
        <color rgb="FF595959"/>
        <rFont val="Arial"/>
        <family val="0"/>
        <charset val="1"/>
      </rPr>
      <t xml:space="preserve">pdf p.124-125; 2026</t>
    </r>
    <r>
      <rPr>
        <i val="true"/>
        <sz val="10"/>
        <color rgb="FF595959"/>
        <rFont val="Noto Sans CJK SC"/>
        <family val="2"/>
      </rPr>
      <t xml:space="preserve">半年报 第八节 七、商誉 </t>
    </r>
    <r>
      <rPr>
        <i val="true"/>
        <sz val="10"/>
        <color rgb="FF595959"/>
        <rFont val="Arial"/>
        <family val="0"/>
        <charset val="1"/>
      </rPr>
      <t xml:space="preserve">pdf p.89</t>
    </r>
  </si>
  <si>
    <t xml:space="preserve">商誉原值 期末余额</t>
  </si>
  <si>
    <r>
      <rPr>
        <sz val="10"/>
        <color rgb="FF000000"/>
        <rFont val="Noto Sans CJK SC"/>
        <family val="2"/>
      </rPr>
      <t xml:space="preserve">商誉原值 本期外币报表折算变动</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</si>
  <si>
    <t xml:space="preserve">商誉减值准备 期末余额</t>
  </si>
  <si>
    <t xml:space="preserve">商誉减值准备 本期计提</t>
  </si>
  <si>
    <r>
      <rPr>
        <sz val="10"/>
        <color rgb="FF000000"/>
        <rFont val="Noto Sans CJK SC"/>
        <family val="2"/>
      </rPr>
      <t xml:space="preserve">商誉减值准备 本期外币报表折算变动</t>
    </r>
    <r>
      <rPr>
        <sz val="10"/>
        <color rgb="FF000000"/>
        <rFont val="Arial"/>
        <family val="0"/>
        <charset val="1"/>
      </rPr>
      <t xml:space="preserve">(+</t>
    </r>
    <r>
      <rPr>
        <sz val="10"/>
        <color rgb="FF000000"/>
        <rFont val="Noto Sans CJK SC"/>
        <family val="2"/>
      </rPr>
      <t xml:space="preserve">增加</t>
    </r>
    <r>
      <rPr>
        <sz val="10"/>
        <color rgb="FF000000"/>
        <rFont val="Arial"/>
        <family val="0"/>
        <charset val="1"/>
      </rPr>
      <t xml:space="preserve">/-</t>
    </r>
    <r>
      <rPr>
        <sz val="10"/>
        <color rgb="FF000000"/>
        <rFont val="Noto Sans CJK SC"/>
        <family val="2"/>
      </rPr>
      <t xml:space="preserve">减少</t>
    </r>
    <r>
      <rPr>
        <sz val="10"/>
        <color rgb="FF000000"/>
        <rFont val="Arial"/>
        <family val="0"/>
        <charset val="1"/>
      </rPr>
      <t xml:space="preserve">)</t>
    </r>
  </si>
  <si>
    <r>
      <rPr>
        <sz val="10"/>
        <color rgb="FF000000"/>
        <rFont val="Noto Sans CJK SC"/>
        <family val="2"/>
      </rPr>
      <t xml:space="preserve">商誉账面价值</t>
    </r>
    <r>
      <rPr>
        <sz val="10"/>
        <color rgb="FF000000"/>
        <rFont val="Arial"/>
        <family val="0"/>
        <charset val="1"/>
      </rPr>
      <t xml:space="preserve">(=</t>
    </r>
    <r>
      <rPr>
        <sz val="10"/>
        <color rgb="FF000000"/>
        <rFont val="Noto Sans CJK SC"/>
        <family val="2"/>
      </rPr>
      <t xml:space="preserve">资产负债表商誉</t>
    </r>
    <r>
      <rPr>
        <sz val="10"/>
        <color rgb="FF000000"/>
        <rFont val="Arial"/>
        <family val="0"/>
        <charset val="1"/>
      </rPr>
      <t xml:space="preserve">)</t>
    </r>
  </si>
  <si>
    <r>
      <rPr>
        <b val="true"/>
        <sz val="10"/>
        <color rgb="FF1F3864"/>
        <rFont val="Noto Sans CJK SC"/>
        <family val="2"/>
      </rPr>
      <t xml:space="preserve">在建工程总额滚动</t>
    </r>
    <r>
      <rPr>
        <b val="true"/>
        <sz val="10"/>
        <color rgb="FF1F3864"/>
        <rFont val="Arial"/>
        <family val="0"/>
        <charset val="1"/>
      </rPr>
      <t xml:space="preserve">(</t>
    </r>
    <r>
      <rPr>
        <b val="true"/>
        <sz val="10"/>
        <color rgb="FF1F3864"/>
        <rFont val="Noto Sans CJK SC"/>
        <family val="2"/>
      </rPr>
      <t xml:space="preserve">倒算本期增加</t>
    </r>
    <r>
      <rPr>
        <b val="true"/>
        <sz val="10"/>
        <color rgb="FF1F3864"/>
        <rFont val="Arial"/>
        <family val="0"/>
        <charset val="1"/>
      </rPr>
      <t xml:space="preserve">) </t>
    </r>
    <r>
      <rPr>
        <b val="true"/>
        <sz val="10"/>
        <color rgb="FF1F3864"/>
        <rFont val="Noto Sans CJK SC"/>
        <family val="2"/>
      </rPr>
      <t xml:space="preserve">与 权责发生制资本开支 </t>
    </r>
    <r>
      <rPr>
        <b val="true"/>
        <sz val="10"/>
        <color rgb="FF1F3864"/>
        <rFont val="Arial"/>
        <family val="0"/>
        <charset val="1"/>
      </rPr>
      <t xml:space="preserve">vs </t>
    </r>
    <r>
      <rPr>
        <b val="true"/>
        <sz val="10"/>
        <color rgb="FF1F3864"/>
        <rFont val="Noto Sans CJK SC"/>
        <family val="2"/>
      </rPr>
      <t xml:space="preserve">现金资本开支 — </t>
    </r>
    <r>
      <rPr>
        <b val="true"/>
        <sz val="10"/>
        <color rgb="FF1F3864"/>
        <rFont val="Arial"/>
        <family val="0"/>
        <charset val="1"/>
      </rPr>
      <t xml:space="preserve">DERIVED, not disclosed as such</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</si>
  <si>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Derived from D1_cip_balance_by_item / D1_cip_balance_by_category (BS </t>
    </r>
    <r>
      <rPr>
        <i val="true"/>
        <sz val="10"/>
        <color rgb="FF595959"/>
        <rFont val="Noto Sans CJK SC"/>
        <family val="2"/>
      </rPr>
      <t xml:space="preserve">在建工程</t>
    </r>
    <r>
      <rPr>
        <i val="true"/>
        <sz val="10"/>
        <color rgb="FF595959"/>
        <rFont val="Arial"/>
        <family val="0"/>
        <charset val="1"/>
      </rPr>
      <t xml:space="preserve">), D1_ppe_rf_* (</t>
    </r>
    <r>
      <rPr>
        <i val="true"/>
        <sz val="10"/>
        <color rgb="FF595959"/>
        <rFont val="Noto Sans CJK SC"/>
        <family val="2"/>
      </rPr>
      <t xml:space="preserve">在建工程转入</t>
    </r>
    <r>
      <rPr>
        <i val="true"/>
        <sz val="10"/>
        <color rgb="FF595959"/>
        <rFont val="Arial"/>
        <family val="0"/>
        <charset val="1"/>
      </rPr>
      <t xml:space="preserve">, </t>
    </r>
    <r>
      <rPr>
        <i val="true"/>
        <sz val="10"/>
        <color rgb="FF595959"/>
        <rFont val="Noto Sans CJK SC"/>
        <family val="2"/>
      </rPr>
      <t xml:space="preserve">购置</t>
    </r>
    <r>
      <rPr>
        <i val="true"/>
        <sz val="10"/>
        <color rgb="FF595959"/>
        <rFont val="Arial"/>
        <family val="0"/>
        <charset val="1"/>
      </rPr>
      <t xml:space="preserve">), D1_cip_projects_FY2024 (</t>
    </r>
    <r>
      <rPr>
        <i val="true"/>
        <sz val="10"/>
        <color rgb="FF595959"/>
        <rFont val="Noto Sans CJK SC"/>
        <family val="2"/>
      </rPr>
      <t xml:space="preserve">其他减少 </t>
    </r>
    <r>
      <rPr>
        <i val="true"/>
        <sz val="10"/>
        <color rgb="FF595959"/>
        <rFont val="Arial"/>
        <family val="0"/>
        <charset val="1"/>
      </rPr>
      <t xml:space="preserve">42,489,228.49 → </t>
    </r>
    <r>
      <rPr>
        <i val="true"/>
        <sz val="10"/>
        <color rgb="FF595959"/>
        <rFont val="Noto Sans CJK SC"/>
        <family val="2"/>
      </rPr>
      <t xml:space="preserve">投资性房地产</t>
    </r>
    <r>
      <rPr>
        <i val="true"/>
        <sz val="10"/>
        <color rgb="FF595959"/>
        <rFont val="Arial"/>
        <family val="0"/>
        <charset val="1"/>
      </rPr>
      <t xml:space="preserve">), D1_intangibles_rf_* (</t>
    </r>
    <r>
      <rPr>
        <i val="true"/>
        <sz val="10"/>
        <color rgb="FF595959"/>
        <rFont val="Noto Sans CJK SC"/>
        <family val="2"/>
      </rPr>
      <t xml:space="preserve">购置</t>
    </r>
    <r>
      <rPr>
        <i val="true"/>
        <sz val="10"/>
        <color rgb="FF595959"/>
        <rFont val="Arial"/>
        <family val="0"/>
        <charset val="1"/>
      </rPr>
      <t xml:space="preserve">), D1_ltprepaid_rf (</t>
    </r>
    <r>
      <rPr>
        <i val="true"/>
        <sz val="10"/>
        <color rgb="FF595959"/>
        <rFont val="Noto Sans CJK SC"/>
        <family val="2"/>
      </rPr>
      <t xml:space="preserve">本</t>
    </r>
  </si>
  <si>
    <r>
      <rPr>
        <sz val="10"/>
        <color rgb="FF000000"/>
        <rFont val="Noto Sans CJK SC"/>
        <family val="2"/>
      </rPr>
      <t xml:space="preserve">在建工程 期初余额</t>
    </r>
    <r>
      <rPr>
        <sz val="10"/>
        <color rgb="FF000000"/>
        <rFont val="Arial"/>
        <family val="0"/>
        <charset val="1"/>
      </rPr>
      <t xml:space="preserve">(BS)</t>
    </r>
  </si>
  <si>
    <r>
      <rPr>
        <sz val="10"/>
        <color rgb="FF000000"/>
        <rFont val="Noto Sans CJK SC"/>
        <family val="2"/>
      </rPr>
      <t xml:space="preserve">减</t>
    </r>
    <r>
      <rPr>
        <sz val="10"/>
        <color rgb="FF000000"/>
        <rFont val="Arial"/>
        <family val="0"/>
        <charset val="1"/>
      </rPr>
      <t xml:space="preserve">:</t>
    </r>
    <r>
      <rPr>
        <sz val="10"/>
        <color rgb="FF000000"/>
        <rFont val="Noto Sans CJK SC"/>
        <family val="2"/>
      </rPr>
      <t xml:space="preserve">转入固定资产</t>
    </r>
    <r>
      <rPr>
        <sz val="10"/>
        <color rgb="FF000000"/>
        <rFont val="Arial"/>
        <family val="0"/>
        <charset val="1"/>
      </rPr>
      <t xml:space="preserve">(=</t>
    </r>
    <r>
      <rPr>
        <sz val="10"/>
        <color rgb="FF000000"/>
        <rFont val="Noto Sans CJK SC"/>
        <family val="2"/>
      </rPr>
      <t xml:space="preserve">固定资产变动表 在建工程转入 合计</t>
    </r>
    <r>
      <rPr>
        <sz val="10"/>
        <color rgb="FF000000"/>
        <rFont val="Arial"/>
        <family val="0"/>
        <charset val="1"/>
      </rPr>
      <t xml:space="preserve">)</t>
    </r>
  </si>
  <si>
    <r>
      <rPr>
        <sz val="10"/>
        <color rgb="FF000000"/>
        <rFont val="Noto Sans CJK SC"/>
        <family val="2"/>
      </rPr>
      <t xml:space="preserve">减</t>
    </r>
    <r>
      <rPr>
        <sz val="10"/>
        <color rgb="FF000000"/>
        <rFont val="Arial"/>
        <family val="0"/>
        <charset val="1"/>
      </rPr>
      <t xml:space="preserve">:</t>
    </r>
    <r>
      <rPr>
        <sz val="10"/>
        <color rgb="FF000000"/>
        <rFont val="Noto Sans CJK SC"/>
        <family val="2"/>
      </rPr>
      <t xml:space="preserve">转入投资性房地产</t>
    </r>
    <r>
      <rPr>
        <sz val="10"/>
        <color rgb="FF000000"/>
        <rFont val="Arial"/>
        <family val="0"/>
        <charset val="1"/>
      </rPr>
      <t xml:space="preserve">(</t>
    </r>
    <r>
      <rPr>
        <sz val="10"/>
        <color rgb="FF000000"/>
        <rFont val="Noto Sans CJK SC"/>
        <family val="2"/>
      </rPr>
      <t xml:space="preserve">成都三环研究院 其他减少</t>
    </r>
    <r>
      <rPr>
        <sz val="10"/>
        <color rgb="FF000000"/>
        <rFont val="Arial"/>
        <family val="0"/>
        <charset val="1"/>
      </rPr>
      <t xml:space="preserve">)</t>
    </r>
  </si>
  <si>
    <r>
      <rPr>
        <sz val="10"/>
        <color rgb="FF000000"/>
        <rFont val="Noto Sans CJK SC"/>
        <family val="2"/>
      </rPr>
      <t xml:space="preserve">在建工程 期末余额</t>
    </r>
    <r>
      <rPr>
        <sz val="10"/>
        <color rgb="FF000000"/>
        <rFont val="Arial"/>
        <family val="0"/>
        <charset val="1"/>
      </rPr>
      <t xml:space="preserve">(BS)</t>
    </r>
  </si>
  <si>
    <r>
      <rPr>
        <sz val="10"/>
        <color rgb="FF000000"/>
        <rFont val="Noto Sans CJK SC"/>
        <family val="2"/>
      </rPr>
      <t xml:space="preserve">倒算</t>
    </r>
    <r>
      <rPr>
        <sz val="10"/>
        <color rgb="FF000000"/>
        <rFont val="Arial"/>
        <family val="0"/>
        <charset val="1"/>
      </rPr>
      <t xml:space="preserve">:</t>
    </r>
    <r>
      <rPr>
        <sz val="10"/>
        <color rgb="FF000000"/>
        <rFont val="Noto Sans CJK SC"/>
        <family val="2"/>
      </rPr>
      <t xml:space="preserve">在建工程本期增加</t>
    </r>
    <r>
      <rPr>
        <sz val="10"/>
        <color rgb="FF000000"/>
        <rFont val="Arial"/>
        <family val="0"/>
        <charset val="1"/>
      </rPr>
      <t xml:space="preserve">(</t>
    </r>
    <r>
      <rPr>
        <sz val="10"/>
        <color rgb="FF000000"/>
        <rFont val="Noto Sans CJK SC"/>
        <family val="2"/>
      </rPr>
      <t xml:space="preserve">含未单列项目、汇率变动</t>
    </r>
    <r>
      <rPr>
        <sz val="10"/>
        <color rgb="FF000000"/>
        <rFont val="Arial"/>
        <family val="0"/>
        <charset val="1"/>
      </rPr>
      <t xml:space="preserve">)</t>
    </r>
  </si>
  <si>
    <t xml:space="preserve">固定资产 直接购置</t>
  </si>
  <si>
    <t xml:space="preserve">无形资产 购置</t>
  </si>
  <si>
    <t xml:space="preserve">长期待摊费用 本期增加</t>
  </si>
  <si>
    <r>
      <rPr>
        <sz val="10"/>
        <color rgb="FF000000"/>
        <rFont val="Noto Sans CJK SC"/>
        <family val="2"/>
      </rPr>
      <t xml:space="preserve">权责发生制资本开支合计</t>
    </r>
    <r>
      <rPr>
        <sz val="10"/>
        <color rgb="FF000000"/>
        <rFont val="Arial"/>
        <family val="0"/>
        <charset val="1"/>
      </rPr>
      <t xml:space="preserve">(=</t>
    </r>
    <r>
      <rPr>
        <sz val="10"/>
        <color rgb="FF000000"/>
        <rFont val="Noto Sans CJK SC"/>
        <family val="2"/>
      </rPr>
      <t xml:space="preserve">固定资产购置</t>
    </r>
    <r>
      <rPr>
        <sz val="10"/>
        <color rgb="FF000000"/>
        <rFont val="Arial"/>
        <family val="0"/>
        <charset val="1"/>
      </rPr>
      <t xml:space="preserve">+</t>
    </r>
    <r>
      <rPr>
        <sz val="10"/>
        <color rgb="FF000000"/>
        <rFont val="Noto Sans CJK SC"/>
        <family val="2"/>
      </rPr>
      <t xml:space="preserve">在建工程增加</t>
    </r>
    <r>
      <rPr>
        <sz val="10"/>
        <color rgb="FF000000"/>
        <rFont val="Arial"/>
        <family val="0"/>
        <charset val="1"/>
      </rPr>
      <t xml:space="preserve">+</t>
    </r>
    <r>
      <rPr>
        <sz val="10"/>
        <color rgb="FF000000"/>
        <rFont val="Noto Sans CJK SC"/>
        <family val="2"/>
      </rPr>
      <t xml:space="preserve">无形资产购置</t>
    </r>
    <r>
      <rPr>
        <sz val="10"/>
        <color rgb="FF000000"/>
        <rFont val="Arial"/>
        <family val="0"/>
        <charset val="1"/>
      </rPr>
      <t xml:space="preserve">+</t>
    </r>
    <r>
      <rPr>
        <sz val="10"/>
        <color rgb="FF000000"/>
        <rFont val="Noto Sans CJK SC"/>
        <family val="2"/>
      </rPr>
      <t xml:space="preserve">长期待摊增加</t>
    </r>
    <r>
      <rPr>
        <sz val="10"/>
        <color rgb="FF000000"/>
        <rFont val="Arial"/>
        <family val="0"/>
        <charset val="1"/>
      </rPr>
      <t xml:space="preserve">)</t>
    </r>
  </si>
  <si>
    <t xml:space="preserve">现金流量表 购建固定资产、无形资产和其他长期资产支付的现金</t>
  </si>
  <si>
    <r>
      <rPr>
        <b val="true"/>
        <sz val="10"/>
        <color rgb="FF1F3864"/>
        <rFont val="Noto Sans CJK SC"/>
        <family val="2"/>
      </rPr>
      <t xml:space="preserve">募投项目达到预定可使用状态日期</t>
    </r>
    <r>
      <rPr>
        <b val="true"/>
        <sz val="10"/>
        <color rgb="FF1F3864"/>
        <rFont val="Arial"/>
        <family val="0"/>
        <charset val="1"/>
      </rPr>
      <t xml:space="preserve">(</t>
    </r>
    <r>
      <rPr>
        <b val="true"/>
        <sz val="10"/>
        <color rgb="FF1F3864"/>
        <rFont val="Noto Sans CJK SC"/>
        <family val="2"/>
      </rPr>
      <t xml:space="preserve">各期报告披露</t>
    </r>
    <r>
      <rPr>
        <b val="true"/>
        <sz val="10"/>
        <color rgb="FF1F3864"/>
        <rFont val="Arial"/>
        <family val="0"/>
        <charset val="1"/>
      </rPr>
      <t xml:space="preserve">)</t>
    </r>
  </si>
  <si>
    <r>
      <rPr>
        <i val="true"/>
        <sz val="10"/>
        <color rgb="FF595959"/>
        <rFont val="Noto Sans CJK SC"/>
        <family val="2"/>
      </rPr>
      <t xml:space="preserve">单位：</t>
    </r>
    <r>
      <rPr>
        <i val="true"/>
        <sz val="10"/>
        <color rgb="FF595959"/>
        <rFont val="Arial"/>
        <family val="0"/>
        <charset val="1"/>
      </rPr>
      <t xml:space="preserve">date (YYYY-MM-DD)</t>
    </r>
    <r>
      <rPr>
        <i val="true"/>
        <sz val="10"/>
        <color rgb="FF595959"/>
        <rFont val="Noto Sans CJK SC"/>
        <family val="2"/>
      </rPr>
      <t xml:space="preserve">；来源：募集资金承诺项目情况 </t>
    </r>
    <r>
      <rPr>
        <i val="true"/>
        <sz val="10"/>
        <color rgb="FF595959"/>
        <rFont val="Arial"/>
        <family val="0"/>
        <charset val="1"/>
      </rPr>
      <t xml:space="preserve">table: FY2023</t>
    </r>
    <r>
      <rPr>
        <i val="true"/>
        <sz val="10"/>
        <color rgb="FF595959"/>
        <rFont val="Noto Sans CJK SC"/>
        <family val="2"/>
      </rPr>
      <t xml:space="preserve">年报 </t>
    </r>
    <r>
      <rPr>
        <i val="true"/>
        <sz val="10"/>
        <color rgb="FF595959"/>
        <rFont val="Arial"/>
        <family val="0"/>
        <charset val="1"/>
      </rPr>
      <t xml:space="preserve">pdf p.20-21; FY2024</t>
    </r>
    <r>
      <rPr>
        <i val="true"/>
        <sz val="10"/>
        <color rgb="FF595959"/>
        <rFont val="Noto Sans CJK SC"/>
        <family val="2"/>
      </rPr>
      <t xml:space="preserve">年报 </t>
    </r>
    <r>
      <rPr>
        <i val="true"/>
        <sz val="10"/>
        <color rgb="FF595959"/>
        <rFont val="Arial"/>
        <family val="0"/>
        <charset val="1"/>
      </rPr>
      <t xml:space="preserve">pdf p.21-22; 2025</t>
    </r>
    <r>
      <rPr>
        <i val="true"/>
        <sz val="10"/>
        <color rgb="FF595959"/>
        <rFont val="Noto Sans CJK SC"/>
        <family val="2"/>
      </rPr>
      <t xml:space="preserve">半年报 </t>
    </r>
    <r>
      <rPr>
        <i val="true"/>
        <sz val="10"/>
        <color rgb="FF595959"/>
        <rFont val="Arial"/>
        <family val="0"/>
        <charset val="1"/>
      </rPr>
      <t xml:space="preserve">pdf p.14; FY2025</t>
    </r>
    <r>
      <rPr>
        <i val="true"/>
        <sz val="10"/>
        <color rgb="FF595959"/>
        <rFont val="Noto Sans CJK SC"/>
        <family val="2"/>
      </rPr>
      <t xml:space="preserve">年报 </t>
    </r>
    <r>
      <rPr>
        <i val="true"/>
        <sz val="10"/>
        <color rgb="FF595959"/>
        <rFont val="Arial"/>
        <family val="0"/>
        <charset val="1"/>
      </rPr>
      <t xml:space="preserve">pdf p.51-52; 2026</t>
    </r>
    <r>
      <rPr>
        <i val="true"/>
        <sz val="10"/>
        <color rgb="FF595959"/>
        <rFont val="Noto Sans CJK SC"/>
        <family val="2"/>
      </rPr>
      <t xml:space="preserve">半年报 </t>
    </r>
    <r>
      <rPr>
        <i val="true"/>
        <sz val="10"/>
        <color rgb="FF595959"/>
        <rFont val="Arial"/>
        <family val="0"/>
        <charset val="1"/>
      </rPr>
      <t xml:space="preserve">pdf p.14</t>
    </r>
  </si>
  <si>
    <r>
      <rPr>
        <sz val="10"/>
        <color rgb="FF000000"/>
        <rFont val="Noto Sans CJK SC"/>
        <family val="2"/>
      </rPr>
      <t xml:space="preserve">高容量系列多层片式陶瓷电容器扩产项目</t>
    </r>
    <r>
      <rPr>
        <sz val="10"/>
        <color rgb="FF000000"/>
        <rFont val="Arial"/>
        <family val="0"/>
        <charset val="1"/>
      </rPr>
      <t xml:space="preserve">(</t>
    </r>
    <r>
      <rPr>
        <sz val="10"/>
        <color rgb="FF000000"/>
        <rFont val="Noto Sans CJK SC"/>
        <family val="2"/>
      </rPr>
      <t xml:space="preserve">实施主体</t>
    </r>
    <r>
      <rPr>
        <sz val="10"/>
        <color rgb="FF000000"/>
        <rFont val="Arial"/>
        <family val="0"/>
        <charset val="1"/>
      </rPr>
      <t xml:space="preserve">:</t>
    </r>
    <r>
      <rPr>
        <sz val="10"/>
        <color rgb="FF000000"/>
        <rFont val="Noto Sans CJK SC"/>
        <family val="2"/>
      </rPr>
      <t xml:space="preserve">南充三环、德阳三环</t>
    </r>
    <r>
      <rPr>
        <sz val="10"/>
        <color rgb="FF000000"/>
        <rFont val="Arial"/>
        <family val="0"/>
        <charset val="1"/>
      </rPr>
      <t xml:space="preserve">)</t>
    </r>
  </si>
  <si>
    <t xml:space="preserve">2025-05-10</t>
  </si>
  <si>
    <t xml:space="preserve">2027-05-31</t>
  </si>
  <si>
    <r>
      <rPr>
        <sz val="10"/>
        <color rgb="FF000000"/>
        <rFont val="Noto Sans CJK SC"/>
        <family val="2"/>
      </rPr>
      <t xml:space="preserve">深圳三环研发基地建设项目</t>
    </r>
    <r>
      <rPr>
        <sz val="10"/>
        <color rgb="FF000000"/>
        <rFont val="Arial"/>
        <family val="0"/>
        <charset val="1"/>
      </rPr>
      <t xml:space="preserve">(2024-06-30</t>
    </r>
    <r>
      <rPr>
        <sz val="10"/>
        <color rgb="FF000000"/>
        <rFont val="Noto Sans CJK SC"/>
        <family val="2"/>
      </rPr>
      <t xml:space="preserve">已建成</t>
    </r>
    <r>
      <rPr>
        <sz val="10"/>
        <color rgb="FF000000"/>
        <rFont val="Arial"/>
        <family val="0"/>
        <charset val="1"/>
      </rPr>
      <t xml:space="preserve">; 2024-07-22</t>
    </r>
    <r>
      <rPr>
        <sz val="10"/>
        <color rgb="FF000000"/>
        <rFont val="Noto Sans CJK SC"/>
        <family val="2"/>
      </rPr>
      <t xml:space="preserve">结项</t>
    </r>
    <r>
      <rPr>
        <sz val="10"/>
        <color rgb="FF000000"/>
        <rFont val="Arial"/>
        <family val="0"/>
        <charset val="1"/>
      </rPr>
      <t xml:space="preserve">,</t>
    </r>
    <r>
      <rPr>
        <sz val="10"/>
        <color rgb="FF000000"/>
        <rFont val="Noto Sans CJK SC"/>
        <family val="2"/>
      </rPr>
      <t xml:space="preserve">节余</t>
    </r>
    <r>
      <rPr>
        <sz val="10"/>
        <color rgb="FF000000"/>
        <rFont val="Arial"/>
        <family val="0"/>
        <charset val="1"/>
      </rPr>
      <t xml:space="preserve">1,337.34</t>
    </r>
    <r>
      <rPr>
        <sz val="10"/>
        <color rgb="FF000000"/>
        <rFont val="Noto Sans CJK SC"/>
        <family val="2"/>
      </rPr>
      <t xml:space="preserve">万元永久补流</t>
    </r>
    <r>
      <rPr>
        <sz val="10"/>
        <color rgb="FF000000"/>
        <rFont val="Arial"/>
        <family val="0"/>
        <charset val="1"/>
      </rPr>
      <t xml:space="preserve">)</t>
    </r>
  </si>
  <si>
    <t xml:space="preserve">2024-05-10</t>
  </si>
  <si>
    <r>
      <rPr>
        <b val="true"/>
        <sz val="10"/>
        <color rgb="FF1F3864"/>
        <rFont val="Arial"/>
        <family val="0"/>
        <charset val="1"/>
      </rPr>
      <t xml:space="preserve">D2</t>
    </r>
    <r>
      <rPr>
        <b val="true"/>
        <sz val="10"/>
        <color rgb="FF1F3864"/>
        <rFont val="Noto Sans CJK SC"/>
        <family val="2"/>
      </rPr>
      <t xml:space="preserve">　货币资金、理财、借款、分红与回购</t>
    </r>
  </si>
  <si>
    <t xml:space="preserve">货币资金构成、受限资金及现金等价物调节（合并）</t>
  </si>
  <si>
    <r>
      <rPr>
        <i val="true"/>
        <sz val="10"/>
        <color rgb="FF595959"/>
        <rFont val="Noto Sans CJK SC"/>
        <family val="2"/>
      </rPr>
      <t xml:space="preserve">单位：百万元（原表单位元；比例、单价、股数、人数等非金额行列保持原值；原单位说明：元）；来源：货币资金附注 七、</t>
    </r>
    <r>
      <rPr>
        <i val="true"/>
        <sz val="10"/>
        <color rgb="FF595959"/>
        <rFont val="Arial"/>
        <family val="0"/>
        <charset val="1"/>
      </rPr>
      <t xml:space="preserve">1</t>
    </r>
    <r>
      <rPr>
        <i val="true"/>
        <sz val="10"/>
        <color rgb="FF595959"/>
        <rFont val="Noto Sans CJK SC"/>
        <family val="2"/>
      </rPr>
      <t xml:space="preserve">（</t>
    </r>
    <r>
      <rPr>
        <i val="true"/>
        <sz val="10"/>
        <color rgb="FF595959"/>
        <rFont val="Arial"/>
        <family val="0"/>
        <charset val="1"/>
      </rPr>
      <t xml:space="preserve">FY2023 AR p.112; FY2024 AR p.123; FY2025 AR p.109; 2025H1 p.69; 2026H1 p.73</t>
    </r>
    <r>
      <rPr>
        <i val="true"/>
        <sz val="10"/>
        <color rgb="FF595959"/>
        <rFont val="Noto Sans CJK SC"/>
        <family val="2"/>
      </rPr>
      <t xml:space="preserve">）；所有权或使用权受到限制的资产附注（</t>
    </r>
    <r>
      <rPr>
        <i val="true"/>
        <sz val="10"/>
        <color rgb="FF595959"/>
        <rFont val="Arial"/>
        <family val="0"/>
        <charset val="1"/>
      </rPr>
      <t xml:space="preserve">FY2023 </t>
    </r>
    <r>
      <rPr>
        <i val="true"/>
        <sz val="10"/>
        <color rgb="FF595959"/>
        <rFont val="Noto Sans CJK SC"/>
        <family val="2"/>
      </rPr>
      <t xml:space="preserve">七、</t>
    </r>
    <r>
      <rPr>
        <i val="true"/>
        <sz val="10"/>
        <color rgb="FF595959"/>
        <rFont val="Arial"/>
        <family val="0"/>
        <charset val="1"/>
      </rPr>
      <t xml:space="preserve">21; FY2024/FY2025/H1 </t>
    </r>
    <r>
      <rPr>
        <i val="true"/>
        <sz val="10"/>
        <color rgb="FF595959"/>
        <rFont val="Noto Sans CJK SC"/>
        <family val="2"/>
      </rPr>
      <t xml:space="preserve">七、</t>
    </r>
    <r>
      <rPr>
        <i val="true"/>
        <sz val="10"/>
        <color rgb="FF595959"/>
        <rFont val="Arial"/>
        <family val="0"/>
        <charset val="1"/>
      </rPr>
      <t xml:space="preserve">20</t>
    </r>
    <r>
      <rPr>
        <i val="true"/>
        <sz val="10"/>
        <color rgb="FF595959"/>
        <rFont val="Noto Sans CJK SC"/>
        <family val="2"/>
      </rPr>
      <t xml:space="preserve">）；现金和现金等价物的构成（</t>
    </r>
    <r>
      <rPr>
        <i val="true"/>
        <sz val="10"/>
        <color rgb="FF595959"/>
        <rFont val="Arial"/>
        <family val="0"/>
        <charset val="1"/>
      </rPr>
      <t xml:space="preserve">FY2023 </t>
    </r>
    <r>
      <rPr>
        <i val="true"/>
        <sz val="10"/>
        <color rgb="FF595959"/>
        <rFont val="Noto Sans CJK SC"/>
        <family val="2"/>
      </rPr>
      <t xml:space="preserve">七、</t>
    </r>
    <r>
      <rPr>
        <i val="true"/>
        <sz val="10"/>
        <color rgb="FF595959"/>
        <rFont val="Arial"/>
        <family val="0"/>
        <charset val="1"/>
      </rPr>
      <t xml:space="preserve">56(4); FY2024 </t>
    </r>
    <r>
      <rPr>
        <i val="true"/>
        <sz val="10"/>
        <color rgb="FF595959"/>
        <rFont val="Noto Sans CJK SC"/>
        <family val="2"/>
      </rPr>
      <t xml:space="preserve">七、</t>
    </r>
    <r>
      <rPr>
        <i val="true"/>
        <sz val="10"/>
        <color rgb="FF595959"/>
        <rFont val="Arial"/>
        <family val="0"/>
        <charset val="1"/>
      </rPr>
      <t xml:space="preserve">55; FY2025 </t>
    </r>
    <r>
      <rPr>
        <i val="true"/>
        <sz val="10"/>
        <color rgb="FF595959"/>
        <rFont val="Noto Sans CJK SC"/>
        <family val="2"/>
      </rPr>
      <t xml:space="preserve">七、</t>
    </r>
    <r>
      <rPr>
        <i val="true"/>
        <sz val="10"/>
        <color rgb="FF595959"/>
        <rFont val="Arial"/>
        <family val="0"/>
        <charset val="1"/>
      </rPr>
      <t xml:space="preserve">58(2); 20</t>
    </r>
  </si>
  <si>
    <t xml:space="preserve">库存现金</t>
  </si>
  <si>
    <t xml:space="preserve">银行存款</t>
  </si>
  <si>
    <t xml:space="preserve">其他货币资金</t>
  </si>
  <si>
    <t xml:space="preserve">货币资金合计</t>
  </si>
  <si>
    <t xml:space="preserve">其中：存放在境外的款项总额</t>
  </si>
  <si>
    <r>
      <rPr>
        <sz val="10"/>
        <color rgb="FF000000"/>
        <rFont val="Noto Sans CJK SC"/>
        <family val="2"/>
      </rPr>
      <t xml:space="preserve">到期日超过</t>
    </r>
    <r>
      <rPr>
        <sz val="10"/>
        <color rgb="FF000000"/>
        <rFont val="Arial"/>
        <family val="0"/>
        <charset val="1"/>
      </rPr>
      <t xml:space="preserve">3</t>
    </r>
    <r>
      <rPr>
        <sz val="10"/>
        <color rgb="FF000000"/>
        <rFont val="Noto Sans CJK SC"/>
        <family val="2"/>
      </rPr>
      <t xml:space="preserve">个月的大额存单及定期存款本息（在货币资金内，不作为现金等价物）</t>
    </r>
  </si>
  <si>
    <t xml:space="preserve">受限货币资金合计</t>
  </si>
  <si>
    <r>
      <rPr>
        <sz val="10"/>
        <color rgb="FF000000"/>
        <rFont val="Noto Sans CJK SC"/>
        <family val="2"/>
      </rPr>
      <t xml:space="preserve">受限</t>
    </r>
    <r>
      <rPr>
        <sz val="10"/>
        <color rgb="FF000000"/>
        <rFont val="Arial"/>
        <family val="0"/>
        <charset val="1"/>
      </rPr>
      <t xml:space="preserve">-</t>
    </r>
    <r>
      <rPr>
        <sz val="10"/>
        <color rgb="FF000000"/>
        <rFont val="Noto Sans CJK SC"/>
        <family val="2"/>
      </rPr>
      <t xml:space="preserve">境内质押冻结（大额存单质押用于开立信用证及保函）</t>
    </r>
  </si>
  <si>
    <r>
      <rPr>
        <sz val="10"/>
        <color rgb="FF000000"/>
        <rFont val="Noto Sans CJK SC"/>
        <family val="2"/>
      </rPr>
      <t xml:space="preserve">受限</t>
    </r>
    <r>
      <rPr>
        <sz val="10"/>
        <color rgb="FF000000"/>
        <rFont val="Arial"/>
        <family val="0"/>
        <charset val="1"/>
      </rPr>
      <t xml:space="preserve">-</t>
    </r>
    <r>
      <rPr>
        <sz val="10"/>
        <color rgb="FF000000"/>
        <rFont val="Noto Sans CJK SC"/>
        <family val="2"/>
      </rPr>
      <t xml:space="preserve">存放境外且资金汇回受限</t>
    </r>
  </si>
  <si>
    <t xml:space="preserve">  其中：境外租房保证金</t>
  </si>
  <si>
    <t xml:space="preserve">  其中：境外履约保证金</t>
  </si>
  <si>
    <r>
      <rPr>
        <sz val="10"/>
        <color rgb="FF000000"/>
        <rFont val="Noto Sans CJK SC"/>
        <family val="2"/>
      </rPr>
      <t xml:space="preserve">受限</t>
    </r>
    <r>
      <rPr>
        <sz val="10"/>
        <color rgb="FF000000"/>
        <rFont val="Arial"/>
        <family val="0"/>
        <charset val="1"/>
      </rPr>
      <t xml:space="preserve">-</t>
    </r>
    <r>
      <rPr>
        <sz val="10"/>
        <color rgb="FF000000"/>
        <rFont val="Noto Sans CJK SC"/>
        <family val="2"/>
      </rPr>
      <t xml:space="preserve">黄金交易保证金（冻结）</t>
    </r>
  </si>
  <si>
    <t xml:space="preserve">期末现金及现金等价物余额</t>
  </si>
  <si>
    <r>
      <rPr>
        <sz val="10"/>
        <color rgb="FF000000"/>
        <rFont val="Noto Sans CJK SC"/>
        <family val="2"/>
      </rPr>
      <t xml:space="preserve">现金等价物构成</t>
    </r>
    <r>
      <rPr>
        <sz val="10"/>
        <color rgb="FF000000"/>
        <rFont val="Arial"/>
        <family val="0"/>
        <charset val="1"/>
      </rPr>
      <t xml:space="preserve">-</t>
    </r>
    <r>
      <rPr>
        <sz val="10"/>
        <color rgb="FF000000"/>
        <rFont val="Noto Sans CJK SC"/>
        <family val="2"/>
      </rPr>
      <t xml:space="preserve">库存现金</t>
    </r>
  </si>
  <si>
    <r>
      <rPr>
        <sz val="10"/>
        <color rgb="FF000000"/>
        <rFont val="Noto Sans CJK SC"/>
        <family val="2"/>
      </rPr>
      <t xml:space="preserve">现金等价物构成</t>
    </r>
    <r>
      <rPr>
        <sz val="10"/>
        <color rgb="FF000000"/>
        <rFont val="Arial"/>
        <family val="0"/>
        <charset val="1"/>
      </rPr>
      <t xml:space="preserve">-</t>
    </r>
    <r>
      <rPr>
        <sz val="10"/>
        <color rgb="FF000000"/>
        <rFont val="Noto Sans CJK SC"/>
        <family val="2"/>
      </rPr>
      <t xml:space="preserve">可随时用于支付的银行存款</t>
    </r>
  </si>
  <si>
    <r>
      <rPr>
        <sz val="10"/>
        <color rgb="FF000000"/>
        <rFont val="Noto Sans CJK SC"/>
        <family val="2"/>
      </rPr>
      <t xml:space="preserve">现金等价物构成</t>
    </r>
    <r>
      <rPr>
        <sz val="10"/>
        <color rgb="FF000000"/>
        <rFont val="Arial"/>
        <family val="0"/>
        <charset val="1"/>
      </rPr>
      <t xml:space="preserve">-</t>
    </r>
    <r>
      <rPr>
        <sz val="10"/>
        <color rgb="FF000000"/>
        <rFont val="Noto Sans CJK SC"/>
        <family val="2"/>
      </rPr>
      <t xml:space="preserve">可随时用于支付的其他货币资金</t>
    </r>
  </si>
  <si>
    <r>
      <rPr>
        <sz val="10"/>
        <color rgb="FF000000"/>
        <rFont val="Noto Sans CJK SC"/>
        <family val="2"/>
      </rPr>
      <t xml:space="preserve">（计算）货币资金－期末现金及现金等价物（</t>
    </r>
    <r>
      <rPr>
        <sz val="10"/>
        <color rgb="FF000000"/>
        <rFont val="Arial"/>
        <family val="0"/>
        <charset val="1"/>
      </rPr>
      <t xml:space="preserve">=&gt;3</t>
    </r>
    <r>
      <rPr>
        <sz val="10"/>
        <color rgb="FF000000"/>
        <rFont val="Noto Sans CJK SC"/>
        <family val="2"/>
      </rPr>
      <t xml:space="preserve">个月存单本息</t>
    </r>
    <r>
      <rPr>
        <sz val="10"/>
        <color rgb="FF000000"/>
        <rFont val="Arial"/>
        <family val="0"/>
        <charset val="1"/>
      </rPr>
      <t xml:space="preserve">+</t>
    </r>
    <r>
      <rPr>
        <sz val="10"/>
        <color rgb="FF000000"/>
        <rFont val="Noto Sans CJK SC"/>
        <family val="2"/>
      </rPr>
      <t xml:space="preserve">受限资金；</t>
    </r>
    <r>
      <rPr>
        <sz val="10"/>
        <color rgb="FF000000"/>
        <rFont val="Arial"/>
        <family val="0"/>
        <charset val="1"/>
      </rPr>
      <t xml:space="preserve">FY2024 </t>
    </r>
    <r>
      <rPr>
        <sz val="10"/>
        <color rgb="FF000000"/>
        <rFont val="Noto Sans CJK SC"/>
        <family val="2"/>
      </rPr>
      <t xml:space="preserve">质押存单已含于存单数内）</t>
    </r>
  </si>
  <si>
    <t xml:space="preserve">交易性金融资产构成（以公允价值计量且变动计入损益）</t>
  </si>
  <si>
    <r>
      <rPr>
        <i val="true"/>
        <sz val="10"/>
        <color rgb="FF595959"/>
        <rFont val="Noto Sans CJK SC"/>
        <family val="2"/>
      </rPr>
      <t xml:space="preserve">单位：百万元（原表单位元；比例、单价、股数、人数等非金额行列保持原值；原单位说明：元）；来源：交易性金融资产附注 七、</t>
    </r>
    <r>
      <rPr>
        <i val="true"/>
        <sz val="10"/>
        <color rgb="FF595959"/>
        <rFont val="Arial"/>
        <family val="0"/>
        <charset val="1"/>
      </rPr>
      <t xml:space="preserve">2 in FY2023/FY2024/FY2025 AR and 2025H1/2026H1 reports; FY2022 = FY2023 AR </t>
    </r>
    <r>
      <rPr>
        <i val="true"/>
        <sz val="10"/>
        <color rgb="FF595959"/>
        <rFont val="Noto Sans CJK SC"/>
        <family val="2"/>
      </rPr>
      <t xml:space="preserve">期初</t>
    </r>
    <r>
      <rPr>
        <i val="true"/>
        <sz val="10"/>
        <color rgb="FF595959"/>
        <rFont val="Arial"/>
        <family val="0"/>
        <charset val="1"/>
      </rPr>
      <t xml:space="preserve">.</t>
    </r>
  </si>
  <si>
    <t xml:space="preserve">理财产品</t>
  </si>
  <si>
    <r>
      <rPr>
        <sz val="10"/>
        <color rgb="FF000000"/>
        <rFont val="Noto Sans CJK SC"/>
        <family val="2"/>
      </rPr>
      <t xml:space="preserve">其中：公允价值计量层次＝第二层次（公允价值披露表，</t>
    </r>
    <r>
      <rPr>
        <sz val="10"/>
        <color rgb="FF000000"/>
        <rFont val="Arial"/>
        <family val="0"/>
        <charset val="1"/>
      </rPr>
      <t xml:space="preserve">FY2022</t>
    </r>
    <r>
      <rPr>
        <sz val="10"/>
        <color rgb="FF000000"/>
        <rFont val="Noto Sans CJK SC"/>
        <family val="2"/>
      </rPr>
      <t xml:space="preserve">未披露层次）</t>
    </r>
  </si>
  <si>
    <r>
      <rPr>
        <b val="true"/>
        <sz val="10"/>
        <color rgb="FF1F3864"/>
        <rFont val="Noto Sans CJK SC"/>
        <family val="2"/>
      </rPr>
      <t xml:space="preserve">委托理财概况（按类型</t>
    </r>
    <r>
      <rPr>
        <b val="true"/>
        <sz val="10"/>
        <color rgb="FF1F3864"/>
        <rFont val="Arial"/>
        <family val="0"/>
        <charset val="1"/>
      </rPr>
      <t xml:space="preserve">/</t>
    </r>
    <r>
      <rPr>
        <b val="true"/>
        <sz val="10"/>
        <color rgb="FF1F3864"/>
        <rFont val="Noto Sans CJK SC"/>
        <family val="2"/>
      </rPr>
      <t xml:space="preserve">资金来源）</t>
    </r>
  </si>
  <si>
    <r>
      <rPr>
        <i val="true"/>
        <sz val="10"/>
        <color rgb="FF595959"/>
        <rFont val="Noto Sans CJK SC"/>
        <family val="2"/>
      </rPr>
      <t xml:space="preserve">单位：百万元（原表单位元；比例、单价、股数、人数等非金额行列保持原值；原单位说明：元（报告原披露单位为万元，已</t>
    </r>
    <r>
      <rPr>
        <i val="true"/>
        <sz val="10"/>
        <color rgb="FF595959"/>
        <rFont val="Arial"/>
        <family val="0"/>
        <charset val="1"/>
      </rPr>
      <t xml:space="preserve">×10,000</t>
    </r>
    <r>
      <rPr>
        <i val="true"/>
        <sz val="10"/>
        <color rgb="FF595959"/>
        <rFont val="Noto Sans CJK SC"/>
        <family val="2"/>
      </rPr>
      <t xml:space="preserve">换算））；来源：第五</t>
    </r>
    <r>
      <rPr>
        <i val="true"/>
        <sz val="10"/>
        <color rgb="FF595959"/>
        <rFont val="Arial"/>
        <family val="0"/>
        <charset val="1"/>
      </rPr>
      <t xml:space="preserve">/</t>
    </r>
    <r>
      <rPr>
        <i val="true"/>
        <sz val="10"/>
        <color rgb="FF595959"/>
        <rFont val="Noto Sans CJK SC"/>
        <family val="2"/>
      </rPr>
      <t xml:space="preserve">六节 重要事项 </t>
    </r>
    <r>
      <rPr>
        <i val="true"/>
        <sz val="10"/>
        <color rgb="FF595959"/>
        <rFont val="Arial"/>
        <family val="0"/>
        <charset val="1"/>
      </rPr>
      <t xml:space="preserve">- </t>
    </r>
    <r>
      <rPr>
        <i val="true"/>
        <sz val="10"/>
        <color rgb="FF595959"/>
        <rFont val="Noto Sans CJK SC"/>
        <family val="2"/>
      </rPr>
      <t xml:space="preserve">委托他人进行现金资产管理情况</t>
    </r>
    <r>
      <rPr>
        <i val="true"/>
        <sz val="10"/>
        <color rgb="FF595959"/>
        <rFont val="Arial"/>
        <family val="0"/>
        <charset val="1"/>
      </rPr>
      <t xml:space="preserve">/</t>
    </r>
    <r>
      <rPr>
        <i val="true"/>
        <sz val="10"/>
        <color rgb="FF595959"/>
        <rFont val="Noto Sans CJK SC"/>
        <family val="2"/>
      </rPr>
      <t xml:space="preserve">委托理财情况</t>
    </r>
    <r>
      <rPr>
        <i val="true"/>
        <sz val="10"/>
        <color rgb="FF595959"/>
        <rFont val="Arial"/>
        <family val="0"/>
        <charset val="1"/>
      </rPr>
      <t xml:space="preserve">: FY2023 AR (line ~3645), FY2024 AR p.59, 2025H1 p.16, FY2025 AR p.49, 2026H1 §6.</t>
    </r>
  </si>
  <si>
    <r>
      <rPr>
        <sz val="10"/>
        <color rgb="FF000000"/>
        <rFont val="Noto Sans CJK SC"/>
        <family val="2"/>
      </rPr>
      <t xml:space="preserve">银行理财产品</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r>
      <rPr>
        <sz val="10"/>
        <color rgb="FF000000"/>
        <rFont val="Noto Sans CJK SC"/>
        <family val="2"/>
      </rPr>
      <t xml:space="preserve">委托理财发生额</t>
    </r>
  </si>
  <si>
    <r>
      <rPr>
        <sz val="10"/>
        <color rgb="FF000000"/>
        <rFont val="Noto Sans CJK SC"/>
        <family val="2"/>
      </rPr>
      <t xml:space="preserve">银行理财产品</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r>
      <rPr>
        <sz val="10"/>
        <color rgb="FF000000"/>
        <rFont val="Noto Sans CJK SC"/>
        <family val="2"/>
      </rPr>
      <t xml:space="preserve">未到期余额</t>
    </r>
  </si>
  <si>
    <r>
      <rPr>
        <sz val="10"/>
        <color rgb="FF000000"/>
        <rFont val="Noto Sans CJK SC"/>
        <family val="2"/>
      </rPr>
      <t xml:space="preserve">其他类</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r>
      <rPr>
        <sz val="10"/>
        <color rgb="FF000000"/>
        <rFont val="Noto Sans CJK SC"/>
        <family val="2"/>
      </rPr>
      <t xml:space="preserve">委托理财发生额</t>
    </r>
  </si>
  <si>
    <r>
      <rPr>
        <sz val="10"/>
        <color rgb="FF000000"/>
        <rFont val="Noto Sans CJK SC"/>
        <family val="2"/>
      </rPr>
      <t xml:space="preserve">其他类</t>
    </r>
    <r>
      <rPr>
        <sz val="10"/>
        <color rgb="FF000000"/>
        <rFont val="Arial"/>
        <family val="0"/>
        <charset val="1"/>
      </rPr>
      <t xml:space="preserve">-</t>
    </r>
    <r>
      <rPr>
        <sz val="10"/>
        <color rgb="FF000000"/>
        <rFont val="Noto Sans CJK SC"/>
        <family val="2"/>
      </rPr>
      <t xml:space="preserve">自有资金</t>
    </r>
    <r>
      <rPr>
        <sz val="10"/>
        <color rgb="FF000000"/>
        <rFont val="Arial"/>
        <family val="0"/>
        <charset val="1"/>
      </rPr>
      <t xml:space="preserve">-</t>
    </r>
    <r>
      <rPr>
        <sz val="10"/>
        <color rgb="FF000000"/>
        <rFont val="Noto Sans CJK SC"/>
        <family val="2"/>
      </rPr>
      <t xml:space="preserve">未到期余额</t>
    </r>
  </si>
  <si>
    <r>
      <rPr>
        <sz val="10"/>
        <color rgb="FF000000"/>
        <rFont val="Noto Sans CJK SC"/>
        <family val="2"/>
      </rPr>
      <t xml:space="preserve">银行理财产品</t>
    </r>
    <r>
      <rPr>
        <sz val="10"/>
        <color rgb="FF000000"/>
        <rFont val="Arial"/>
        <family val="0"/>
        <charset val="1"/>
      </rPr>
      <t xml:space="preserve">-</t>
    </r>
    <r>
      <rPr>
        <sz val="10"/>
        <color rgb="FF000000"/>
        <rFont val="Noto Sans CJK SC"/>
        <family val="2"/>
      </rPr>
      <t xml:space="preserve">募集资金</t>
    </r>
    <r>
      <rPr>
        <sz val="10"/>
        <color rgb="FF000000"/>
        <rFont val="Arial"/>
        <family val="0"/>
        <charset val="1"/>
      </rPr>
      <t xml:space="preserve">-</t>
    </r>
    <r>
      <rPr>
        <sz val="10"/>
        <color rgb="FF000000"/>
        <rFont val="Noto Sans CJK SC"/>
        <family val="2"/>
      </rPr>
      <t xml:space="preserve">委托理财发生额</t>
    </r>
  </si>
  <si>
    <r>
      <rPr>
        <sz val="10"/>
        <color rgb="FF000000"/>
        <rFont val="Noto Sans CJK SC"/>
        <family val="2"/>
      </rPr>
      <t xml:space="preserve">银行理财产品</t>
    </r>
    <r>
      <rPr>
        <sz val="10"/>
        <color rgb="FF000000"/>
        <rFont val="Arial"/>
        <family val="0"/>
        <charset val="1"/>
      </rPr>
      <t xml:space="preserve">-</t>
    </r>
    <r>
      <rPr>
        <sz val="10"/>
        <color rgb="FF000000"/>
        <rFont val="Noto Sans CJK SC"/>
        <family val="2"/>
      </rPr>
      <t xml:space="preserve">募集资金</t>
    </r>
    <r>
      <rPr>
        <sz val="10"/>
        <color rgb="FF000000"/>
        <rFont val="Arial"/>
        <family val="0"/>
        <charset val="1"/>
      </rPr>
      <t xml:space="preserve">-</t>
    </r>
    <r>
      <rPr>
        <sz val="10"/>
        <color rgb="FF000000"/>
        <rFont val="Noto Sans CJK SC"/>
        <family val="2"/>
      </rPr>
      <t xml:space="preserve">未到期余额</t>
    </r>
  </si>
  <si>
    <r>
      <rPr>
        <sz val="10"/>
        <color rgb="FF000000"/>
        <rFont val="Noto Sans CJK SC"/>
        <family val="2"/>
      </rPr>
      <t xml:space="preserve">其他类</t>
    </r>
    <r>
      <rPr>
        <sz val="10"/>
        <color rgb="FF000000"/>
        <rFont val="Arial"/>
        <family val="0"/>
        <charset val="1"/>
      </rPr>
      <t xml:space="preserve">-</t>
    </r>
    <r>
      <rPr>
        <sz val="10"/>
        <color rgb="FF000000"/>
        <rFont val="Noto Sans CJK SC"/>
        <family val="2"/>
      </rPr>
      <t xml:space="preserve">募集资金</t>
    </r>
    <r>
      <rPr>
        <sz val="10"/>
        <color rgb="FF000000"/>
        <rFont val="Arial"/>
        <family val="0"/>
        <charset val="1"/>
      </rPr>
      <t xml:space="preserve">-</t>
    </r>
    <r>
      <rPr>
        <sz val="10"/>
        <color rgb="FF000000"/>
        <rFont val="Noto Sans CJK SC"/>
        <family val="2"/>
      </rPr>
      <t xml:space="preserve">委托理财发生额</t>
    </r>
  </si>
  <si>
    <r>
      <rPr>
        <sz val="10"/>
        <color rgb="FF000000"/>
        <rFont val="Noto Sans CJK SC"/>
        <family val="2"/>
      </rPr>
      <t xml:space="preserve">其他类</t>
    </r>
    <r>
      <rPr>
        <sz val="10"/>
        <color rgb="FF000000"/>
        <rFont val="Arial"/>
        <family val="0"/>
        <charset val="1"/>
      </rPr>
      <t xml:space="preserve">-</t>
    </r>
    <r>
      <rPr>
        <sz val="10"/>
        <color rgb="FF000000"/>
        <rFont val="Noto Sans CJK SC"/>
        <family val="2"/>
      </rPr>
      <t xml:space="preserve">募集资金</t>
    </r>
    <r>
      <rPr>
        <sz val="10"/>
        <color rgb="FF000000"/>
        <rFont val="Arial"/>
        <family val="0"/>
        <charset val="1"/>
      </rPr>
      <t xml:space="preserve">-</t>
    </r>
    <r>
      <rPr>
        <sz val="10"/>
        <color rgb="FF000000"/>
        <rFont val="Noto Sans CJK SC"/>
        <family val="2"/>
      </rPr>
      <t xml:space="preserve">未到期余额</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</si>
  <si>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委托理财发生额</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</si>
  <si>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未到期余额</t>
    </r>
  </si>
  <si>
    <r>
      <rPr>
        <sz val="10"/>
        <color rgb="FF000000"/>
        <rFont val="Noto Sans CJK SC"/>
        <family val="2"/>
      </rPr>
      <t xml:space="preserve">银行理财产品（低风险）</t>
    </r>
    <r>
      <rPr>
        <sz val="10"/>
        <color rgb="FF000000"/>
        <rFont val="Arial"/>
        <family val="0"/>
        <charset val="1"/>
      </rPr>
      <t xml:space="preserve">-</t>
    </r>
    <r>
      <rPr>
        <sz val="10"/>
        <color rgb="FF000000"/>
        <rFont val="Noto Sans CJK SC"/>
        <family val="2"/>
      </rPr>
      <t xml:space="preserve">报告期内委托理财的余额</t>
    </r>
  </si>
  <si>
    <r>
      <rPr>
        <sz val="10"/>
        <color rgb="FF000000"/>
        <rFont val="Noto Sans CJK SC"/>
        <family val="2"/>
      </rPr>
      <t xml:space="preserve">其他类（低风险）</t>
    </r>
    <r>
      <rPr>
        <sz val="10"/>
        <color rgb="FF000000"/>
        <rFont val="Arial"/>
        <family val="0"/>
        <charset val="1"/>
      </rPr>
      <t xml:space="preserve">-</t>
    </r>
    <r>
      <rPr>
        <sz val="10"/>
        <color rgb="FF000000"/>
        <rFont val="Noto Sans CJK SC"/>
        <family val="2"/>
      </rPr>
      <t xml:space="preserve">报告期内委托理财的余额</t>
    </r>
  </si>
  <si>
    <r>
      <rPr>
        <b val="true"/>
        <sz val="10"/>
        <color rgb="FF1F3864"/>
        <rFont val="Noto Sans CJK SC"/>
        <family val="2"/>
      </rPr>
      <t xml:space="preserve">其他非流动资产构成（无减值准备，账面余额</t>
    </r>
    <r>
      <rPr>
        <b val="true"/>
        <sz val="10"/>
        <color rgb="FF1F3864"/>
        <rFont val="Arial"/>
        <family val="0"/>
        <charset val="1"/>
      </rPr>
      <t xml:space="preserve">=</t>
    </r>
    <r>
      <rPr>
        <b val="true"/>
        <sz val="10"/>
        <color rgb="FF1F3864"/>
        <rFont val="Noto Sans CJK SC"/>
        <family val="2"/>
      </rPr>
      <t xml:space="preserve">账面价值）</t>
    </r>
  </si>
  <si>
    <r>
      <rPr>
        <i val="true"/>
        <sz val="10"/>
        <color rgb="FF595959"/>
        <rFont val="Noto Sans CJK SC"/>
        <family val="2"/>
      </rPr>
      <t xml:space="preserve">单位：百万元（原表单位元；比例、单价、股数、人数等非金额行列保持原值；原单位说明：元）；来源：其他非流动资产附注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20 (PDF p.134-135); FY2024 AR </t>
    </r>
    <r>
      <rPr>
        <i val="true"/>
        <sz val="10"/>
        <color rgb="FF595959"/>
        <rFont val="Noto Sans CJK SC"/>
        <family val="2"/>
      </rPr>
      <t xml:space="preserve">七、</t>
    </r>
    <r>
      <rPr>
        <i val="true"/>
        <sz val="10"/>
        <color rgb="FF595959"/>
        <rFont val="Arial"/>
        <family val="0"/>
        <charset val="1"/>
      </rPr>
      <t xml:space="preserve">19 (p.148); FY2025 AR </t>
    </r>
    <r>
      <rPr>
        <i val="true"/>
        <sz val="10"/>
        <color rgb="FF595959"/>
        <rFont val="Noto Sans CJK SC"/>
        <family val="2"/>
      </rPr>
      <t xml:space="preserve">七、</t>
    </r>
    <r>
      <rPr>
        <i val="true"/>
        <sz val="10"/>
        <color rgb="FF595959"/>
        <rFont val="Arial"/>
        <family val="0"/>
        <charset val="1"/>
      </rPr>
      <t xml:space="preserve">19; 2025H1 </t>
    </r>
    <r>
      <rPr>
        <i val="true"/>
        <sz val="10"/>
        <color rgb="FF595959"/>
        <rFont val="Noto Sans CJK SC"/>
        <family val="2"/>
      </rPr>
      <t xml:space="preserve">七、</t>
    </r>
    <r>
      <rPr>
        <i val="true"/>
        <sz val="10"/>
        <color rgb="FF595959"/>
        <rFont val="Arial"/>
        <family val="0"/>
        <charset val="1"/>
      </rPr>
      <t xml:space="preserve">19; 2026H1 </t>
    </r>
    <r>
      <rPr>
        <i val="true"/>
        <sz val="10"/>
        <color rgb="FF595959"/>
        <rFont val="Noto Sans CJK SC"/>
        <family val="2"/>
      </rPr>
      <t xml:space="preserve">七、</t>
    </r>
    <r>
      <rPr>
        <i val="true"/>
        <sz val="10"/>
        <color rgb="FF595959"/>
        <rFont val="Arial"/>
        <family val="0"/>
        <charset val="1"/>
      </rPr>
      <t xml:space="preserve">19. Wrapped cells (e.g. '3,590,703,33'+'2.88') reconstructed and confirmed against PDF text.</t>
    </r>
  </si>
  <si>
    <t xml:space="preserve">到期日一年以上的定期存款及大额存单</t>
  </si>
  <si>
    <r>
      <rPr>
        <b val="true"/>
        <sz val="10"/>
        <color rgb="FF1F3864"/>
        <rFont val="Noto Sans CJK SC"/>
        <family val="2"/>
      </rPr>
      <t xml:space="preserve">其他流动资产构成（含</t>
    </r>
    <r>
      <rPr>
        <b val="true"/>
        <sz val="10"/>
        <color rgb="FF1F3864"/>
        <rFont val="Arial"/>
        <family val="0"/>
        <charset val="1"/>
      </rPr>
      <t xml:space="preserve">H</t>
    </r>
    <r>
      <rPr>
        <b val="true"/>
        <sz val="10"/>
        <color rgb="FF1F3864"/>
        <rFont val="Noto Sans CJK SC"/>
        <family val="2"/>
      </rPr>
      <t xml:space="preserve">股上市费用资本化）</t>
    </r>
  </si>
  <si>
    <r>
      <rPr>
        <i val="true"/>
        <sz val="10"/>
        <color rgb="FF595959"/>
        <rFont val="Noto Sans CJK SC"/>
        <family val="2"/>
      </rPr>
      <t xml:space="preserve">单位：百万元（原表单位元；比例、单价、股数、人数等非金额行列保持原值；原单位说明：元）；来源：其他流动资产附注 七、</t>
    </r>
    <r>
      <rPr>
        <i val="true"/>
        <sz val="10"/>
        <color rgb="FF595959"/>
        <rFont val="Arial"/>
        <family val="0"/>
        <charset val="1"/>
      </rPr>
      <t xml:space="preserve">9 in each report.</t>
    </r>
  </si>
  <si>
    <t xml:space="preserve">待抵扣税金、待认证抵扣税金</t>
  </si>
  <si>
    <t xml:space="preserve">预缴所得税</t>
  </si>
  <si>
    <r>
      <rPr>
        <sz val="10"/>
        <color rgb="FF000000"/>
        <rFont val="Noto Sans CJK SC"/>
        <family val="2"/>
      </rPr>
      <t xml:space="preserve">上市费用（</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t>
    </r>
    <r>
      <rPr>
        <sz val="10"/>
        <color rgb="FF000000"/>
        <rFont val="Noto Sans CJK SC"/>
        <family val="2"/>
      </rPr>
      <t xml:space="preserve">预付上市费用（</t>
    </r>
    <r>
      <rPr>
        <sz val="10"/>
        <color rgb="FF000000"/>
        <rFont val="Arial"/>
        <family val="0"/>
        <charset val="1"/>
      </rPr>
      <t xml:space="preserve">2026H1</t>
    </r>
    <r>
      <rPr>
        <sz val="10"/>
        <color rgb="FF000000"/>
        <rFont val="Noto Sans CJK SC"/>
        <family val="2"/>
      </rPr>
      <t xml:space="preserve">）</t>
    </r>
  </si>
  <si>
    <t xml:space="preserve">短期借款分类</t>
  </si>
  <si>
    <r>
      <rPr>
        <i val="true"/>
        <sz val="10"/>
        <color rgb="FF595959"/>
        <rFont val="Noto Sans CJK SC"/>
        <family val="2"/>
      </rPr>
      <t xml:space="preserve">单位：百万元（原表单位元；比例、单价、股数、人数等非金额行列保持原值；原单位说明：元）；来源：短期借款附注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22; FY2024 AR </t>
    </r>
    <r>
      <rPr>
        <i val="true"/>
        <sz val="10"/>
        <color rgb="FF595959"/>
        <rFont val="Noto Sans CJK SC"/>
        <family val="2"/>
      </rPr>
      <t xml:space="preserve">七、</t>
    </r>
    <r>
      <rPr>
        <i val="true"/>
        <sz val="10"/>
        <color rgb="FF595959"/>
        <rFont val="Arial"/>
        <family val="0"/>
        <charset val="1"/>
      </rPr>
      <t xml:space="preserve">21; FY2025 AR </t>
    </r>
    <r>
      <rPr>
        <i val="true"/>
        <sz val="10"/>
        <color rgb="FF595959"/>
        <rFont val="Noto Sans CJK SC"/>
        <family val="2"/>
      </rPr>
      <t xml:space="preserve">七、</t>
    </r>
    <r>
      <rPr>
        <i val="true"/>
        <sz val="10"/>
        <color rgb="FF595959"/>
        <rFont val="Arial"/>
        <family val="0"/>
        <charset val="1"/>
      </rPr>
      <t xml:space="preserve">21; 2025H1 </t>
    </r>
    <r>
      <rPr>
        <i val="true"/>
        <sz val="10"/>
        <color rgb="FF595959"/>
        <rFont val="Noto Sans CJK SC"/>
        <family val="2"/>
      </rPr>
      <t xml:space="preserve">七、</t>
    </r>
    <r>
      <rPr>
        <i val="true"/>
        <sz val="10"/>
        <color rgb="FF595959"/>
        <rFont val="Arial"/>
        <family val="0"/>
        <charset val="1"/>
      </rPr>
      <t xml:space="preserve">21; 2026H1 </t>
    </r>
    <r>
      <rPr>
        <i val="true"/>
        <sz val="10"/>
        <color rgb="FF595959"/>
        <rFont val="Noto Sans CJK SC"/>
        <family val="2"/>
      </rPr>
      <t xml:space="preserve">七、</t>
    </r>
    <r>
      <rPr>
        <i val="true"/>
        <sz val="10"/>
        <color rgb="FF595959"/>
        <rFont val="Arial"/>
        <family val="0"/>
        <charset val="1"/>
      </rPr>
      <t xml:space="preserve">21. </t>
    </r>
    <r>
      <rPr>
        <i val="true"/>
        <sz val="10"/>
        <color rgb="FF595959"/>
        <rFont val="Noto Sans CJK SC"/>
        <family val="2"/>
      </rPr>
      <t xml:space="preserve">已逾期未偿还短期借款 </t>
    </r>
    <r>
      <rPr>
        <i val="true"/>
        <sz val="10"/>
        <color rgb="FF595959"/>
        <rFont val="Arial"/>
        <family val="0"/>
        <charset val="1"/>
      </rPr>
      <t xml:space="preserve">= 0.00 in all reports.</t>
    </r>
  </si>
  <si>
    <t xml:space="preserve">信用借款</t>
  </si>
  <si>
    <t xml:space="preserve">国内信用证借款</t>
  </si>
  <si>
    <t xml:space="preserve">应付利息</t>
  </si>
  <si>
    <t xml:space="preserve">未终止确认的已贴现未到期的票据</t>
  </si>
  <si>
    <t xml:space="preserve">一年内到期的非流动负债构成</t>
  </si>
  <si>
    <r>
      <rPr>
        <i val="true"/>
        <sz val="10"/>
        <color rgb="FF595959"/>
        <rFont val="Noto Sans CJK SC"/>
        <family val="2"/>
      </rPr>
      <t xml:space="preserve">单位：百万元（原表单位元；比例、单价、股数、人数等非金额行列保持原值；原单位说明：元）；来源：一年内到期的非流动负债附注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29; FY2024 AR </t>
    </r>
    <r>
      <rPr>
        <i val="true"/>
        <sz val="10"/>
        <color rgb="FF595959"/>
        <rFont val="Noto Sans CJK SC"/>
        <family val="2"/>
      </rPr>
      <t xml:space="preserve">七、</t>
    </r>
    <r>
      <rPr>
        <i val="true"/>
        <sz val="10"/>
        <color rgb="FF595959"/>
        <rFont val="Arial"/>
        <family val="0"/>
        <charset val="1"/>
      </rPr>
      <t xml:space="preserve">28; FY2025 AR </t>
    </r>
    <r>
      <rPr>
        <i val="true"/>
        <sz val="10"/>
        <color rgb="FF595959"/>
        <rFont val="Noto Sans CJK SC"/>
        <family val="2"/>
      </rPr>
      <t xml:space="preserve">七、</t>
    </r>
    <r>
      <rPr>
        <i val="true"/>
        <sz val="10"/>
        <color rgb="FF595959"/>
        <rFont val="Arial"/>
        <family val="0"/>
        <charset val="1"/>
      </rPr>
      <t xml:space="preserve">29; 2025H1 </t>
    </r>
    <r>
      <rPr>
        <i val="true"/>
        <sz val="10"/>
        <color rgb="FF595959"/>
        <rFont val="Noto Sans CJK SC"/>
        <family val="2"/>
      </rPr>
      <t xml:space="preserve">七、</t>
    </r>
    <r>
      <rPr>
        <i val="true"/>
        <sz val="10"/>
        <color rgb="FF595959"/>
        <rFont val="Arial"/>
        <family val="0"/>
        <charset val="1"/>
      </rPr>
      <t xml:space="preserve">28; 2026H1 </t>
    </r>
    <r>
      <rPr>
        <i val="true"/>
        <sz val="10"/>
        <color rgb="FF595959"/>
        <rFont val="Noto Sans CJK SC"/>
        <family val="2"/>
      </rPr>
      <t xml:space="preserve">七、</t>
    </r>
    <r>
      <rPr>
        <i val="true"/>
        <sz val="10"/>
        <color rgb="FF595959"/>
        <rFont val="Arial"/>
        <family val="0"/>
        <charset val="1"/>
      </rPr>
      <t xml:space="preserve">28.</t>
    </r>
  </si>
  <si>
    <t xml:space="preserve">一年内到期的长期应付款</t>
  </si>
  <si>
    <t xml:space="preserve">一年内到期的长期借款</t>
  </si>
  <si>
    <t xml:space="preserve">一年内到期的租赁负债</t>
  </si>
  <si>
    <t xml:space="preserve">长期借款分类及到期分析</t>
  </si>
  <si>
    <r>
      <rPr>
        <i val="true"/>
        <sz val="10"/>
        <color rgb="FF595959"/>
        <rFont val="Noto Sans CJK SC"/>
        <family val="2"/>
      </rPr>
      <t xml:space="preserve">单位：百万元（原表单位元；比例、单价、股数、人数等非金额行列保持原值；原单位说明：元）；来源：长期借款附注</t>
    </r>
    <r>
      <rPr>
        <i val="true"/>
        <sz val="10"/>
        <color rgb="FF595959"/>
        <rFont val="Arial"/>
        <family val="0"/>
        <charset val="1"/>
      </rPr>
      <t xml:space="preserve">: FY2025 AR </t>
    </r>
    <r>
      <rPr>
        <i val="true"/>
        <sz val="10"/>
        <color rgb="FF595959"/>
        <rFont val="Noto Sans CJK SC"/>
        <family val="2"/>
      </rPr>
      <t xml:space="preserve">七、</t>
    </r>
    <r>
      <rPr>
        <i val="true"/>
        <sz val="10"/>
        <color rgb="FF595959"/>
        <rFont val="Arial"/>
        <family val="0"/>
        <charset val="1"/>
      </rPr>
      <t xml:space="preserve">31; 2025H1 </t>
    </r>
    <r>
      <rPr>
        <i val="true"/>
        <sz val="10"/>
        <color rgb="FF595959"/>
        <rFont val="Noto Sans CJK SC"/>
        <family val="2"/>
      </rPr>
      <t xml:space="preserve">七、</t>
    </r>
    <r>
      <rPr>
        <i val="true"/>
        <sz val="10"/>
        <color rgb="FF595959"/>
        <rFont val="Arial"/>
        <family val="0"/>
        <charset val="1"/>
      </rPr>
      <t xml:space="preserve">30 (PDF p.95 confirms </t>
    </r>
    <r>
      <rPr>
        <i val="true"/>
        <sz val="10"/>
        <color rgb="FF595959"/>
        <rFont val="Noto Sans CJK SC"/>
        <family val="2"/>
      </rPr>
      <t xml:space="preserve">信用借款 </t>
    </r>
    <r>
      <rPr>
        <i val="true"/>
        <sz val="10"/>
        <color rgb="FF595959"/>
        <rFont val="Arial"/>
        <family val="0"/>
        <charset val="1"/>
      </rPr>
      <t xml:space="preserve">29,950,000.00 = </t>
    </r>
    <r>
      <rPr>
        <i val="true"/>
        <sz val="10"/>
        <color rgb="FF595959"/>
        <rFont val="Noto Sans CJK SC"/>
        <family val="2"/>
      </rPr>
      <t xml:space="preserve">合计</t>
    </r>
    <r>
      <rPr>
        <i val="true"/>
        <sz val="10"/>
        <color rgb="FF595959"/>
        <rFont val="Arial"/>
        <family val="0"/>
        <charset val="1"/>
      </rPr>
      <t xml:space="preserve">, no current-portion line); 2026H1 </t>
    </r>
    <r>
      <rPr>
        <i val="true"/>
        <sz val="10"/>
        <color rgb="FF595959"/>
        <rFont val="Noto Sans CJK SC"/>
        <family val="2"/>
      </rPr>
      <t xml:space="preserve">七、</t>
    </r>
    <r>
      <rPr>
        <i val="true"/>
        <sz val="10"/>
        <color rgb="FF595959"/>
        <rFont val="Arial"/>
        <family val="0"/>
        <charset val="1"/>
      </rPr>
      <t xml:space="preserve">30. </t>
    </r>
    <r>
      <rPr>
        <i val="true"/>
        <sz val="10"/>
        <color rgb="FF595959"/>
        <rFont val="Noto Sans CJK SC"/>
        <family val="2"/>
      </rPr>
      <t xml:space="preserve">流动性风险到期分析</t>
    </r>
    <r>
      <rPr>
        <i val="true"/>
        <sz val="10"/>
        <color rgb="FF595959"/>
        <rFont val="Arial"/>
        <family val="0"/>
        <charset val="1"/>
      </rPr>
      <t xml:space="preserve">: FY2025 AR </t>
    </r>
    <r>
      <rPr>
        <i val="true"/>
        <sz val="10"/>
        <color rgb="FF595959"/>
        <rFont val="Noto Sans CJK SC"/>
        <family val="2"/>
      </rPr>
      <t xml:space="preserve">十二 </t>
    </r>
    <r>
      <rPr>
        <i val="true"/>
        <sz val="10"/>
        <color rgb="FF595959"/>
        <rFont val="Arial"/>
        <family val="0"/>
        <charset val="1"/>
      </rPr>
      <t xml:space="preserve">(p.147); 2025H1 </t>
    </r>
    <r>
      <rPr>
        <i val="true"/>
        <sz val="10"/>
        <color rgb="FF595959"/>
        <rFont val="Noto Sans CJK SC"/>
        <family val="2"/>
      </rPr>
      <t xml:space="preserve">十二</t>
    </r>
    <r>
      <rPr>
        <i val="true"/>
        <sz val="10"/>
        <color rgb="FF595959"/>
        <rFont val="Arial"/>
        <family val="0"/>
        <charset val="1"/>
      </rPr>
      <t xml:space="preserve">; 2026H1 </t>
    </r>
    <r>
      <rPr>
        <i val="true"/>
        <sz val="10"/>
        <color rgb="FF595959"/>
        <rFont val="Noto Sans CJK SC"/>
        <family val="2"/>
      </rPr>
      <t xml:space="preserve">十二 </t>
    </r>
    <r>
      <rPr>
        <i val="true"/>
        <sz val="10"/>
        <color rgb="FF595959"/>
        <rFont val="Arial"/>
        <family val="0"/>
        <charset val="1"/>
      </rPr>
      <t xml:space="preserve">(PDF p.110, 24,900,000.00 s</t>
    </r>
  </si>
  <si>
    <t xml:space="preserve">信用借款（附注列示金额）</t>
  </si>
  <si>
    <t xml:space="preserve">减：一年内到期的部分（附注列示）</t>
  </si>
  <si>
    <t xml:space="preserve">长期借款合计（资产负债表）</t>
  </si>
  <si>
    <t xml:space="preserve">一年内到期的长期借款（列入一年内到期的非流动负债）</t>
  </si>
  <si>
    <r>
      <rPr>
        <sz val="10"/>
        <color rgb="FF000000"/>
        <rFont val="Noto Sans CJK SC"/>
        <family val="2"/>
      </rPr>
      <t xml:space="preserve">流动性风险表</t>
    </r>
    <r>
      <rPr>
        <sz val="10"/>
        <color rgb="FF000000"/>
        <rFont val="Arial"/>
        <family val="0"/>
        <charset val="1"/>
      </rPr>
      <t xml:space="preserve">-</t>
    </r>
    <r>
      <rPr>
        <sz val="10"/>
        <color rgb="FF000000"/>
        <rFont val="Noto Sans CJK SC"/>
        <family val="2"/>
      </rPr>
      <t xml:space="preserve">长期借款 </t>
    </r>
    <r>
      <rPr>
        <sz val="10"/>
        <color rgb="FF000000"/>
        <rFont val="Arial"/>
        <family val="0"/>
        <charset val="1"/>
      </rPr>
      <t xml:space="preserve">1</t>
    </r>
    <r>
      <rPr>
        <sz val="10"/>
        <color rgb="FF000000"/>
        <rFont val="Noto Sans CJK SC"/>
        <family val="2"/>
      </rPr>
      <t xml:space="preserve">年以内</t>
    </r>
  </si>
  <si>
    <r>
      <rPr>
        <sz val="10"/>
        <color rgb="FF000000"/>
        <rFont val="Noto Sans CJK SC"/>
        <family val="2"/>
      </rPr>
      <t xml:space="preserve">流动性风险表</t>
    </r>
    <r>
      <rPr>
        <sz val="10"/>
        <color rgb="FF000000"/>
        <rFont val="Arial"/>
        <family val="0"/>
        <charset val="1"/>
      </rPr>
      <t xml:space="preserve">-</t>
    </r>
    <r>
      <rPr>
        <sz val="10"/>
        <color rgb="FF000000"/>
        <rFont val="Noto Sans CJK SC"/>
        <family val="2"/>
      </rPr>
      <t xml:space="preserve">长期借款 </t>
    </r>
    <r>
      <rPr>
        <sz val="10"/>
        <color rgb="FF000000"/>
        <rFont val="Arial"/>
        <family val="0"/>
        <charset val="1"/>
      </rPr>
      <t xml:space="preserve">1-2</t>
    </r>
    <r>
      <rPr>
        <sz val="10"/>
        <color rgb="FF000000"/>
        <rFont val="Noto Sans CJK SC"/>
        <family val="2"/>
      </rPr>
      <t xml:space="preserve">年</t>
    </r>
  </si>
  <si>
    <r>
      <rPr>
        <sz val="10"/>
        <color rgb="FF000000"/>
        <rFont val="Noto Sans CJK SC"/>
        <family val="2"/>
      </rPr>
      <t xml:space="preserve">流动性风险表</t>
    </r>
    <r>
      <rPr>
        <sz val="10"/>
        <color rgb="FF000000"/>
        <rFont val="Arial"/>
        <family val="0"/>
        <charset val="1"/>
      </rPr>
      <t xml:space="preserve">-</t>
    </r>
    <r>
      <rPr>
        <sz val="10"/>
        <color rgb="FF000000"/>
        <rFont val="Noto Sans CJK SC"/>
        <family val="2"/>
      </rPr>
      <t xml:space="preserve">长期借款 </t>
    </r>
    <r>
      <rPr>
        <sz val="10"/>
        <color rgb="FF000000"/>
        <rFont val="Arial"/>
        <family val="0"/>
        <charset val="1"/>
      </rPr>
      <t xml:space="preserve">2-3</t>
    </r>
    <r>
      <rPr>
        <sz val="10"/>
        <color rgb="FF000000"/>
        <rFont val="Noto Sans CJK SC"/>
        <family val="2"/>
      </rPr>
      <t xml:space="preserve">年</t>
    </r>
  </si>
  <si>
    <r>
      <rPr>
        <sz val="10"/>
        <color rgb="FF000000"/>
        <rFont val="Noto Sans CJK SC"/>
        <family val="2"/>
      </rPr>
      <t xml:space="preserve">流动性风险表</t>
    </r>
    <r>
      <rPr>
        <sz val="10"/>
        <color rgb="FF000000"/>
        <rFont val="Arial"/>
        <family val="0"/>
        <charset val="1"/>
      </rPr>
      <t xml:space="preserve">-</t>
    </r>
    <r>
      <rPr>
        <sz val="10"/>
        <color rgb="FF000000"/>
        <rFont val="Noto Sans CJK SC"/>
        <family val="2"/>
      </rPr>
      <t xml:space="preserve">长期借款 合计</t>
    </r>
  </si>
  <si>
    <r>
      <rPr>
        <i val="true"/>
        <sz val="10"/>
        <color rgb="FF595959"/>
        <rFont val="Noto Sans CJK SC"/>
        <family val="2"/>
      </rPr>
      <t xml:space="preserve">单位：百万元（原表单位元；比例、单价、股数、人数等非金额行列保持原值；原单位说明：元）；来源：租赁负债附注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31; FY2024 AR </t>
    </r>
    <r>
      <rPr>
        <i val="true"/>
        <sz val="10"/>
        <color rgb="FF595959"/>
        <rFont val="Noto Sans CJK SC"/>
        <family val="2"/>
      </rPr>
      <t xml:space="preserve">七、</t>
    </r>
    <r>
      <rPr>
        <i val="true"/>
        <sz val="10"/>
        <color rgb="FF595959"/>
        <rFont val="Arial"/>
        <family val="0"/>
        <charset val="1"/>
      </rPr>
      <t xml:space="preserve">30; FY2025 AR </t>
    </r>
    <r>
      <rPr>
        <i val="true"/>
        <sz val="10"/>
        <color rgb="FF595959"/>
        <rFont val="Noto Sans CJK SC"/>
        <family val="2"/>
      </rPr>
      <t xml:space="preserve">七、</t>
    </r>
    <r>
      <rPr>
        <i val="true"/>
        <sz val="10"/>
        <color rgb="FF595959"/>
        <rFont val="Arial"/>
        <family val="0"/>
        <charset val="1"/>
      </rPr>
      <t xml:space="preserve">32; 2025H1 </t>
    </r>
    <r>
      <rPr>
        <i val="true"/>
        <sz val="10"/>
        <color rgb="FF595959"/>
        <rFont val="Noto Sans CJK SC"/>
        <family val="2"/>
      </rPr>
      <t xml:space="preserve">七、</t>
    </r>
    <r>
      <rPr>
        <i val="true"/>
        <sz val="10"/>
        <color rgb="FF595959"/>
        <rFont val="Arial"/>
        <family val="0"/>
        <charset val="1"/>
      </rPr>
      <t xml:space="preserve">31; 2026H1 </t>
    </r>
    <r>
      <rPr>
        <i val="true"/>
        <sz val="10"/>
        <color rgb="FF595959"/>
        <rFont val="Noto Sans CJK SC"/>
        <family val="2"/>
      </rPr>
      <t xml:space="preserve">七、</t>
    </r>
    <r>
      <rPr>
        <i val="true"/>
        <sz val="10"/>
        <color rgb="FF595959"/>
        <rFont val="Arial"/>
        <family val="0"/>
        <charset val="1"/>
      </rPr>
      <t xml:space="preserve">31.</t>
    </r>
  </si>
  <si>
    <t xml:space="preserve">租赁付款额</t>
  </si>
  <si>
    <t xml:space="preserve">未确认融资费用</t>
  </si>
  <si>
    <t xml:space="preserve">一年内到期的部分</t>
  </si>
  <si>
    <t xml:space="preserve">租赁负债（非流动）合计</t>
  </si>
  <si>
    <t xml:space="preserve">（计算）租赁负债现值合计（含一年内到期）＝租赁付款额＋未确认融资费用</t>
  </si>
  <si>
    <t xml:space="preserve">财务费用明细</t>
  </si>
  <si>
    <r>
      <rPr>
        <i val="true"/>
        <sz val="10"/>
        <color rgb="FF595959"/>
        <rFont val="Noto Sans CJK SC"/>
        <family val="2"/>
      </rPr>
      <t xml:space="preserve">单位：百万元（原表单位元；比例、单价、股数、人数等非金额行列保持原值；原单位说明：元）；来源：财务费用附注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44; FY2024 AR </t>
    </r>
    <r>
      <rPr>
        <i val="true"/>
        <sz val="10"/>
        <color rgb="FF595959"/>
        <rFont val="Noto Sans CJK SC"/>
        <family val="2"/>
      </rPr>
      <t xml:space="preserve">七、</t>
    </r>
    <r>
      <rPr>
        <i val="true"/>
        <sz val="10"/>
        <color rgb="FF595959"/>
        <rFont val="Arial"/>
        <family val="0"/>
        <charset val="1"/>
      </rPr>
      <t xml:space="preserve">43; FY2025 AR </t>
    </r>
    <r>
      <rPr>
        <i val="true"/>
        <sz val="10"/>
        <color rgb="FF595959"/>
        <rFont val="Noto Sans CJK SC"/>
        <family val="2"/>
      </rPr>
      <t xml:space="preserve">七、</t>
    </r>
    <r>
      <rPr>
        <i val="true"/>
        <sz val="10"/>
        <color rgb="FF595959"/>
        <rFont val="Arial"/>
        <family val="0"/>
        <charset val="1"/>
      </rPr>
      <t xml:space="preserve">46; 2025H1 </t>
    </r>
    <r>
      <rPr>
        <i val="true"/>
        <sz val="10"/>
        <color rgb="FF595959"/>
        <rFont val="Noto Sans CJK SC"/>
        <family val="2"/>
      </rPr>
      <t xml:space="preserve">七、</t>
    </r>
    <r>
      <rPr>
        <i val="true"/>
        <sz val="10"/>
        <color rgb="FF595959"/>
        <rFont val="Arial"/>
        <family val="0"/>
        <charset val="1"/>
      </rPr>
      <t xml:space="preserve">45 (2024H1 comparatives); 2026H1 </t>
    </r>
    <r>
      <rPr>
        <i val="true"/>
        <sz val="10"/>
        <color rgb="FF595959"/>
        <rFont val="Noto Sans CJK SC"/>
        <family val="2"/>
      </rPr>
      <t xml:space="preserve">七、</t>
    </r>
    <r>
      <rPr>
        <i val="true"/>
        <sz val="10"/>
        <color rgb="FF595959"/>
        <rFont val="Arial"/>
        <family val="0"/>
        <charset val="1"/>
      </rPr>
      <t xml:space="preserve">44.</t>
    </r>
  </si>
  <si>
    <t xml:space="preserve">其中：租赁负债利息费用</t>
  </si>
  <si>
    <t xml:space="preserve">减：利息收入（正数列示）</t>
  </si>
  <si>
    <r>
      <rPr>
        <sz val="10"/>
        <color rgb="FF000000"/>
        <rFont val="Noto Sans CJK SC"/>
        <family val="2"/>
      </rPr>
      <t xml:space="preserve">汇兑损益（负数</t>
    </r>
    <r>
      <rPr>
        <sz val="10"/>
        <color rgb="FF000000"/>
        <rFont val="Arial"/>
        <family val="0"/>
        <charset val="1"/>
      </rPr>
      <t xml:space="preserve">=</t>
    </r>
    <r>
      <rPr>
        <sz val="10"/>
        <color rgb="FF000000"/>
        <rFont val="Noto Sans CJK SC"/>
        <family val="2"/>
      </rPr>
      <t xml:space="preserve">收益）</t>
    </r>
  </si>
  <si>
    <t xml:space="preserve">其他（手续费等）</t>
  </si>
  <si>
    <t xml:space="preserve">公允价值变动收益</t>
  </si>
  <si>
    <r>
      <rPr>
        <i val="true"/>
        <sz val="10"/>
        <color rgb="FF595959"/>
        <rFont val="Noto Sans CJK SC"/>
        <family val="2"/>
      </rPr>
      <t xml:space="preserve">单位：百万元（原表单位元；比例、单价、股数、人数等非金额行列保持原值；原单位说明：元）；来源：公允价值变动收益附注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46; FY2024 AR </t>
    </r>
    <r>
      <rPr>
        <i val="true"/>
        <sz val="10"/>
        <color rgb="FF595959"/>
        <rFont val="Noto Sans CJK SC"/>
        <family val="2"/>
      </rPr>
      <t xml:space="preserve">七、</t>
    </r>
    <r>
      <rPr>
        <i val="true"/>
        <sz val="10"/>
        <color rgb="FF595959"/>
        <rFont val="Arial"/>
        <family val="0"/>
        <charset val="1"/>
      </rPr>
      <t xml:space="preserve">45; FY2025 AR </t>
    </r>
    <r>
      <rPr>
        <i val="true"/>
        <sz val="10"/>
        <color rgb="FF595959"/>
        <rFont val="Noto Sans CJK SC"/>
        <family val="2"/>
      </rPr>
      <t xml:space="preserve">七、</t>
    </r>
    <r>
      <rPr>
        <i val="true"/>
        <sz val="10"/>
        <color rgb="FF595959"/>
        <rFont val="Arial"/>
        <family val="0"/>
        <charset val="1"/>
      </rPr>
      <t xml:space="preserve">48; 2025H1 </t>
    </r>
    <r>
      <rPr>
        <i val="true"/>
        <sz val="10"/>
        <color rgb="FF595959"/>
        <rFont val="Noto Sans CJK SC"/>
        <family val="2"/>
      </rPr>
      <t xml:space="preserve">七、</t>
    </r>
    <r>
      <rPr>
        <i val="true"/>
        <sz val="10"/>
        <color rgb="FF595959"/>
        <rFont val="Arial"/>
        <family val="0"/>
        <charset val="1"/>
      </rPr>
      <t xml:space="preserve">47; 2026H1 </t>
    </r>
    <r>
      <rPr>
        <i val="true"/>
        <sz val="10"/>
        <color rgb="FF595959"/>
        <rFont val="Noto Sans CJK SC"/>
        <family val="2"/>
      </rPr>
      <t xml:space="preserve">七、</t>
    </r>
    <r>
      <rPr>
        <i val="true"/>
        <sz val="10"/>
        <color rgb="FF595959"/>
        <rFont val="Arial"/>
        <family val="0"/>
        <charset val="1"/>
      </rPr>
      <t xml:space="preserve">46.</t>
    </r>
  </si>
  <si>
    <t xml:space="preserve">交易性金融资产（公允价值变动）</t>
  </si>
  <si>
    <t xml:space="preserve">投资收益构成</t>
  </si>
  <si>
    <r>
      <rPr>
        <i val="true"/>
        <sz val="10"/>
        <color rgb="FF595959"/>
        <rFont val="Noto Sans CJK SC"/>
        <family val="2"/>
      </rPr>
      <t xml:space="preserve">单位：百万元（原表单位元；比例、单价、股数、人数等非金额行列保持原值；原单位说明：元）；来源：投资收益附注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47; FY2024 AR </t>
    </r>
    <r>
      <rPr>
        <i val="true"/>
        <sz val="10"/>
        <color rgb="FF595959"/>
        <rFont val="Noto Sans CJK SC"/>
        <family val="2"/>
      </rPr>
      <t xml:space="preserve">七、</t>
    </r>
    <r>
      <rPr>
        <i val="true"/>
        <sz val="10"/>
        <color rgb="FF595959"/>
        <rFont val="Arial"/>
        <family val="0"/>
        <charset val="1"/>
      </rPr>
      <t xml:space="preserve">46; FY2025 AR </t>
    </r>
    <r>
      <rPr>
        <i val="true"/>
        <sz val="10"/>
        <color rgb="FF595959"/>
        <rFont val="Noto Sans CJK SC"/>
        <family val="2"/>
      </rPr>
      <t xml:space="preserve">七、</t>
    </r>
    <r>
      <rPr>
        <i val="true"/>
        <sz val="10"/>
        <color rgb="FF595959"/>
        <rFont val="Arial"/>
        <family val="0"/>
        <charset val="1"/>
      </rPr>
      <t xml:space="preserve">49; 2025H1 </t>
    </r>
    <r>
      <rPr>
        <i val="true"/>
        <sz val="10"/>
        <color rgb="FF595959"/>
        <rFont val="Noto Sans CJK SC"/>
        <family val="2"/>
      </rPr>
      <t xml:space="preserve">七、</t>
    </r>
    <r>
      <rPr>
        <i val="true"/>
        <sz val="10"/>
        <color rgb="FF595959"/>
        <rFont val="Arial"/>
        <family val="0"/>
        <charset val="1"/>
      </rPr>
      <t xml:space="preserve">48; 2026H1 </t>
    </r>
    <r>
      <rPr>
        <i val="true"/>
        <sz val="10"/>
        <color rgb="FF595959"/>
        <rFont val="Noto Sans CJK SC"/>
        <family val="2"/>
      </rPr>
      <t xml:space="preserve">七、</t>
    </r>
    <r>
      <rPr>
        <i val="true"/>
        <sz val="10"/>
        <color rgb="FF595959"/>
        <rFont val="Arial"/>
        <family val="0"/>
        <charset val="1"/>
      </rPr>
      <t xml:space="preserve">47.</t>
    </r>
  </si>
  <si>
    <t xml:space="preserve">其他权益工具投资在持有期间取得的股利收入</t>
  </si>
  <si>
    <t xml:space="preserve">理财收益</t>
  </si>
  <si>
    <t xml:space="preserve">筹资活动现金流量明细（合并）</t>
  </si>
  <si>
    <r>
      <rPr>
        <i val="true"/>
        <sz val="10"/>
        <color rgb="FF595959"/>
        <rFont val="Noto Sans CJK SC"/>
        <family val="2"/>
      </rPr>
      <t xml:space="preserve">单位：百万元（原表单位元；比例、单价、股数、人数等非金额行列保持原值；原单位说明：元）；来源：合并现金流量表 三、筹资活动 </t>
    </r>
    <r>
      <rPr>
        <i val="true"/>
        <sz val="10"/>
        <color rgb="FF595959"/>
        <rFont val="Arial"/>
        <family val="0"/>
        <charset val="1"/>
      </rPr>
      <t xml:space="preserve">(FY2023 AR p.80; FY2024 AR p.85; FY2025 AR; 2025H1 p.39; 2026H1 p.42) and </t>
    </r>
    <r>
      <rPr>
        <i val="true"/>
        <sz val="10"/>
        <color rgb="FF595959"/>
        <rFont val="Noto Sans CJK SC"/>
        <family val="2"/>
      </rPr>
      <t xml:space="preserve">与筹资活动有关的现金附注 </t>
    </r>
    <r>
      <rPr>
        <i val="true"/>
        <sz val="10"/>
        <color rgb="FF595959"/>
        <rFont val="Arial"/>
        <family val="0"/>
        <charset val="1"/>
      </rPr>
      <t xml:space="preserve">(FY2023 </t>
    </r>
    <r>
      <rPr>
        <i val="true"/>
        <sz val="10"/>
        <color rgb="FF595959"/>
        <rFont val="Noto Sans CJK SC"/>
        <family val="2"/>
      </rPr>
      <t xml:space="preserve">七、</t>
    </r>
    <r>
      <rPr>
        <i val="true"/>
        <sz val="10"/>
        <color rgb="FF595959"/>
        <rFont val="Arial"/>
        <family val="0"/>
        <charset val="1"/>
      </rPr>
      <t xml:space="preserve">55(3); FY2024 </t>
    </r>
    <r>
      <rPr>
        <i val="true"/>
        <sz val="10"/>
        <color rgb="FF595959"/>
        <rFont val="Noto Sans CJK SC"/>
        <family val="2"/>
      </rPr>
      <t xml:space="preserve">七、</t>
    </r>
    <r>
      <rPr>
        <i val="true"/>
        <sz val="10"/>
        <color rgb="FF595959"/>
        <rFont val="Arial"/>
        <family val="0"/>
        <charset val="1"/>
      </rPr>
      <t xml:space="preserve">54(3); FY2025 </t>
    </r>
    <r>
      <rPr>
        <i val="true"/>
        <sz val="10"/>
        <color rgb="FF595959"/>
        <rFont val="Noto Sans CJK SC"/>
        <family val="2"/>
      </rPr>
      <t xml:space="preserve">七、</t>
    </r>
    <r>
      <rPr>
        <i val="true"/>
        <sz val="10"/>
        <color rgb="FF595959"/>
        <rFont val="Arial"/>
        <family val="0"/>
        <charset val="1"/>
      </rPr>
      <t xml:space="preserve">57(3); 2025H1 </t>
    </r>
    <r>
      <rPr>
        <i val="true"/>
        <sz val="10"/>
        <color rgb="FF595959"/>
        <rFont val="Noto Sans CJK SC"/>
        <family val="2"/>
      </rPr>
      <t xml:space="preserve">七、</t>
    </r>
    <r>
      <rPr>
        <i val="true"/>
        <sz val="10"/>
        <color rgb="FF595959"/>
        <rFont val="Arial"/>
        <family val="0"/>
        <charset val="1"/>
      </rPr>
      <t xml:space="preserve">56(3); 2026H1 </t>
    </r>
    <r>
      <rPr>
        <i val="true"/>
        <sz val="10"/>
        <color rgb="FF595959"/>
        <rFont val="Noto Sans CJK SC"/>
        <family val="2"/>
      </rPr>
      <t xml:space="preserve">七、</t>
    </r>
    <r>
      <rPr>
        <i val="true"/>
        <sz val="10"/>
        <color rgb="FF595959"/>
        <rFont val="Arial"/>
        <family val="0"/>
        <charset val="1"/>
      </rPr>
      <t xml:space="preserve">55(3)). </t>
    </r>
    <r>
      <rPr>
        <i val="true"/>
        <sz val="10"/>
        <color rgb="FF595959"/>
        <rFont val="Noto Sans CJK SC"/>
        <family val="2"/>
      </rPr>
      <t xml:space="preserve">吸收投资收到的现金 </t>
    </r>
    <r>
      <rPr>
        <i val="true"/>
        <sz val="10"/>
        <color rgb="FF595959"/>
        <rFont val="Arial"/>
        <family val="0"/>
        <charset val="1"/>
      </rPr>
      <t xml:space="preserve">and </t>
    </r>
    <r>
      <rPr>
        <i val="true"/>
        <sz val="10"/>
        <color rgb="FF595959"/>
        <rFont val="Noto Sans CJK SC"/>
        <family val="2"/>
      </rPr>
      <t xml:space="preserve">收到</t>
    </r>
  </si>
  <si>
    <t xml:space="preserve">取得借款收到的现金</t>
  </si>
  <si>
    <t xml:space="preserve">筹资活动现金流入小计</t>
  </si>
  <si>
    <t xml:space="preserve">偿还债务支付的现金</t>
  </si>
  <si>
    <t xml:space="preserve">其中：子公司支付给少数股东的股利、利润</t>
  </si>
  <si>
    <t xml:space="preserve">支付其他与筹资活动有关的现金</t>
  </si>
  <si>
    <t xml:space="preserve">  其中：偿还租赁负债支付的现金</t>
  </si>
  <si>
    <t xml:space="preserve">  其中：回购股份支付的现金</t>
  </si>
  <si>
    <r>
      <rPr>
        <sz val="10"/>
        <color rgb="FF000000"/>
        <rFont val="Noto Sans CJK SC"/>
        <family val="2"/>
      </rPr>
      <t xml:space="preserve">  其中：上市费用（</t>
    </r>
    <r>
      <rPr>
        <sz val="10"/>
        <color rgb="FF000000"/>
        <rFont val="Arial"/>
        <family val="0"/>
        <charset val="1"/>
      </rPr>
      <t xml:space="preserve">H</t>
    </r>
    <r>
      <rPr>
        <sz val="10"/>
        <color rgb="FF000000"/>
        <rFont val="Noto Sans CJK SC"/>
        <family val="2"/>
      </rPr>
      <t xml:space="preserve">股）</t>
    </r>
  </si>
  <si>
    <t xml:space="preserve">筹资活动现金流出小计</t>
  </si>
  <si>
    <t xml:space="preserve">筹资活动产生的现金流量净额</t>
  </si>
  <si>
    <t xml:space="preserve">投资活动现金流量（含理财申赎）及现金等价物滚动</t>
  </si>
  <si>
    <r>
      <rPr>
        <i val="true"/>
        <sz val="10"/>
        <color rgb="FF595959"/>
        <rFont val="Noto Sans CJK SC"/>
        <family val="2"/>
      </rPr>
      <t xml:space="preserve">单位：百万元（原表单位元；比例、单价、股数、人数等非金额行列保持原值；原单位说明：元）；来源：合并现金流量表 </t>
    </r>
    <r>
      <rPr>
        <i val="true"/>
        <sz val="10"/>
        <color rgb="FF595959"/>
        <rFont val="Arial"/>
        <family val="0"/>
        <charset val="1"/>
      </rPr>
      <t xml:space="preserve">(FY2023 AR p.80; FY2024 AR p.85; FY2025 AR; 2025H1 p.39; 2026H1 p.42); FY2022 and 2024H1 are comparatives.</t>
    </r>
  </si>
  <si>
    <t xml:space="preserve">经营活动产生的现金流量净额</t>
  </si>
  <si>
    <t xml:space="preserve">收回投资收到的现金</t>
  </si>
  <si>
    <t xml:space="preserve">取得投资收益收到的现金</t>
  </si>
  <si>
    <t xml:space="preserve">投资活动现金流入小计</t>
  </si>
  <si>
    <t xml:space="preserve">投资支付的现金</t>
  </si>
  <si>
    <t xml:space="preserve">支付其他与投资活动有关的现金</t>
  </si>
  <si>
    <t xml:space="preserve">投资活动现金流出小计</t>
  </si>
  <si>
    <t xml:space="preserve">投资活动产生的现金流量净额</t>
  </si>
  <si>
    <t xml:space="preserve">汇率变动对现金及现金等价物的影响</t>
  </si>
  <si>
    <t xml:space="preserve">期初现金及现金等价物余额</t>
  </si>
  <si>
    <r>
      <rPr>
        <sz val="10"/>
        <color rgb="FF000000"/>
        <rFont val="Noto Sans CJK SC"/>
        <family val="2"/>
      </rPr>
      <t xml:space="preserve">（计算）理财</t>
    </r>
    <r>
      <rPr>
        <sz val="10"/>
        <color rgb="FF000000"/>
        <rFont val="Arial"/>
        <family val="0"/>
        <charset val="1"/>
      </rPr>
      <t xml:space="preserve">/</t>
    </r>
    <r>
      <rPr>
        <sz val="10"/>
        <color rgb="FF000000"/>
        <rFont val="Noto Sans CJK SC"/>
        <family val="2"/>
      </rPr>
      <t xml:space="preserve">存单净申购＝投资支付的现金－收回投资收到的现金（正数</t>
    </r>
    <r>
      <rPr>
        <sz val="10"/>
        <color rgb="FF000000"/>
        <rFont val="Arial"/>
        <family val="0"/>
        <charset val="1"/>
      </rPr>
      <t xml:space="preserve">=</t>
    </r>
    <r>
      <rPr>
        <sz val="10"/>
        <color rgb="FF000000"/>
        <rFont val="Noto Sans CJK SC"/>
        <family val="2"/>
      </rPr>
      <t xml:space="preserve">净买入）</t>
    </r>
  </si>
  <si>
    <t xml:space="preserve">外币货币性项目（主要币种，汇兑损益敏感性基础）</t>
  </si>
  <si>
    <r>
      <rPr>
        <i val="true"/>
        <sz val="10"/>
        <color rgb="FF595959"/>
        <rFont val="Noto Sans CJK SC"/>
        <family val="2"/>
      </rPr>
      <t xml:space="preserve">单位：百万元（原表单位元；比例、单价、股数、人数等非金额行列保持原值；原单位说明：元（折人民币）；原币金额为原币单位；汇率为人民币</t>
    </r>
    <r>
      <rPr>
        <i val="true"/>
        <sz val="10"/>
        <color rgb="FF595959"/>
        <rFont val="Arial"/>
        <family val="0"/>
        <charset val="1"/>
      </rPr>
      <t xml:space="preserve">/1</t>
    </r>
    <r>
      <rPr>
        <i val="true"/>
        <sz val="10"/>
        <color rgb="FF595959"/>
        <rFont val="Noto Sans CJK SC"/>
        <family val="2"/>
      </rPr>
      <t xml:space="preserve">单位外币）；来源：外币货币性项目附注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58; FY2024 AR </t>
    </r>
    <r>
      <rPr>
        <i val="true"/>
        <sz val="10"/>
        <color rgb="FF595959"/>
        <rFont val="Noto Sans CJK SC"/>
        <family val="2"/>
      </rPr>
      <t xml:space="preserve">七、</t>
    </r>
    <r>
      <rPr>
        <i val="true"/>
        <sz val="10"/>
        <color rgb="FF595959"/>
        <rFont val="Arial"/>
        <family val="0"/>
        <charset val="1"/>
      </rPr>
      <t xml:space="preserve">56; FY2025 AR </t>
    </r>
    <r>
      <rPr>
        <i val="true"/>
        <sz val="10"/>
        <color rgb="FF595959"/>
        <rFont val="Noto Sans CJK SC"/>
        <family val="2"/>
      </rPr>
      <t xml:space="preserve">七、</t>
    </r>
    <r>
      <rPr>
        <i val="true"/>
        <sz val="10"/>
        <color rgb="FF595959"/>
        <rFont val="Arial"/>
        <family val="0"/>
        <charset val="1"/>
      </rPr>
      <t xml:space="preserve">59; 2025H1 </t>
    </r>
    <r>
      <rPr>
        <i val="true"/>
        <sz val="10"/>
        <color rgb="FF595959"/>
        <rFont val="Noto Sans CJK SC"/>
        <family val="2"/>
      </rPr>
      <t xml:space="preserve">七、</t>
    </r>
    <r>
      <rPr>
        <i val="true"/>
        <sz val="10"/>
        <color rgb="FF595959"/>
        <rFont val="Arial"/>
        <family val="0"/>
        <charset val="1"/>
      </rPr>
      <t xml:space="preserve">58; 2026H1 </t>
    </r>
    <r>
      <rPr>
        <i val="true"/>
        <sz val="10"/>
        <color rgb="FF595959"/>
        <rFont val="Noto Sans CJK SC"/>
        <family val="2"/>
      </rPr>
      <t xml:space="preserve">七、</t>
    </r>
    <r>
      <rPr>
        <i val="true"/>
        <sz val="10"/>
        <color rgb="FF595959"/>
        <rFont val="Arial"/>
        <family val="0"/>
        <charset val="1"/>
      </rPr>
      <t xml:space="preserve">57.</t>
    </r>
  </si>
  <si>
    <t xml:space="preserve">外币货币资金折人民币合计</t>
  </si>
  <si>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美元原币</t>
    </r>
  </si>
  <si>
    <t xml:space="preserve">美元折算汇率</t>
  </si>
  <si>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美元折人民币</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</si>
  <si>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欧元原币</t>
    </r>
  </si>
  <si>
    <t xml:space="preserve">欧元折算汇率</t>
  </si>
  <si>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欧元折人民币</t>
    </r>
  </si>
  <si>
    <t xml:space="preserve">外币应收账款折人民币合计</t>
  </si>
  <si>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美元原币</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</si>
  <si>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美元折人民币</t>
    </r>
  </si>
  <si>
    <t xml:space="preserve">外币其他应收款折人民币合计</t>
  </si>
  <si>
    <t xml:space="preserve">外币应付账款折人民币合计</t>
  </si>
  <si>
    <t xml:space="preserve">外币其他应付款折人民币合计</t>
  </si>
  <si>
    <t xml:space="preserve">年度利润分配方案（按所属会计年度）</t>
  </si>
  <si>
    <r>
      <rPr>
        <i val="true"/>
        <sz val="10"/>
        <color rgb="FF595959"/>
        <rFont val="Noto Sans CJK SC"/>
        <family val="2"/>
      </rPr>
      <t xml:space="preserve">单位：百万元（原表单位元；比例、单价、股数、人数等非金额行列保持原值；原单位说明：元；每</t>
    </r>
    <r>
      <rPr>
        <i val="true"/>
        <sz val="10"/>
        <color rgb="FF595959"/>
        <rFont val="Arial"/>
        <family val="0"/>
        <charset val="1"/>
      </rPr>
      <t xml:space="preserve">10</t>
    </r>
    <r>
      <rPr>
        <i val="true"/>
        <sz val="10"/>
        <color rgb="FF595959"/>
        <rFont val="Noto Sans CJK SC"/>
        <family val="2"/>
      </rPr>
      <t xml:space="preserve">股派息为元</t>
    </r>
    <r>
      <rPr>
        <i val="true"/>
        <sz val="10"/>
        <color rgb="FF595959"/>
        <rFont val="Arial"/>
        <family val="0"/>
        <charset val="1"/>
      </rPr>
      <t xml:space="preserve">/10</t>
    </r>
    <r>
      <rPr>
        <i val="true"/>
        <sz val="10"/>
        <color rgb="FF595959"/>
        <rFont val="Noto Sans CJK SC"/>
        <family val="2"/>
      </rPr>
      <t xml:space="preserve">股；股本基数为股；比例为</t>
    </r>
    <r>
      <rPr>
        <i val="true"/>
        <sz val="10"/>
        <color rgb="FF595959"/>
        <rFont val="Arial"/>
        <family val="0"/>
        <charset val="1"/>
      </rPr>
      <t xml:space="preserve">%</t>
    </r>
    <r>
      <rPr>
        <i val="true"/>
        <sz val="10"/>
        <color rgb="FF595959"/>
        <rFont val="Noto Sans CJK SC"/>
        <family val="2"/>
      </rPr>
      <t xml:space="preserve">）；来源：第四节 公司治理 十二</t>
    </r>
    <r>
      <rPr>
        <i val="true"/>
        <sz val="10"/>
        <color rgb="FF595959"/>
        <rFont val="Arial"/>
        <family val="0"/>
        <charset val="1"/>
      </rPr>
      <t xml:space="preserve">/</t>
    </r>
    <r>
      <rPr>
        <i val="true"/>
        <sz val="10"/>
        <color rgb="FF595959"/>
        <rFont val="Noto Sans CJK SC"/>
        <family val="2"/>
      </rPr>
      <t xml:space="preserve">十一、利润分配及资本公积金转增股本情况 </t>
    </r>
    <r>
      <rPr>
        <i val="true"/>
        <sz val="10"/>
        <color rgb="FF595959"/>
        <rFont val="Arial"/>
        <family val="0"/>
        <charset val="1"/>
      </rPr>
      <t xml:space="preserve">(FY2023 AR p.39-40; FY2024 AR p.39-40; FY2025 AR p.33-34); </t>
    </r>
    <r>
      <rPr>
        <i val="true"/>
        <sz val="10"/>
        <color rgb="FF595959"/>
        <rFont val="Noto Sans CJK SC"/>
        <family val="2"/>
      </rPr>
      <t xml:space="preserve">实施情况 </t>
    </r>
    <r>
      <rPr>
        <i val="true"/>
        <sz val="10"/>
        <color rgb="FF595959"/>
        <rFont val="Arial"/>
        <family val="0"/>
        <charset val="1"/>
      </rPr>
      <t xml:space="preserve">in following year's report; 2025H1 &amp; 2026H1 '</t>
    </r>
    <r>
      <rPr>
        <i val="true"/>
        <sz val="10"/>
        <color rgb="FF595959"/>
        <rFont val="Noto Sans CJK SC"/>
        <family val="2"/>
      </rPr>
      <t xml:space="preserve">质量回报双提升</t>
    </r>
    <r>
      <rPr>
        <i val="true"/>
        <sz val="10"/>
        <color rgb="FF595959"/>
        <rFont val="Arial"/>
        <family val="0"/>
        <charset val="1"/>
      </rPr>
      <t xml:space="preserve">' sections (33.16%, 32.85%); FY2021 amount from FY20</t>
    </r>
  </si>
  <si>
    <t xml:space="preserve">FY2021</t>
  </si>
  <si>
    <r>
      <rPr>
        <sz val="10"/>
        <color rgb="FF000000"/>
        <rFont val="Noto Sans CJK SC"/>
        <family val="2"/>
      </rPr>
      <t xml:space="preserve">每</t>
    </r>
    <r>
      <rPr>
        <sz val="10"/>
        <color rgb="FF000000"/>
        <rFont val="Arial"/>
        <family val="0"/>
        <charset val="1"/>
      </rPr>
      <t xml:space="preserve">10</t>
    </r>
    <r>
      <rPr>
        <sz val="10"/>
        <color rgb="FF000000"/>
        <rFont val="Noto Sans CJK SC"/>
        <family val="2"/>
      </rPr>
      <t xml:space="preserve">股派发现金红利（元，含税）</t>
    </r>
  </si>
  <si>
    <t xml:space="preserve">方案股本基数（股）</t>
  </si>
  <si>
    <t xml:space="preserve">方案现金分红金额（元，含税）</t>
  </si>
  <si>
    <t xml:space="preserve">实施股本基数（股）</t>
  </si>
  <si>
    <r>
      <rPr>
        <sz val="10"/>
        <color rgb="FF000000"/>
        <rFont val="Noto Sans CJK SC"/>
        <family val="2"/>
      </rPr>
      <t xml:space="preserve">实际派发</t>
    </r>
    <r>
      <rPr>
        <sz val="10"/>
        <color rgb="FF000000"/>
        <rFont val="Arial"/>
        <family val="0"/>
        <charset val="1"/>
      </rPr>
      <t xml:space="preserve">/</t>
    </r>
    <r>
      <rPr>
        <sz val="10"/>
        <color rgb="FF000000"/>
        <rFont val="Noto Sans CJK SC"/>
        <family val="2"/>
      </rPr>
      <t xml:space="preserve">计入应付普通股股利金额（元）</t>
    </r>
  </si>
  <si>
    <t xml:space="preserve">以其他方式（回购股份）现金分红金额（元）</t>
  </si>
  <si>
    <t xml:space="preserve">现金分红总额（含其他方式）（元）</t>
  </si>
  <si>
    <t xml:space="preserve">可分配利润（元）</t>
  </si>
  <si>
    <r>
      <rPr>
        <sz val="10"/>
        <color rgb="FF000000"/>
        <rFont val="Noto Sans CJK SC"/>
        <family val="2"/>
      </rPr>
      <t xml:space="preserve">现金分红占归母净利润比例</t>
    </r>
    <r>
      <rPr>
        <sz val="10"/>
        <color rgb="FF000000"/>
        <rFont val="Arial"/>
        <family val="0"/>
        <charset val="1"/>
      </rPr>
      <t xml:space="preserve">-</t>
    </r>
    <r>
      <rPr>
        <sz val="10"/>
        <color rgb="FF000000"/>
        <rFont val="Noto Sans CJK SC"/>
        <family val="2"/>
      </rPr>
      <t xml:space="preserve">方案口径（</t>
    </r>
    <r>
      <rPr>
        <sz val="10"/>
        <color rgb="FF000000"/>
        <rFont val="Arial"/>
        <family val="0"/>
        <charset val="1"/>
      </rPr>
      <t xml:space="preserve">%</t>
    </r>
    <r>
      <rPr>
        <sz val="10"/>
        <color rgb="FF000000"/>
        <rFont val="Noto Sans CJK SC"/>
        <family val="2"/>
      </rPr>
      <t xml:space="preserve">，年报披露）</t>
    </r>
  </si>
  <si>
    <r>
      <rPr>
        <sz val="10"/>
        <color rgb="FF000000"/>
        <rFont val="Noto Sans CJK SC"/>
        <family val="2"/>
      </rPr>
      <t xml:space="preserve">现金分红占归母净利润比例</t>
    </r>
    <r>
      <rPr>
        <sz val="10"/>
        <color rgb="FF000000"/>
        <rFont val="Arial"/>
        <family val="0"/>
        <charset val="1"/>
      </rPr>
      <t xml:space="preserve">-</t>
    </r>
    <r>
      <rPr>
        <sz val="10"/>
        <color rgb="FF000000"/>
        <rFont val="Noto Sans CJK SC"/>
        <family val="2"/>
      </rPr>
      <t xml:space="preserve">实施口径（</t>
    </r>
    <r>
      <rPr>
        <sz val="10"/>
        <color rgb="FF000000"/>
        <rFont val="Arial"/>
        <family val="0"/>
        <charset val="1"/>
      </rPr>
      <t xml:space="preserve">%</t>
    </r>
    <r>
      <rPr>
        <sz val="10"/>
        <color rgb="FF000000"/>
        <rFont val="Noto Sans CJK SC"/>
        <family val="2"/>
      </rPr>
      <t xml:space="preserve">，次年半年报披露）</t>
    </r>
  </si>
  <si>
    <t xml:space="preserve">归属于母公司所有者的净利润（元）</t>
  </si>
  <si>
    <r>
      <rPr>
        <sz val="10"/>
        <color rgb="FF000000"/>
        <rFont val="Noto Sans CJK SC"/>
        <family val="2"/>
      </rPr>
      <t xml:space="preserve">（计算）实际派发现金红利／归母净利润（</t>
    </r>
    <r>
      <rPr>
        <sz val="10"/>
        <color rgb="FF000000"/>
        <rFont val="Arial"/>
        <family val="0"/>
        <charset val="1"/>
      </rPr>
      <t xml:space="preserve">%</t>
    </r>
    <r>
      <rPr>
        <sz val="10"/>
        <color rgb="FF000000"/>
        <rFont val="Noto Sans CJK SC"/>
        <family val="2"/>
      </rPr>
      <t xml:space="preserve">）</t>
    </r>
  </si>
  <si>
    <r>
      <rPr>
        <sz val="10"/>
        <color rgb="FF000000"/>
        <rFont val="Noto Sans CJK SC"/>
        <family val="2"/>
      </rPr>
      <t xml:space="preserve">（推算）</t>
    </r>
    <r>
      <rPr>
        <sz val="10"/>
        <color rgb="FF000000"/>
        <rFont val="Arial"/>
        <family val="0"/>
        <charset val="1"/>
      </rPr>
      <t xml:space="preserve">FY2021</t>
    </r>
    <r>
      <rPr>
        <sz val="10"/>
        <color rgb="FF000000"/>
        <rFont val="Noto Sans CJK SC"/>
        <family val="2"/>
      </rPr>
      <t xml:space="preserve">每</t>
    </r>
    <r>
      <rPr>
        <sz val="10"/>
        <color rgb="FF000000"/>
        <rFont val="Arial"/>
        <family val="0"/>
        <charset val="1"/>
      </rPr>
      <t xml:space="preserve">10</t>
    </r>
    <r>
      <rPr>
        <sz val="10"/>
        <color rgb="FF000000"/>
        <rFont val="Noto Sans CJK SC"/>
        <family val="2"/>
      </rPr>
      <t xml:space="preserve">股派息（元）＝</t>
    </r>
    <r>
      <rPr>
        <sz val="10"/>
        <color rgb="FF000000"/>
        <rFont val="Arial"/>
        <family val="0"/>
        <charset val="1"/>
      </rPr>
      <t xml:space="preserve">613,279,158.72</t>
    </r>
    <r>
      <rPr>
        <sz val="10"/>
        <color rgb="FF000000"/>
        <rFont val="Noto Sans CJK SC"/>
        <family val="2"/>
      </rPr>
      <t xml:space="preserve">／</t>
    </r>
    <r>
      <rPr>
        <sz val="10"/>
        <color rgb="FF000000"/>
        <rFont val="Arial"/>
        <family val="0"/>
        <charset val="1"/>
      </rPr>
      <t xml:space="preserve">1,916,497,371×10</t>
    </r>
  </si>
  <si>
    <r>
      <rPr>
        <sz val="10"/>
        <color rgb="FF000000"/>
        <rFont val="Noto Sans CJK SC"/>
        <family val="2"/>
      </rPr>
      <t xml:space="preserve">自上市以来累计现金分红（亿元，年报</t>
    </r>
    <r>
      <rPr>
        <sz val="10"/>
        <color rgb="FF000000"/>
        <rFont val="Arial"/>
        <family val="0"/>
        <charset val="1"/>
      </rPr>
      <t xml:space="preserve">"</t>
    </r>
    <r>
      <rPr>
        <sz val="10"/>
        <color rgb="FF000000"/>
        <rFont val="Noto Sans CJK SC"/>
        <family val="2"/>
      </rPr>
      <t xml:space="preserve">质量回报双提升</t>
    </r>
    <r>
      <rPr>
        <sz val="10"/>
        <color rgb="FF000000"/>
        <rFont val="Arial"/>
        <family val="0"/>
        <charset val="1"/>
      </rPr>
      <t xml:space="preserve">"</t>
    </r>
    <r>
      <rPr>
        <sz val="10"/>
        <color rgb="FF000000"/>
        <rFont val="Noto Sans CJK SC"/>
        <family val="2"/>
      </rPr>
      <t xml:space="preserve">章节，约数）</t>
    </r>
  </si>
  <si>
    <r>
      <rPr>
        <b val="true"/>
        <sz val="10"/>
        <color rgb="FF1F3864"/>
        <rFont val="Noto Sans CJK SC"/>
        <family val="2"/>
      </rPr>
      <t xml:space="preserve">未分配利润中</t>
    </r>
    <r>
      <rPr>
        <b val="true"/>
        <sz val="10"/>
        <color rgb="FF1F3864"/>
        <rFont val="Arial"/>
        <family val="0"/>
        <charset val="1"/>
      </rPr>
      <t xml:space="preserve">'</t>
    </r>
    <r>
      <rPr>
        <b val="true"/>
        <sz val="10"/>
        <color rgb="FF1F3864"/>
        <rFont val="Noto Sans CJK SC"/>
        <family val="2"/>
      </rPr>
      <t xml:space="preserve">应付普通股股利</t>
    </r>
    <r>
      <rPr>
        <b val="true"/>
        <sz val="10"/>
        <color rgb="FF1F3864"/>
        <rFont val="Arial"/>
        <family val="0"/>
        <charset val="1"/>
      </rPr>
      <t xml:space="preserve">'</t>
    </r>
    <r>
      <rPr>
        <b val="true"/>
        <sz val="10"/>
        <color rgb="FF1F3864"/>
        <rFont val="Noto Sans CJK SC"/>
        <family val="2"/>
      </rPr>
      <t xml:space="preserve">（当期宣告并派发的现金股利）</t>
    </r>
  </si>
  <si>
    <r>
      <rPr>
        <i val="true"/>
        <sz val="10"/>
        <color rgb="FF595959"/>
        <rFont val="Noto Sans CJK SC"/>
        <family val="2"/>
      </rPr>
      <t xml:space="preserve">单位：百万元（原表单位元；比例、单价、股数、人数等非金额行列保持原值；原单位说明：元）；来源：未分配利润附注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38; FY2024 AR </t>
    </r>
    <r>
      <rPr>
        <i val="true"/>
        <sz val="10"/>
        <color rgb="FF595959"/>
        <rFont val="Noto Sans CJK SC"/>
        <family val="2"/>
      </rPr>
      <t xml:space="preserve">七、</t>
    </r>
    <r>
      <rPr>
        <i val="true"/>
        <sz val="10"/>
        <color rgb="FF595959"/>
        <rFont val="Arial"/>
        <family val="0"/>
        <charset val="1"/>
      </rPr>
      <t xml:space="preserve">37; FY2025 AR (line ~8194); 2025H1 (line ~5866); 2026H1 (line ~5598); cash-flow line per financing_cash_flows table. 2024H1 appropriation = 2025H1 report </t>
    </r>
    <r>
      <rPr>
        <i val="true"/>
        <sz val="10"/>
        <color rgb="FF595959"/>
        <rFont val="Noto Sans CJK SC"/>
        <family val="2"/>
      </rPr>
      <t xml:space="preserve">未分配利润 上期</t>
    </r>
    <r>
      <rPr>
        <i val="true"/>
        <sz val="10"/>
        <color rgb="FF595959"/>
        <rFont val="Arial"/>
        <family val="0"/>
        <charset val="1"/>
      </rPr>
      <t xml:space="preserve">;</t>
    </r>
  </si>
  <si>
    <t xml:space="preserve">应付普通股股利（减少未分配利润）</t>
  </si>
  <si>
    <t xml:space="preserve">分配股利、利润或偿付利息支付的现金（现金流量表，含利息）</t>
  </si>
  <si>
    <r>
      <rPr>
        <sz val="10"/>
        <color rgb="FF000000"/>
        <rFont val="Noto Sans CJK SC"/>
        <family val="2"/>
      </rPr>
      <t xml:space="preserve">（推算）偿付利息支付的现金＝现金流量表合并行－当期派发普通股股利－少数股东股利（</t>
    </r>
    <r>
      <rPr>
        <sz val="10"/>
        <color rgb="FF000000"/>
        <rFont val="Arial"/>
        <family val="0"/>
        <charset val="1"/>
      </rPr>
      <t xml:space="preserve">2024H1</t>
    </r>
    <r>
      <rPr>
        <sz val="10"/>
        <color rgb="FF000000"/>
        <rFont val="Noto Sans CJK SC"/>
        <family val="2"/>
      </rPr>
      <t xml:space="preserve">：股利于</t>
    </r>
    <r>
      <rPr>
        <sz val="10"/>
        <color rgb="FF000000"/>
        <rFont val="Arial"/>
        <family val="0"/>
        <charset val="1"/>
      </rPr>
      <t xml:space="preserve">2024-07-09</t>
    </r>
    <r>
      <rPr>
        <sz val="10"/>
        <color rgb="FF000000"/>
        <rFont val="Noto Sans CJK SC"/>
        <family val="2"/>
      </rPr>
      <t xml:space="preserve">派发，全部为利息）</t>
    </r>
  </si>
  <si>
    <t xml:space="preserve">库存股余额与股本</t>
  </si>
  <si>
    <r>
      <rPr>
        <i val="true"/>
        <sz val="10"/>
        <color rgb="FF595959"/>
        <rFont val="Noto Sans CJK SC"/>
        <family val="2"/>
      </rPr>
      <t xml:space="preserve">单位：百万元（原表单位元；比例、单价、股数、人数等非金额行列保持原值；原单位说明：元；股）；来源：库存股附注</t>
    </r>
    <r>
      <rPr>
        <i val="true"/>
        <sz val="10"/>
        <color rgb="FF595959"/>
        <rFont val="Arial"/>
        <family val="0"/>
        <charset val="1"/>
      </rPr>
      <t xml:space="preserve">: FY2025 AR </t>
    </r>
    <r>
      <rPr>
        <i val="true"/>
        <sz val="10"/>
        <color rgb="FF595959"/>
        <rFont val="Noto Sans CJK SC"/>
        <family val="2"/>
      </rPr>
      <t xml:space="preserve">七、</t>
    </r>
    <r>
      <rPr>
        <i val="true"/>
        <sz val="10"/>
        <color rgb="FF595959"/>
        <rFont val="Arial"/>
        <family val="0"/>
        <charset val="1"/>
      </rPr>
      <t xml:space="preserve">37; 2025H1 </t>
    </r>
    <r>
      <rPr>
        <i val="true"/>
        <sz val="10"/>
        <color rgb="FF595959"/>
        <rFont val="Noto Sans CJK SC"/>
        <family val="2"/>
      </rPr>
      <t xml:space="preserve">七、</t>
    </r>
    <r>
      <rPr>
        <i val="true"/>
        <sz val="10"/>
        <color rgb="FF595959"/>
        <rFont val="Arial"/>
        <family val="0"/>
        <charset val="1"/>
      </rPr>
      <t xml:space="preserve">36; 2026H1 </t>
    </r>
    <r>
      <rPr>
        <i val="true"/>
        <sz val="10"/>
        <color rgb="FF595959"/>
        <rFont val="Noto Sans CJK SC"/>
        <family val="2"/>
      </rPr>
      <t xml:space="preserve">七、</t>
    </r>
    <r>
      <rPr>
        <i val="true"/>
        <sz val="10"/>
        <color rgb="FF595959"/>
        <rFont val="Arial"/>
        <family val="0"/>
        <charset val="1"/>
      </rPr>
      <t xml:space="preserve">35; </t>
    </r>
    <r>
      <rPr>
        <i val="true"/>
        <sz val="10"/>
        <color rgb="FF595959"/>
        <rFont val="Noto Sans CJK SC"/>
        <family val="2"/>
      </rPr>
      <t xml:space="preserve">股本附注 </t>
    </r>
    <r>
      <rPr>
        <i val="true"/>
        <sz val="10"/>
        <color rgb="FF595959"/>
        <rFont val="Arial"/>
        <family val="0"/>
        <charset val="1"/>
      </rPr>
      <t xml:space="preserve">(FY2025 </t>
    </r>
    <r>
      <rPr>
        <i val="true"/>
        <sz val="10"/>
        <color rgb="FF595959"/>
        <rFont val="Noto Sans CJK SC"/>
        <family val="2"/>
      </rPr>
      <t xml:space="preserve">七、</t>
    </r>
    <r>
      <rPr>
        <i val="true"/>
        <sz val="10"/>
        <color rgb="FF595959"/>
        <rFont val="Arial"/>
        <family val="0"/>
        <charset val="1"/>
      </rPr>
      <t xml:space="preserve">35; 2026H1 </t>
    </r>
    <r>
      <rPr>
        <i val="true"/>
        <sz val="10"/>
        <color rgb="FF595959"/>
        <rFont val="Noto Sans CJK SC"/>
        <family val="2"/>
      </rPr>
      <t xml:space="preserve">七、</t>
    </r>
    <r>
      <rPr>
        <i val="true"/>
        <sz val="10"/>
        <color rgb="FF595959"/>
        <rFont val="Arial"/>
        <family val="0"/>
        <charset val="1"/>
      </rPr>
      <t xml:space="preserve">33); balance sheets (</t>
    </r>
    <r>
      <rPr>
        <i val="true"/>
        <sz val="10"/>
        <color rgb="FF595959"/>
        <rFont val="Noto Sans CJK SC"/>
        <family val="2"/>
      </rPr>
      <t xml:space="preserve">库存股 </t>
    </r>
    <r>
      <rPr>
        <i val="true"/>
        <sz val="10"/>
        <color rgb="FF595959"/>
        <rFont val="Arial"/>
        <family val="0"/>
        <charset val="1"/>
      </rPr>
      <t xml:space="preserve">blank FY2023/FY2024).</t>
    </r>
  </si>
  <si>
    <t xml:space="preserve">库存股期末余额（元）</t>
  </si>
  <si>
    <t xml:space="preserve">库存股本期增加（元）</t>
  </si>
  <si>
    <t xml:space="preserve">回购专用账户累计回购股数（股）</t>
  </si>
  <si>
    <r>
      <rPr>
        <sz val="10"/>
        <color rgb="FF000000"/>
        <rFont val="Noto Sans CJK SC"/>
        <family val="2"/>
      </rPr>
      <t xml:space="preserve">股本</t>
    </r>
    <r>
      <rPr>
        <sz val="10"/>
        <color rgb="FF000000"/>
        <rFont val="Arial"/>
        <family val="0"/>
        <charset val="1"/>
      </rPr>
      <t xml:space="preserve">/</t>
    </r>
    <r>
      <rPr>
        <sz val="10"/>
        <color rgb="FF000000"/>
        <rFont val="Noto Sans CJK SC"/>
        <family val="2"/>
      </rPr>
      <t xml:space="preserve">股份总数（股）</t>
    </r>
  </si>
  <si>
    <r>
      <rPr>
        <b val="true"/>
        <sz val="10"/>
        <color rgb="FF1F3864"/>
        <rFont val="Arial"/>
        <family val="0"/>
        <charset val="1"/>
      </rPr>
      <t xml:space="preserve">A</t>
    </r>
    <r>
      <rPr>
        <b val="true"/>
        <sz val="10"/>
        <color rgb="FF1F3864"/>
        <rFont val="Noto Sans CJK SC"/>
        <family val="2"/>
      </rPr>
      <t xml:space="preserve">股回购方案及实施（</t>
    </r>
    <r>
      <rPr>
        <b val="true"/>
        <sz val="10"/>
        <color rgb="FF1F3864"/>
        <rFont val="Arial"/>
        <family val="0"/>
        <charset val="1"/>
      </rPr>
      <t xml:space="preserve">2025-2026</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</si>
  <si>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单位：百万元（原表单位元；比例、单价、股数、人数等非金额行列保持原值；原单位说明：元；股；元</t>
    </r>
    <r>
      <rPr>
        <i val="true"/>
        <sz val="10"/>
        <color rgb="FF595959"/>
        <rFont val="Arial"/>
        <family val="0"/>
        <charset val="1"/>
      </rPr>
      <t xml:space="preserve">/</t>
    </r>
    <r>
      <rPr>
        <i val="true"/>
        <sz val="10"/>
        <color rgb="FF595959"/>
        <rFont val="Noto Sans CJK SC"/>
        <family val="2"/>
      </rPr>
      <t xml:space="preserve">股；</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FY2025 AR </t>
    </r>
    <r>
      <rPr>
        <i val="true"/>
        <sz val="10"/>
        <color rgb="FF595959"/>
        <rFont val="Noto Sans CJK SC"/>
        <family val="2"/>
      </rPr>
      <t xml:space="preserve">七、</t>
    </r>
    <r>
      <rPr>
        <i val="true"/>
        <sz val="10"/>
        <color rgb="FF595959"/>
        <rFont val="Arial"/>
        <family val="0"/>
        <charset val="1"/>
      </rPr>
      <t xml:space="preserve">37 </t>
    </r>
    <r>
      <rPr>
        <i val="true"/>
        <sz val="10"/>
        <color rgb="FF595959"/>
        <rFont val="Noto Sans CJK SC"/>
        <family val="2"/>
      </rPr>
      <t xml:space="preserve">库存股 </t>
    </r>
    <r>
      <rPr>
        <i val="true"/>
        <sz val="10"/>
        <color rgb="FF595959"/>
        <rFont val="Arial"/>
        <family val="0"/>
        <charset val="1"/>
      </rPr>
      <t xml:space="preserve">and </t>
    </r>
    <r>
      <rPr>
        <i val="true"/>
        <sz val="10"/>
        <color rgb="FF595959"/>
        <rFont val="Noto Sans CJK SC"/>
        <family val="2"/>
      </rPr>
      <t xml:space="preserve">第七节 股份回购实施情况 </t>
    </r>
    <r>
      <rPr>
        <i val="true"/>
        <sz val="10"/>
        <color rgb="FF595959"/>
        <rFont val="Arial"/>
        <family val="0"/>
        <charset val="1"/>
      </rPr>
      <t xml:space="preserve">(p.~3620); 2025H1 </t>
    </r>
    <r>
      <rPr>
        <i val="true"/>
        <sz val="10"/>
        <color rgb="FF595959"/>
        <rFont val="Noto Sans CJK SC"/>
        <family val="2"/>
      </rPr>
      <t xml:space="preserve">七、</t>
    </r>
    <r>
      <rPr>
        <i val="true"/>
        <sz val="10"/>
        <color rgb="FF595959"/>
        <rFont val="Arial"/>
        <family val="0"/>
        <charset val="1"/>
      </rPr>
      <t xml:space="preserve">36 and </t>
    </r>
    <r>
      <rPr>
        <i val="true"/>
        <sz val="10"/>
        <color rgb="FF595959"/>
        <rFont val="Noto Sans CJK SC"/>
        <family val="2"/>
      </rPr>
      <t xml:space="preserve">质量回报双提升 </t>
    </r>
    <r>
      <rPr>
        <i val="true"/>
        <sz val="10"/>
        <color rgb="FF595959"/>
        <rFont val="Arial"/>
        <family val="0"/>
        <charset val="1"/>
      </rPr>
      <t xml:space="preserve">section; 2026H1 </t>
    </r>
    <r>
      <rPr>
        <i val="true"/>
        <sz val="10"/>
        <color rgb="FF595959"/>
        <rFont val="Noto Sans CJK SC"/>
        <family val="2"/>
      </rPr>
      <t xml:space="preserve">七、</t>
    </r>
    <r>
      <rPr>
        <i val="true"/>
        <sz val="10"/>
        <color rgb="FF595959"/>
        <rFont val="Arial"/>
        <family val="0"/>
        <charset val="1"/>
      </rPr>
      <t xml:space="preserve">35, </t>
    </r>
    <r>
      <rPr>
        <i val="true"/>
        <sz val="10"/>
        <color rgb="FF595959"/>
        <rFont val="Noto Sans CJK SC"/>
        <family val="2"/>
      </rPr>
      <t xml:space="preserve">第七节 股份变动 </t>
    </r>
    <r>
      <rPr>
        <i val="true"/>
        <sz val="10"/>
        <color rgb="FF595959"/>
        <rFont val="Arial"/>
        <family val="0"/>
        <charset val="1"/>
      </rPr>
      <t xml:space="preserve">(</t>
    </r>
    <r>
      <rPr>
        <i val="true"/>
        <sz val="10"/>
        <color rgb="FF595959"/>
        <rFont val="Noto Sans CJK SC"/>
        <family val="2"/>
      </rPr>
      <t xml:space="preserve">股份回购实施进展</t>
    </r>
    <r>
      <rPr>
        <i val="true"/>
        <sz val="10"/>
        <color rgb="FF595959"/>
        <rFont val="Arial"/>
        <family val="0"/>
        <charset val="1"/>
      </rPr>
      <t xml:space="preserve">), </t>
    </r>
    <r>
      <rPr>
        <i val="true"/>
        <sz val="10"/>
        <color rgb="FF595959"/>
        <rFont val="Noto Sans CJK SC"/>
        <family val="2"/>
      </rPr>
      <t xml:space="preserve">十七、资产负债表日后事项</t>
    </r>
    <r>
      <rPr>
        <i val="true"/>
        <sz val="10"/>
        <color rgb="FF595959"/>
        <rFont val="Arial"/>
        <family val="0"/>
        <charset val="1"/>
      </rPr>
      <t xml:space="preserve">. FY2025 AR </t>
    </r>
    <r>
      <rPr>
        <i val="true"/>
        <sz val="10"/>
        <color rgb="FF595959"/>
        <rFont val="Noto Sans CJK SC"/>
        <family val="2"/>
      </rPr>
      <t xml:space="preserve">第六节 四、股份回购在报告期的具体实施情况 </t>
    </r>
    <r>
      <rPr>
        <i val="true"/>
        <sz val="10"/>
        <color rgb="FF595959"/>
        <rFont val="Arial"/>
        <family val="0"/>
        <charset val="1"/>
      </rPr>
      <t xml:space="preserve">(</t>
    </r>
    <r>
      <rPr>
        <i val="true"/>
        <sz val="10"/>
        <color rgb="FF595959"/>
        <rFont val="Noto Sans CJK SC"/>
        <family val="2"/>
      </rPr>
      <t xml:space="preserve">拟回购数量约</t>
    </r>
    <r>
      <rPr>
        <i val="true"/>
        <sz val="10"/>
        <color rgb="FF595959"/>
        <rFont val="Arial"/>
        <family val="0"/>
        <charset val="1"/>
      </rPr>
      <t xml:space="preserve">259.56</t>
    </r>
    <r>
      <rPr>
        <i val="true"/>
        <sz val="10"/>
        <color rgb="FF595959"/>
        <rFont val="Noto Sans CJK SC"/>
        <family val="2"/>
      </rPr>
      <t xml:space="preserve">万</t>
    </r>
    <r>
      <rPr>
        <i val="true"/>
        <sz val="10"/>
        <color rgb="FF595959"/>
        <rFont val="Arial"/>
        <family val="0"/>
        <charset val="1"/>
      </rPr>
      <t xml:space="preserve">-346.08</t>
    </r>
    <r>
      <rPr>
        <i val="true"/>
        <sz val="10"/>
        <color rgb="FF595959"/>
        <rFont val="Noto Sans CJK SC"/>
        <family val="2"/>
      </rPr>
      <t xml:space="preserve">万股</t>
    </r>
    <r>
      <rPr>
        <i val="true"/>
        <sz val="10"/>
        <color rgb="FF595959"/>
        <rFont val="Arial"/>
        <family val="0"/>
        <charset val="1"/>
      </rPr>
      <t xml:space="preserve">, 0.14%-0.18%, 15</t>
    </r>
  </si>
  <si>
    <t xml:space="preserve">金额下限（元）</t>
  </si>
  <si>
    <t xml:space="preserve">金额上限（元）</t>
  </si>
  <si>
    <t xml:space="preserve">回购股数（股）</t>
  </si>
  <si>
    <r>
      <rPr>
        <b val="true"/>
        <sz val="10"/>
        <color rgb="FFFFFFFF"/>
        <rFont val="Noto Sans CJK SC"/>
        <family val="2"/>
      </rPr>
      <t xml:space="preserve">成交总金额</t>
    </r>
    <r>
      <rPr>
        <b val="true"/>
        <sz val="10"/>
        <color rgb="FFFFFFFF"/>
        <rFont val="Arial"/>
        <family val="0"/>
        <charset val="1"/>
      </rPr>
      <t xml:space="preserve">-</t>
    </r>
    <r>
      <rPr>
        <b val="true"/>
        <sz val="10"/>
        <color rgb="FFFFFFFF"/>
        <rFont val="Noto Sans CJK SC"/>
        <family val="2"/>
      </rPr>
      <t xml:space="preserve">含交易费用（元）</t>
    </r>
  </si>
  <si>
    <r>
      <rPr>
        <b val="true"/>
        <sz val="10"/>
        <color rgb="FFFFFFFF"/>
        <rFont val="Noto Sans CJK SC"/>
        <family val="2"/>
      </rPr>
      <t xml:space="preserve">成交总金额</t>
    </r>
    <r>
      <rPr>
        <b val="true"/>
        <sz val="10"/>
        <color rgb="FFFFFFFF"/>
        <rFont val="Arial"/>
        <family val="0"/>
        <charset val="1"/>
      </rPr>
      <t xml:space="preserve">-</t>
    </r>
    <r>
      <rPr>
        <b val="true"/>
        <sz val="10"/>
        <color rgb="FFFFFFFF"/>
        <rFont val="Noto Sans CJK SC"/>
        <family val="2"/>
      </rPr>
      <t xml:space="preserve">不含交易费用（元）</t>
    </r>
  </si>
  <si>
    <r>
      <rPr>
        <b val="true"/>
        <sz val="10"/>
        <color rgb="FFFFFFFF"/>
        <rFont val="Noto Sans CJK SC"/>
        <family val="2"/>
      </rPr>
      <t xml:space="preserve">最高成交价（元</t>
    </r>
    <r>
      <rPr>
        <b val="true"/>
        <sz val="10"/>
        <color rgb="FFFFFFFF"/>
        <rFont val="Arial"/>
        <family val="0"/>
        <charset val="1"/>
      </rPr>
      <t xml:space="preserve">/</t>
    </r>
    <r>
      <rPr>
        <b val="true"/>
        <sz val="10"/>
        <color rgb="FFFFFFFF"/>
        <rFont val="Noto Sans CJK SC"/>
        <family val="2"/>
      </rPr>
      <t xml:space="preserve">股）</t>
    </r>
  </si>
  <si>
    <r>
      <rPr>
        <b val="true"/>
        <sz val="10"/>
        <color rgb="FFFFFFFF"/>
        <rFont val="Noto Sans CJK SC"/>
        <family val="2"/>
      </rPr>
      <t xml:space="preserve">最低成交价（元</t>
    </r>
    <r>
      <rPr>
        <b val="true"/>
        <sz val="10"/>
        <color rgb="FFFFFFFF"/>
        <rFont val="Arial"/>
        <family val="0"/>
        <charset val="1"/>
      </rPr>
      <t xml:space="preserve">/</t>
    </r>
    <r>
      <rPr>
        <b val="true"/>
        <sz val="10"/>
        <color rgb="FFFFFFFF"/>
        <rFont val="Noto Sans CJK SC"/>
        <family val="2"/>
      </rPr>
      <t xml:space="preserve">股）</t>
    </r>
  </si>
  <si>
    <r>
      <rPr>
        <b val="true"/>
        <sz val="10"/>
        <color rgb="FFFFFFFF"/>
        <rFont val="Noto Sans CJK SC"/>
        <family val="2"/>
      </rPr>
      <t xml:space="preserve">占总股本比例（</t>
    </r>
    <r>
      <rPr>
        <b val="true"/>
        <sz val="10"/>
        <color rgb="FFFFFFFF"/>
        <rFont val="Arial"/>
        <family val="0"/>
        <charset val="1"/>
      </rPr>
      <t xml:space="preserve">%</t>
    </r>
    <r>
      <rPr>
        <b val="true"/>
        <sz val="10"/>
        <color rgb="FFFFFFFF"/>
        <rFont val="Noto Sans CJK SC"/>
        <family val="2"/>
      </rPr>
      <t xml:space="preserve">）</t>
    </r>
  </si>
  <si>
    <r>
      <rPr>
        <b val="true"/>
        <sz val="10"/>
        <color rgb="FFFFFFFF"/>
        <rFont val="Noto Sans CJK SC"/>
        <family val="2"/>
      </rPr>
      <t xml:space="preserve">（计算）平均成交价</t>
    </r>
    <r>
      <rPr>
        <b val="true"/>
        <sz val="10"/>
        <color rgb="FFFFFFFF"/>
        <rFont val="Arial"/>
        <family val="0"/>
        <charset val="1"/>
      </rPr>
      <t xml:space="preserve">-</t>
    </r>
    <r>
      <rPr>
        <b val="true"/>
        <sz val="10"/>
        <color rgb="FFFFFFFF"/>
        <rFont val="Noto Sans CJK SC"/>
        <family val="2"/>
      </rPr>
      <t xml:space="preserve">不含费用（元</t>
    </r>
    <r>
      <rPr>
        <b val="true"/>
        <sz val="10"/>
        <color rgb="FFFFFFFF"/>
        <rFont val="Arial"/>
        <family val="0"/>
        <charset val="1"/>
      </rPr>
      <t xml:space="preserve">/</t>
    </r>
    <r>
      <rPr>
        <b val="true"/>
        <sz val="10"/>
        <color rgb="FFFFFFFF"/>
        <rFont val="Noto Sans CJK SC"/>
        <family val="2"/>
      </rPr>
      <t xml:space="preserve">股）</t>
    </r>
  </si>
  <si>
    <r>
      <rPr>
        <sz val="10"/>
        <color rgb="FF000000"/>
        <rFont val="Arial"/>
        <family val="0"/>
        <charset val="1"/>
      </rPr>
      <t xml:space="preserve">2025</t>
    </r>
    <r>
      <rPr>
        <sz val="10"/>
        <color rgb="FF000000"/>
        <rFont val="Noto Sans CJK SC"/>
        <family val="2"/>
      </rPr>
      <t xml:space="preserve">年方案（董事会</t>
    </r>
    <r>
      <rPr>
        <sz val="10"/>
        <color rgb="FF000000"/>
        <rFont val="Arial"/>
        <family val="0"/>
        <charset val="1"/>
      </rPr>
      <t xml:space="preserve">2025-04-10</t>
    </r>
    <r>
      <rPr>
        <sz val="10"/>
        <color rgb="FF000000"/>
        <rFont val="Noto Sans CJK SC"/>
        <family val="2"/>
      </rPr>
      <t xml:space="preserve">，已实施完毕）</t>
    </r>
  </si>
  <si>
    <r>
      <rPr>
        <sz val="10"/>
        <color rgb="FF000000"/>
        <rFont val="Arial"/>
        <family val="0"/>
        <charset val="1"/>
      </rPr>
      <t xml:space="preserve">2026</t>
    </r>
    <r>
      <rPr>
        <sz val="10"/>
        <color rgb="FF000000"/>
        <rFont val="Noto Sans CJK SC"/>
        <family val="2"/>
      </rPr>
      <t xml:space="preserve">年第一期（董事会</t>
    </r>
    <r>
      <rPr>
        <sz val="10"/>
        <color rgb="FF000000"/>
        <rFont val="Arial"/>
        <family val="0"/>
        <charset val="1"/>
      </rPr>
      <t xml:space="preserve">2026-07-20</t>
    </r>
    <r>
      <rPr>
        <sz val="10"/>
        <color rgb="FF000000"/>
        <rFont val="Noto Sans CJK SC"/>
        <family val="2"/>
      </rPr>
      <t xml:space="preserve">，截至</t>
    </r>
    <r>
      <rPr>
        <sz val="10"/>
        <color rgb="FF000000"/>
        <rFont val="Arial"/>
        <family val="0"/>
        <charset val="1"/>
      </rPr>
      <t xml:space="preserve">2026-07-30</t>
    </r>
    <r>
      <rPr>
        <sz val="10"/>
        <color rgb="FF000000"/>
        <rFont val="Noto Sans CJK SC"/>
        <family val="2"/>
      </rPr>
      <t xml:space="preserve">已实施完毕）</t>
    </r>
  </si>
  <si>
    <r>
      <rPr>
        <sz val="10"/>
        <color rgb="FF000000"/>
        <rFont val="Arial"/>
        <family val="0"/>
        <charset val="1"/>
      </rPr>
      <t xml:space="preserve">2026</t>
    </r>
    <r>
      <rPr>
        <sz val="10"/>
        <color rgb="FF000000"/>
        <rFont val="Noto Sans CJK SC"/>
        <family val="2"/>
      </rPr>
      <t xml:space="preserve">年第二期（董事会</t>
    </r>
    <r>
      <rPr>
        <sz val="10"/>
        <color rgb="FF000000"/>
        <rFont val="Arial"/>
        <family val="0"/>
        <charset val="1"/>
      </rPr>
      <t xml:space="preserve">2026-07-30</t>
    </r>
    <r>
      <rPr>
        <sz val="10"/>
        <color rgb="FF000000"/>
        <rFont val="Noto Sans CJK SC"/>
        <family val="2"/>
      </rPr>
      <t xml:space="preserve">，进行中）</t>
    </r>
  </si>
  <si>
    <r>
      <rPr>
        <b val="true"/>
        <sz val="10"/>
        <color rgb="FF1F3864"/>
        <rFont val="Arial"/>
        <family val="0"/>
        <charset val="1"/>
      </rPr>
      <t xml:space="preserve">H</t>
    </r>
    <r>
      <rPr>
        <b val="true"/>
        <sz val="10"/>
        <color rgb="FF1F3864"/>
        <rFont val="Noto Sans CJK SC"/>
        <family val="2"/>
      </rPr>
      <t xml:space="preserve">股发行（</t>
    </r>
    <r>
      <rPr>
        <b val="true"/>
        <sz val="10"/>
        <color rgb="FF1F3864"/>
        <rFont val="Arial"/>
        <family val="0"/>
        <charset val="1"/>
      </rPr>
      <t xml:space="preserve">2026</t>
    </r>
    <r>
      <rPr>
        <b val="true"/>
        <sz val="10"/>
        <color rgb="FF1F3864"/>
        <rFont val="Noto Sans CJK SC"/>
        <family val="2"/>
      </rPr>
      <t xml:space="preserve">年</t>
    </r>
    <r>
      <rPr>
        <b val="true"/>
        <sz val="10"/>
        <color rgb="FF1F3864"/>
        <rFont val="Arial"/>
        <family val="0"/>
        <charset val="1"/>
      </rPr>
      <t xml:space="preserve">7</t>
    </r>
    <r>
      <rPr>
        <b val="true"/>
        <sz val="10"/>
        <color rgb="FF1F3864"/>
        <rFont val="Noto Sans CJK SC"/>
        <family val="2"/>
      </rPr>
      <t xml:space="preserve">月香港联交所主板上市，股份代号</t>
    </r>
    <r>
      <rPr>
        <b val="true"/>
        <sz val="10"/>
        <color rgb="FF1F3864"/>
        <rFont val="Arial"/>
        <family val="0"/>
        <charset val="1"/>
      </rPr>
      <t xml:space="preserve">6951</t>
    </r>
    <r>
      <rPr>
        <b val="true"/>
        <sz val="10"/>
        <color rgb="FF1F3864"/>
        <rFont val="Noto Sans CJK SC"/>
        <family val="2"/>
      </rPr>
      <t xml:space="preserve">）</t>
    </r>
  </si>
  <si>
    <r>
      <rPr>
        <i val="true"/>
        <sz val="10"/>
        <color rgb="FF595959"/>
        <rFont val="Noto Sans CJK SC"/>
        <family val="2"/>
      </rPr>
      <t xml:space="preserve">单位：股；港元</t>
    </r>
    <r>
      <rPr>
        <i val="true"/>
        <sz val="10"/>
        <color rgb="FF595959"/>
        <rFont val="Arial"/>
        <family val="0"/>
        <charset val="1"/>
      </rPr>
      <t xml:space="preserve">/</t>
    </r>
    <r>
      <rPr>
        <i val="true"/>
        <sz val="10"/>
        <color rgb="FF595959"/>
        <rFont val="Noto Sans CJK SC"/>
        <family val="2"/>
      </rPr>
      <t xml:space="preserve">股；来源：</t>
    </r>
    <r>
      <rPr>
        <i val="true"/>
        <sz val="10"/>
        <color rgb="FF595959"/>
        <rFont val="Arial"/>
        <family val="0"/>
        <charset val="1"/>
      </rPr>
      <t xml:space="preserve">2026H1 report: </t>
    </r>
    <r>
      <rPr>
        <i val="true"/>
        <sz val="10"/>
        <color rgb="FF595959"/>
        <rFont val="Noto Sans CJK SC"/>
        <family val="2"/>
      </rPr>
      <t xml:space="preserve">第二节 管理层讨论 </t>
    </r>
    <r>
      <rPr>
        <i val="true"/>
        <sz val="10"/>
        <color rgb="FF595959"/>
        <rFont val="Arial"/>
        <family val="0"/>
        <charset val="1"/>
      </rPr>
      <t xml:space="preserve">(line 317-318); </t>
    </r>
    <r>
      <rPr>
        <i val="true"/>
        <sz val="10"/>
        <color rgb="FF595959"/>
        <rFont val="Noto Sans CJK SC"/>
        <family val="2"/>
      </rPr>
      <t xml:space="preserve">第六节 十三、其他重大事项</t>
    </r>
    <r>
      <rPr>
        <i val="true"/>
        <sz val="10"/>
        <color rgb="FF595959"/>
        <rFont val="Arial"/>
        <family val="0"/>
        <charset val="1"/>
      </rPr>
      <t xml:space="preserve">; </t>
    </r>
    <r>
      <rPr>
        <i val="true"/>
        <sz val="10"/>
        <color rgb="FF595959"/>
        <rFont val="Noto Sans CJK SC"/>
        <family val="2"/>
      </rPr>
      <t xml:space="preserve">第七节 二、证券发行与上市情况</t>
    </r>
    <r>
      <rPr>
        <i val="true"/>
        <sz val="10"/>
        <color rgb="FF595959"/>
        <rFont val="Arial"/>
        <family val="0"/>
        <charset val="1"/>
      </rPr>
      <t xml:space="preserve">; </t>
    </r>
    <r>
      <rPr>
        <i val="true"/>
        <sz val="10"/>
        <color rgb="FF595959"/>
        <rFont val="Noto Sans CJK SC"/>
        <family val="2"/>
      </rPr>
      <t xml:space="preserve">第十节 十七、资产负债表日后事项 </t>
    </r>
    <r>
      <rPr>
        <i val="true"/>
        <sz val="10"/>
        <color rgb="FF595959"/>
        <rFont val="Arial"/>
        <family val="0"/>
        <charset val="1"/>
      </rPr>
      <t xml:space="preserve">(p.114-115).</t>
    </r>
  </si>
  <si>
    <t xml:space="preserve">发行股数（股）</t>
  </si>
  <si>
    <r>
      <rPr>
        <b val="true"/>
        <sz val="10"/>
        <color rgb="FFFFFFFF"/>
        <rFont val="Noto Sans CJK SC"/>
        <family val="2"/>
      </rPr>
      <t xml:space="preserve">发行价格（港元</t>
    </r>
    <r>
      <rPr>
        <b val="true"/>
        <sz val="10"/>
        <color rgb="FFFFFFFF"/>
        <rFont val="Arial"/>
        <family val="0"/>
        <charset val="1"/>
      </rPr>
      <t xml:space="preserve">/</t>
    </r>
    <r>
      <rPr>
        <b val="true"/>
        <sz val="10"/>
        <color rgb="FFFFFFFF"/>
        <rFont val="Noto Sans CJK SC"/>
        <family val="2"/>
      </rPr>
      <t xml:space="preserve">股）</t>
    </r>
  </si>
  <si>
    <t xml:space="preserve">（计算）发行总额（港元，未扣除费用；报告未披露）</t>
  </si>
  <si>
    <r>
      <rPr>
        <sz val="10"/>
        <color rgb="FF000000"/>
        <rFont val="Noto Sans CJK SC"/>
        <family val="2"/>
      </rPr>
      <t xml:space="preserve">首次公开发行</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2026-07-09</t>
    </r>
    <r>
      <rPr>
        <sz val="10"/>
        <color rgb="FF000000"/>
        <rFont val="Noto Sans CJK SC"/>
        <family val="2"/>
      </rPr>
      <t xml:space="preserve">上市，超额配股权行使前）</t>
    </r>
  </si>
  <si>
    <r>
      <rPr>
        <sz val="10"/>
        <color rgb="FF000000"/>
        <rFont val="Noto Sans CJK SC"/>
        <family val="2"/>
      </rPr>
      <t xml:space="preserve">部分行使超额配股权（</t>
    </r>
    <r>
      <rPr>
        <sz val="10"/>
        <color rgb="FF000000"/>
        <rFont val="Arial"/>
        <family val="0"/>
        <charset val="1"/>
      </rPr>
      <t xml:space="preserve">2026-08-05</t>
    </r>
    <r>
      <rPr>
        <sz val="10"/>
        <color rgb="FF000000"/>
        <rFont val="Noto Sans CJK SC"/>
        <family val="2"/>
      </rPr>
      <t xml:space="preserve">发行，</t>
    </r>
    <r>
      <rPr>
        <sz val="10"/>
        <color rgb="FF000000"/>
        <rFont val="Arial"/>
        <family val="0"/>
        <charset val="1"/>
      </rPr>
      <t xml:space="preserve">2026-08-10</t>
    </r>
    <r>
      <rPr>
        <sz val="10"/>
        <color rgb="FF000000"/>
        <rFont val="Noto Sans CJK SC"/>
        <family val="2"/>
      </rPr>
      <t xml:space="preserve">上市）</t>
    </r>
  </si>
  <si>
    <r>
      <rPr>
        <sz val="10"/>
        <color rgb="FF000000"/>
        <rFont val="Noto Sans CJK SC"/>
        <family val="2"/>
      </rPr>
      <t xml:space="preserve">合计发行</t>
    </r>
    <r>
      <rPr>
        <sz val="10"/>
        <color rgb="FF000000"/>
        <rFont val="Arial"/>
        <family val="0"/>
        <charset val="1"/>
      </rPr>
      <t xml:space="preserve">H</t>
    </r>
    <r>
      <rPr>
        <sz val="10"/>
        <color rgb="FF000000"/>
        <rFont val="Noto Sans CJK SC"/>
        <family val="2"/>
      </rPr>
      <t xml:space="preserve">股</t>
    </r>
  </si>
  <si>
    <r>
      <rPr>
        <sz val="10"/>
        <color rgb="FF000000"/>
        <rFont val="Noto Sans CJK SC"/>
        <family val="2"/>
      </rPr>
      <t xml:space="preserve">（计算）发行后总股本（</t>
    </r>
    <r>
      <rPr>
        <sz val="10"/>
        <color rgb="FF000000"/>
        <rFont val="Arial"/>
        <family val="0"/>
        <charset val="1"/>
      </rPr>
      <t xml:space="preserve">A</t>
    </r>
    <r>
      <rPr>
        <sz val="10"/>
        <color rgb="FF000000"/>
        <rFont val="Noto Sans CJK SC"/>
        <family val="2"/>
      </rPr>
      <t xml:space="preserve">股</t>
    </r>
    <r>
      <rPr>
        <sz val="10"/>
        <color rgb="FF000000"/>
        <rFont val="Arial"/>
        <family val="0"/>
        <charset val="1"/>
      </rPr>
      <t xml:space="preserve">1,916,497,371</t>
    </r>
    <r>
      <rPr>
        <sz val="10"/>
        <color rgb="FF000000"/>
        <rFont val="Noto Sans CJK SC"/>
        <family val="2"/>
      </rPr>
      <t xml:space="preserve">＋</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80,221,200</t>
    </r>
    <r>
      <rPr>
        <sz val="10"/>
        <color rgb="FF000000"/>
        <rFont val="Noto Sans CJK SC"/>
        <family val="2"/>
      </rPr>
      <t xml:space="preserve">，股；与披露的全面摊薄</t>
    </r>
    <r>
      <rPr>
        <sz val="10"/>
        <color rgb="FF000000"/>
        <rFont val="Arial"/>
        <family val="0"/>
        <charset val="1"/>
      </rPr>
      <t xml:space="preserve">EPS 0.9676</t>
    </r>
    <r>
      <rPr>
        <sz val="10"/>
        <color rgb="FF000000"/>
        <rFont val="Noto Sans CJK SC"/>
        <family val="2"/>
      </rPr>
      <t xml:space="preserve">吻合）</t>
    </r>
  </si>
  <si>
    <r>
      <rPr>
        <b val="true"/>
        <sz val="10"/>
        <color rgb="FF1F3864"/>
        <rFont val="Arial"/>
        <family val="0"/>
        <charset val="1"/>
      </rPr>
      <t xml:space="preserve">H</t>
    </r>
    <r>
      <rPr>
        <b val="true"/>
        <sz val="10"/>
        <color rgb="FF1F3864"/>
        <rFont val="Noto Sans CJK SC"/>
        <family val="2"/>
      </rPr>
      <t xml:space="preserve">股上市费用（现金流与资本化）</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</si>
  <si>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 AR </t>
    </r>
    <r>
      <rPr>
        <i val="true"/>
        <sz val="10"/>
        <color rgb="FF595959"/>
        <rFont val="Noto Sans CJK SC"/>
        <family val="2"/>
      </rPr>
      <t xml:space="preserve">七、</t>
    </r>
    <r>
      <rPr>
        <i val="true"/>
        <sz val="10"/>
        <color rgb="FF595959"/>
        <rFont val="Arial"/>
        <family val="0"/>
        <charset val="1"/>
      </rPr>
      <t xml:space="preserve">57(3) and </t>
    </r>
    <r>
      <rPr>
        <i val="true"/>
        <sz val="10"/>
        <color rgb="FF595959"/>
        <rFont val="Noto Sans CJK SC"/>
        <family val="2"/>
      </rPr>
      <t xml:space="preserve">七、</t>
    </r>
    <r>
      <rPr>
        <i val="true"/>
        <sz val="10"/>
        <color rgb="FF595959"/>
        <rFont val="Arial"/>
        <family val="0"/>
        <charset val="1"/>
      </rPr>
      <t xml:space="preserve">9; 2026H1 </t>
    </r>
    <r>
      <rPr>
        <i val="true"/>
        <sz val="10"/>
        <color rgb="FF595959"/>
        <rFont val="Noto Sans CJK SC"/>
        <family val="2"/>
      </rPr>
      <t xml:space="preserve">七、</t>
    </r>
    <r>
      <rPr>
        <i val="true"/>
        <sz val="10"/>
        <color rgb="FF595959"/>
        <rFont val="Arial"/>
        <family val="0"/>
        <charset val="1"/>
      </rPr>
      <t xml:space="preserve">55(3) and </t>
    </r>
    <r>
      <rPr>
        <i val="true"/>
        <sz val="10"/>
        <color rgb="FF595959"/>
        <rFont val="Noto Sans CJK SC"/>
        <family val="2"/>
      </rPr>
      <t xml:space="preserve">七、</t>
    </r>
    <r>
      <rPr>
        <i val="true"/>
        <sz val="10"/>
        <color rgb="FF595959"/>
        <rFont val="Arial"/>
        <family val="0"/>
        <charset val="1"/>
      </rPr>
      <t xml:space="preserve">9.</t>
    </r>
  </si>
  <si>
    <r>
      <rPr>
        <sz val="10"/>
        <color rgb="FF000000"/>
        <rFont val="Noto Sans CJK SC"/>
        <family val="2"/>
      </rPr>
      <t xml:space="preserve">支付其他与筹资活动有关的现金</t>
    </r>
    <r>
      <rPr>
        <sz val="10"/>
        <color rgb="FF000000"/>
        <rFont val="Arial"/>
        <family val="0"/>
        <charset val="1"/>
      </rPr>
      <t xml:space="preserve">-</t>
    </r>
    <r>
      <rPr>
        <sz val="10"/>
        <color rgb="FF000000"/>
        <rFont val="Noto Sans CJK SC"/>
        <family val="2"/>
      </rPr>
      <t xml:space="preserve">上市费用</t>
    </r>
  </si>
  <si>
    <r>
      <rPr>
        <sz val="10"/>
        <color rgb="FF000000"/>
        <rFont val="Noto Sans CJK SC"/>
        <family val="2"/>
      </rPr>
      <t xml:space="preserve">其他流动资产</t>
    </r>
    <r>
      <rPr>
        <sz val="10"/>
        <color rgb="FF000000"/>
        <rFont val="Arial"/>
        <family val="0"/>
        <charset val="1"/>
      </rPr>
      <t xml:space="preserve">-</t>
    </r>
    <r>
      <rPr>
        <sz val="10"/>
        <color rgb="FF000000"/>
        <rFont val="Noto Sans CJK SC"/>
        <family val="2"/>
      </rPr>
      <t xml:space="preserve">上市费用</t>
    </r>
    <r>
      <rPr>
        <sz val="10"/>
        <color rgb="FF000000"/>
        <rFont val="Arial"/>
        <family val="0"/>
        <charset val="1"/>
      </rPr>
      <t xml:space="preserve">/</t>
    </r>
    <r>
      <rPr>
        <sz val="10"/>
        <color rgb="FF000000"/>
        <rFont val="Noto Sans CJK SC"/>
        <family val="2"/>
      </rPr>
      <t xml:space="preserve">预付上市费用（期末）</t>
    </r>
  </si>
  <si>
    <r>
      <rPr>
        <b val="true"/>
        <sz val="10"/>
        <color rgb="FF1F3864"/>
        <rFont val="Arial"/>
        <family val="0"/>
        <charset val="1"/>
      </rPr>
      <t xml:space="preserve">2021</t>
    </r>
    <r>
      <rPr>
        <b val="true"/>
        <sz val="10"/>
        <color rgb="FF1F3864"/>
        <rFont val="Noto Sans CJK SC"/>
        <family val="2"/>
      </rPr>
      <t xml:space="preserve">年向特定对象发行</t>
    </r>
    <r>
      <rPr>
        <b val="true"/>
        <sz val="10"/>
        <color rgb="FF1F3864"/>
        <rFont val="Arial"/>
        <family val="0"/>
        <charset val="1"/>
      </rPr>
      <t xml:space="preserve">A</t>
    </r>
    <r>
      <rPr>
        <b val="true"/>
        <sz val="10"/>
        <color rgb="FF1F3864"/>
        <rFont val="Noto Sans CJK SC"/>
        <family val="2"/>
      </rPr>
      <t xml:space="preserve">股募集资金使用（上市日</t>
    </r>
    <r>
      <rPr>
        <b val="true"/>
        <sz val="10"/>
        <color rgb="FF1F3864"/>
        <rFont val="Arial"/>
        <family val="0"/>
        <charset val="1"/>
      </rPr>
      <t xml:space="preserve">2021-12-17</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</si>
  <si>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单位：百万元（原表单位元；比例、单价、股数、人数等非金额行列保持原值；原单位说明：元（报告原披露单位为万元，已</t>
    </r>
    <r>
      <rPr>
        <i val="true"/>
        <sz val="10"/>
        <color rgb="FF595959"/>
        <rFont val="Arial"/>
        <family val="0"/>
        <charset val="1"/>
      </rPr>
      <t xml:space="preserve">×10,000</t>
    </r>
    <r>
      <rPr>
        <i val="true"/>
        <sz val="10"/>
        <color rgb="FF595959"/>
        <rFont val="Noto Sans CJK SC"/>
        <family val="2"/>
      </rPr>
      <t xml:space="preserve">换算；比例为</t>
    </r>
    <r>
      <rPr>
        <i val="true"/>
        <sz val="10"/>
        <color rgb="FF595959"/>
        <rFont val="Arial"/>
        <family val="0"/>
        <charset val="1"/>
      </rPr>
      <t xml:space="preserve">%</t>
    </r>
    <r>
      <rPr>
        <i val="true"/>
        <sz val="10"/>
        <color rgb="FF595959"/>
        <rFont val="Noto Sans CJK SC"/>
        <family val="2"/>
      </rPr>
      <t xml:space="preserve">））；来源：募集资金使用情况</t>
    </r>
    <r>
      <rPr>
        <i val="true"/>
        <sz val="10"/>
        <color rgb="FF595959"/>
        <rFont val="Arial"/>
        <family val="0"/>
        <charset val="1"/>
      </rPr>
      <t xml:space="preserve">: FY2023 AR (line ~1010-1049); FY2024 AR p.20; 2025H1 p.~13; FY2025 AR p.50; 2026H1 p.13-15.</t>
    </r>
  </si>
  <si>
    <t xml:space="preserve">募集资金总额</t>
  </si>
  <si>
    <t xml:space="preserve">募集资金净额</t>
  </si>
  <si>
    <t xml:space="preserve">本期已使用募集资金</t>
  </si>
  <si>
    <t xml:space="preserve">累计已使用募集资金</t>
  </si>
  <si>
    <r>
      <rPr>
        <sz val="10"/>
        <color rgb="FF000000"/>
        <rFont val="Noto Sans CJK SC"/>
        <family val="2"/>
      </rPr>
      <t xml:space="preserve">累计投入</t>
    </r>
    <r>
      <rPr>
        <sz val="10"/>
        <color rgb="FF000000"/>
        <rFont val="Arial"/>
        <family val="0"/>
        <charset val="1"/>
      </rPr>
      <t xml:space="preserve">-</t>
    </r>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</si>
  <si>
    <r>
      <rPr>
        <sz val="10"/>
        <color rgb="FF000000"/>
        <rFont val="Noto Sans CJK SC"/>
        <family val="2"/>
      </rPr>
      <t xml:space="preserve">累计投入</t>
    </r>
    <r>
      <rPr>
        <sz val="10"/>
        <color rgb="FF000000"/>
        <rFont val="Arial"/>
        <family val="0"/>
        <charset val="1"/>
      </rPr>
      <t xml:space="preserve">-</t>
    </r>
    <r>
      <rPr>
        <sz val="10"/>
        <color rgb="FF000000"/>
        <rFont val="Noto Sans CJK SC"/>
        <family val="2"/>
      </rPr>
      <t xml:space="preserve">深圳三环研发基地建设项目</t>
    </r>
  </si>
  <si>
    <r>
      <rPr>
        <sz val="10"/>
        <color rgb="FF000000"/>
        <rFont val="Noto Sans CJK SC"/>
        <family val="2"/>
      </rPr>
      <t xml:space="preserve">募集资金使用比例（</t>
    </r>
    <r>
      <rPr>
        <sz val="10"/>
        <color rgb="FF000000"/>
        <rFont val="Arial"/>
        <family val="0"/>
        <charset val="1"/>
      </rPr>
      <t xml:space="preserve">%</t>
    </r>
    <r>
      <rPr>
        <sz val="10"/>
        <color rgb="FF000000"/>
        <rFont val="Noto Sans CJK SC"/>
        <family val="2"/>
      </rPr>
      <t xml:space="preserve">）</t>
    </r>
  </si>
  <si>
    <t xml:space="preserve">尚未使用募集资金总额</t>
  </si>
  <si>
    <r>
      <rPr>
        <sz val="10"/>
        <color rgb="FF000000"/>
        <rFont val="Noto Sans CJK SC"/>
        <family val="2"/>
      </rPr>
      <t xml:space="preserve">项目承诺投资总额</t>
    </r>
    <r>
      <rPr>
        <sz val="10"/>
        <color rgb="FF000000"/>
        <rFont val="Arial"/>
        <family val="0"/>
        <charset val="1"/>
      </rPr>
      <t xml:space="preserve">-</t>
    </r>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扩产项目（调整后）</t>
    </r>
  </si>
  <si>
    <r>
      <rPr>
        <sz val="10"/>
        <color rgb="FF000000"/>
        <rFont val="Noto Sans CJK SC"/>
        <family val="2"/>
      </rPr>
      <t xml:space="preserve">项目承诺投资总额</t>
    </r>
    <r>
      <rPr>
        <sz val="10"/>
        <color rgb="FF000000"/>
        <rFont val="Arial"/>
        <family val="0"/>
        <charset val="1"/>
      </rPr>
      <t xml:space="preserve">-</t>
    </r>
    <r>
      <rPr>
        <sz val="10"/>
        <color rgb="FF000000"/>
        <rFont val="Noto Sans CJK SC"/>
        <family val="2"/>
      </rPr>
      <t xml:space="preserve">深圳三环研发基地建设项目</t>
    </r>
  </si>
  <si>
    <t xml:space="preserve">外币货币性项目（全部币种，折人民币）</t>
  </si>
  <si>
    <r>
      <rPr>
        <i val="true"/>
        <sz val="10"/>
        <color rgb="FF595959"/>
        <rFont val="Noto Sans CJK SC"/>
        <family val="2"/>
      </rPr>
      <t xml:space="preserve">单位：百万元（原表单位元；比例、单价、股数、人数等非金额行列保持原值；原单位说明：元（折人民币））；来源：外币货币性项目附注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58; FY2024 AR </t>
    </r>
    <r>
      <rPr>
        <i val="true"/>
        <sz val="10"/>
        <color rgb="FF595959"/>
        <rFont val="Noto Sans CJK SC"/>
        <family val="2"/>
      </rPr>
      <t xml:space="preserve">七、</t>
    </r>
    <r>
      <rPr>
        <i val="true"/>
        <sz val="10"/>
        <color rgb="FF595959"/>
        <rFont val="Arial"/>
        <family val="0"/>
        <charset val="1"/>
      </rPr>
      <t xml:space="preserve">56; FY2025 AR </t>
    </r>
    <r>
      <rPr>
        <i val="true"/>
        <sz val="10"/>
        <color rgb="FF595959"/>
        <rFont val="Noto Sans CJK SC"/>
        <family val="2"/>
      </rPr>
      <t xml:space="preserve">七、</t>
    </r>
    <r>
      <rPr>
        <i val="true"/>
        <sz val="10"/>
        <color rgb="FF595959"/>
        <rFont val="Arial"/>
        <family val="0"/>
        <charset val="1"/>
      </rPr>
      <t xml:space="preserve">59; 2025H1 </t>
    </r>
    <r>
      <rPr>
        <i val="true"/>
        <sz val="10"/>
        <color rgb="FF595959"/>
        <rFont val="Noto Sans CJK SC"/>
        <family val="2"/>
      </rPr>
      <t xml:space="preserve">七、</t>
    </r>
    <r>
      <rPr>
        <i val="true"/>
        <sz val="10"/>
        <color rgb="FF595959"/>
        <rFont val="Arial"/>
        <family val="0"/>
        <charset val="1"/>
      </rPr>
      <t xml:space="preserve">58; 2026H1 </t>
    </r>
    <r>
      <rPr>
        <i val="true"/>
        <sz val="10"/>
        <color rgb="FF595959"/>
        <rFont val="Noto Sans CJK SC"/>
        <family val="2"/>
      </rPr>
      <t xml:space="preserve">七、</t>
    </r>
    <r>
      <rPr>
        <i val="true"/>
        <sz val="10"/>
        <color rgb="FF595959"/>
        <rFont val="Arial"/>
        <family val="0"/>
        <charset val="1"/>
      </rPr>
      <t xml:space="preserve">57. </t>
    </r>
    <r>
      <rPr>
        <i val="true"/>
        <sz val="10"/>
        <color rgb="FF595959"/>
        <rFont val="Noto Sans CJK SC"/>
        <family val="2"/>
      </rPr>
      <t xml:space="preserve">长期借款 </t>
    </r>
    <r>
      <rPr>
        <i val="true"/>
        <sz val="10"/>
        <color rgb="FF595959"/>
        <rFont val="Arial"/>
        <family val="0"/>
        <charset val="1"/>
      </rPr>
      <t xml:space="preserve">lines in the template are blank in every period.</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</si>
  <si>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</si>
  <si>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美元</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</si>
  <si>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欧元</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</si>
  <si>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港币</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</si>
  <si>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澳元</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</si>
  <si>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日元</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</si>
  <si>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林吉特</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</si>
  <si>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韩币</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</si>
  <si>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泰铢</t>
    </r>
  </si>
  <si>
    <r>
      <rPr>
        <sz val="10"/>
        <color rgb="FF000000"/>
        <rFont val="Noto Sans CJK SC"/>
        <family val="2"/>
      </rPr>
      <t xml:space="preserve">货币资金</t>
    </r>
    <r>
      <rPr>
        <sz val="10"/>
        <color rgb="FF000000"/>
        <rFont val="Arial"/>
        <family val="0"/>
        <charset val="1"/>
      </rPr>
      <t xml:space="preserve">|</t>
    </r>
    <r>
      <rPr>
        <sz val="10"/>
        <color rgb="FF000000"/>
        <rFont val="Noto Sans CJK SC"/>
        <family val="2"/>
      </rPr>
      <t xml:space="preserve">印度卢比</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</si>
  <si>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</si>
  <si>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美元</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</si>
  <si>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欧元</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</si>
  <si>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港币</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</si>
  <si>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日元</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</si>
  <si>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林吉特</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</si>
  <si>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韩币</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</si>
  <si>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泰铢</t>
    </r>
  </si>
  <si>
    <r>
      <rPr>
        <sz val="10"/>
        <color rgb="FF000000"/>
        <rFont val="Noto Sans CJK SC"/>
        <family val="2"/>
      </rPr>
      <t xml:space="preserve">应收账款</t>
    </r>
    <r>
      <rPr>
        <sz val="10"/>
        <color rgb="FF000000"/>
        <rFont val="Arial"/>
        <family val="0"/>
        <charset val="1"/>
      </rPr>
      <t xml:space="preserve">|</t>
    </r>
    <r>
      <rPr>
        <sz val="10"/>
        <color rgb="FF000000"/>
        <rFont val="Noto Sans CJK SC"/>
        <family val="2"/>
      </rPr>
      <t xml:space="preserve">印度卢比</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</si>
  <si>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</si>
  <si>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美元</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</si>
  <si>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欧元</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</si>
  <si>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港币</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</si>
  <si>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林吉特</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</si>
  <si>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韩币</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</si>
  <si>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泰铢</t>
    </r>
  </si>
  <si>
    <r>
      <rPr>
        <sz val="10"/>
        <color rgb="FF000000"/>
        <rFont val="Noto Sans CJK SC"/>
        <family val="2"/>
      </rPr>
      <t xml:space="preserve">其他应收款</t>
    </r>
    <r>
      <rPr>
        <sz val="10"/>
        <color rgb="FF000000"/>
        <rFont val="Arial"/>
        <family val="0"/>
        <charset val="1"/>
      </rPr>
      <t xml:space="preserve">|</t>
    </r>
    <r>
      <rPr>
        <sz val="10"/>
        <color rgb="FF000000"/>
        <rFont val="Noto Sans CJK SC"/>
        <family val="2"/>
      </rPr>
      <t xml:space="preserve">印度卢比</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</si>
  <si>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</si>
  <si>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美元</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</si>
  <si>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欧元</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</si>
  <si>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日元</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</si>
  <si>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韩币</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</si>
  <si>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泰铢</t>
    </r>
  </si>
  <si>
    <r>
      <rPr>
        <sz val="10"/>
        <color rgb="FF000000"/>
        <rFont val="Noto Sans CJK SC"/>
        <family val="2"/>
      </rPr>
      <t xml:space="preserve">应付账款</t>
    </r>
    <r>
      <rPr>
        <sz val="10"/>
        <color rgb="FF000000"/>
        <rFont val="Arial"/>
        <family val="0"/>
        <charset val="1"/>
      </rPr>
      <t xml:space="preserve">|</t>
    </r>
    <r>
      <rPr>
        <sz val="10"/>
        <color rgb="FF000000"/>
        <rFont val="Noto Sans CJK SC"/>
        <family val="2"/>
      </rPr>
      <t xml:space="preserve">印度卢比</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</si>
  <si>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</si>
  <si>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美元</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</si>
  <si>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欧元</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</si>
  <si>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港币</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</si>
  <si>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澳元</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</si>
  <si>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日元</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</si>
  <si>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林吉特</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</si>
  <si>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韩币</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</si>
  <si>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泰铢</t>
    </r>
  </si>
  <si>
    <r>
      <rPr>
        <sz val="10"/>
        <color rgb="FF000000"/>
        <rFont val="Noto Sans CJK SC"/>
        <family val="2"/>
      </rPr>
      <t xml:space="preserve">其他应付款</t>
    </r>
    <r>
      <rPr>
        <sz val="10"/>
        <color rgb="FF000000"/>
        <rFont val="Arial"/>
        <family val="0"/>
        <charset val="1"/>
      </rPr>
      <t xml:space="preserve">|</t>
    </r>
    <r>
      <rPr>
        <sz val="10"/>
        <color rgb="FF000000"/>
        <rFont val="Noto Sans CJK SC"/>
        <family val="2"/>
      </rPr>
      <t xml:space="preserve">印度卢比</t>
    </r>
  </si>
  <si>
    <t xml:space="preserve">外币货币性项目（全部币种，原币金额）</t>
  </si>
  <si>
    <r>
      <rPr>
        <i val="true"/>
        <sz val="10"/>
        <color rgb="FF595959"/>
        <rFont val="Noto Sans CJK SC"/>
        <family val="2"/>
      </rPr>
      <t xml:space="preserve">单位：原币单位（美元、欧元、港币、澳元、日元、林吉特、韩元、泰铢、印度卢比）；来源：</t>
    </r>
    <r>
      <rPr>
        <i val="true"/>
        <sz val="10"/>
        <color rgb="FF595959"/>
        <rFont val="Arial"/>
        <family val="0"/>
        <charset val="1"/>
      </rPr>
      <t xml:space="preserve">Same notes as fx_monetary_items_full_rmb (</t>
    </r>
    <r>
      <rPr>
        <i val="true"/>
        <sz val="10"/>
        <color rgb="FF595959"/>
        <rFont val="Noto Sans CJK SC"/>
        <family val="2"/>
      </rPr>
      <t xml:space="preserve">期末外币余额 </t>
    </r>
    <r>
      <rPr>
        <i val="true"/>
        <sz val="10"/>
        <color rgb="FF595959"/>
        <rFont val="Arial"/>
        <family val="0"/>
        <charset val="1"/>
      </rPr>
      <t xml:space="preserve">column).</t>
    </r>
  </si>
  <si>
    <r>
      <rPr>
        <b val="true"/>
        <sz val="10"/>
        <color rgb="FF1F3864"/>
        <rFont val="Noto Sans CJK SC"/>
        <family val="2"/>
      </rPr>
      <t xml:space="preserve">期末折算汇率（人民币</t>
    </r>
    <r>
      <rPr>
        <b val="true"/>
        <sz val="10"/>
        <color rgb="FF1F3864"/>
        <rFont val="Arial"/>
        <family val="0"/>
        <charset val="1"/>
      </rPr>
      <t xml:space="preserve">/1</t>
    </r>
    <r>
      <rPr>
        <b val="true"/>
        <sz val="10"/>
        <color rgb="FF1F3864"/>
        <rFont val="Noto Sans CJK SC"/>
        <family val="2"/>
      </rPr>
      <t xml:space="preserve">单位外币）</t>
    </r>
  </si>
  <si>
    <r>
      <rPr>
        <i val="true"/>
        <sz val="10"/>
        <color rgb="FF595959"/>
        <rFont val="Noto Sans CJK SC"/>
        <family val="2"/>
      </rPr>
      <t xml:space="preserve">单位：人民币元</t>
    </r>
    <r>
      <rPr>
        <i val="true"/>
        <sz val="10"/>
        <color rgb="FF595959"/>
        <rFont val="Arial"/>
        <family val="0"/>
        <charset val="1"/>
      </rPr>
      <t xml:space="preserve">/1</t>
    </r>
    <r>
      <rPr>
        <i val="true"/>
        <sz val="10"/>
        <color rgb="FF595959"/>
        <rFont val="Noto Sans CJK SC"/>
        <family val="2"/>
      </rPr>
      <t xml:space="preserve">单位外币；来源：</t>
    </r>
    <r>
      <rPr>
        <i val="true"/>
        <sz val="10"/>
        <color rgb="FF595959"/>
        <rFont val="Arial"/>
        <family val="0"/>
        <charset val="1"/>
      </rPr>
      <t xml:space="preserve">Same notes (</t>
    </r>
    <r>
      <rPr>
        <i val="true"/>
        <sz val="10"/>
        <color rgb="FF595959"/>
        <rFont val="Noto Sans CJK SC"/>
        <family val="2"/>
      </rPr>
      <t xml:space="preserve">折算汇率 </t>
    </r>
    <r>
      <rPr>
        <i val="true"/>
        <sz val="10"/>
        <color rgb="FF595959"/>
        <rFont val="Arial"/>
        <family val="0"/>
        <charset val="1"/>
      </rPr>
      <t xml:space="preserve">column).</t>
    </r>
  </si>
  <si>
    <t xml:space="preserve">美元</t>
  </si>
  <si>
    <t xml:space="preserve">欧元</t>
  </si>
  <si>
    <t xml:space="preserve">港币</t>
  </si>
  <si>
    <t xml:space="preserve">澳元</t>
  </si>
  <si>
    <t xml:space="preserve">日元</t>
  </si>
  <si>
    <t xml:space="preserve">林吉特</t>
  </si>
  <si>
    <t xml:space="preserve">韩币</t>
  </si>
  <si>
    <t xml:space="preserve">泰铢</t>
  </si>
  <si>
    <t xml:space="preserve">印度卢比</t>
  </si>
  <si>
    <r>
      <rPr>
        <b val="true"/>
        <sz val="10"/>
        <color rgb="FF1F3864"/>
        <rFont val="Noto Sans CJK SC"/>
        <family val="2"/>
      </rPr>
      <t xml:space="preserve">（计算）外币货币性项目净敞口及汇率敏感性（</t>
    </r>
    <r>
      <rPr>
        <b val="true"/>
        <sz val="10"/>
        <color rgb="FF1F3864"/>
        <rFont val="Arial"/>
        <family val="0"/>
        <charset val="1"/>
      </rPr>
      <t xml:space="preserve">1%</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</si>
  <si>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单位：百万元（原表单位元；比例、单价、股数、人数等非金额行列保持原值；原单位说明：元（折人民币））；来源：</t>
    </r>
    <r>
      <rPr>
        <i val="true"/>
        <sz val="10"/>
        <color rgb="FF595959"/>
        <rFont val="Arial"/>
        <family val="0"/>
        <charset val="1"/>
      </rPr>
      <t xml:space="preserve">Computed from fx_monetary_items_full_rmb: </t>
    </r>
    <r>
      <rPr>
        <i val="true"/>
        <sz val="10"/>
        <color rgb="FF595959"/>
        <rFont val="Noto Sans CJK SC"/>
        <family val="2"/>
      </rPr>
      <t xml:space="preserve">货币资金</t>
    </r>
    <r>
      <rPr>
        <i val="true"/>
        <sz val="10"/>
        <color rgb="FF595959"/>
        <rFont val="Arial"/>
        <family val="0"/>
        <charset val="1"/>
      </rPr>
      <t xml:space="preserve">+</t>
    </r>
    <r>
      <rPr>
        <i val="true"/>
        <sz val="10"/>
        <color rgb="FF595959"/>
        <rFont val="Noto Sans CJK SC"/>
        <family val="2"/>
      </rPr>
      <t xml:space="preserve">应收账款</t>
    </r>
    <r>
      <rPr>
        <i val="true"/>
        <sz val="10"/>
        <color rgb="FF595959"/>
        <rFont val="Arial"/>
        <family val="0"/>
        <charset val="1"/>
      </rPr>
      <t xml:space="preserve">+</t>
    </r>
    <r>
      <rPr>
        <i val="true"/>
        <sz val="10"/>
        <color rgb="FF595959"/>
        <rFont val="Noto Sans CJK SC"/>
        <family val="2"/>
      </rPr>
      <t xml:space="preserve">其他应收款－应付账款－其他应付款</t>
    </r>
    <r>
      <rPr>
        <i val="true"/>
        <sz val="10"/>
        <color rgb="FF595959"/>
        <rFont val="Arial"/>
        <family val="0"/>
        <charset val="1"/>
      </rPr>
      <t xml:space="preserve">. The reports give NO quantitative FX sensitivity; this is a mechanical estimate.</t>
    </r>
  </si>
  <si>
    <t xml:space="preserve">美元净敞口（资产－负债）</t>
  </si>
  <si>
    <t xml:space="preserve">欧元净敞口（资产－负债）</t>
  </si>
  <si>
    <t xml:space="preserve">港币净敞口（资产－负债）</t>
  </si>
  <si>
    <t xml:space="preserve">澳元净敞口（资产－负债）</t>
  </si>
  <si>
    <t xml:space="preserve">日元净敞口（资产－负债）</t>
  </si>
  <si>
    <t xml:space="preserve">林吉特净敞口（资产－负债）</t>
  </si>
  <si>
    <t xml:space="preserve">韩币净敞口（资产－负债）</t>
  </si>
  <si>
    <t xml:space="preserve">泰铢净敞口（资产－负债）</t>
  </si>
  <si>
    <t xml:space="preserve">印度卢比净敞口（资产－负债）</t>
  </si>
  <si>
    <t xml:space="preserve">外币净敞口合计</t>
  </si>
  <si>
    <r>
      <rPr>
        <sz val="10"/>
        <color rgb="FF000000"/>
        <rFont val="Noto Sans CJK SC"/>
        <family val="2"/>
      </rPr>
      <t xml:space="preserve">人民币对全部外币贬值</t>
    </r>
    <r>
      <rPr>
        <sz val="10"/>
        <color rgb="FF000000"/>
        <rFont val="Arial"/>
        <family val="0"/>
        <charset val="1"/>
      </rPr>
      <t xml:space="preserve">1%</t>
    </r>
    <r>
      <rPr>
        <sz val="10"/>
        <color rgb="FF000000"/>
        <rFont val="Noto Sans CJK SC"/>
        <family val="2"/>
      </rPr>
      <t xml:space="preserve">的税前影响（＝净敞口</t>
    </r>
    <r>
      <rPr>
        <sz val="10"/>
        <color rgb="FF000000"/>
        <rFont val="Arial"/>
        <family val="0"/>
        <charset val="1"/>
      </rPr>
      <t xml:space="preserve">×1%</t>
    </r>
    <r>
      <rPr>
        <sz val="10"/>
        <color rgb="FF000000"/>
        <rFont val="Noto Sans CJK SC"/>
        <family val="2"/>
      </rPr>
      <t xml:space="preserve">）</t>
    </r>
  </si>
  <si>
    <r>
      <rPr>
        <sz val="10"/>
        <color rgb="FF000000"/>
        <rFont val="Noto Sans CJK SC"/>
        <family val="2"/>
      </rPr>
      <t xml:space="preserve">其中：人民币对美元贬值</t>
    </r>
    <r>
      <rPr>
        <sz val="10"/>
        <color rgb="FF000000"/>
        <rFont val="Arial"/>
        <family val="0"/>
        <charset val="1"/>
      </rPr>
      <t xml:space="preserve">1%</t>
    </r>
    <r>
      <rPr>
        <sz val="10"/>
        <color rgb="FF000000"/>
        <rFont val="Noto Sans CJK SC"/>
        <family val="2"/>
      </rPr>
      <t xml:space="preserve">的税前影响</t>
    </r>
  </si>
  <si>
    <r>
      <rPr>
        <b val="true"/>
        <sz val="10"/>
        <color rgb="FF1F3864"/>
        <rFont val="Noto Sans CJK SC"/>
        <family val="2"/>
      </rPr>
      <t xml:space="preserve">票据融资相关负债（应付票据、已背书</t>
    </r>
    <r>
      <rPr>
        <b val="true"/>
        <sz val="10"/>
        <color rgb="FF1F3864"/>
        <rFont val="Arial"/>
        <family val="0"/>
        <charset val="1"/>
      </rPr>
      <t xml:space="preserve">/</t>
    </r>
    <r>
      <rPr>
        <b val="true"/>
        <sz val="10"/>
        <color rgb="FF1F3864"/>
        <rFont val="Noto Sans CJK SC"/>
        <family val="2"/>
      </rPr>
      <t xml:space="preserve">已贴现未终止确认票据）</t>
    </r>
  </si>
  <si>
    <r>
      <rPr>
        <i val="true"/>
        <sz val="10"/>
        <color rgb="FF595959"/>
        <rFont val="Noto Sans CJK SC"/>
        <family val="2"/>
      </rPr>
      <t xml:space="preserve">单位：百万元（原表单位元；比例、单价、股数、人数等非金额行列保持原值；原单位说明：元）；来源：应付票据附注 </t>
    </r>
    <r>
      <rPr>
        <i val="true"/>
        <sz val="10"/>
        <color rgb="FF595959"/>
        <rFont val="Arial"/>
        <family val="0"/>
        <charset val="1"/>
      </rPr>
      <t xml:space="preserve">(FY2023 AR </t>
    </r>
    <r>
      <rPr>
        <i val="true"/>
        <sz val="10"/>
        <color rgb="FF595959"/>
        <rFont val="Noto Sans CJK SC"/>
        <family val="2"/>
      </rPr>
      <t xml:space="preserve">七、</t>
    </r>
    <r>
      <rPr>
        <i val="true"/>
        <sz val="10"/>
        <color rgb="FF595959"/>
        <rFont val="Arial"/>
        <family val="0"/>
        <charset val="1"/>
      </rPr>
      <t xml:space="preserve">23; FY2024 AR </t>
    </r>
    <r>
      <rPr>
        <i val="true"/>
        <sz val="10"/>
        <color rgb="FF595959"/>
        <rFont val="Noto Sans CJK SC"/>
        <family val="2"/>
      </rPr>
      <t xml:space="preserve">七、</t>
    </r>
    <r>
      <rPr>
        <i val="true"/>
        <sz val="10"/>
        <color rgb="FF595959"/>
        <rFont val="Arial"/>
        <family val="0"/>
        <charset val="1"/>
      </rPr>
      <t xml:space="preserve">22; FY2025 AR </t>
    </r>
    <r>
      <rPr>
        <i val="true"/>
        <sz val="10"/>
        <color rgb="FF595959"/>
        <rFont val="Noto Sans CJK SC"/>
        <family val="2"/>
      </rPr>
      <t xml:space="preserve">七、</t>
    </r>
    <r>
      <rPr>
        <i val="true"/>
        <sz val="10"/>
        <color rgb="FF595959"/>
        <rFont val="Arial"/>
        <family val="0"/>
        <charset val="1"/>
      </rPr>
      <t xml:space="preserve">22; 2025H1 </t>
    </r>
    <r>
      <rPr>
        <i val="true"/>
        <sz val="10"/>
        <color rgb="FF595959"/>
        <rFont val="Noto Sans CJK SC"/>
        <family val="2"/>
      </rPr>
      <t xml:space="preserve">七、</t>
    </r>
    <r>
      <rPr>
        <i val="true"/>
        <sz val="10"/>
        <color rgb="FF595959"/>
        <rFont val="Arial"/>
        <family val="0"/>
        <charset val="1"/>
      </rPr>
      <t xml:space="preserve">22; 2026H1 </t>
    </r>
    <r>
      <rPr>
        <i val="true"/>
        <sz val="10"/>
        <color rgb="FF595959"/>
        <rFont val="Noto Sans CJK SC"/>
        <family val="2"/>
      </rPr>
      <t xml:space="preserve">七、</t>
    </r>
    <r>
      <rPr>
        <i val="true"/>
        <sz val="10"/>
        <color rgb="FF595959"/>
        <rFont val="Arial"/>
        <family val="0"/>
        <charset val="1"/>
      </rPr>
      <t xml:space="preserve">22); </t>
    </r>
    <r>
      <rPr>
        <i val="true"/>
        <sz val="10"/>
        <color rgb="FF595959"/>
        <rFont val="Noto Sans CJK SC"/>
        <family val="2"/>
      </rPr>
      <t xml:space="preserve">其他流动负债附注 </t>
    </r>
    <r>
      <rPr>
        <i val="true"/>
        <sz val="10"/>
        <color rgb="FF595959"/>
        <rFont val="Arial"/>
        <family val="0"/>
        <charset val="1"/>
      </rPr>
      <t xml:space="preserve">(FY2023 </t>
    </r>
    <r>
      <rPr>
        <i val="true"/>
        <sz val="10"/>
        <color rgb="FF595959"/>
        <rFont val="Noto Sans CJK SC"/>
        <family val="2"/>
      </rPr>
      <t xml:space="preserve">七、</t>
    </r>
    <r>
      <rPr>
        <i val="true"/>
        <sz val="10"/>
        <color rgb="FF595959"/>
        <rFont val="Arial"/>
        <family val="0"/>
        <charset val="1"/>
      </rPr>
      <t xml:space="preserve">30; FY2024 </t>
    </r>
    <r>
      <rPr>
        <i val="true"/>
        <sz val="10"/>
        <color rgb="FF595959"/>
        <rFont val="Noto Sans CJK SC"/>
        <family val="2"/>
      </rPr>
      <t xml:space="preserve">七、</t>
    </r>
    <r>
      <rPr>
        <i val="true"/>
        <sz val="10"/>
        <color rgb="FF595959"/>
        <rFont val="Arial"/>
        <family val="0"/>
        <charset val="1"/>
      </rPr>
      <t xml:space="preserve">29; FY2025 </t>
    </r>
    <r>
      <rPr>
        <i val="true"/>
        <sz val="10"/>
        <color rgb="FF595959"/>
        <rFont val="Noto Sans CJK SC"/>
        <family val="2"/>
      </rPr>
      <t xml:space="preserve">七、</t>
    </r>
    <r>
      <rPr>
        <i val="true"/>
        <sz val="10"/>
        <color rgb="FF595959"/>
        <rFont val="Arial"/>
        <family val="0"/>
        <charset val="1"/>
      </rPr>
      <t xml:space="preserve">30; 2025H1 </t>
    </r>
    <r>
      <rPr>
        <i val="true"/>
        <sz val="10"/>
        <color rgb="FF595959"/>
        <rFont val="Noto Sans CJK SC"/>
        <family val="2"/>
      </rPr>
      <t xml:space="preserve">七、</t>
    </r>
    <r>
      <rPr>
        <i val="true"/>
        <sz val="10"/>
        <color rgb="FF595959"/>
        <rFont val="Arial"/>
        <family val="0"/>
        <charset val="1"/>
      </rPr>
      <t xml:space="preserve">29; 2026H1 </t>
    </r>
    <r>
      <rPr>
        <i val="true"/>
        <sz val="10"/>
        <color rgb="FF595959"/>
        <rFont val="Noto Sans CJK SC"/>
        <family val="2"/>
      </rPr>
      <t xml:space="preserve">七、</t>
    </r>
    <r>
      <rPr>
        <i val="true"/>
        <sz val="10"/>
        <color rgb="FF595959"/>
        <rFont val="Arial"/>
        <family val="0"/>
        <charset val="1"/>
      </rPr>
      <t xml:space="preserve">29); </t>
    </r>
    <r>
      <rPr>
        <i val="true"/>
        <sz val="10"/>
        <color rgb="FF595959"/>
        <rFont val="Noto Sans CJK SC"/>
        <family val="2"/>
      </rPr>
      <t xml:space="preserve">短期借款附注</t>
    </r>
    <r>
      <rPr>
        <i val="true"/>
        <sz val="10"/>
        <color rgb="FF595959"/>
        <rFont val="Arial"/>
        <family val="0"/>
        <charset val="1"/>
      </rPr>
      <t xml:space="preserve">. FY2022 = FY2023 AR </t>
    </r>
    <r>
      <rPr>
        <i val="true"/>
        <sz val="10"/>
        <color rgb="FF595959"/>
        <rFont val="Noto Sans CJK SC"/>
        <family val="2"/>
      </rPr>
      <t xml:space="preserve">期初</t>
    </r>
    <r>
      <rPr>
        <i val="true"/>
        <sz val="10"/>
        <color rgb="FF595959"/>
        <rFont val="Arial"/>
        <family val="0"/>
        <charset val="1"/>
      </rPr>
      <t xml:space="preserve">.</t>
    </r>
  </si>
  <si>
    <r>
      <rPr>
        <sz val="10"/>
        <color rgb="FF000000"/>
        <rFont val="Noto Sans CJK SC"/>
        <family val="2"/>
      </rPr>
      <t xml:space="preserve">应付票据</t>
    </r>
    <r>
      <rPr>
        <sz val="10"/>
        <color rgb="FF000000"/>
        <rFont val="Arial"/>
        <family val="0"/>
        <charset val="1"/>
      </rPr>
      <t xml:space="preserve">-</t>
    </r>
    <r>
      <rPr>
        <sz val="10"/>
        <color rgb="FF000000"/>
        <rFont val="Noto Sans CJK SC"/>
        <family val="2"/>
      </rPr>
      <t xml:space="preserve">商业承兑汇票</t>
    </r>
  </si>
  <si>
    <r>
      <rPr>
        <sz val="10"/>
        <color rgb="FF000000"/>
        <rFont val="Noto Sans CJK SC"/>
        <family val="2"/>
      </rPr>
      <t xml:space="preserve">应付票据</t>
    </r>
    <r>
      <rPr>
        <sz val="10"/>
        <color rgb="FF000000"/>
        <rFont val="Arial"/>
        <family val="0"/>
        <charset val="1"/>
      </rPr>
      <t xml:space="preserve">-</t>
    </r>
    <r>
      <rPr>
        <sz val="10"/>
        <color rgb="FF000000"/>
        <rFont val="Noto Sans CJK SC"/>
        <family val="2"/>
      </rPr>
      <t xml:space="preserve">银行承兑汇票</t>
    </r>
  </si>
  <si>
    <t xml:space="preserve">应付票据合计</t>
  </si>
  <si>
    <r>
      <rPr>
        <sz val="10"/>
        <color rgb="FF000000"/>
        <rFont val="Noto Sans CJK SC"/>
        <family val="2"/>
      </rPr>
      <t xml:space="preserve">其他流动负债</t>
    </r>
    <r>
      <rPr>
        <sz val="10"/>
        <color rgb="FF000000"/>
        <rFont val="Arial"/>
        <family val="0"/>
        <charset val="1"/>
      </rPr>
      <t xml:space="preserve">-</t>
    </r>
    <r>
      <rPr>
        <sz val="10"/>
        <color rgb="FF000000"/>
        <rFont val="Noto Sans CJK SC"/>
        <family val="2"/>
      </rPr>
      <t xml:space="preserve">未终止确认的已背书未到期的票据</t>
    </r>
  </si>
  <si>
    <r>
      <rPr>
        <sz val="10"/>
        <color rgb="FF000000"/>
        <rFont val="Noto Sans CJK SC"/>
        <family val="2"/>
      </rPr>
      <t xml:space="preserve">短期借款</t>
    </r>
    <r>
      <rPr>
        <sz val="10"/>
        <color rgb="FF000000"/>
        <rFont val="Arial"/>
        <family val="0"/>
        <charset val="1"/>
      </rPr>
      <t xml:space="preserve">-</t>
    </r>
    <r>
      <rPr>
        <sz val="10"/>
        <color rgb="FF000000"/>
        <rFont val="Noto Sans CJK SC"/>
        <family val="2"/>
      </rPr>
      <t xml:space="preserve">未终止确认的已贴现未到期的票据</t>
    </r>
  </si>
  <si>
    <r>
      <rPr>
        <sz val="10"/>
        <color rgb="FF000000"/>
        <rFont val="Noto Sans CJK SC"/>
        <family val="2"/>
      </rPr>
      <t xml:space="preserve">短期借款</t>
    </r>
    <r>
      <rPr>
        <sz val="10"/>
        <color rgb="FF000000"/>
        <rFont val="Arial"/>
        <family val="0"/>
        <charset val="1"/>
      </rPr>
      <t xml:space="preserve">-</t>
    </r>
    <r>
      <rPr>
        <sz val="10"/>
        <color rgb="FF000000"/>
        <rFont val="Noto Sans CJK SC"/>
        <family val="2"/>
      </rPr>
      <t xml:space="preserve">国内信用证借款</t>
    </r>
  </si>
  <si>
    <t xml:space="preserve">其他流动负债构成</t>
  </si>
  <si>
    <r>
      <rPr>
        <i val="true"/>
        <sz val="10"/>
        <color rgb="FF595959"/>
        <rFont val="Noto Sans CJK SC"/>
        <family val="2"/>
      </rPr>
      <t xml:space="preserve">单位：百万元（原表单位元；比例、单价、股数、人数等非金额行列保持原值；原单位说明：元）；来源：其他流动负债附注 </t>
    </r>
    <r>
      <rPr>
        <i val="true"/>
        <sz val="10"/>
        <color rgb="FF595959"/>
        <rFont val="Arial"/>
        <family val="0"/>
        <charset val="1"/>
      </rPr>
      <t xml:space="preserve">in each report; FY2022 = FY2023 AR </t>
    </r>
    <r>
      <rPr>
        <i val="true"/>
        <sz val="10"/>
        <color rgb="FF595959"/>
        <rFont val="Noto Sans CJK SC"/>
        <family val="2"/>
      </rPr>
      <t xml:space="preserve">期初</t>
    </r>
    <r>
      <rPr>
        <i val="true"/>
        <sz val="10"/>
        <color rgb="FF595959"/>
        <rFont val="Arial"/>
        <family val="0"/>
        <charset val="1"/>
      </rPr>
      <t xml:space="preserve">.</t>
    </r>
  </si>
  <si>
    <t xml:space="preserve">待转销项税额</t>
  </si>
  <si>
    <t xml:space="preserve">未终止确认的已背书未到期的票据</t>
  </si>
  <si>
    <t xml:space="preserve">销售折扣</t>
  </si>
  <si>
    <t xml:space="preserve">维修准备金</t>
  </si>
  <si>
    <r>
      <rPr>
        <b val="true"/>
        <sz val="10"/>
        <color rgb="FF1F3864"/>
        <rFont val="Noto Sans CJK SC"/>
        <family val="2"/>
      </rPr>
      <t xml:space="preserve">利息收入</t>
    </r>
    <r>
      <rPr>
        <b val="true"/>
        <sz val="10"/>
        <color rgb="FF1F3864"/>
        <rFont val="Arial"/>
        <family val="0"/>
        <charset val="1"/>
      </rPr>
      <t xml:space="preserve">/</t>
    </r>
    <r>
      <rPr>
        <b val="true"/>
        <sz val="10"/>
        <color rgb="FF1F3864"/>
        <rFont val="Noto Sans CJK SC"/>
        <family val="2"/>
      </rPr>
      <t xml:space="preserve">手续费的现金口径（经营活动其他收付款附注）</t>
    </r>
  </si>
  <si>
    <r>
      <rPr>
        <i val="true"/>
        <sz val="10"/>
        <color rgb="FF595959"/>
        <rFont val="Noto Sans CJK SC"/>
        <family val="2"/>
      </rPr>
      <t xml:space="preserve">单位：百万元（原表单位元；比例、单价、股数、人数等非金额行列保持原值；原单位说明：元）；来源：与经营活动有关的现金附注 </t>
    </r>
    <r>
      <rPr>
        <i val="true"/>
        <sz val="10"/>
        <color rgb="FF595959"/>
        <rFont val="Arial"/>
        <family val="0"/>
        <charset val="1"/>
      </rPr>
      <t xml:space="preserve">(FY2023 AR </t>
    </r>
    <r>
      <rPr>
        <i val="true"/>
        <sz val="10"/>
        <color rgb="FF595959"/>
        <rFont val="Noto Sans CJK SC"/>
        <family val="2"/>
      </rPr>
      <t xml:space="preserve">七、</t>
    </r>
    <r>
      <rPr>
        <i val="true"/>
        <sz val="10"/>
        <color rgb="FF595959"/>
        <rFont val="Arial"/>
        <family val="0"/>
        <charset val="1"/>
      </rPr>
      <t xml:space="preserve">55(1); FY2024 AR </t>
    </r>
    <r>
      <rPr>
        <i val="true"/>
        <sz val="10"/>
        <color rgb="FF595959"/>
        <rFont val="Noto Sans CJK SC"/>
        <family val="2"/>
      </rPr>
      <t xml:space="preserve">七、</t>
    </r>
    <r>
      <rPr>
        <i val="true"/>
        <sz val="10"/>
        <color rgb="FF595959"/>
        <rFont val="Arial"/>
        <family val="0"/>
        <charset val="1"/>
      </rPr>
      <t xml:space="preserve">54(1); FY2025 AR </t>
    </r>
    <r>
      <rPr>
        <i val="true"/>
        <sz val="10"/>
        <color rgb="FF595959"/>
        <rFont val="Noto Sans CJK SC"/>
        <family val="2"/>
      </rPr>
      <t xml:space="preserve">七、</t>
    </r>
    <r>
      <rPr>
        <i val="true"/>
        <sz val="10"/>
        <color rgb="FF595959"/>
        <rFont val="Arial"/>
        <family val="0"/>
        <charset val="1"/>
      </rPr>
      <t xml:space="preserve">57(1); 2025H1 </t>
    </r>
    <r>
      <rPr>
        <i val="true"/>
        <sz val="10"/>
        <color rgb="FF595959"/>
        <rFont val="Noto Sans CJK SC"/>
        <family val="2"/>
      </rPr>
      <t xml:space="preserve">七、</t>
    </r>
    <r>
      <rPr>
        <i val="true"/>
        <sz val="10"/>
        <color rgb="FF595959"/>
        <rFont val="Arial"/>
        <family val="0"/>
        <charset val="1"/>
      </rPr>
      <t xml:space="preserve">56(1); 2026H1 </t>
    </r>
    <r>
      <rPr>
        <i val="true"/>
        <sz val="10"/>
        <color rgb="FF595959"/>
        <rFont val="Noto Sans CJK SC"/>
        <family val="2"/>
      </rPr>
      <t xml:space="preserve">七、</t>
    </r>
    <r>
      <rPr>
        <i val="true"/>
        <sz val="10"/>
        <color rgb="FF595959"/>
        <rFont val="Arial"/>
        <family val="0"/>
        <charset val="1"/>
      </rPr>
      <t xml:space="preserve">55(1)); </t>
    </r>
    <r>
      <rPr>
        <i val="true"/>
        <sz val="10"/>
        <color rgb="FF595959"/>
        <rFont val="Noto Sans CJK SC"/>
        <family val="2"/>
      </rPr>
      <t xml:space="preserve">与投资活动有关的现金附注 </t>
    </r>
    <r>
      <rPr>
        <i val="true"/>
        <sz val="10"/>
        <color rgb="FF595959"/>
        <rFont val="Arial"/>
        <family val="0"/>
        <charset val="1"/>
      </rPr>
      <t xml:space="preserve">(2); cash-flow statement; </t>
    </r>
    <r>
      <rPr>
        <i val="true"/>
        <sz val="10"/>
        <color rgb="FF595959"/>
        <rFont val="Noto Sans CJK SC"/>
        <family val="2"/>
      </rPr>
      <t xml:space="preserve">财务费用</t>
    </r>
    <r>
      <rPr>
        <i val="true"/>
        <sz val="10"/>
        <color rgb="FF595959"/>
        <rFont val="Arial"/>
        <family val="0"/>
        <charset val="1"/>
      </rPr>
      <t xml:space="preserve">/</t>
    </r>
    <r>
      <rPr>
        <i val="true"/>
        <sz val="10"/>
        <color rgb="FF595959"/>
        <rFont val="Noto Sans CJK SC"/>
        <family val="2"/>
      </rPr>
      <t xml:space="preserve">投资收益</t>
    </r>
    <r>
      <rPr>
        <i val="true"/>
        <sz val="10"/>
        <color rgb="FF595959"/>
        <rFont val="Arial"/>
        <family val="0"/>
        <charset val="1"/>
      </rPr>
      <t xml:space="preserve">/</t>
    </r>
    <r>
      <rPr>
        <i val="true"/>
        <sz val="10"/>
        <color rgb="FF595959"/>
        <rFont val="Noto Sans CJK SC"/>
        <family val="2"/>
      </rPr>
      <t xml:space="preserve">公允价值变动收益 </t>
    </r>
    <r>
      <rPr>
        <i val="true"/>
        <sz val="10"/>
        <color rgb="FF595959"/>
        <rFont val="Arial"/>
        <family val="0"/>
        <charset val="1"/>
      </rPr>
      <t xml:space="preserve">notes.</t>
    </r>
  </si>
  <si>
    <r>
      <rPr>
        <sz val="10"/>
        <color rgb="FF000000"/>
        <rFont val="Noto Sans CJK SC"/>
        <family val="2"/>
      </rPr>
      <t xml:space="preserve">收到的其他与经营活动有关的现金</t>
    </r>
    <r>
      <rPr>
        <sz val="10"/>
        <color rgb="FF000000"/>
        <rFont val="Arial"/>
        <family val="0"/>
        <charset val="1"/>
      </rPr>
      <t xml:space="preserve">-</t>
    </r>
    <r>
      <rPr>
        <sz val="10"/>
        <color rgb="FF000000"/>
        <rFont val="Noto Sans CJK SC"/>
        <family val="2"/>
      </rPr>
      <t xml:space="preserve">利息收入</t>
    </r>
  </si>
  <si>
    <r>
      <rPr>
        <sz val="10"/>
        <color rgb="FF000000"/>
        <rFont val="Noto Sans CJK SC"/>
        <family val="2"/>
      </rPr>
      <t xml:space="preserve">支付的其他与经营活动有关的现金</t>
    </r>
    <r>
      <rPr>
        <sz val="10"/>
        <color rgb="FF000000"/>
        <rFont val="Arial"/>
        <family val="0"/>
        <charset val="1"/>
      </rPr>
      <t xml:space="preserve">-</t>
    </r>
    <r>
      <rPr>
        <sz val="10"/>
        <color rgb="FF000000"/>
        <rFont val="Noto Sans CJK SC"/>
        <family val="2"/>
      </rPr>
      <t xml:space="preserve">银行手续费</t>
    </r>
  </si>
  <si>
    <r>
      <rPr>
        <sz val="10"/>
        <color rgb="FF000000"/>
        <rFont val="Noto Sans CJK SC"/>
        <family val="2"/>
      </rPr>
      <t xml:space="preserve">支付的其他与投资活动有关的现金</t>
    </r>
    <r>
      <rPr>
        <sz val="10"/>
        <color rgb="FF000000"/>
        <rFont val="Arial"/>
        <family val="0"/>
        <charset val="1"/>
      </rPr>
      <t xml:space="preserve">-</t>
    </r>
    <r>
      <rPr>
        <sz val="10"/>
        <color rgb="FF000000"/>
        <rFont val="Noto Sans CJK SC"/>
        <family val="2"/>
      </rPr>
      <t xml:space="preserve">支付理财产品手续费</t>
    </r>
  </si>
  <si>
    <r>
      <rPr>
        <sz val="10"/>
        <color rgb="FF000000"/>
        <rFont val="Noto Sans CJK SC"/>
        <family val="2"/>
      </rPr>
      <t xml:space="preserve">支付的其他与投资活动有关的现金</t>
    </r>
    <r>
      <rPr>
        <sz val="10"/>
        <color rgb="FF000000"/>
        <rFont val="Arial"/>
        <family val="0"/>
        <charset val="1"/>
      </rPr>
      <t xml:space="preserve">-</t>
    </r>
    <r>
      <rPr>
        <sz val="10"/>
        <color rgb="FF000000"/>
        <rFont val="Noto Sans CJK SC"/>
        <family val="2"/>
      </rPr>
      <t xml:space="preserve">投资保证金</t>
    </r>
  </si>
  <si>
    <r>
      <rPr>
        <sz val="10"/>
        <color rgb="FF000000"/>
        <rFont val="Noto Sans CJK SC"/>
        <family val="2"/>
      </rPr>
      <t xml:space="preserve">取得投资收益收到的现金（投资活动，含存单</t>
    </r>
    <r>
      <rPr>
        <sz val="10"/>
        <color rgb="FF000000"/>
        <rFont val="Arial"/>
        <family val="0"/>
        <charset val="1"/>
      </rPr>
      <t xml:space="preserve">/</t>
    </r>
    <r>
      <rPr>
        <sz val="10"/>
        <color rgb="FF000000"/>
        <rFont val="Noto Sans CJK SC"/>
        <family val="2"/>
      </rPr>
      <t xml:space="preserve">理财到期收益）</t>
    </r>
  </si>
  <si>
    <t xml:space="preserve">损益表：利息收入（财务费用附注）</t>
  </si>
  <si>
    <t xml:space="preserve">（计算）损益表：理财收益＋公允价值变动收益</t>
  </si>
  <si>
    <r>
      <rPr>
        <b val="true"/>
        <sz val="10"/>
        <color rgb="FF1F3864"/>
        <rFont val="Noto Sans CJK SC"/>
        <family val="2"/>
      </rPr>
      <t xml:space="preserve">现金流量表补充资料中的财务</t>
    </r>
    <r>
      <rPr>
        <b val="true"/>
        <sz val="10"/>
        <color rgb="FF1F3864"/>
        <rFont val="Arial"/>
        <family val="0"/>
        <charset val="1"/>
      </rPr>
      <t xml:space="preserve">/</t>
    </r>
    <r>
      <rPr>
        <b val="true"/>
        <sz val="10"/>
        <color rgb="FF1F3864"/>
        <rFont val="Noto Sans CJK SC"/>
        <family val="2"/>
      </rPr>
      <t xml:space="preserve">投资相关调节项</t>
    </r>
  </si>
  <si>
    <r>
      <rPr>
        <i val="true"/>
        <sz val="10"/>
        <color rgb="FF595959"/>
        <rFont val="Noto Sans CJK SC"/>
        <family val="2"/>
      </rPr>
      <t xml:space="preserve">单位：百万元（原表单位元；比例、单价、股数、人数等非金额行列保持原值；原单位说明：元（收益以</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t>
    </r>
    <r>
      <rPr>
        <i val="true"/>
        <sz val="10"/>
        <color rgb="FF595959"/>
        <rFont val="Noto Sans CJK SC"/>
        <family val="2"/>
      </rPr>
      <t xml:space="preserve">号填列））；来源：现金流量表补充资料 </t>
    </r>
    <r>
      <rPr>
        <i val="true"/>
        <sz val="10"/>
        <color rgb="FF595959"/>
        <rFont val="Arial"/>
        <family val="0"/>
        <charset val="1"/>
      </rPr>
      <t xml:space="preserve">(FY2023 AR </t>
    </r>
    <r>
      <rPr>
        <i val="true"/>
        <sz val="10"/>
        <color rgb="FF595959"/>
        <rFont val="Noto Sans CJK SC"/>
        <family val="2"/>
      </rPr>
      <t xml:space="preserve">七、</t>
    </r>
    <r>
      <rPr>
        <i val="true"/>
        <sz val="10"/>
        <color rgb="FF595959"/>
        <rFont val="Arial"/>
        <family val="0"/>
        <charset val="1"/>
      </rPr>
      <t xml:space="preserve">56(1); FY2024 AR </t>
    </r>
    <r>
      <rPr>
        <i val="true"/>
        <sz val="10"/>
        <color rgb="FF595959"/>
        <rFont val="Noto Sans CJK SC"/>
        <family val="2"/>
      </rPr>
      <t xml:space="preserve">七、</t>
    </r>
    <r>
      <rPr>
        <i val="true"/>
        <sz val="10"/>
        <color rgb="FF595959"/>
        <rFont val="Arial"/>
        <family val="0"/>
        <charset val="1"/>
      </rPr>
      <t xml:space="preserve">55(1); FY2025 AR </t>
    </r>
    <r>
      <rPr>
        <i val="true"/>
        <sz val="10"/>
        <color rgb="FF595959"/>
        <rFont val="Noto Sans CJK SC"/>
        <family val="2"/>
      </rPr>
      <t xml:space="preserve">七、</t>
    </r>
    <r>
      <rPr>
        <i val="true"/>
        <sz val="10"/>
        <color rgb="FF595959"/>
        <rFont val="Arial"/>
        <family val="0"/>
        <charset val="1"/>
      </rPr>
      <t xml:space="preserve">58(1); 2025H1 </t>
    </r>
    <r>
      <rPr>
        <i val="true"/>
        <sz val="10"/>
        <color rgb="FF595959"/>
        <rFont val="Noto Sans CJK SC"/>
        <family val="2"/>
      </rPr>
      <t xml:space="preserve">七、</t>
    </r>
    <r>
      <rPr>
        <i val="true"/>
        <sz val="10"/>
        <color rgb="FF595959"/>
        <rFont val="Arial"/>
        <family val="0"/>
        <charset val="1"/>
      </rPr>
      <t xml:space="preserve">57(1); 2026H1 </t>
    </r>
    <r>
      <rPr>
        <i val="true"/>
        <sz val="10"/>
        <color rgb="FF595959"/>
        <rFont val="Noto Sans CJK SC"/>
        <family val="2"/>
      </rPr>
      <t xml:space="preserve">七、</t>
    </r>
    <r>
      <rPr>
        <i val="true"/>
        <sz val="10"/>
        <color rgb="FF595959"/>
        <rFont val="Arial"/>
        <family val="0"/>
        <charset val="1"/>
      </rPr>
      <t xml:space="preserve">56(1)).</t>
    </r>
  </si>
  <si>
    <t xml:space="preserve">公允价值变动损失</t>
  </si>
  <si>
    <t xml:space="preserve">投资损失</t>
  </si>
  <si>
    <t xml:space="preserve">未分配利润变动（合并）</t>
  </si>
  <si>
    <r>
      <rPr>
        <i val="true"/>
        <sz val="10"/>
        <color rgb="FF595959"/>
        <rFont val="Noto Sans CJK SC"/>
        <family val="2"/>
      </rPr>
      <t xml:space="preserve">单位：百万元（原表单位元；比例、单价、股数、人数等非金额行列保持原值；原单位说明：元）；来源：未分配利润附注</t>
    </r>
    <r>
      <rPr>
        <i val="true"/>
        <sz val="10"/>
        <color rgb="FF595959"/>
        <rFont val="Arial"/>
        <family val="0"/>
        <charset val="1"/>
      </rPr>
      <t xml:space="preserve">: FY2023 AR </t>
    </r>
    <r>
      <rPr>
        <i val="true"/>
        <sz val="10"/>
        <color rgb="FF595959"/>
        <rFont val="Noto Sans CJK SC"/>
        <family val="2"/>
      </rPr>
      <t xml:space="preserve">七、</t>
    </r>
    <r>
      <rPr>
        <i val="true"/>
        <sz val="10"/>
        <color rgb="FF595959"/>
        <rFont val="Arial"/>
        <family val="0"/>
        <charset val="1"/>
      </rPr>
      <t xml:space="preserve">38; FY2024 AR </t>
    </r>
    <r>
      <rPr>
        <i val="true"/>
        <sz val="10"/>
        <color rgb="FF595959"/>
        <rFont val="Noto Sans CJK SC"/>
        <family val="2"/>
      </rPr>
      <t xml:space="preserve">七、</t>
    </r>
    <r>
      <rPr>
        <i val="true"/>
        <sz val="10"/>
        <color rgb="FF595959"/>
        <rFont val="Arial"/>
        <family val="0"/>
        <charset val="1"/>
      </rPr>
      <t xml:space="preserve">37; FY2025 AR </t>
    </r>
    <r>
      <rPr>
        <i val="true"/>
        <sz val="10"/>
        <color rgb="FF595959"/>
        <rFont val="Noto Sans CJK SC"/>
        <family val="2"/>
      </rPr>
      <t xml:space="preserve">七、</t>
    </r>
    <r>
      <rPr>
        <i val="true"/>
        <sz val="10"/>
        <color rgb="FF595959"/>
        <rFont val="Arial"/>
        <family val="0"/>
        <charset val="1"/>
      </rPr>
      <t xml:space="preserve">40; 2025H1 </t>
    </r>
    <r>
      <rPr>
        <i val="true"/>
        <sz val="10"/>
        <color rgb="FF595959"/>
        <rFont val="Noto Sans CJK SC"/>
        <family val="2"/>
      </rPr>
      <t xml:space="preserve">七、</t>
    </r>
    <r>
      <rPr>
        <i val="true"/>
        <sz val="10"/>
        <color rgb="FF595959"/>
        <rFont val="Arial"/>
        <family val="0"/>
        <charset val="1"/>
      </rPr>
      <t xml:space="preserve">39 (2024H1 = </t>
    </r>
    <r>
      <rPr>
        <i val="true"/>
        <sz val="10"/>
        <color rgb="FF595959"/>
        <rFont val="Noto Sans CJK SC"/>
        <family val="2"/>
      </rPr>
      <t xml:space="preserve">上期</t>
    </r>
    <r>
      <rPr>
        <i val="true"/>
        <sz val="10"/>
        <color rgb="FF595959"/>
        <rFont val="Arial"/>
        <family val="0"/>
        <charset val="1"/>
      </rPr>
      <t xml:space="preserve">); 2026H1 </t>
    </r>
    <r>
      <rPr>
        <i val="true"/>
        <sz val="10"/>
        <color rgb="FF595959"/>
        <rFont val="Noto Sans CJK SC"/>
        <family val="2"/>
      </rPr>
      <t xml:space="preserve">七、</t>
    </r>
    <r>
      <rPr>
        <i val="true"/>
        <sz val="10"/>
        <color rgb="FF595959"/>
        <rFont val="Arial"/>
        <family val="0"/>
        <charset val="1"/>
      </rPr>
      <t xml:space="preserve">38.</t>
    </r>
  </si>
  <si>
    <t xml:space="preserve">期初未分配利润</t>
  </si>
  <si>
    <t xml:space="preserve">加：本期归属于母公司所有者的净利润</t>
  </si>
  <si>
    <t xml:space="preserve">减：提取法定盈余公积</t>
  </si>
  <si>
    <t xml:space="preserve">减：应付普通股股利</t>
  </si>
  <si>
    <t xml:space="preserve">期末未分配利润</t>
  </si>
  <si>
    <t xml:space="preserve">持续以公允价值计量的资产（层次）</t>
  </si>
  <si>
    <r>
      <rPr>
        <i val="true"/>
        <sz val="10"/>
        <color rgb="FF595959"/>
        <rFont val="Noto Sans CJK SC"/>
        <family val="2"/>
      </rPr>
      <t xml:space="preserve">单位：百万元（原表单位元；比例、单价、股数、人数等非金额行列保持原值；原单位说明：元）；来源：公允价值的披露 </t>
    </r>
    <r>
      <rPr>
        <i val="true"/>
        <sz val="10"/>
        <color rgb="FF595959"/>
        <rFont val="Arial"/>
        <family val="0"/>
        <charset val="1"/>
      </rPr>
      <t xml:space="preserve">1</t>
    </r>
    <r>
      <rPr>
        <i val="true"/>
        <sz val="10"/>
        <color rgb="FF595959"/>
        <rFont val="Noto Sans CJK SC"/>
        <family val="2"/>
      </rPr>
      <t xml:space="preserve">、以公允价值计量的资产和负债的期末公允价值 </t>
    </r>
    <r>
      <rPr>
        <i val="true"/>
        <sz val="10"/>
        <color rgb="FF595959"/>
        <rFont val="Arial"/>
        <family val="0"/>
        <charset val="1"/>
      </rPr>
      <t xml:space="preserve">(FY2023 AR </t>
    </r>
    <r>
      <rPr>
        <i val="true"/>
        <sz val="10"/>
        <color rgb="FF595959"/>
        <rFont val="Noto Sans CJK SC"/>
        <family val="2"/>
      </rPr>
      <t xml:space="preserve">十三</t>
    </r>
    <r>
      <rPr>
        <i val="true"/>
        <sz val="10"/>
        <color rgb="FF595959"/>
        <rFont val="Arial"/>
        <family val="0"/>
        <charset val="1"/>
      </rPr>
      <t xml:space="preserve">; FY2024 AR </t>
    </r>
    <r>
      <rPr>
        <i val="true"/>
        <sz val="10"/>
        <color rgb="FF595959"/>
        <rFont val="Noto Sans CJK SC"/>
        <family val="2"/>
      </rPr>
      <t xml:space="preserve">十三</t>
    </r>
    <r>
      <rPr>
        <i val="true"/>
        <sz val="10"/>
        <color rgb="FF595959"/>
        <rFont val="Arial"/>
        <family val="0"/>
        <charset val="1"/>
      </rPr>
      <t xml:space="preserve">; FY2025 AR </t>
    </r>
    <r>
      <rPr>
        <i val="true"/>
        <sz val="10"/>
        <color rgb="FF595959"/>
        <rFont val="Noto Sans CJK SC"/>
        <family val="2"/>
      </rPr>
      <t xml:space="preserve">十三</t>
    </r>
    <r>
      <rPr>
        <i val="true"/>
        <sz val="10"/>
        <color rgb="FF595959"/>
        <rFont val="Arial"/>
        <family val="0"/>
        <charset val="1"/>
      </rPr>
      <t xml:space="preserve">; 2025H1 </t>
    </r>
    <r>
      <rPr>
        <i val="true"/>
        <sz val="10"/>
        <color rgb="FF595959"/>
        <rFont val="Noto Sans CJK SC"/>
        <family val="2"/>
      </rPr>
      <t xml:space="preserve">十三</t>
    </r>
    <r>
      <rPr>
        <i val="true"/>
        <sz val="10"/>
        <color rgb="FF595959"/>
        <rFont val="Arial"/>
        <family val="0"/>
        <charset val="1"/>
      </rPr>
      <t xml:space="preserve">; 2026H1 </t>
    </r>
    <r>
      <rPr>
        <i val="true"/>
        <sz val="10"/>
        <color rgb="FF595959"/>
        <rFont val="Noto Sans CJK SC"/>
        <family val="2"/>
      </rPr>
      <t xml:space="preserve">十三</t>
    </r>
    <r>
      <rPr>
        <i val="true"/>
        <sz val="10"/>
        <color rgb="FF595959"/>
        <rFont val="Arial"/>
        <family val="0"/>
        <charset val="1"/>
      </rPr>
      <t xml:space="preserve">). No Level 1 assets; no FV liabilities.</t>
    </r>
  </si>
  <si>
    <r>
      <rPr>
        <sz val="10"/>
        <color rgb="FF000000"/>
        <rFont val="Noto Sans CJK SC"/>
        <family val="2"/>
      </rPr>
      <t xml:space="preserve">第二层次</t>
    </r>
    <r>
      <rPr>
        <sz val="10"/>
        <color rgb="FF000000"/>
        <rFont val="Arial"/>
        <family val="0"/>
        <charset val="1"/>
      </rPr>
      <t xml:space="preserve">-</t>
    </r>
    <r>
      <rPr>
        <sz val="10"/>
        <color rgb="FF000000"/>
        <rFont val="Noto Sans CJK SC"/>
        <family val="2"/>
      </rPr>
      <t xml:space="preserve">交易性金融资产（理财产品）</t>
    </r>
  </si>
  <si>
    <r>
      <rPr>
        <sz val="10"/>
        <color rgb="FF000000"/>
        <rFont val="Noto Sans CJK SC"/>
        <family val="2"/>
      </rPr>
      <t xml:space="preserve">第三层次</t>
    </r>
    <r>
      <rPr>
        <sz val="10"/>
        <color rgb="FF000000"/>
        <rFont val="Arial"/>
        <family val="0"/>
        <charset val="1"/>
      </rPr>
      <t xml:space="preserve">-</t>
    </r>
    <r>
      <rPr>
        <sz val="10"/>
        <color rgb="FF000000"/>
        <rFont val="Noto Sans CJK SC"/>
        <family val="2"/>
      </rPr>
      <t xml:space="preserve">其他权益工具投资</t>
    </r>
  </si>
  <si>
    <r>
      <rPr>
        <sz val="10"/>
        <color rgb="FF000000"/>
        <rFont val="Noto Sans CJK SC"/>
        <family val="2"/>
      </rPr>
      <t xml:space="preserve">第三层次</t>
    </r>
    <r>
      <rPr>
        <sz val="10"/>
        <color rgb="FF000000"/>
        <rFont val="Arial"/>
        <family val="0"/>
        <charset val="1"/>
      </rPr>
      <t xml:space="preserve">-</t>
    </r>
    <r>
      <rPr>
        <sz val="10"/>
        <color rgb="FF000000"/>
        <rFont val="Noto Sans CJK SC"/>
        <family val="2"/>
      </rPr>
      <t xml:space="preserve">应收款项融资</t>
    </r>
  </si>
  <si>
    <t xml:space="preserve">持续以公允价值计量的资产总额</t>
  </si>
  <si>
    <t xml:space="preserve">（计算）资金池、有息负债与净现金（合并）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</si>
  <si>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Computed from cash_composition, trading_fin_assets, other_noncurrent_assets, short_term_borrowings, current_portion_ncl, long_term_borrowings (balance sheet), lease_liabilities.</t>
    </r>
  </si>
  <si>
    <t xml:space="preserve">交易性金融资产（理财产品）</t>
  </si>
  <si>
    <r>
      <rPr>
        <sz val="10"/>
        <color rgb="FF000000"/>
        <rFont val="Noto Sans CJK SC"/>
        <family val="2"/>
      </rPr>
      <t xml:space="preserve">其他非流动资产</t>
    </r>
    <r>
      <rPr>
        <sz val="10"/>
        <color rgb="FF000000"/>
        <rFont val="Arial"/>
        <family val="0"/>
        <charset val="1"/>
      </rPr>
      <t xml:space="preserve">-</t>
    </r>
    <r>
      <rPr>
        <sz val="10"/>
        <color rgb="FF000000"/>
        <rFont val="Noto Sans CJK SC"/>
        <family val="2"/>
      </rPr>
      <t xml:space="preserve">到期日一年以上的定期存款及大额存单</t>
    </r>
  </si>
  <si>
    <t xml:space="preserve">资金池合计</t>
  </si>
  <si>
    <t xml:space="preserve">减：受限货币资金</t>
  </si>
  <si>
    <t xml:space="preserve">短期借款（含已贴现未到期票据）</t>
  </si>
  <si>
    <t xml:space="preserve">  其中：已贴现未到期票据</t>
  </si>
  <si>
    <t xml:space="preserve">长期借款</t>
  </si>
  <si>
    <t xml:space="preserve">有息负债合计（不含租赁）</t>
  </si>
  <si>
    <t xml:space="preserve">租赁负债合计（含一年内到期）</t>
  </si>
  <si>
    <t xml:space="preserve">净现金（资金池－有息负债－租赁负债）</t>
  </si>
  <si>
    <t xml:space="preserve">净现金（剔除受限资金及已贴现票据口径）</t>
  </si>
  <si>
    <r>
      <rPr>
        <b val="true"/>
        <sz val="10"/>
        <color rgb="FF1F3864"/>
        <rFont val="Noto Sans CJK SC"/>
        <family val="2"/>
      </rPr>
      <t xml:space="preserve">（计算）资金收益率（期初期末平均余额口径，半年度</t>
    </r>
    <r>
      <rPr>
        <b val="true"/>
        <sz val="10"/>
        <color rgb="FF1F3864"/>
        <rFont val="Arial"/>
        <family val="0"/>
        <charset val="1"/>
      </rPr>
      <t xml:space="preserve">×2</t>
    </r>
    <r>
      <rPr>
        <b val="true"/>
        <sz val="10"/>
        <color rgb="FF1F3864"/>
        <rFont val="Noto Sans CJK SC"/>
        <family val="2"/>
      </rPr>
      <t xml:space="preserve">年化）</t>
    </r>
  </si>
  <si>
    <r>
      <rPr>
        <i val="true"/>
        <sz val="10"/>
        <color rgb="FF595959"/>
        <rFont val="Noto Sans CJK SC"/>
        <family val="2"/>
      </rPr>
      <t xml:space="preserve">单位：</t>
    </r>
    <r>
      <rPr>
        <i val="true"/>
        <sz val="10"/>
        <color rgb="FF595959"/>
        <rFont val="Arial"/>
        <family val="0"/>
        <charset val="1"/>
      </rPr>
      <t xml:space="preserve">%</t>
    </r>
    <r>
      <rPr>
        <i val="true"/>
        <sz val="10"/>
        <color rgb="FF595959"/>
        <rFont val="Noto Sans CJK SC"/>
        <family val="2"/>
      </rPr>
      <t xml:space="preserve">；来源：</t>
    </r>
    <r>
      <rPr>
        <i val="true"/>
        <sz val="10"/>
        <color rgb="FF595959"/>
        <rFont val="Arial"/>
        <family val="0"/>
        <charset val="1"/>
      </rPr>
      <t xml:space="preserve">Computed from finance_expense, investment_income, fv_change_income and treasury_pool_net_cash. Average balances use only opening and closing points; intra-period balances are not disclosed (FY2025 WM </t>
    </r>
  </si>
  <si>
    <r>
      <rPr>
        <sz val="10"/>
        <color rgb="FF000000"/>
        <rFont val="Noto Sans CJK SC"/>
        <family val="2"/>
      </rPr>
      <t xml:space="preserve">存款类收益率＝利息收入／平均</t>
    </r>
    <r>
      <rPr>
        <sz val="10"/>
        <color rgb="FF000000"/>
        <rFont val="Arial"/>
        <family val="0"/>
        <charset val="1"/>
      </rPr>
      <t xml:space="preserve">(</t>
    </r>
    <r>
      <rPr>
        <sz val="10"/>
        <color rgb="FF000000"/>
        <rFont val="Noto Sans CJK SC"/>
        <family val="2"/>
      </rPr>
      <t xml:space="preserve">货币资金＋一年以上定存及大额存单</t>
    </r>
    <r>
      <rPr>
        <sz val="10"/>
        <color rgb="FF000000"/>
        <rFont val="Arial"/>
        <family val="0"/>
        <charset val="1"/>
      </rPr>
      <t xml:space="preserve">)</t>
    </r>
  </si>
  <si>
    <r>
      <rPr>
        <sz val="10"/>
        <color rgb="FF000000"/>
        <rFont val="Noto Sans CJK SC"/>
        <family val="2"/>
      </rPr>
      <t xml:space="preserve">理财收益率＝</t>
    </r>
    <r>
      <rPr>
        <sz val="10"/>
        <color rgb="FF000000"/>
        <rFont val="Arial"/>
        <family val="0"/>
        <charset val="1"/>
      </rPr>
      <t xml:space="preserve">(</t>
    </r>
    <r>
      <rPr>
        <sz val="10"/>
        <color rgb="FF000000"/>
        <rFont val="Noto Sans CJK SC"/>
        <family val="2"/>
      </rPr>
      <t xml:space="preserve">理财收益＋公允价值变动收益</t>
    </r>
    <r>
      <rPr>
        <sz val="10"/>
        <color rgb="FF000000"/>
        <rFont val="Arial"/>
        <family val="0"/>
        <charset val="1"/>
      </rPr>
      <t xml:space="preserve">)</t>
    </r>
    <r>
      <rPr>
        <sz val="10"/>
        <color rgb="FF000000"/>
        <rFont val="Noto Sans CJK SC"/>
        <family val="2"/>
      </rPr>
      <t xml:space="preserve">／平均交易性金融资产</t>
    </r>
  </si>
  <si>
    <r>
      <rPr>
        <sz val="10"/>
        <color rgb="FF000000"/>
        <rFont val="Noto Sans CJK SC"/>
        <family val="2"/>
      </rPr>
      <t xml:space="preserve">资金池综合收益率＝</t>
    </r>
    <r>
      <rPr>
        <sz val="10"/>
        <color rgb="FF000000"/>
        <rFont val="Arial"/>
        <family val="0"/>
        <charset val="1"/>
      </rPr>
      <t xml:space="preserve">(</t>
    </r>
    <r>
      <rPr>
        <sz val="10"/>
        <color rgb="FF000000"/>
        <rFont val="Noto Sans CJK SC"/>
        <family val="2"/>
      </rPr>
      <t xml:space="preserve">利息收入＋理财收益＋公允价值变动</t>
    </r>
    <r>
      <rPr>
        <sz val="10"/>
        <color rgb="FF000000"/>
        <rFont val="Arial"/>
        <family val="0"/>
        <charset val="1"/>
      </rPr>
      <t xml:space="preserve">)</t>
    </r>
    <r>
      <rPr>
        <sz val="10"/>
        <color rgb="FF000000"/>
        <rFont val="Noto Sans CJK SC"/>
        <family val="2"/>
      </rPr>
      <t xml:space="preserve">／平均资金池</t>
    </r>
  </si>
  <si>
    <r>
      <rPr>
        <b val="true"/>
        <sz val="10"/>
        <color rgb="FF1F3864"/>
        <rFont val="Arial"/>
        <family val="0"/>
        <charset val="1"/>
      </rPr>
      <t xml:space="preserve">D3</t>
    </r>
    <r>
      <rPr>
        <b val="true"/>
        <sz val="10"/>
        <color rgb="FF1F3864"/>
        <rFont val="Noto Sans CJK SC"/>
        <family val="2"/>
      </rPr>
      <t xml:space="preserve">　收入构成、成本构成、员工与期间费用</t>
    </r>
  </si>
  <si>
    <r>
      <rPr>
        <b val="true"/>
        <sz val="10"/>
        <color rgb="FF1F3864"/>
        <rFont val="Noto Sans CJK SC"/>
        <family val="2"/>
      </rPr>
      <t xml:space="preserve">营业收入构成（旧分类：分产品</t>
    </r>
    <r>
      <rPr>
        <b val="true"/>
        <sz val="10"/>
        <color rgb="FF1F3864"/>
        <rFont val="Arial"/>
        <family val="0"/>
        <charset val="1"/>
      </rPr>
      <t xml:space="preserve">/</t>
    </r>
    <r>
      <rPr>
        <b val="true"/>
        <sz val="10"/>
        <color rgb="FF1F3864"/>
        <rFont val="Noto Sans CJK SC"/>
        <family val="2"/>
      </rPr>
      <t xml:space="preserve">分地区</t>
    </r>
    <r>
      <rPr>
        <b val="true"/>
        <sz val="10"/>
        <color rgb="FF1F3864"/>
        <rFont val="Arial"/>
        <family val="0"/>
        <charset val="1"/>
      </rPr>
      <t xml:space="preserve">/</t>
    </r>
    <r>
      <rPr>
        <b val="true"/>
        <sz val="10"/>
        <color rgb="FF1F3864"/>
        <rFont val="Noto Sans CJK SC"/>
        <family val="2"/>
      </rPr>
      <t xml:space="preserve">分销售模式）— </t>
    </r>
    <r>
      <rPr>
        <b val="true"/>
        <sz val="10"/>
        <color rgb="FF1F3864"/>
        <rFont val="Arial"/>
        <family val="0"/>
        <charset val="1"/>
      </rPr>
      <t xml:space="preserve">2023</t>
    </r>
    <r>
      <rPr>
        <b val="true"/>
        <sz val="10"/>
        <color rgb="FF1F3864"/>
        <rFont val="Noto Sans CJK SC"/>
        <family val="2"/>
      </rPr>
      <t xml:space="preserve">年报口径，含</t>
    </r>
    <r>
      <rPr>
        <b val="true"/>
        <sz val="10"/>
        <color rgb="FF1F3864"/>
        <rFont val="Arial"/>
        <family val="0"/>
        <charset val="1"/>
      </rPr>
      <t xml:space="preserve">2022</t>
    </r>
    <r>
      <rPr>
        <b val="true"/>
        <sz val="10"/>
        <color rgb="FF1F3864"/>
        <rFont val="Noto Sans CJK SC"/>
        <family val="2"/>
      </rPr>
      <t xml:space="preserve">年比较数</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</si>
  <si>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*_amt</t>
    </r>
    <r>
      <rPr>
        <i val="true"/>
        <sz val="10"/>
        <color rgb="FF595959"/>
        <rFont val="Noto Sans CJK SC"/>
        <family val="2"/>
      </rPr>
      <t xml:space="preserve">）；</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t>
    </r>
    <r>
      <rPr>
        <i val="true"/>
        <sz val="10"/>
        <color rgb="FF595959"/>
        <rFont val="Arial"/>
        <family val="0"/>
        <charset val="1"/>
      </rPr>
      <t xml:space="preserve">yoy_pct</t>
    </r>
    <r>
      <rPr>
        <i val="true"/>
        <sz val="10"/>
        <color rgb="FF595959"/>
        <rFont val="Noto Sans CJK SC"/>
        <family val="2"/>
      </rPr>
      <t xml:space="preserve">，如</t>
    </r>
    <r>
      <rPr>
        <i val="true"/>
        <sz val="10"/>
        <color rgb="FF595959"/>
        <rFont val="Arial"/>
        <family val="0"/>
        <charset val="1"/>
      </rPr>
      <t xml:space="preserve">38.35=38.35%</t>
    </r>
    <r>
      <rPr>
        <i val="true"/>
        <sz val="10"/>
        <color rgb="FF595959"/>
        <rFont val="Noto Sans CJK SC"/>
        <family val="2"/>
      </rPr>
      <t xml:space="preserve">））；来源：</t>
    </r>
    <r>
      <rPr>
        <i val="true"/>
        <sz val="10"/>
        <color rgb="FF595959"/>
        <rFont val="Arial"/>
        <family val="0"/>
        <charset val="1"/>
      </rPr>
      <t xml:space="preserve">2023</t>
    </r>
    <r>
      <rPr>
        <i val="true"/>
        <sz val="10"/>
        <color rgb="FF595959"/>
        <rFont val="Noto Sans CJK SC"/>
        <family val="2"/>
      </rPr>
      <t xml:space="preserve">年年度报告 第三节 管理层讨论与分析 四、主营业务分析 </t>
    </r>
    <r>
      <rPr>
        <i val="true"/>
        <sz val="10"/>
        <color rgb="FF595959"/>
        <rFont val="Arial"/>
        <family val="0"/>
        <charset val="1"/>
      </rPr>
      <t xml:space="preserve">2</t>
    </r>
    <r>
      <rPr>
        <i val="true"/>
        <sz val="10"/>
        <color rgb="FF595959"/>
        <rFont val="Noto Sans CJK SC"/>
        <family val="2"/>
      </rPr>
      <t xml:space="preserve">、收入与成本（</t>
    </r>
    <r>
      <rPr>
        <i val="true"/>
        <sz val="10"/>
        <color rgb="FF595959"/>
        <rFont val="Arial"/>
        <family val="0"/>
        <charset val="1"/>
      </rPr>
      <t xml:space="preserve">1</t>
    </r>
    <r>
      <rPr>
        <i val="true"/>
        <sz val="10"/>
        <color rgb="FF595959"/>
        <rFont val="Noto Sans CJK SC"/>
        <family val="2"/>
      </rPr>
      <t xml:space="preserve">）营业收入构成 </t>
    </r>
    <r>
      <rPr>
        <i val="true"/>
        <sz val="10"/>
        <color rgb="FF595959"/>
        <rFont val="Arial"/>
        <family val="0"/>
        <charset val="1"/>
      </rPr>
      <t xml:space="preserve">(PDF p13; pdfplumber-verified)</t>
    </r>
  </si>
  <si>
    <t xml:space="preserve">FY2023_amt</t>
  </si>
  <si>
    <t xml:space="preserve">FY2023_pct</t>
  </si>
  <si>
    <t xml:space="preserve">FY2022_amt</t>
  </si>
  <si>
    <t xml:space="preserve">FY2022_pct</t>
  </si>
  <si>
    <t xml:space="preserve">yoy_pct</t>
  </si>
  <si>
    <r>
      <rPr>
        <sz val="10"/>
        <color rgb="FF000000"/>
        <rFont val="Noto Sans CJK SC"/>
        <family val="2"/>
      </rPr>
      <t xml:space="preserve">分行业</t>
    </r>
    <r>
      <rPr>
        <sz val="10"/>
        <color rgb="FF000000"/>
        <rFont val="Arial"/>
        <family val="0"/>
        <charset val="1"/>
      </rPr>
      <t xml:space="preserve">|</t>
    </r>
    <r>
      <rPr>
        <sz val="10"/>
        <color rgb="FF000000"/>
        <rFont val="Noto Sans CJK SC"/>
        <family val="2"/>
      </rPr>
      <t xml:space="preserve">工业</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</si>
  <si>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电子元件及材料</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</si>
  <si>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通信部件</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</si>
  <si>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压缩机部件</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</si>
  <si>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其他</t>
    </r>
  </si>
  <si>
    <r>
      <rPr>
        <sz val="10"/>
        <color rgb="FF000000"/>
        <rFont val="Noto Sans CJK SC"/>
        <family val="2"/>
      </rPr>
      <t xml:space="preserve">分地区</t>
    </r>
    <r>
      <rPr>
        <sz val="10"/>
        <color rgb="FF000000"/>
        <rFont val="Arial"/>
        <family val="0"/>
        <charset val="1"/>
      </rPr>
      <t xml:space="preserve">|</t>
    </r>
    <r>
      <rPr>
        <sz val="10"/>
        <color rgb="FF000000"/>
        <rFont val="Noto Sans CJK SC"/>
        <family val="2"/>
      </rPr>
      <t xml:space="preserve">境内</t>
    </r>
  </si>
  <si>
    <r>
      <rPr>
        <sz val="10"/>
        <color rgb="FF000000"/>
        <rFont val="Noto Sans CJK SC"/>
        <family val="2"/>
      </rPr>
      <t xml:space="preserve">分地区</t>
    </r>
    <r>
      <rPr>
        <sz val="10"/>
        <color rgb="FF000000"/>
        <rFont val="Arial"/>
        <family val="0"/>
        <charset val="1"/>
      </rPr>
      <t xml:space="preserve">|</t>
    </r>
    <r>
      <rPr>
        <sz val="10"/>
        <color rgb="FF000000"/>
        <rFont val="Noto Sans CJK SC"/>
        <family val="2"/>
      </rPr>
      <t xml:space="preserve">境外</t>
    </r>
  </si>
  <si>
    <r>
      <rPr>
        <sz val="10"/>
        <color rgb="FF000000"/>
        <rFont val="Noto Sans CJK SC"/>
        <family val="2"/>
      </rPr>
      <t xml:space="preserve">分销售模式</t>
    </r>
    <r>
      <rPr>
        <sz val="10"/>
        <color rgb="FF000000"/>
        <rFont val="Arial"/>
        <family val="0"/>
        <charset val="1"/>
      </rPr>
      <t xml:space="preserve">|</t>
    </r>
    <r>
      <rPr>
        <sz val="10"/>
        <color rgb="FF000000"/>
        <rFont val="Noto Sans CJK SC"/>
        <family val="2"/>
      </rPr>
      <t xml:space="preserve">直销</t>
    </r>
  </si>
  <si>
    <r>
      <rPr>
        <sz val="10"/>
        <color rgb="FF000000"/>
        <rFont val="Noto Sans CJK SC"/>
        <family val="2"/>
      </rPr>
      <t xml:space="preserve">分销售模式</t>
    </r>
    <r>
      <rPr>
        <sz val="10"/>
        <color rgb="FF000000"/>
        <rFont val="Arial"/>
        <family val="0"/>
        <charset val="1"/>
      </rPr>
      <t xml:space="preserve">|</t>
    </r>
    <r>
      <rPr>
        <sz val="10"/>
        <color rgb="FF000000"/>
        <rFont val="Noto Sans CJK SC"/>
        <family val="2"/>
      </rPr>
      <t xml:space="preserve">分销</t>
    </r>
  </si>
  <si>
    <r>
      <rPr>
        <b val="true"/>
        <sz val="10"/>
        <color rgb="FF1F3864"/>
        <rFont val="Noto Sans CJK SC"/>
        <family val="2"/>
      </rPr>
      <t xml:space="preserve">营业收入构成（中间分类：电子、通信元件及材料</t>
    </r>
    <r>
      <rPr>
        <b val="true"/>
        <sz val="10"/>
        <color rgb="FF1F3864"/>
        <rFont val="Arial"/>
        <family val="0"/>
        <charset val="1"/>
      </rPr>
      <t xml:space="preserve">/</t>
    </r>
    <r>
      <rPr>
        <b val="true"/>
        <sz val="10"/>
        <color rgb="FF1F3864"/>
        <rFont val="Noto Sans CJK SC"/>
        <family val="2"/>
      </rPr>
      <t xml:space="preserve">其他）— </t>
    </r>
    <r>
      <rPr>
        <b val="true"/>
        <sz val="10"/>
        <color rgb="FF1F3864"/>
        <rFont val="Arial"/>
        <family val="0"/>
        <charset val="1"/>
      </rPr>
      <t xml:space="preserve">2024</t>
    </r>
    <r>
      <rPr>
        <b val="true"/>
        <sz val="10"/>
        <color rgb="FF1F3864"/>
        <rFont val="Noto Sans CJK SC"/>
        <family val="2"/>
      </rPr>
      <t xml:space="preserve">年报口径，含重述后</t>
    </r>
    <r>
      <rPr>
        <b val="true"/>
        <sz val="10"/>
        <color rgb="FF1F3864"/>
        <rFont val="Arial"/>
        <family val="0"/>
        <charset val="1"/>
      </rPr>
      <t xml:space="preserve">2023</t>
    </r>
    <r>
      <rPr>
        <b val="true"/>
        <sz val="10"/>
        <color rgb="FF1F3864"/>
        <rFont val="Noto Sans CJK SC"/>
        <family val="2"/>
      </rPr>
      <t xml:space="preserve">年比较数</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</si>
  <si>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*_amt</t>
    </r>
    <r>
      <rPr>
        <i val="true"/>
        <sz val="10"/>
        <color rgb="FF595959"/>
        <rFont val="Noto Sans CJK SC"/>
        <family val="2"/>
      </rPr>
      <t xml:space="preserve">）；</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t>
    </r>
    <r>
      <rPr>
        <i val="true"/>
        <sz val="10"/>
        <color rgb="FF595959"/>
        <rFont val="Arial"/>
        <family val="0"/>
        <charset val="1"/>
      </rPr>
      <t xml:space="preserve">yoy_pct</t>
    </r>
    <r>
      <rPr>
        <i val="true"/>
        <sz val="10"/>
        <color rgb="FF595959"/>
        <rFont val="Noto Sans CJK SC"/>
        <family val="2"/>
      </rPr>
      <t xml:space="preserve">））；来源：</t>
    </r>
    <r>
      <rPr>
        <i val="true"/>
        <sz val="10"/>
        <color rgb="FF595959"/>
        <rFont val="Arial"/>
        <family val="0"/>
        <charset val="1"/>
      </rPr>
      <t xml:space="preserve">2024</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1</t>
    </r>
    <r>
      <rPr>
        <i val="true"/>
        <sz val="10"/>
        <color rgb="FF595959"/>
        <rFont val="Noto Sans CJK SC"/>
        <family val="2"/>
      </rPr>
      <t xml:space="preserve">）营业收入构成 </t>
    </r>
    <r>
      <rPr>
        <i val="true"/>
        <sz val="10"/>
        <color rgb="FF595959"/>
        <rFont val="Arial"/>
        <family val="0"/>
        <charset val="1"/>
      </rPr>
      <t xml:space="preserve">(PDF p12-13; pdfplumber-verified). No </t>
    </r>
    <r>
      <rPr>
        <i val="true"/>
        <sz val="10"/>
        <color rgb="FF595959"/>
        <rFont val="Noto Sans CJK SC"/>
        <family val="2"/>
      </rPr>
      <t xml:space="preserve">分地区</t>
    </r>
    <r>
      <rPr>
        <i val="true"/>
        <sz val="10"/>
        <color rgb="FF595959"/>
        <rFont val="Arial"/>
        <family val="0"/>
        <charset val="1"/>
      </rPr>
      <t xml:space="preserve">/</t>
    </r>
    <r>
      <rPr>
        <i val="true"/>
        <sz val="10"/>
        <color rgb="FF595959"/>
        <rFont val="Noto Sans CJK SC"/>
        <family val="2"/>
      </rPr>
      <t xml:space="preserve">分销售模式 </t>
    </r>
    <r>
      <rPr>
        <i val="true"/>
        <sz val="10"/>
        <color rgb="FF595959"/>
        <rFont val="Arial"/>
        <family val="0"/>
        <charset val="1"/>
      </rPr>
      <t xml:space="preserve">rows disclosed.</t>
    </r>
  </si>
  <si>
    <t xml:space="preserve">FY2024_amt</t>
  </si>
  <si>
    <t xml:space="preserve">FY2024_pct</t>
  </si>
  <si>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电子、通信元件及材料</t>
    </r>
  </si>
  <si>
    <r>
      <rPr>
        <b val="true"/>
        <sz val="10"/>
        <color rgb="FF1F3864"/>
        <rFont val="Noto Sans CJK SC"/>
        <family val="2"/>
      </rPr>
      <t xml:space="preserve">营业收入构成（新分类：电子元件</t>
    </r>
    <r>
      <rPr>
        <b val="true"/>
        <sz val="10"/>
        <color rgb="FF1F3864"/>
        <rFont val="Arial"/>
        <family val="0"/>
        <charset val="1"/>
      </rPr>
      <t xml:space="preserve">/</t>
    </r>
    <r>
      <rPr>
        <b val="true"/>
        <sz val="10"/>
        <color rgb="FF1F3864"/>
        <rFont val="Noto Sans CJK SC"/>
        <family val="2"/>
      </rPr>
      <t xml:space="preserve">电子及陶瓷材料</t>
    </r>
    <r>
      <rPr>
        <b val="true"/>
        <sz val="10"/>
        <color rgb="FF1F3864"/>
        <rFont val="Arial"/>
        <family val="0"/>
        <charset val="1"/>
      </rPr>
      <t xml:space="preserve">/</t>
    </r>
    <r>
      <rPr>
        <b val="true"/>
        <sz val="10"/>
        <color rgb="FF1F3864"/>
        <rFont val="Noto Sans CJK SC"/>
        <family val="2"/>
      </rPr>
      <t xml:space="preserve">通信器件</t>
    </r>
    <r>
      <rPr>
        <b val="true"/>
        <sz val="10"/>
        <color rgb="FF1F3864"/>
        <rFont val="Arial"/>
        <family val="0"/>
        <charset val="1"/>
      </rPr>
      <t xml:space="preserve">/</t>
    </r>
    <r>
      <rPr>
        <b val="true"/>
        <sz val="10"/>
        <color rgb="FF1F3864"/>
        <rFont val="Noto Sans CJK SC"/>
        <family val="2"/>
      </rPr>
      <t xml:space="preserve">设备组件</t>
    </r>
    <r>
      <rPr>
        <b val="true"/>
        <sz val="10"/>
        <color rgb="FF1F3864"/>
        <rFont val="Arial"/>
        <family val="0"/>
        <charset val="1"/>
      </rPr>
      <t xml:space="preserve">/</t>
    </r>
    <r>
      <rPr>
        <b val="true"/>
        <sz val="10"/>
        <color rgb="FF1F3864"/>
        <rFont val="Noto Sans CJK SC"/>
        <family val="2"/>
      </rPr>
      <t xml:space="preserve">其他</t>
    </r>
    <r>
      <rPr>
        <b val="true"/>
        <sz val="10"/>
        <color rgb="FF1F3864"/>
        <rFont val="Arial"/>
        <family val="0"/>
        <charset val="1"/>
      </rPr>
      <t xml:space="preserve">/</t>
    </r>
    <r>
      <rPr>
        <b val="true"/>
        <sz val="10"/>
        <color rgb="FF1F3864"/>
        <rFont val="Noto Sans CJK SC"/>
        <family val="2"/>
      </rPr>
      <t xml:space="preserve">其他业务）— </t>
    </r>
    <r>
      <rPr>
        <b val="true"/>
        <sz val="10"/>
        <color rgb="FF1F3864"/>
        <rFont val="Arial"/>
        <family val="0"/>
        <charset val="1"/>
      </rPr>
      <t xml:space="preserve">2025</t>
    </r>
    <r>
      <rPr>
        <b val="true"/>
        <sz val="10"/>
        <color rgb="FF1F3864"/>
        <rFont val="Noto Sans CJK SC"/>
        <family val="2"/>
      </rPr>
      <t xml:space="preserve">年报口径，含</t>
    </r>
    <r>
      <rPr>
        <b val="true"/>
        <sz val="10"/>
        <color rgb="FF1F3864"/>
        <rFont val="Arial"/>
        <family val="0"/>
        <charset val="1"/>
      </rPr>
      <t xml:space="preserve">2024</t>
    </r>
    <r>
      <rPr>
        <b val="true"/>
        <sz val="10"/>
        <color rgb="FF1F3864"/>
        <rFont val="Noto Sans CJK SC"/>
        <family val="2"/>
      </rPr>
      <t xml:space="preserve">年比较数</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</si>
  <si>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*_amt</t>
    </r>
    <r>
      <rPr>
        <i val="true"/>
        <sz val="10"/>
        <color rgb="FF595959"/>
        <rFont val="Noto Sans CJK SC"/>
        <family val="2"/>
      </rPr>
      <t xml:space="preserve">）；</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t>
    </r>
    <r>
      <rPr>
        <i val="true"/>
        <sz val="10"/>
        <color rgb="FF595959"/>
        <rFont val="Arial"/>
        <family val="0"/>
        <charset val="1"/>
      </rPr>
      <t xml:space="preserve">yoy_pct</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1</t>
    </r>
    <r>
      <rPr>
        <i val="true"/>
        <sz val="10"/>
        <color rgb="FF595959"/>
        <rFont val="Noto Sans CJK SC"/>
        <family val="2"/>
      </rPr>
      <t xml:space="preserve">）营业收入构成 </t>
    </r>
    <r>
      <rPr>
        <i val="true"/>
        <sz val="10"/>
        <color rgb="FF595959"/>
        <rFont val="Arial"/>
        <family val="0"/>
        <charset val="1"/>
      </rPr>
      <t xml:space="preserve">(PDF p12; pdfplumber-verified). No </t>
    </r>
    <r>
      <rPr>
        <i val="true"/>
        <sz val="10"/>
        <color rgb="FF595959"/>
        <rFont val="Noto Sans CJK SC"/>
        <family val="2"/>
      </rPr>
      <t xml:space="preserve">分地区</t>
    </r>
    <r>
      <rPr>
        <i val="true"/>
        <sz val="10"/>
        <color rgb="FF595959"/>
        <rFont val="Arial"/>
        <family val="0"/>
        <charset val="1"/>
      </rPr>
      <t xml:space="preserve">/</t>
    </r>
    <r>
      <rPr>
        <i val="true"/>
        <sz val="10"/>
        <color rgb="FF595959"/>
        <rFont val="Noto Sans CJK SC"/>
        <family val="2"/>
      </rPr>
      <t xml:space="preserve">分销售模式 </t>
    </r>
    <r>
      <rPr>
        <i val="true"/>
        <sz val="10"/>
        <color rgb="FF595959"/>
        <rFont val="Arial"/>
        <family val="0"/>
        <charset val="1"/>
      </rPr>
      <t xml:space="preserve">rows disclosed.</t>
    </r>
  </si>
  <si>
    <t xml:space="preserve">FY2025_amt</t>
  </si>
  <si>
    <t xml:space="preserve">FY2025_pct</t>
  </si>
  <si>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电子元件</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</si>
  <si>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电子及陶瓷材料</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</si>
  <si>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通信器件</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</si>
  <si>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设备组件</t>
    </r>
  </si>
  <si>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其他业务</t>
    </r>
  </si>
  <si>
    <r>
      <rPr>
        <b val="true"/>
        <sz val="10"/>
        <color rgb="FF1F3864"/>
        <rFont val="Noto Sans CJK SC"/>
        <family val="2"/>
      </rPr>
      <t xml:space="preserve">占公司营业收入或营业利润</t>
    </r>
    <r>
      <rPr>
        <b val="true"/>
        <sz val="10"/>
        <color rgb="FF1F3864"/>
        <rFont val="Arial"/>
        <family val="0"/>
        <charset val="1"/>
      </rPr>
      <t xml:space="preserve">10%</t>
    </r>
    <r>
      <rPr>
        <b val="true"/>
        <sz val="10"/>
        <color rgb="FF1F3864"/>
        <rFont val="Noto Sans CJK SC"/>
        <family val="2"/>
      </rPr>
      <t xml:space="preserve">以上的行业</t>
    </r>
    <r>
      <rPr>
        <b val="true"/>
        <sz val="10"/>
        <color rgb="FF1F3864"/>
        <rFont val="Arial"/>
        <family val="0"/>
        <charset val="1"/>
      </rPr>
      <t xml:space="preserve">/</t>
    </r>
    <r>
      <rPr>
        <b val="true"/>
        <sz val="10"/>
        <color rgb="FF1F3864"/>
        <rFont val="Noto Sans CJK SC"/>
        <family val="2"/>
      </rPr>
      <t xml:space="preserve">产品</t>
    </r>
    <r>
      <rPr>
        <b val="true"/>
        <sz val="10"/>
        <color rgb="FF1F3864"/>
        <rFont val="Arial"/>
        <family val="0"/>
        <charset val="1"/>
      </rPr>
      <t xml:space="preserve">/</t>
    </r>
    <r>
      <rPr>
        <b val="true"/>
        <sz val="10"/>
        <color rgb="FF1F3864"/>
        <rFont val="Noto Sans CJK SC"/>
        <family val="2"/>
      </rPr>
      <t xml:space="preserve">地区</t>
    </r>
    <r>
      <rPr>
        <b val="true"/>
        <sz val="10"/>
        <color rgb="FF1F3864"/>
        <rFont val="Arial"/>
        <family val="0"/>
        <charset val="1"/>
      </rPr>
      <t xml:space="preserve">/</t>
    </r>
    <r>
      <rPr>
        <b val="true"/>
        <sz val="10"/>
        <color rgb="FF1F3864"/>
        <rFont val="Noto Sans CJK SC"/>
        <family val="2"/>
      </rPr>
      <t xml:space="preserve">销售模式 — </t>
    </r>
    <r>
      <rPr>
        <b val="true"/>
        <sz val="10"/>
        <color rgb="FF1F3864"/>
        <rFont val="Arial"/>
        <family val="0"/>
        <charset val="1"/>
      </rPr>
      <t xml:space="preserve">FY2023</t>
    </r>
  </si>
  <si>
    <r>
      <rPr>
        <i val="true"/>
        <sz val="10"/>
        <color rgb="FF595959"/>
        <rFont val="Noto Sans CJK SC"/>
        <family val="2"/>
      </rPr>
      <t xml:space="preserve">单位：百万元（原表单位元；比例、单价、股数、人数等非金额行列保持原值；原单位说明：元（营业收入、营业成本）；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yoy</t>
    </r>
    <r>
      <rPr>
        <i val="true"/>
        <sz val="10"/>
        <color rgb="FF595959"/>
        <rFont val="Noto Sans CJK SC"/>
        <family val="2"/>
      </rPr>
      <t xml:space="preserve">）；</t>
    </r>
    <r>
      <rPr>
        <i val="true"/>
        <sz val="10"/>
        <color rgb="FF595959"/>
        <rFont val="Arial"/>
        <family val="0"/>
        <charset val="1"/>
      </rPr>
      <t xml:space="preserve">pp</t>
    </r>
    <r>
      <rPr>
        <i val="true"/>
        <sz val="10"/>
        <color rgb="FF595959"/>
        <rFont val="Noto Sans CJK SC"/>
        <family val="2"/>
      </rPr>
      <t xml:space="preserve">（毛利率</t>
    </r>
    <r>
      <rPr>
        <i val="true"/>
        <sz val="10"/>
        <color rgb="FF595959"/>
        <rFont val="Arial"/>
        <family val="0"/>
        <charset val="1"/>
      </rPr>
      <t xml:space="preserve">yoy_pp</t>
    </r>
    <r>
      <rPr>
        <i val="true"/>
        <sz val="10"/>
        <color rgb="FF595959"/>
        <rFont val="Noto Sans CJK SC"/>
        <family val="2"/>
      </rPr>
      <t xml:space="preserve">））；来源：</t>
    </r>
    <r>
      <rPr>
        <i val="true"/>
        <sz val="10"/>
        <color rgb="FF595959"/>
        <rFont val="Arial"/>
        <family val="0"/>
        <charset val="1"/>
      </rPr>
      <t xml:space="preserve">2023</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(PDF p13); pdfplumber-verified</t>
    </r>
  </si>
  <si>
    <r>
      <rPr>
        <b val="true"/>
        <sz val="10"/>
        <color rgb="FFFFFFFF"/>
        <rFont val="Noto Sans CJK SC"/>
        <family val="2"/>
      </rPr>
      <t xml:space="preserve">毛利率</t>
    </r>
    <r>
      <rPr>
        <b val="true"/>
        <sz val="10"/>
        <color rgb="FFFFFFFF"/>
        <rFont val="Arial"/>
        <family val="0"/>
        <charset val="1"/>
      </rPr>
      <t xml:space="preserve">_pct</t>
    </r>
  </si>
  <si>
    <r>
      <rPr>
        <b val="true"/>
        <sz val="10"/>
        <color rgb="FFFFFFFF"/>
        <rFont val="Noto Sans CJK SC"/>
        <family val="2"/>
      </rPr>
      <t xml:space="preserve">营业收入</t>
    </r>
    <r>
      <rPr>
        <b val="true"/>
        <sz val="10"/>
        <color rgb="FFFFFFFF"/>
        <rFont val="Arial"/>
        <family val="0"/>
        <charset val="1"/>
      </rPr>
      <t xml:space="preserve">yoy_pct</t>
    </r>
  </si>
  <si>
    <r>
      <rPr>
        <b val="true"/>
        <sz val="10"/>
        <color rgb="FFFFFFFF"/>
        <rFont val="Noto Sans CJK SC"/>
        <family val="2"/>
      </rPr>
      <t xml:space="preserve">营业成本</t>
    </r>
    <r>
      <rPr>
        <b val="true"/>
        <sz val="10"/>
        <color rgb="FFFFFFFF"/>
        <rFont val="Arial"/>
        <family val="0"/>
        <charset val="1"/>
      </rPr>
      <t xml:space="preserve">yoy_pct</t>
    </r>
  </si>
  <si>
    <r>
      <rPr>
        <b val="true"/>
        <sz val="10"/>
        <color rgb="FFFFFFFF"/>
        <rFont val="Noto Sans CJK SC"/>
        <family val="2"/>
      </rPr>
      <t xml:space="preserve">毛利率</t>
    </r>
    <r>
      <rPr>
        <b val="true"/>
        <sz val="10"/>
        <color rgb="FFFFFFFF"/>
        <rFont val="Arial"/>
        <family val="0"/>
        <charset val="1"/>
      </rPr>
      <t xml:space="preserve">yoy_pp</t>
    </r>
  </si>
  <si>
    <r>
      <rPr>
        <b val="true"/>
        <sz val="10"/>
        <color rgb="FF1F3864"/>
        <rFont val="Noto Sans CJK SC"/>
        <family val="2"/>
      </rPr>
      <t xml:space="preserve">占公司营业收入或营业利润</t>
    </r>
    <r>
      <rPr>
        <b val="true"/>
        <sz val="10"/>
        <color rgb="FF1F3864"/>
        <rFont val="Arial"/>
        <family val="0"/>
        <charset val="1"/>
      </rPr>
      <t xml:space="preserve">10%</t>
    </r>
    <r>
      <rPr>
        <b val="true"/>
        <sz val="10"/>
        <color rgb="FF1F3864"/>
        <rFont val="Noto Sans CJK SC"/>
        <family val="2"/>
      </rPr>
      <t xml:space="preserve">以上的行业</t>
    </r>
    <r>
      <rPr>
        <b val="true"/>
        <sz val="10"/>
        <color rgb="FF1F3864"/>
        <rFont val="Arial"/>
        <family val="0"/>
        <charset val="1"/>
      </rPr>
      <t xml:space="preserve">/</t>
    </r>
    <r>
      <rPr>
        <b val="true"/>
        <sz val="10"/>
        <color rgb="FF1F3864"/>
        <rFont val="Noto Sans CJK SC"/>
        <family val="2"/>
      </rPr>
      <t xml:space="preserve">产品 — </t>
    </r>
    <r>
      <rPr>
        <b val="true"/>
        <sz val="10"/>
        <color rgb="FF1F3864"/>
        <rFont val="Arial"/>
        <family val="0"/>
        <charset val="1"/>
      </rPr>
      <t xml:space="preserve">FY2024</t>
    </r>
  </si>
  <si>
    <r>
      <rPr>
        <i val="true"/>
        <sz val="10"/>
        <color rgb="FF595959"/>
        <rFont val="Noto Sans CJK SC"/>
        <family val="2"/>
      </rPr>
      <t xml:space="preserve">单位：百万元（原表单位元；比例、单价、股数、人数等非金额行列保持原值；原单位说明：元（营业收入、营业成本）；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yoy</t>
    </r>
    <r>
      <rPr>
        <i val="true"/>
        <sz val="10"/>
        <color rgb="FF595959"/>
        <rFont val="Noto Sans CJK SC"/>
        <family val="2"/>
      </rPr>
      <t xml:space="preserve">）；</t>
    </r>
    <r>
      <rPr>
        <i val="true"/>
        <sz val="10"/>
        <color rgb="FF595959"/>
        <rFont val="Arial"/>
        <family val="0"/>
        <charset val="1"/>
      </rPr>
      <t xml:space="preserve">pp</t>
    </r>
    <r>
      <rPr>
        <i val="true"/>
        <sz val="10"/>
        <color rgb="FF595959"/>
        <rFont val="Noto Sans CJK SC"/>
        <family val="2"/>
      </rPr>
      <t xml:space="preserve">（毛利率</t>
    </r>
    <r>
      <rPr>
        <i val="true"/>
        <sz val="10"/>
        <color rgb="FF595959"/>
        <rFont val="Arial"/>
        <family val="0"/>
        <charset val="1"/>
      </rPr>
      <t xml:space="preserve">yoy_pp</t>
    </r>
    <r>
      <rPr>
        <i val="true"/>
        <sz val="10"/>
        <color rgb="FF595959"/>
        <rFont val="Noto Sans CJK SC"/>
        <family val="2"/>
      </rPr>
      <t xml:space="preserve">））；来源：</t>
    </r>
    <r>
      <rPr>
        <i val="true"/>
        <sz val="10"/>
        <color rgb="FF595959"/>
        <rFont val="Arial"/>
        <family val="0"/>
        <charset val="1"/>
      </rPr>
      <t xml:space="preserve">2024</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(PDF p13); pdfplumber-verified</t>
    </r>
  </si>
  <si>
    <r>
      <rPr>
        <b val="true"/>
        <sz val="10"/>
        <color rgb="FF1F3864"/>
        <rFont val="Noto Sans CJK SC"/>
        <family val="2"/>
      </rPr>
      <t xml:space="preserve">占公司营业收入或营业利润</t>
    </r>
    <r>
      <rPr>
        <b val="true"/>
        <sz val="10"/>
        <color rgb="FF1F3864"/>
        <rFont val="Arial"/>
        <family val="0"/>
        <charset val="1"/>
      </rPr>
      <t xml:space="preserve">10%</t>
    </r>
    <r>
      <rPr>
        <b val="true"/>
        <sz val="10"/>
        <color rgb="FF1F3864"/>
        <rFont val="Noto Sans CJK SC"/>
        <family val="2"/>
      </rPr>
      <t xml:space="preserve">以上的行业</t>
    </r>
    <r>
      <rPr>
        <b val="true"/>
        <sz val="10"/>
        <color rgb="FF1F3864"/>
        <rFont val="Arial"/>
        <family val="0"/>
        <charset val="1"/>
      </rPr>
      <t xml:space="preserve">/</t>
    </r>
    <r>
      <rPr>
        <b val="true"/>
        <sz val="10"/>
        <color rgb="FF1F3864"/>
        <rFont val="Noto Sans CJK SC"/>
        <family val="2"/>
      </rPr>
      <t xml:space="preserve">产品 — </t>
    </r>
    <r>
      <rPr>
        <b val="true"/>
        <sz val="10"/>
        <color rgb="FF1F3864"/>
        <rFont val="Arial"/>
        <family val="0"/>
        <charset val="1"/>
      </rPr>
      <t xml:space="preserve">FY2025</t>
    </r>
  </si>
  <si>
    <r>
      <rPr>
        <i val="true"/>
        <sz val="10"/>
        <color rgb="FF595959"/>
        <rFont val="Noto Sans CJK SC"/>
        <family val="2"/>
      </rPr>
      <t xml:space="preserve">单位：百万元（原表单位元；比例、单价、股数、人数等非金额行列保持原值；原单位说明：元（营业收入、营业成本）；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yoy</t>
    </r>
    <r>
      <rPr>
        <i val="true"/>
        <sz val="10"/>
        <color rgb="FF595959"/>
        <rFont val="Noto Sans CJK SC"/>
        <family val="2"/>
      </rPr>
      <t xml:space="preserve">）；</t>
    </r>
    <r>
      <rPr>
        <i val="true"/>
        <sz val="10"/>
        <color rgb="FF595959"/>
        <rFont val="Arial"/>
        <family val="0"/>
        <charset val="1"/>
      </rPr>
      <t xml:space="preserve">pp</t>
    </r>
    <r>
      <rPr>
        <i val="true"/>
        <sz val="10"/>
        <color rgb="FF595959"/>
        <rFont val="Noto Sans CJK SC"/>
        <family val="2"/>
      </rPr>
      <t xml:space="preserve">（毛利率</t>
    </r>
    <r>
      <rPr>
        <i val="true"/>
        <sz val="10"/>
        <color rgb="FF595959"/>
        <rFont val="Arial"/>
        <family val="0"/>
        <charset val="1"/>
      </rPr>
      <t xml:space="preserve">yoy_pp</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(PDF p13); pdfplumber-verified</t>
    </r>
  </si>
  <si>
    <r>
      <rPr>
        <b val="true"/>
        <sz val="10"/>
        <color rgb="FF1F3864"/>
        <rFont val="Noto Sans CJK SC"/>
        <family val="2"/>
      </rPr>
      <t xml:space="preserve">占比</t>
    </r>
    <r>
      <rPr>
        <b val="true"/>
        <sz val="10"/>
        <color rgb="FF1F3864"/>
        <rFont val="Arial"/>
        <family val="0"/>
        <charset val="1"/>
      </rPr>
      <t xml:space="preserve">10%</t>
    </r>
    <r>
      <rPr>
        <b val="true"/>
        <sz val="10"/>
        <color rgb="FF1F3864"/>
        <rFont val="Noto Sans CJK SC"/>
        <family val="2"/>
      </rPr>
      <t xml:space="preserve">以上的产品或服务情况 — </t>
    </r>
    <r>
      <rPr>
        <b val="true"/>
        <sz val="10"/>
        <color rgb="FF1F3864"/>
        <rFont val="Arial"/>
        <family val="0"/>
        <charset val="1"/>
      </rPr>
      <t xml:space="preserve">2025H1</t>
    </r>
  </si>
  <si>
    <r>
      <rPr>
        <i val="true"/>
        <sz val="10"/>
        <color rgb="FF595959"/>
        <rFont val="Noto Sans CJK SC"/>
        <family val="2"/>
      </rPr>
      <t xml:space="preserve">单位：百万元（原表单位元；比例、单价、股数、人数等非金额行列保持原值；原单位说明：元（营业收入、营业成本）；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yoy</t>
    </r>
    <r>
      <rPr>
        <i val="true"/>
        <sz val="10"/>
        <color rgb="FF595959"/>
        <rFont val="Noto Sans CJK SC"/>
        <family val="2"/>
      </rPr>
      <t xml:space="preserve">）；</t>
    </r>
    <r>
      <rPr>
        <i val="true"/>
        <sz val="10"/>
        <color rgb="FF595959"/>
        <rFont val="Arial"/>
        <family val="0"/>
        <charset val="1"/>
      </rPr>
      <t xml:space="preserve">pp</t>
    </r>
    <r>
      <rPr>
        <i val="true"/>
        <sz val="10"/>
        <color rgb="FF595959"/>
        <rFont val="Noto Sans CJK SC"/>
        <family val="2"/>
      </rPr>
      <t xml:space="preserve">（毛利率</t>
    </r>
    <r>
      <rPr>
        <i val="true"/>
        <sz val="10"/>
        <color rgb="FF595959"/>
        <rFont val="Arial"/>
        <family val="0"/>
        <charset val="1"/>
      </rPr>
      <t xml:space="preserve">yoy_pp</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年半年度报告 第三节 三、主营业务分析 占比</t>
    </r>
    <r>
      <rPr>
        <i val="true"/>
        <sz val="10"/>
        <color rgb="FF595959"/>
        <rFont val="Arial"/>
        <family val="0"/>
        <charset val="1"/>
      </rPr>
      <t xml:space="preserve">10%</t>
    </r>
    <r>
      <rPr>
        <i val="true"/>
        <sz val="10"/>
        <color rgb="FF595959"/>
        <rFont val="Noto Sans CJK SC"/>
        <family val="2"/>
      </rPr>
      <t xml:space="preserve">以上的产品或服务情况 </t>
    </r>
    <r>
      <rPr>
        <i val="true"/>
        <sz val="10"/>
        <color rgb="FF595959"/>
        <rFont val="Arial"/>
        <family val="0"/>
        <charset val="1"/>
      </rPr>
      <t xml:space="preserve">(PDF p11); pdfplumber-verified</t>
    </r>
  </si>
  <si>
    <r>
      <rPr>
        <sz val="10"/>
        <color rgb="FF000000"/>
        <rFont val="Noto Sans CJK SC"/>
        <family val="2"/>
      </rPr>
      <t xml:space="preserve">分产品或服务</t>
    </r>
    <r>
      <rPr>
        <sz val="10"/>
        <color rgb="FF000000"/>
        <rFont val="Arial"/>
        <family val="0"/>
        <charset val="1"/>
      </rPr>
      <t xml:space="preserve">|</t>
    </r>
    <r>
      <rPr>
        <sz val="10"/>
        <color rgb="FF000000"/>
        <rFont val="Noto Sans CJK SC"/>
        <family val="2"/>
      </rPr>
      <t xml:space="preserve">电子、通信元件及材料</t>
    </r>
  </si>
  <si>
    <r>
      <rPr>
        <b val="true"/>
        <sz val="10"/>
        <color rgb="FF1F3864"/>
        <rFont val="Noto Sans CJK SC"/>
        <family val="2"/>
      </rPr>
      <t xml:space="preserve">占比</t>
    </r>
    <r>
      <rPr>
        <b val="true"/>
        <sz val="10"/>
        <color rgb="FF1F3864"/>
        <rFont val="Arial"/>
        <family val="0"/>
        <charset val="1"/>
      </rPr>
      <t xml:space="preserve">10%</t>
    </r>
    <r>
      <rPr>
        <b val="true"/>
        <sz val="10"/>
        <color rgb="FF1F3864"/>
        <rFont val="Noto Sans CJK SC"/>
        <family val="2"/>
      </rPr>
      <t xml:space="preserve">以上的产品或服务情况 — </t>
    </r>
    <r>
      <rPr>
        <b val="true"/>
        <sz val="10"/>
        <color rgb="FF1F3864"/>
        <rFont val="Arial"/>
        <family val="0"/>
        <charset val="1"/>
      </rPr>
      <t xml:space="preserve">2026H1</t>
    </r>
  </si>
  <si>
    <r>
      <rPr>
        <i val="true"/>
        <sz val="10"/>
        <color rgb="FF595959"/>
        <rFont val="Noto Sans CJK SC"/>
        <family val="2"/>
      </rPr>
      <t xml:space="preserve">单位：百万元（原表单位元；比例、单价、股数、人数等非金额行列保持原值；原单位说明：元（营业收入、营业成本）；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yoy</t>
    </r>
    <r>
      <rPr>
        <i val="true"/>
        <sz val="10"/>
        <color rgb="FF595959"/>
        <rFont val="Noto Sans CJK SC"/>
        <family val="2"/>
      </rPr>
      <t xml:space="preserve">）；</t>
    </r>
    <r>
      <rPr>
        <i val="true"/>
        <sz val="10"/>
        <color rgb="FF595959"/>
        <rFont val="Arial"/>
        <family val="0"/>
        <charset val="1"/>
      </rPr>
      <t xml:space="preserve">pp</t>
    </r>
    <r>
      <rPr>
        <i val="true"/>
        <sz val="10"/>
        <color rgb="FF595959"/>
        <rFont val="Noto Sans CJK SC"/>
        <family val="2"/>
      </rPr>
      <t xml:space="preserve">（毛利率</t>
    </r>
    <r>
      <rPr>
        <i val="true"/>
        <sz val="10"/>
        <color rgb="FF595959"/>
        <rFont val="Arial"/>
        <family val="0"/>
        <charset val="1"/>
      </rPr>
      <t xml:space="preserve">yoy_pp</t>
    </r>
    <r>
      <rPr>
        <i val="true"/>
        <sz val="10"/>
        <color rgb="FF595959"/>
        <rFont val="Noto Sans CJK SC"/>
        <family val="2"/>
      </rPr>
      <t xml:space="preserve">））；来源：</t>
    </r>
    <r>
      <rPr>
        <i val="true"/>
        <sz val="10"/>
        <color rgb="FF595959"/>
        <rFont val="Arial"/>
        <family val="0"/>
        <charset val="1"/>
      </rPr>
      <t xml:space="preserve">2026</t>
    </r>
    <r>
      <rPr>
        <i val="true"/>
        <sz val="10"/>
        <color rgb="FF595959"/>
        <rFont val="Noto Sans CJK SC"/>
        <family val="2"/>
      </rPr>
      <t xml:space="preserve">年半年度报告 第三节 三、主营业务分析 占比</t>
    </r>
    <r>
      <rPr>
        <i val="true"/>
        <sz val="10"/>
        <color rgb="FF595959"/>
        <rFont val="Arial"/>
        <family val="0"/>
        <charset val="1"/>
      </rPr>
      <t xml:space="preserve">10%</t>
    </r>
    <r>
      <rPr>
        <i val="true"/>
        <sz val="10"/>
        <color rgb="FF595959"/>
        <rFont val="Noto Sans CJK SC"/>
        <family val="2"/>
      </rPr>
      <t xml:space="preserve">以上的产品或服务情况 </t>
    </r>
    <r>
      <rPr>
        <i val="true"/>
        <sz val="10"/>
        <color rgb="FF595959"/>
        <rFont val="Arial"/>
        <family val="0"/>
        <charset val="1"/>
      </rPr>
      <t xml:space="preserve">(PDF p11); pdfplumber-verified</t>
    </r>
  </si>
  <si>
    <r>
      <rPr>
        <b val="true"/>
        <sz val="10"/>
        <color rgb="FF1F3864"/>
        <rFont val="Noto Sans CJK SC"/>
        <family val="2"/>
      </rPr>
      <t xml:space="preserve">营业收入和营业成本（主营业务</t>
    </r>
    <r>
      <rPr>
        <b val="true"/>
        <sz val="10"/>
        <color rgb="FF1F3864"/>
        <rFont val="Arial"/>
        <family val="0"/>
        <charset val="1"/>
      </rPr>
      <t xml:space="preserve">/</t>
    </r>
    <r>
      <rPr>
        <b val="true"/>
        <sz val="10"/>
        <color rgb="FF1F3864"/>
        <rFont val="Noto Sans CJK SC"/>
        <family val="2"/>
      </rPr>
      <t xml:space="preserve">其他业务）— 合并报表附注</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</si>
  <si>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FY2022-FY2023: 2023</t>
    </r>
    <r>
      <rPr>
        <i val="true"/>
        <sz val="10"/>
        <color rgb="FF595959"/>
        <rFont val="Noto Sans CJK SC"/>
        <family val="2"/>
      </rPr>
      <t xml:space="preserve">年年度报告 第十节 七、</t>
    </r>
    <r>
      <rPr>
        <i val="true"/>
        <sz val="10"/>
        <color rgb="FF595959"/>
        <rFont val="Arial"/>
        <family val="0"/>
        <charset val="1"/>
      </rPr>
      <t xml:space="preserve">39 (PDF p141); FY2024: 2024</t>
    </r>
    <r>
      <rPr>
        <i val="true"/>
        <sz val="10"/>
        <color rgb="FF595959"/>
        <rFont val="Noto Sans CJK SC"/>
        <family val="2"/>
      </rPr>
      <t xml:space="preserve">年年度报告 七、</t>
    </r>
    <r>
      <rPr>
        <i val="true"/>
        <sz val="10"/>
        <color rgb="FF595959"/>
        <rFont val="Arial"/>
        <family val="0"/>
        <charset val="1"/>
      </rPr>
      <t xml:space="preserve">38 (PDF p156); FY2025: 2025</t>
    </r>
    <r>
      <rPr>
        <i val="true"/>
        <sz val="10"/>
        <color rgb="FF595959"/>
        <rFont val="Noto Sans CJK SC"/>
        <family val="2"/>
      </rPr>
      <t xml:space="preserve">年年度报告 七、</t>
    </r>
    <r>
      <rPr>
        <i val="true"/>
        <sz val="10"/>
        <color rgb="FF595959"/>
        <rFont val="Arial"/>
        <family val="0"/>
        <charset val="1"/>
      </rPr>
      <t xml:space="preserve">41 (PDF p134); 2024H1/2025H1: 2025</t>
    </r>
    <r>
      <rPr>
        <i val="true"/>
        <sz val="10"/>
        <color rgb="FF595959"/>
        <rFont val="Noto Sans CJK SC"/>
        <family val="2"/>
      </rPr>
      <t xml:space="preserve">年半年度报告 七、</t>
    </r>
    <r>
      <rPr>
        <i val="true"/>
        <sz val="10"/>
        <color rgb="FF595959"/>
        <rFont val="Arial"/>
        <family val="0"/>
        <charset val="1"/>
      </rPr>
      <t xml:space="preserve">40 (PDF p99); 2026H1: 2026</t>
    </r>
    <r>
      <rPr>
        <i val="true"/>
        <sz val="10"/>
        <color rgb="FF595959"/>
        <rFont val="Noto Sans CJK SC"/>
        <family val="2"/>
      </rPr>
      <t xml:space="preserve">年半年度报告 七、</t>
    </r>
    <r>
      <rPr>
        <i val="true"/>
        <sz val="10"/>
        <color rgb="FF595959"/>
        <rFont val="Arial"/>
        <family val="0"/>
        <charset val="1"/>
      </rPr>
      <t xml:space="preserve">39 (PDF p97)</t>
    </r>
  </si>
  <si>
    <t xml:space="preserve">主营业务收入</t>
  </si>
  <si>
    <t xml:space="preserve">主营业务成本</t>
  </si>
  <si>
    <t xml:space="preserve">其他业务成本</t>
  </si>
  <si>
    <t xml:space="preserve">产销量（工业，合计口径）</t>
  </si>
  <si>
    <r>
      <rPr>
        <i val="true"/>
        <sz val="10"/>
        <color rgb="FF595959"/>
        <rFont val="Noto Sans CJK SC"/>
        <family val="2"/>
      </rPr>
      <t xml:space="preserve">单位：万只</t>
    </r>
    <r>
      <rPr>
        <i val="true"/>
        <sz val="10"/>
        <color rgb="FF595959"/>
        <rFont val="Arial"/>
        <family val="0"/>
        <charset val="1"/>
      </rPr>
      <t xml:space="preserve">/</t>
    </r>
    <r>
      <rPr>
        <i val="true"/>
        <sz val="10"/>
        <color rgb="FF595959"/>
        <rFont val="Noto Sans CJK SC"/>
        <family val="2"/>
      </rPr>
      <t xml:space="preserve">万片（量）；</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yoy</t>
    </r>
    <r>
      <rPr>
        <i val="true"/>
        <sz val="10"/>
        <color rgb="FF595959"/>
        <rFont val="Noto Sans CJK SC"/>
        <family val="2"/>
      </rPr>
      <t xml:space="preserve">）；来源：</t>
    </r>
    <r>
      <rPr>
        <i val="true"/>
        <sz val="10"/>
        <color rgb="FF595959"/>
        <rFont val="Arial"/>
        <family val="0"/>
        <charset val="1"/>
      </rPr>
      <t xml:space="preserve">2023/2024/2025</t>
    </r>
    <r>
      <rPr>
        <i val="true"/>
        <sz val="10"/>
        <color rgb="FF595959"/>
        <rFont val="Noto Sans CJK SC"/>
        <family val="2"/>
      </rPr>
      <t xml:space="preserve">年年度报告 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3</t>
    </r>
    <r>
      <rPr>
        <i val="true"/>
        <sz val="10"/>
        <color rgb="FF595959"/>
        <rFont val="Noto Sans CJK SC"/>
        <family val="2"/>
      </rPr>
      <t xml:space="preserve">）公司实物销售收入是否大于劳务收入 </t>
    </r>
    <r>
      <rPr>
        <i val="true"/>
        <sz val="10"/>
        <color rgb="FF595959"/>
        <rFont val="Arial"/>
        <family val="0"/>
        <charset val="1"/>
      </rPr>
      <t xml:space="preserve">(PDF p14/p13/p13; pdfplumber-verified)</t>
    </r>
  </si>
  <si>
    <r>
      <rPr>
        <sz val="10"/>
        <color rgb="FF000000"/>
        <rFont val="Noto Sans CJK SC"/>
        <family val="2"/>
      </rPr>
      <t xml:space="preserve">销售量</t>
    </r>
    <r>
      <rPr>
        <sz val="10"/>
        <color rgb="FF000000"/>
        <rFont val="Arial"/>
        <family val="0"/>
        <charset val="1"/>
      </rPr>
      <t xml:space="preserve">_yoy_pct</t>
    </r>
  </si>
  <si>
    <r>
      <rPr>
        <sz val="10"/>
        <color rgb="FF000000"/>
        <rFont val="Noto Sans CJK SC"/>
        <family val="2"/>
      </rPr>
      <t xml:space="preserve">生产量</t>
    </r>
    <r>
      <rPr>
        <sz val="10"/>
        <color rgb="FF000000"/>
        <rFont val="Arial"/>
        <family val="0"/>
        <charset val="1"/>
      </rPr>
      <t xml:space="preserve">_yoy_pct</t>
    </r>
  </si>
  <si>
    <r>
      <rPr>
        <sz val="10"/>
        <color rgb="FF000000"/>
        <rFont val="Noto Sans CJK SC"/>
        <family val="2"/>
      </rPr>
      <t xml:space="preserve">库存量</t>
    </r>
    <r>
      <rPr>
        <sz val="10"/>
        <color rgb="FF000000"/>
        <rFont val="Arial"/>
        <family val="0"/>
        <charset val="1"/>
      </rPr>
      <t xml:space="preserve">_yoy_pct</t>
    </r>
  </si>
  <si>
    <t xml:space="preserve">营业成本构成（行业分类：工业）</t>
  </si>
  <si>
    <r>
      <rPr>
        <i val="true"/>
        <sz val="10"/>
        <color rgb="FF595959"/>
        <rFont val="Noto Sans CJK SC"/>
        <family val="2"/>
      </rPr>
      <t xml:space="preserve">单位：百万元（原表单位元；比例、单价、股数、人数等非金额行列保持原值；原单位说明：元（金额）；</t>
    </r>
    <r>
      <rPr>
        <i val="true"/>
        <sz val="10"/>
        <color rgb="FF595959"/>
        <rFont val="Arial"/>
        <family val="0"/>
        <charset val="1"/>
      </rPr>
      <t xml:space="preserve">%</t>
    </r>
    <r>
      <rPr>
        <i val="true"/>
        <sz val="10"/>
        <color rgb="FF595959"/>
        <rFont val="Noto Sans CJK SC"/>
        <family val="2"/>
      </rPr>
      <t xml:space="preserve">（比重）；</t>
    </r>
    <r>
      <rPr>
        <i val="true"/>
        <sz val="10"/>
        <color rgb="FF595959"/>
        <rFont val="Arial"/>
        <family val="0"/>
        <charset val="1"/>
      </rPr>
      <t xml:space="preserve">pp</t>
    </r>
    <r>
      <rPr>
        <i val="true"/>
        <sz val="10"/>
        <color rgb="FF595959"/>
        <rFont val="Noto Sans CJK SC"/>
        <family val="2"/>
      </rPr>
      <t xml:space="preserve">（比重同比增减））；来源：</t>
    </r>
    <r>
      <rPr>
        <i val="true"/>
        <sz val="10"/>
        <color rgb="FF595959"/>
        <rFont val="Arial"/>
        <family val="0"/>
        <charset val="1"/>
      </rPr>
      <t xml:space="preserve">2023</t>
    </r>
    <r>
      <rPr>
        <i val="true"/>
        <sz val="10"/>
        <color rgb="FF595959"/>
        <rFont val="Noto Sans CJK SC"/>
        <family val="2"/>
      </rPr>
      <t xml:space="preserve">年报 </t>
    </r>
    <r>
      <rPr>
        <i val="true"/>
        <sz val="10"/>
        <color rgb="FF595959"/>
        <rFont val="Arial"/>
        <family val="0"/>
        <charset val="1"/>
      </rPr>
      <t xml:space="preserve">p14 / 2024</t>
    </r>
    <r>
      <rPr>
        <i val="true"/>
        <sz val="10"/>
        <color rgb="FF595959"/>
        <rFont val="Noto Sans CJK SC"/>
        <family val="2"/>
      </rPr>
      <t xml:space="preserve">年报 </t>
    </r>
    <r>
      <rPr>
        <i val="true"/>
        <sz val="10"/>
        <color rgb="FF595959"/>
        <rFont val="Arial"/>
        <family val="0"/>
        <charset val="1"/>
      </rPr>
      <t xml:space="preserve">p14 / 2025</t>
    </r>
    <r>
      <rPr>
        <i val="true"/>
        <sz val="10"/>
        <color rgb="FF595959"/>
        <rFont val="Noto Sans CJK SC"/>
        <family val="2"/>
      </rPr>
      <t xml:space="preserve">年报 </t>
    </r>
    <r>
      <rPr>
        <i val="true"/>
        <sz val="10"/>
        <color rgb="FF595959"/>
        <rFont val="Arial"/>
        <family val="0"/>
        <charset val="1"/>
      </rPr>
      <t xml:space="preserve">p13, </t>
    </r>
    <r>
      <rPr>
        <i val="true"/>
        <sz val="10"/>
        <color rgb="FF595959"/>
        <rFont val="Noto Sans CJK SC"/>
        <family val="2"/>
      </rPr>
      <t xml:space="preserve">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5</t>
    </r>
    <r>
      <rPr>
        <i val="true"/>
        <sz val="10"/>
        <color rgb="FF595959"/>
        <rFont val="Noto Sans CJK SC"/>
        <family val="2"/>
      </rPr>
      <t xml:space="preserve">）营业成本构成 </t>
    </r>
    <r>
      <rPr>
        <i val="true"/>
        <sz val="10"/>
        <color rgb="FF595959"/>
        <rFont val="Arial"/>
        <family val="0"/>
        <charset val="1"/>
      </rPr>
      <t xml:space="preserve">(pdfplumber-verified). Only </t>
    </r>
    <r>
      <rPr>
        <i val="true"/>
        <sz val="10"/>
        <color rgb="FF595959"/>
        <rFont val="Noto Sans CJK SC"/>
        <family val="2"/>
      </rPr>
      <t xml:space="preserve">行业分类 </t>
    </r>
    <r>
      <rPr>
        <i val="true"/>
        <sz val="10"/>
        <color rgb="FF595959"/>
        <rFont val="Arial"/>
        <family val="0"/>
        <charset val="1"/>
      </rPr>
      <t xml:space="preserve">table disclosed; no </t>
    </r>
    <r>
      <rPr>
        <i val="true"/>
        <sz val="10"/>
        <color rgb="FF595959"/>
        <rFont val="Noto Sans CJK SC"/>
        <family val="2"/>
      </rPr>
      <t xml:space="preserve">产品分类 </t>
    </r>
    <r>
      <rPr>
        <i val="true"/>
        <sz val="10"/>
        <color rgb="FF595959"/>
        <rFont val="Arial"/>
        <family val="0"/>
        <charset val="1"/>
      </rPr>
      <t xml:space="preserve">table.</t>
    </r>
  </si>
  <si>
    <r>
      <rPr>
        <sz val="10"/>
        <color rgb="FF000000"/>
        <rFont val="Noto Sans CJK SC"/>
        <family val="2"/>
      </rPr>
      <t xml:space="preserve">工业</t>
    </r>
    <r>
      <rPr>
        <sz val="10"/>
        <color rgb="FF000000"/>
        <rFont val="Arial"/>
        <family val="0"/>
        <charset val="1"/>
      </rPr>
      <t xml:space="preserve">|</t>
    </r>
    <r>
      <rPr>
        <sz val="10"/>
        <color rgb="FF000000"/>
        <rFont val="Noto Sans CJK SC"/>
        <family val="2"/>
      </rPr>
      <t xml:space="preserve">原材料</t>
    </r>
  </si>
  <si>
    <r>
      <rPr>
        <sz val="10"/>
        <color rgb="FF000000"/>
        <rFont val="Noto Sans CJK SC"/>
        <family val="2"/>
      </rPr>
      <t xml:space="preserve">工业</t>
    </r>
    <r>
      <rPr>
        <sz val="10"/>
        <color rgb="FF000000"/>
        <rFont val="Arial"/>
        <family val="0"/>
        <charset val="1"/>
      </rPr>
      <t xml:space="preserve">|</t>
    </r>
    <r>
      <rPr>
        <sz val="10"/>
        <color rgb="FF000000"/>
        <rFont val="Noto Sans CJK SC"/>
        <family val="2"/>
      </rPr>
      <t xml:space="preserve">人工费用</t>
    </r>
  </si>
  <si>
    <r>
      <rPr>
        <sz val="10"/>
        <color rgb="FF000000"/>
        <rFont val="Noto Sans CJK SC"/>
        <family val="2"/>
      </rPr>
      <t xml:space="preserve">工业</t>
    </r>
    <r>
      <rPr>
        <sz val="10"/>
        <color rgb="FF000000"/>
        <rFont val="Arial"/>
        <family val="0"/>
        <charset val="1"/>
      </rPr>
      <t xml:space="preserve">|</t>
    </r>
    <r>
      <rPr>
        <sz val="10"/>
        <color rgb="FF000000"/>
        <rFont val="Noto Sans CJK SC"/>
        <family val="2"/>
      </rPr>
      <t xml:space="preserve">制造费用</t>
    </r>
  </si>
  <si>
    <r>
      <rPr>
        <sz val="10"/>
        <color rgb="FF000000"/>
        <rFont val="Noto Sans CJK SC"/>
        <family val="2"/>
      </rPr>
      <t xml:space="preserve">原材料</t>
    </r>
    <r>
      <rPr>
        <sz val="10"/>
        <color rgb="FF000000"/>
        <rFont val="Arial"/>
        <family val="0"/>
        <charset val="1"/>
      </rPr>
      <t xml:space="preserve">_</t>
    </r>
    <r>
      <rPr>
        <sz val="10"/>
        <color rgb="FF000000"/>
        <rFont val="Noto Sans CJK SC"/>
        <family val="2"/>
      </rPr>
      <t xml:space="preserve">占营业成本比重</t>
    </r>
    <r>
      <rPr>
        <sz val="10"/>
        <color rgb="FF000000"/>
        <rFont val="Arial"/>
        <family val="0"/>
        <charset val="1"/>
      </rPr>
      <t xml:space="preserve">_pct</t>
    </r>
  </si>
  <si>
    <r>
      <rPr>
        <sz val="10"/>
        <color rgb="FF000000"/>
        <rFont val="Noto Sans CJK SC"/>
        <family val="2"/>
      </rPr>
      <t xml:space="preserve">人工费用</t>
    </r>
    <r>
      <rPr>
        <sz val="10"/>
        <color rgb="FF000000"/>
        <rFont val="Arial"/>
        <family val="0"/>
        <charset val="1"/>
      </rPr>
      <t xml:space="preserve">_</t>
    </r>
    <r>
      <rPr>
        <sz val="10"/>
        <color rgb="FF000000"/>
        <rFont val="Noto Sans CJK SC"/>
        <family val="2"/>
      </rPr>
      <t xml:space="preserve">占营业成本比重</t>
    </r>
    <r>
      <rPr>
        <sz val="10"/>
        <color rgb="FF000000"/>
        <rFont val="Arial"/>
        <family val="0"/>
        <charset val="1"/>
      </rPr>
      <t xml:space="preserve">_pct</t>
    </r>
  </si>
  <si>
    <r>
      <rPr>
        <sz val="10"/>
        <color rgb="FF000000"/>
        <rFont val="Noto Sans CJK SC"/>
        <family val="2"/>
      </rPr>
      <t xml:space="preserve">制造费用</t>
    </r>
    <r>
      <rPr>
        <sz val="10"/>
        <color rgb="FF000000"/>
        <rFont val="Arial"/>
        <family val="0"/>
        <charset val="1"/>
      </rPr>
      <t xml:space="preserve">_</t>
    </r>
    <r>
      <rPr>
        <sz val="10"/>
        <color rgb="FF000000"/>
        <rFont val="Noto Sans CJK SC"/>
        <family val="2"/>
      </rPr>
      <t xml:space="preserve">占营业成本比重</t>
    </r>
    <r>
      <rPr>
        <sz val="10"/>
        <color rgb="FF000000"/>
        <rFont val="Arial"/>
        <family val="0"/>
        <charset val="1"/>
      </rPr>
      <t xml:space="preserve">_pct</t>
    </r>
  </si>
  <si>
    <r>
      <rPr>
        <sz val="10"/>
        <color rgb="FF000000"/>
        <rFont val="Noto Sans CJK SC"/>
        <family val="2"/>
      </rPr>
      <t xml:space="preserve">原材料</t>
    </r>
    <r>
      <rPr>
        <sz val="10"/>
        <color rgb="FF000000"/>
        <rFont val="Arial"/>
        <family val="0"/>
        <charset val="1"/>
      </rPr>
      <t xml:space="preserve">_</t>
    </r>
    <r>
      <rPr>
        <sz val="10"/>
        <color rgb="FF000000"/>
        <rFont val="Noto Sans CJK SC"/>
        <family val="2"/>
      </rPr>
      <t xml:space="preserve">比重同比增减</t>
    </r>
    <r>
      <rPr>
        <sz val="10"/>
        <color rgb="FF000000"/>
        <rFont val="Arial"/>
        <family val="0"/>
        <charset val="1"/>
      </rPr>
      <t xml:space="preserve">_pp</t>
    </r>
  </si>
  <si>
    <r>
      <rPr>
        <sz val="10"/>
        <color rgb="FF000000"/>
        <rFont val="Noto Sans CJK SC"/>
        <family val="2"/>
      </rPr>
      <t xml:space="preserve">人工费用</t>
    </r>
    <r>
      <rPr>
        <sz val="10"/>
        <color rgb="FF000000"/>
        <rFont val="Arial"/>
        <family val="0"/>
        <charset val="1"/>
      </rPr>
      <t xml:space="preserve">_</t>
    </r>
    <r>
      <rPr>
        <sz val="10"/>
        <color rgb="FF000000"/>
        <rFont val="Noto Sans CJK SC"/>
        <family val="2"/>
      </rPr>
      <t xml:space="preserve">比重同比增减</t>
    </r>
    <r>
      <rPr>
        <sz val="10"/>
        <color rgb="FF000000"/>
        <rFont val="Arial"/>
        <family val="0"/>
        <charset val="1"/>
      </rPr>
      <t xml:space="preserve">_pp</t>
    </r>
  </si>
  <si>
    <r>
      <rPr>
        <sz val="10"/>
        <color rgb="FF000000"/>
        <rFont val="Noto Sans CJK SC"/>
        <family val="2"/>
      </rPr>
      <t xml:space="preserve">制造费用</t>
    </r>
    <r>
      <rPr>
        <sz val="10"/>
        <color rgb="FF000000"/>
        <rFont val="Arial"/>
        <family val="0"/>
        <charset val="1"/>
      </rPr>
      <t xml:space="preserve">_</t>
    </r>
    <r>
      <rPr>
        <sz val="10"/>
        <color rgb="FF000000"/>
        <rFont val="Noto Sans CJK SC"/>
        <family val="2"/>
      </rPr>
      <t xml:space="preserve">比重同比增减</t>
    </r>
    <r>
      <rPr>
        <sz val="10"/>
        <color rgb="FF000000"/>
        <rFont val="Arial"/>
        <family val="0"/>
        <charset val="1"/>
      </rPr>
      <t xml:space="preserve">_pp</t>
    </r>
  </si>
  <si>
    <t xml:space="preserve">前五名客户销售额及占年度销售总额比例</t>
  </si>
  <si>
    <r>
      <rPr>
        <i val="true"/>
        <sz val="10"/>
        <color rgb="FF595959"/>
        <rFont val="Noto Sans CJK SC"/>
        <family val="2"/>
      </rPr>
      <t xml:space="preserve">单位：百万元（原表单位元；比例、单价、股数、人数等非金额行列保持原值；原单位说明：元（金额）；</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））；来源：</t>
    </r>
    <r>
      <rPr>
        <i val="true"/>
        <sz val="10"/>
        <color rgb="FF595959"/>
        <rFont val="Arial"/>
        <family val="0"/>
        <charset val="1"/>
      </rPr>
      <t xml:space="preserve">2023</t>
    </r>
    <r>
      <rPr>
        <i val="true"/>
        <sz val="10"/>
        <color rgb="FF595959"/>
        <rFont val="Noto Sans CJK SC"/>
        <family val="2"/>
      </rPr>
      <t xml:space="preserve">年报 </t>
    </r>
    <r>
      <rPr>
        <i val="true"/>
        <sz val="10"/>
        <color rgb="FF595959"/>
        <rFont val="Arial"/>
        <family val="0"/>
        <charset val="1"/>
      </rPr>
      <t xml:space="preserve">p15 / 2024</t>
    </r>
    <r>
      <rPr>
        <i val="true"/>
        <sz val="10"/>
        <color rgb="FF595959"/>
        <rFont val="Noto Sans CJK SC"/>
        <family val="2"/>
      </rPr>
      <t xml:space="preserve">年报 </t>
    </r>
    <r>
      <rPr>
        <i val="true"/>
        <sz val="10"/>
        <color rgb="FF595959"/>
        <rFont val="Arial"/>
        <family val="0"/>
        <charset val="1"/>
      </rPr>
      <t xml:space="preserve">p14 / 2025</t>
    </r>
    <r>
      <rPr>
        <i val="true"/>
        <sz val="10"/>
        <color rgb="FF595959"/>
        <rFont val="Noto Sans CJK SC"/>
        <family val="2"/>
      </rPr>
      <t xml:space="preserve">年报 </t>
    </r>
    <r>
      <rPr>
        <i val="true"/>
        <sz val="10"/>
        <color rgb="FF595959"/>
        <rFont val="Arial"/>
        <family val="0"/>
        <charset val="1"/>
      </rPr>
      <t xml:space="preserve">p14, </t>
    </r>
    <r>
      <rPr>
        <i val="true"/>
        <sz val="10"/>
        <color rgb="FF595959"/>
        <rFont val="Noto Sans CJK SC"/>
        <family val="2"/>
      </rPr>
      <t xml:space="preserve">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8</t>
    </r>
    <r>
      <rPr>
        <i val="true"/>
        <sz val="10"/>
        <color rgb="FF595959"/>
        <rFont val="Noto Sans CJK SC"/>
        <family val="2"/>
      </rPr>
      <t xml:space="preserve">）主要销售客户 </t>
    </r>
    <r>
      <rPr>
        <i val="true"/>
        <sz val="10"/>
        <color rgb="FF595959"/>
        <rFont val="Arial"/>
        <family val="0"/>
        <charset val="1"/>
      </rPr>
      <t xml:space="preserve">(pdfplumber-verified). Names anonymised (</t>
    </r>
    <r>
      <rPr>
        <i val="true"/>
        <sz val="10"/>
        <color rgb="FF595959"/>
        <rFont val="Noto Sans CJK SC"/>
        <family val="2"/>
      </rPr>
      <t xml:space="preserve">客户</t>
    </r>
    <r>
      <rPr>
        <i val="true"/>
        <sz val="10"/>
        <color rgb="FF595959"/>
        <rFont val="Arial"/>
        <family val="0"/>
        <charset val="1"/>
      </rPr>
      <t xml:space="preserve">1-5; rank order per year, not same customer across years)</t>
    </r>
  </si>
  <si>
    <r>
      <rPr>
        <sz val="10"/>
        <color rgb="FF000000"/>
        <rFont val="Noto Sans CJK SC"/>
        <family val="2"/>
      </rPr>
      <t xml:space="preserve">客户</t>
    </r>
    <r>
      <rPr>
        <sz val="10"/>
        <color rgb="FF000000"/>
        <rFont val="Arial"/>
        <family val="0"/>
        <charset val="1"/>
      </rPr>
      <t xml:space="preserve">1</t>
    </r>
  </si>
  <si>
    <r>
      <rPr>
        <sz val="10"/>
        <color rgb="FF000000"/>
        <rFont val="Noto Sans CJK SC"/>
        <family val="2"/>
      </rPr>
      <t xml:space="preserve">客户</t>
    </r>
    <r>
      <rPr>
        <sz val="10"/>
        <color rgb="FF000000"/>
        <rFont val="Arial"/>
        <family val="0"/>
        <charset val="1"/>
      </rPr>
      <t xml:space="preserve">2</t>
    </r>
  </si>
  <si>
    <r>
      <rPr>
        <sz val="10"/>
        <color rgb="FF000000"/>
        <rFont val="Noto Sans CJK SC"/>
        <family val="2"/>
      </rPr>
      <t xml:space="preserve">客户</t>
    </r>
    <r>
      <rPr>
        <sz val="10"/>
        <color rgb="FF000000"/>
        <rFont val="Arial"/>
        <family val="0"/>
        <charset val="1"/>
      </rPr>
      <t xml:space="preserve">3</t>
    </r>
  </si>
  <si>
    <r>
      <rPr>
        <sz val="10"/>
        <color rgb="FF000000"/>
        <rFont val="Noto Sans CJK SC"/>
        <family val="2"/>
      </rPr>
      <t xml:space="preserve">客户</t>
    </r>
    <r>
      <rPr>
        <sz val="10"/>
        <color rgb="FF000000"/>
        <rFont val="Arial"/>
        <family val="0"/>
        <charset val="1"/>
      </rPr>
      <t xml:space="preserve">4</t>
    </r>
  </si>
  <si>
    <r>
      <rPr>
        <sz val="10"/>
        <color rgb="FF000000"/>
        <rFont val="Noto Sans CJK SC"/>
        <family val="2"/>
      </rPr>
      <t xml:space="preserve">客户</t>
    </r>
    <r>
      <rPr>
        <sz val="10"/>
        <color rgb="FF000000"/>
        <rFont val="Arial"/>
        <family val="0"/>
        <charset val="1"/>
      </rPr>
      <t xml:space="preserve">5</t>
    </r>
  </si>
  <si>
    <r>
      <rPr>
        <sz val="10"/>
        <color rgb="FF000000"/>
        <rFont val="Noto Sans CJK SC"/>
        <family val="2"/>
      </rPr>
      <t xml:space="preserve">客户</t>
    </r>
    <r>
      <rPr>
        <sz val="10"/>
        <color rgb="FF000000"/>
        <rFont val="Arial"/>
        <family val="0"/>
        <charset val="1"/>
      </rPr>
      <t xml:space="preserve">1_pct</t>
    </r>
  </si>
  <si>
    <r>
      <rPr>
        <sz val="10"/>
        <color rgb="FF000000"/>
        <rFont val="Noto Sans CJK SC"/>
        <family val="2"/>
      </rPr>
      <t xml:space="preserve">客户</t>
    </r>
    <r>
      <rPr>
        <sz val="10"/>
        <color rgb="FF000000"/>
        <rFont val="Arial"/>
        <family val="0"/>
        <charset val="1"/>
      </rPr>
      <t xml:space="preserve">2_pct</t>
    </r>
  </si>
  <si>
    <r>
      <rPr>
        <sz val="10"/>
        <color rgb="FF000000"/>
        <rFont val="Noto Sans CJK SC"/>
        <family val="2"/>
      </rPr>
      <t xml:space="preserve">客户</t>
    </r>
    <r>
      <rPr>
        <sz val="10"/>
        <color rgb="FF000000"/>
        <rFont val="Arial"/>
        <family val="0"/>
        <charset val="1"/>
      </rPr>
      <t xml:space="preserve">3_pct</t>
    </r>
  </si>
  <si>
    <r>
      <rPr>
        <sz val="10"/>
        <color rgb="FF000000"/>
        <rFont val="Noto Sans CJK SC"/>
        <family val="2"/>
      </rPr>
      <t xml:space="preserve">客户</t>
    </r>
    <r>
      <rPr>
        <sz val="10"/>
        <color rgb="FF000000"/>
        <rFont val="Arial"/>
        <family val="0"/>
        <charset val="1"/>
      </rPr>
      <t xml:space="preserve">4_pct</t>
    </r>
  </si>
  <si>
    <r>
      <rPr>
        <sz val="10"/>
        <color rgb="FF000000"/>
        <rFont val="Noto Sans CJK SC"/>
        <family val="2"/>
      </rPr>
      <t xml:space="preserve">客户</t>
    </r>
    <r>
      <rPr>
        <sz val="10"/>
        <color rgb="FF000000"/>
        <rFont val="Arial"/>
        <family val="0"/>
        <charset val="1"/>
      </rPr>
      <t xml:space="preserve">5_pct</t>
    </r>
  </si>
  <si>
    <r>
      <rPr>
        <sz val="10"/>
        <color rgb="FF000000"/>
        <rFont val="Noto Sans CJK SC"/>
        <family val="2"/>
      </rPr>
      <t xml:space="preserve">合计</t>
    </r>
    <r>
      <rPr>
        <sz val="10"/>
        <color rgb="FF000000"/>
        <rFont val="Arial"/>
        <family val="0"/>
        <charset val="1"/>
      </rPr>
      <t xml:space="preserve">_pct</t>
    </r>
  </si>
  <si>
    <r>
      <rPr>
        <sz val="10"/>
        <color rgb="FF000000"/>
        <rFont val="Noto Sans CJK SC"/>
        <family val="2"/>
      </rPr>
      <t xml:space="preserve">关联方销售额占比</t>
    </r>
    <r>
      <rPr>
        <sz val="10"/>
        <color rgb="FF000000"/>
        <rFont val="Arial"/>
        <family val="0"/>
        <charset val="1"/>
      </rPr>
      <t xml:space="preserve">_pct</t>
    </r>
  </si>
  <si>
    <t xml:space="preserve">前五名供应商采购额及占年度采购总额比例</t>
  </si>
  <si>
    <r>
      <rPr>
        <i val="true"/>
        <sz val="10"/>
        <color rgb="FF595959"/>
        <rFont val="Noto Sans CJK SC"/>
        <family val="2"/>
      </rPr>
      <t xml:space="preserve">单位：百万元（原表单位元；比例、单价、股数、人数等非金额行列保持原值；原单位说明：元（金额）；</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））；来源：</t>
    </r>
    <r>
      <rPr>
        <i val="true"/>
        <sz val="10"/>
        <color rgb="FF595959"/>
        <rFont val="Arial"/>
        <family val="0"/>
        <charset val="1"/>
      </rPr>
      <t xml:space="preserve">2023</t>
    </r>
    <r>
      <rPr>
        <i val="true"/>
        <sz val="10"/>
        <color rgb="FF595959"/>
        <rFont val="Noto Sans CJK SC"/>
        <family val="2"/>
      </rPr>
      <t xml:space="preserve">年报 </t>
    </r>
    <r>
      <rPr>
        <i val="true"/>
        <sz val="10"/>
        <color rgb="FF595959"/>
        <rFont val="Arial"/>
        <family val="0"/>
        <charset val="1"/>
      </rPr>
      <t xml:space="preserve">p15 / 2024</t>
    </r>
    <r>
      <rPr>
        <i val="true"/>
        <sz val="10"/>
        <color rgb="FF595959"/>
        <rFont val="Noto Sans CJK SC"/>
        <family val="2"/>
      </rPr>
      <t xml:space="preserve">年报 </t>
    </r>
    <r>
      <rPr>
        <i val="true"/>
        <sz val="10"/>
        <color rgb="FF595959"/>
        <rFont val="Arial"/>
        <family val="0"/>
        <charset val="1"/>
      </rPr>
      <t xml:space="preserve">p15 / 2025</t>
    </r>
    <r>
      <rPr>
        <i val="true"/>
        <sz val="10"/>
        <color rgb="FF595959"/>
        <rFont val="Noto Sans CJK SC"/>
        <family val="2"/>
      </rPr>
      <t xml:space="preserve">年报 </t>
    </r>
    <r>
      <rPr>
        <i val="true"/>
        <sz val="10"/>
        <color rgb="FF595959"/>
        <rFont val="Arial"/>
        <family val="0"/>
        <charset val="1"/>
      </rPr>
      <t xml:space="preserve">p14, </t>
    </r>
    <r>
      <rPr>
        <i val="true"/>
        <sz val="10"/>
        <color rgb="FF595959"/>
        <rFont val="Noto Sans CJK SC"/>
        <family val="2"/>
      </rPr>
      <t xml:space="preserve">第三节 四、</t>
    </r>
    <r>
      <rPr>
        <i val="true"/>
        <sz val="10"/>
        <color rgb="FF595959"/>
        <rFont val="Arial"/>
        <family val="0"/>
        <charset val="1"/>
      </rPr>
      <t xml:space="preserve">2</t>
    </r>
    <r>
      <rPr>
        <i val="true"/>
        <sz val="10"/>
        <color rgb="FF595959"/>
        <rFont val="Noto Sans CJK SC"/>
        <family val="2"/>
      </rPr>
      <t xml:space="preserve">（</t>
    </r>
    <r>
      <rPr>
        <i val="true"/>
        <sz val="10"/>
        <color rgb="FF595959"/>
        <rFont val="Arial"/>
        <family val="0"/>
        <charset val="1"/>
      </rPr>
      <t xml:space="preserve">8</t>
    </r>
    <r>
      <rPr>
        <i val="true"/>
        <sz val="10"/>
        <color rgb="FF595959"/>
        <rFont val="Noto Sans CJK SC"/>
        <family val="2"/>
      </rPr>
      <t xml:space="preserve">）主要供应商 </t>
    </r>
    <r>
      <rPr>
        <i val="true"/>
        <sz val="10"/>
        <color rgb="FF595959"/>
        <rFont val="Arial"/>
        <family val="0"/>
        <charset val="1"/>
      </rPr>
      <t xml:space="preserve">(pdfplumber-verified). Names anonymised.</t>
    </r>
  </si>
  <si>
    <r>
      <rPr>
        <sz val="10"/>
        <color rgb="FF000000"/>
        <rFont val="Noto Sans CJK SC"/>
        <family val="2"/>
      </rPr>
      <t xml:space="preserve">供应商</t>
    </r>
    <r>
      <rPr>
        <sz val="10"/>
        <color rgb="FF000000"/>
        <rFont val="Arial"/>
        <family val="0"/>
        <charset val="1"/>
      </rPr>
      <t xml:space="preserve">1</t>
    </r>
  </si>
  <si>
    <r>
      <rPr>
        <sz val="10"/>
        <color rgb="FF000000"/>
        <rFont val="Noto Sans CJK SC"/>
        <family val="2"/>
      </rPr>
      <t xml:space="preserve">供应商</t>
    </r>
    <r>
      <rPr>
        <sz val="10"/>
        <color rgb="FF000000"/>
        <rFont val="Arial"/>
        <family val="0"/>
        <charset val="1"/>
      </rPr>
      <t xml:space="preserve">2</t>
    </r>
  </si>
  <si>
    <r>
      <rPr>
        <sz val="10"/>
        <color rgb="FF000000"/>
        <rFont val="Noto Sans CJK SC"/>
        <family val="2"/>
      </rPr>
      <t xml:space="preserve">供应商</t>
    </r>
    <r>
      <rPr>
        <sz val="10"/>
        <color rgb="FF000000"/>
        <rFont val="Arial"/>
        <family val="0"/>
        <charset val="1"/>
      </rPr>
      <t xml:space="preserve">3</t>
    </r>
  </si>
  <si>
    <r>
      <rPr>
        <sz val="10"/>
        <color rgb="FF000000"/>
        <rFont val="Noto Sans CJK SC"/>
        <family val="2"/>
      </rPr>
      <t xml:space="preserve">供应商</t>
    </r>
    <r>
      <rPr>
        <sz val="10"/>
        <color rgb="FF000000"/>
        <rFont val="Arial"/>
        <family val="0"/>
        <charset val="1"/>
      </rPr>
      <t xml:space="preserve">4</t>
    </r>
  </si>
  <si>
    <r>
      <rPr>
        <sz val="10"/>
        <color rgb="FF000000"/>
        <rFont val="Noto Sans CJK SC"/>
        <family val="2"/>
      </rPr>
      <t xml:space="preserve">供应商</t>
    </r>
    <r>
      <rPr>
        <sz val="10"/>
        <color rgb="FF000000"/>
        <rFont val="Arial"/>
        <family val="0"/>
        <charset val="1"/>
      </rPr>
      <t xml:space="preserve">5</t>
    </r>
  </si>
  <si>
    <r>
      <rPr>
        <sz val="10"/>
        <color rgb="FF000000"/>
        <rFont val="Noto Sans CJK SC"/>
        <family val="2"/>
      </rPr>
      <t xml:space="preserve">供应商</t>
    </r>
    <r>
      <rPr>
        <sz val="10"/>
        <color rgb="FF000000"/>
        <rFont val="Arial"/>
        <family val="0"/>
        <charset val="1"/>
      </rPr>
      <t xml:space="preserve">1_pct</t>
    </r>
  </si>
  <si>
    <r>
      <rPr>
        <sz val="10"/>
        <color rgb="FF000000"/>
        <rFont val="Noto Sans CJK SC"/>
        <family val="2"/>
      </rPr>
      <t xml:space="preserve">供应商</t>
    </r>
    <r>
      <rPr>
        <sz val="10"/>
        <color rgb="FF000000"/>
        <rFont val="Arial"/>
        <family val="0"/>
        <charset val="1"/>
      </rPr>
      <t xml:space="preserve">2_pct</t>
    </r>
  </si>
  <si>
    <r>
      <rPr>
        <sz val="10"/>
        <color rgb="FF000000"/>
        <rFont val="Noto Sans CJK SC"/>
        <family val="2"/>
      </rPr>
      <t xml:space="preserve">供应商</t>
    </r>
    <r>
      <rPr>
        <sz val="10"/>
        <color rgb="FF000000"/>
        <rFont val="Arial"/>
        <family val="0"/>
        <charset val="1"/>
      </rPr>
      <t xml:space="preserve">3_pct</t>
    </r>
  </si>
  <si>
    <r>
      <rPr>
        <sz val="10"/>
        <color rgb="FF000000"/>
        <rFont val="Noto Sans CJK SC"/>
        <family val="2"/>
      </rPr>
      <t xml:space="preserve">供应商</t>
    </r>
    <r>
      <rPr>
        <sz val="10"/>
        <color rgb="FF000000"/>
        <rFont val="Arial"/>
        <family val="0"/>
        <charset val="1"/>
      </rPr>
      <t xml:space="preserve">4_pct</t>
    </r>
  </si>
  <si>
    <r>
      <rPr>
        <sz val="10"/>
        <color rgb="FF000000"/>
        <rFont val="Noto Sans CJK SC"/>
        <family val="2"/>
      </rPr>
      <t xml:space="preserve">供应商</t>
    </r>
    <r>
      <rPr>
        <sz val="10"/>
        <color rgb="FF000000"/>
        <rFont val="Arial"/>
        <family val="0"/>
        <charset val="1"/>
      </rPr>
      <t xml:space="preserve">5_pct</t>
    </r>
  </si>
  <si>
    <r>
      <rPr>
        <sz val="10"/>
        <color rgb="FF000000"/>
        <rFont val="Noto Sans CJK SC"/>
        <family val="2"/>
      </rPr>
      <t xml:space="preserve">关联方采购额占比</t>
    </r>
    <r>
      <rPr>
        <sz val="10"/>
        <color rgb="FF000000"/>
        <rFont val="Arial"/>
        <family val="0"/>
        <charset val="1"/>
      </rPr>
      <t xml:space="preserve">_pct</t>
    </r>
  </si>
  <si>
    <t xml:space="preserve">公司员工情况（期末在职员工，合并）</t>
  </si>
  <si>
    <r>
      <rPr>
        <i val="true"/>
        <sz val="10"/>
        <color rgb="FF595959"/>
        <rFont val="Noto Sans CJK SC"/>
        <family val="2"/>
      </rPr>
      <t xml:space="preserve">单位：人；来源：</t>
    </r>
    <r>
      <rPr>
        <i val="true"/>
        <sz val="10"/>
        <color rgb="FF595959"/>
        <rFont val="Arial"/>
        <family val="0"/>
        <charset val="1"/>
      </rPr>
      <t xml:space="preserve">2023</t>
    </r>
    <r>
      <rPr>
        <i val="true"/>
        <sz val="10"/>
        <color rgb="FF595959"/>
        <rFont val="Noto Sans CJK SC"/>
        <family val="2"/>
      </rPr>
      <t xml:space="preserve">年报 第四节 十一、公司员工情况 </t>
    </r>
    <r>
      <rPr>
        <i val="true"/>
        <sz val="10"/>
        <color rgb="FF595959"/>
        <rFont val="Arial"/>
        <family val="0"/>
        <charset val="1"/>
      </rPr>
      <t xml:space="preserve">(PDF p38-39) / 2024</t>
    </r>
    <r>
      <rPr>
        <i val="true"/>
        <sz val="10"/>
        <color rgb="FF595959"/>
        <rFont val="Noto Sans CJK SC"/>
        <family val="2"/>
      </rPr>
      <t xml:space="preserve">年报 第四节 十一 </t>
    </r>
    <r>
      <rPr>
        <i val="true"/>
        <sz val="10"/>
        <color rgb="FF595959"/>
        <rFont val="Arial"/>
        <family val="0"/>
        <charset val="1"/>
      </rPr>
      <t xml:space="preserve">(PDF p38) / 2025</t>
    </r>
    <r>
      <rPr>
        <i val="true"/>
        <sz val="10"/>
        <color rgb="FF595959"/>
        <rFont val="Noto Sans CJK SC"/>
        <family val="2"/>
      </rPr>
      <t xml:space="preserve">年报 第四节 十、公司员工情况 </t>
    </r>
    <r>
      <rPr>
        <i val="true"/>
        <sz val="10"/>
        <color rgb="FF595959"/>
        <rFont val="Arial"/>
        <family val="0"/>
        <charset val="1"/>
      </rPr>
      <t xml:space="preserve">(PDF p32); pdfplumber-verified</t>
    </r>
  </si>
  <si>
    <t xml:space="preserve">母公司在职员工</t>
  </si>
  <si>
    <t xml:space="preserve">主要子公司在职员工</t>
  </si>
  <si>
    <t xml:space="preserve">在职员工合计</t>
  </si>
  <si>
    <t xml:space="preserve">当期领取薪酬员工总人数</t>
  </si>
  <si>
    <t xml:space="preserve">需承担费用的离退休职工</t>
  </si>
  <si>
    <r>
      <rPr>
        <sz val="10"/>
        <color rgb="FF000000"/>
        <rFont val="Noto Sans CJK SC"/>
        <family val="2"/>
      </rPr>
      <t xml:space="preserve">专业构成</t>
    </r>
    <r>
      <rPr>
        <sz val="10"/>
        <color rgb="FF000000"/>
        <rFont val="Arial"/>
        <family val="0"/>
        <charset val="1"/>
      </rPr>
      <t xml:space="preserve">|</t>
    </r>
    <r>
      <rPr>
        <sz val="10"/>
        <color rgb="FF000000"/>
        <rFont val="Noto Sans CJK SC"/>
        <family val="2"/>
      </rPr>
      <t xml:space="preserve">生产人员</t>
    </r>
  </si>
  <si>
    <r>
      <rPr>
        <sz val="10"/>
        <color rgb="FF000000"/>
        <rFont val="Noto Sans CJK SC"/>
        <family val="2"/>
      </rPr>
      <t xml:space="preserve">专业构成</t>
    </r>
    <r>
      <rPr>
        <sz val="10"/>
        <color rgb="FF000000"/>
        <rFont val="Arial"/>
        <family val="0"/>
        <charset val="1"/>
      </rPr>
      <t xml:space="preserve">|</t>
    </r>
    <r>
      <rPr>
        <sz val="10"/>
        <color rgb="FF000000"/>
        <rFont val="Noto Sans CJK SC"/>
        <family val="2"/>
      </rPr>
      <t xml:space="preserve">销售人员</t>
    </r>
  </si>
  <si>
    <r>
      <rPr>
        <sz val="10"/>
        <color rgb="FF000000"/>
        <rFont val="Noto Sans CJK SC"/>
        <family val="2"/>
      </rPr>
      <t xml:space="preserve">专业构成</t>
    </r>
    <r>
      <rPr>
        <sz val="10"/>
        <color rgb="FF000000"/>
        <rFont val="Arial"/>
        <family val="0"/>
        <charset val="1"/>
      </rPr>
      <t xml:space="preserve">|</t>
    </r>
    <r>
      <rPr>
        <sz val="10"/>
        <color rgb="FF000000"/>
        <rFont val="Noto Sans CJK SC"/>
        <family val="2"/>
      </rPr>
      <t xml:space="preserve">技术人员</t>
    </r>
  </si>
  <si>
    <r>
      <rPr>
        <sz val="10"/>
        <color rgb="FF000000"/>
        <rFont val="Noto Sans CJK SC"/>
        <family val="2"/>
      </rPr>
      <t xml:space="preserve">专业构成</t>
    </r>
    <r>
      <rPr>
        <sz val="10"/>
        <color rgb="FF000000"/>
        <rFont val="Arial"/>
        <family val="0"/>
        <charset val="1"/>
      </rPr>
      <t xml:space="preserve">|</t>
    </r>
    <r>
      <rPr>
        <sz val="10"/>
        <color rgb="FF000000"/>
        <rFont val="Noto Sans CJK SC"/>
        <family val="2"/>
      </rPr>
      <t xml:space="preserve">财务人员</t>
    </r>
  </si>
  <si>
    <r>
      <rPr>
        <sz val="10"/>
        <color rgb="FF000000"/>
        <rFont val="Noto Sans CJK SC"/>
        <family val="2"/>
      </rPr>
      <t xml:space="preserve">专业构成</t>
    </r>
    <r>
      <rPr>
        <sz val="10"/>
        <color rgb="FF000000"/>
        <rFont val="Arial"/>
        <family val="0"/>
        <charset val="1"/>
      </rPr>
      <t xml:space="preserve">|</t>
    </r>
    <r>
      <rPr>
        <sz val="10"/>
        <color rgb="FF000000"/>
        <rFont val="Noto Sans CJK SC"/>
        <family val="2"/>
      </rPr>
      <t xml:space="preserve">行政人员</t>
    </r>
  </si>
  <si>
    <r>
      <rPr>
        <sz val="10"/>
        <color rgb="FF000000"/>
        <rFont val="Noto Sans CJK SC"/>
        <family val="2"/>
      </rPr>
      <t xml:space="preserve">教育程度</t>
    </r>
    <r>
      <rPr>
        <sz val="10"/>
        <color rgb="FF000000"/>
        <rFont val="Arial"/>
        <family val="0"/>
        <charset val="1"/>
      </rPr>
      <t xml:space="preserve">|</t>
    </r>
    <r>
      <rPr>
        <sz val="10"/>
        <color rgb="FF000000"/>
        <rFont val="Noto Sans CJK SC"/>
        <family val="2"/>
      </rPr>
      <t xml:space="preserve">本科及以上</t>
    </r>
  </si>
  <si>
    <r>
      <rPr>
        <sz val="10"/>
        <color rgb="FF000000"/>
        <rFont val="Noto Sans CJK SC"/>
        <family val="2"/>
      </rPr>
      <t xml:space="preserve">教育程度</t>
    </r>
    <r>
      <rPr>
        <sz val="10"/>
        <color rgb="FF000000"/>
        <rFont val="Arial"/>
        <family val="0"/>
        <charset val="1"/>
      </rPr>
      <t xml:space="preserve">|</t>
    </r>
    <r>
      <rPr>
        <sz val="10"/>
        <color rgb="FF000000"/>
        <rFont val="Noto Sans CJK SC"/>
        <family val="2"/>
      </rPr>
      <t xml:space="preserve">大专及以下</t>
    </r>
  </si>
  <si>
    <t xml:space="preserve">应付职工薪酬变动（合并）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</si>
  <si>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 2023</t>
    </r>
    <r>
      <rPr>
        <i val="true"/>
        <sz val="10"/>
        <color rgb="FF595959"/>
        <rFont val="Noto Sans CJK SC"/>
        <family val="2"/>
      </rPr>
      <t xml:space="preserve">年年度报告 第十节 七、</t>
    </r>
    <r>
      <rPr>
        <i val="true"/>
        <sz val="10"/>
        <color rgb="FF595959"/>
        <rFont val="Arial"/>
        <family val="0"/>
        <charset val="1"/>
      </rPr>
      <t xml:space="preserve">27 (PDF p137); FY2024: 2024</t>
    </r>
    <r>
      <rPr>
        <i val="true"/>
        <sz val="10"/>
        <color rgb="FF595959"/>
        <rFont val="Noto Sans CJK SC"/>
        <family val="2"/>
      </rPr>
      <t xml:space="preserve">年年度报告 七、</t>
    </r>
    <r>
      <rPr>
        <i val="true"/>
        <sz val="10"/>
        <color rgb="FF595959"/>
        <rFont val="Arial"/>
        <family val="0"/>
        <charset val="1"/>
      </rPr>
      <t xml:space="preserve">26 (PDF p151); FY2025: 2025</t>
    </r>
    <r>
      <rPr>
        <i val="true"/>
        <sz val="10"/>
        <color rgb="FF595959"/>
        <rFont val="Noto Sans CJK SC"/>
        <family val="2"/>
      </rPr>
      <t xml:space="preserve">年年度报告 七、</t>
    </r>
    <r>
      <rPr>
        <i val="true"/>
        <sz val="10"/>
        <color rgb="FF595959"/>
        <rFont val="Arial"/>
        <family val="0"/>
        <charset val="1"/>
      </rPr>
      <t xml:space="preserve">27 (PDF p129); 2025H1: 2025</t>
    </r>
    <r>
      <rPr>
        <i val="true"/>
        <sz val="10"/>
        <color rgb="FF595959"/>
        <rFont val="Noto Sans CJK SC"/>
        <family val="2"/>
      </rPr>
      <t xml:space="preserve">年半年度报告 七、</t>
    </r>
    <r>
      <rPr>
        <i val="true"/>
        <sz val="10"/>
        <color rgb="FF595959"/>
        <rFont val="Arial"/>
        <family val="0"/>
        <charset val="1"/>
      </rPr>
      <t xml:space="preserve">26 (PDF p94); 2026H1: 2026</t>
    </r>
    <r>
      <rPr>
        <i val="true"/>
        <sz val="10"/>
        <color rgb="FF595959"/>
        <rFont val="Noto Sans CJK SC"/>
        <family val="2"/>
      </rPr>
      <t xml:space="preserve">年半年度报告 七、</t>
    </r>
    <r>
      <rPr>
        <i val="true"/>
        <sz val="10"/>
        <color rgb="FF595959"/>
        <rFont val="Arial"/>
        <family val="0"/>
        <charset val="1"/>
      </rPr>
      <t xml:space="preserve">26 (PDF p93)</t>
    </r>
  </si>
  <si>
    <t xml:space="preserve">本期增加</t>
  </si>
  <si>
    <t xml:space="preserve">本期减少</t>
  </si>
  <si>
    <r>
      <rPr>
        <sz val="10"/>
        <color rgb="FF000000"/>
        <rFont val="Arial"/>
        <family val="0"/>
        <charset val="1"/>
      </rPr>
      <t xml:space="preserve">FY2023|</t>
    </r>
    <r>
      <rPr>
        <sz val="10"/>
        <color rgb="FF000000"/>
        <rFont val="Noto Sans CJK SC"/>
        <family val="2"/>
      </rPr>
      <t xml:space="preserve">短期薪酬</t>
    </r>
  </si>
  <si>
    <r>
      <rPr>
        <sz val="10"/>
        <color rgb="FF000000"/>
        <rFont val="Arial"/>
        <family val="0"/>
        <charset val="1"/>
      </rPr>
      <t xml:space="preserve">FY2023|</t>
    </r>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</si>
  <si>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r>
      <rPr>
        <sz val="10"/>
        <color rgb="FF000000"/>
        <rFont val="Arial"/>
        <family val="0"/>
        <charset val="1"/>
      </rPr>
      <t xml:space="preserve">FY2024|</t>
    </r>
    <r>
      <rPr>
        <sz val="10"/>
        <color rgb="FF000000"/>
        <rFont val="Noto Sans CJK SC"/>
        <family val="2"/>
      </rPr>
      <t xml:space="preserve">短期薪酬</t>
    </r>
  </si>
  <si>
    <r>
      <rPr>
        <sz val="10"/>
        <color rgb="FF000000"/>
        <rFont val="Arial"/>
        <family val="0"/>
        <charset val="1"/>
      </rPr>
      <t xml:space="preserve">FY2024|</t>
    </r>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</si>
  <si>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r>
      <rPr>
        <sz val="10"/>
        <color rgb="FF000000"/>
        <rFont val="Arial"/>
        <family val="0"/>
        <charset val="1"/>
      </rPr>
      <t xml:space="preserve">FY2025|</t>
    </r>
    <r>
      <rPr>
        <sz val="10"/>
        <color rgb="FF000000"/>
        <rFont val="Noto Sans CJK SC"/>
        <family val="2"/>
      </rPr>
      <t xml:space="preserve">短期薪酬</t>
    </r>
  </si>
  <si>
    <r>
      <rPr>
        <sz val="10"/>
        <color rgb="FF000000"/>
        <rFont val="Arial"/>
        <family val="0"/>
        <charset val="1"/>
      </rPr>
      <t xml:space="preserve">FY2025|</t>
    </r>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</si>
  <si>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r>
      <rPr>
        <sz val="10"/>
        <color rgb="FF000000"/>
        <rFont val="Arial"/>
        <family val="0"/>
        <charset val="1"/>
      </rPr>
      <t xml:space="preserve">2025H1|</t>
    </r>
    <r>
      <rPr>
        <sz val="10"/>
        <color rgb="FF000000"/>
        <rFont val="Noto Sans CJK SC"/>
        <family val="2"/>
      </rPr>
      <t xml:space="preserve">短期薪酬</t>
    </r>
  </si>
  <si>
    <r>
      <rPr>
        <sz val="10"/>
        <color rgb="FF000000"/>
        <rFont val="Arial"/>
        <family val="0"/>
        <charset val="1"/>
      </rPr>
      <t xml:space="preserve">2025H1|</t>
    </r>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</si>
  <si>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r>
      <rPr>
        <sz val="10"/>
        <color rgb="FF000000"/>
        <rFont val="Arial"/>
        <family val="0"/>
        <charset val="1"/>
      </rPr>
      <t xml:space="preserve">2026H1|</t>
    </r>
    <r>
      <rPr>
        <sz val="10"/>
        <color rgb="FF000000"/>
        <rFont val="Noto Sans CJK SC"/>
        <family val="2"/>
      </rPr>
      <t xml:space="preserve">短期薪酬</t>
    </r>
  </si>
  <si>
    <r>
      <rPr>
        <sz val="10"/>
        <color rgb="FF000000"/>
        <rFont val="Arial"/>
        <family val="0"/>
        <charset val="1"/>
      </rPr>
      <t xml:space="preserve">2026H1|</t>
    </r>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</si>
  <si>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t xml:space="preserve">应付职工薪酬本期增加（当期计提职工薪酬总额）明细</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</si>
  <si>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Same notes as D3_payroll_payable_rollforward: </t>
    </r>
    <r>
      <rPr>
        <i val="true"/>
        <sz val="10"/>
        <color rgb="FF595959"/>
        <rFont val="Noto Sans CJK SC"/>
        <family val="2"/>
      </rPr>
      <t xml:space="preserve">（</t>
    </r>
    <r>
      <rPr>
        <i val="true"/>
        <sz val="10"/>
        <color rgb="FF595959"/>
        <rFont val="Arial"/>
        <family val="0"/>
        <charset val="1"/>
      </rPr>
      <t xml:space="preserve">2</t>
    </r>
    <r>
      <rPr>
        <i val="true"/>
        <sz val="10"/>
        <color rgb="FF595959"/>
        <rFont val="Noto Sans CJK SC"/>
        <family val="2"/>
      </rPr>
      <t xml:space="preserve">）短期薪酬列示、（</t>
    </r>
    <r>
      <rPr>
        <i val="true"/>
        <sz val="10"/>
        <color rgb="FF595959"/>
        <rFont val="Arial"/>
        <family val="0"/>
        <charset val="1"/>
      </rPr>
      <t xml:space="preserve">3</t>
    </r>
    <r>
      <rPr>
        <i val="true"/>
        <sz val="10"/>
        <color rgb="FF595959"/>
        <rFont val="Noto Sans CJK SC"/>
        <family val="2"/>
      </rPr>
      <t xml:space="preserve">）设定提存计划列示</t>
    </r>
    <r>
      <rPr>
        <i val="true"/>
        <sz val="10"/>
        <color rgb="FF595959"/>
        <rFont val="Arial"/>
        <family val="0"/>
        <charset val="1"/>
      </rPr>
      <t xml:space="preserve">, </t>
    </r>
    <r>
      <rPr>
        <i val="true"/>
        <sz val="10"/>
        <color rgb="FF595959"/>
        <rFont val="Noto Sans CJK SC"/>
        <family val="2"/>
      </rPr>
      <t xml:space="preserve">本期增加 </t>
    </r>
    <r>
      <rPr>
        <i val="true"/>
        <sz val="10"/>
        <color rgb="FF595959"/>
        <rFont val="Arial"/>
        <family val="0"/>
        <charset val="1"/>
      </rPr>
      <t xml:space="preserve">column</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</si>
  <si>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工资、奖金、津贴和补贴</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</si>
  <si>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职工福利费</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</si>
  <si>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社会保险费</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</si>
  <si>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社会保险费</t>
    </r>
    <r>
      <rPr>
        <sz val="10"/>
        <color rgb="FF000000"/>
        <rFont val="Arial"/>
        <family val="0"/>
        <charset val="1"/>
      </rPr>
      <t xml:space="preserve">-</t>
    </r>
    <r>
      <rPr>
        <sz val="10"/>
        <color rgb="FF000000"/>
        <rFont val="Noto Sans CJK SC"/>
        <family val="2"/>
      </rPr>
      <t xml:space="preserve">其中医疗保险费</t>
    </r>
    <r>
      <rPr>
        <sz val="10"/>
        <color rgb="FF000000"/>
        <rFont val="Arial"/>
        <family val="0"/>
        <charset val="1"/>
      </rPr>
      <t xml:space="preserve">(</t>
    </r>
    <r>
      <rPr>
        <sz val="10"/>
        <color rgb="FF000000"/>
        <rFont val="Noto Sans CJK SC"/>
        <family val="2"/>
      </rPr>
      <t xml:space="preserve">含生育</t>
    </r>
    <r>
      <rPr>
        <sz val="10"/>
        <color rgb="FF000000"/>
        <rFont val="Arial"/>
        <family val="0"/>
        <charset val="1"/>
      </rPr>
      <t xml:space="preserve">)</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</si>
  <si>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社会保险费</t>
    </r>
    <r>
      <rPr>
        <sz val="10"/>
        <color rgb="FF000000"/>
        <rFont val="Arial"/>
        <family val="0"/>
        <charset val="1"/>
      </rPr>
      <t xml:space="preserve">-</t>
    </r>
    <r>
      <rPr>
        <sz val="10"/>
        <color rgb="FF000000"/>
        <rFont val="Noto Sans CJK SC"/>
        <family val="2"/>
      </rPr>
      <t xml:space="preserve">其中工伤保险费</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</si>
  <si>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住房公积金</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</si>
  <si>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工会经费和职工教育经费</t>
    </r>
  </si>
  <si>
    <r>
      <rPr>
        <sz val="10"/>
        <color rgb="FF000000"/>
        <rFont val="Noto Sans CJK SC"/>
        <family val="2"/>
      </rPr>
      <t xml:space="preserve">短期薪酬</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</si>
  <si>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设定提存计划</t>
    </r>
    <r>
      <rPr>
        <sz val="10"/>
        <color rgb="FF000000"/>
        <rFont val="Arial"/>
        <family val="0"/>
        <charset val="1"/>
      </rPr>
      <t xml:space="preserve">|</t>
    </r>
    <r>
      <rPr>
        <sz val="10"/>
        <color rgb="FF000000"/>
        <rFont val="Noto Sans CJK SC"/>
        <family val="2"/>
      </rPr>
      <t xml:space="preserve">基本养老保险</t>
    </r>
  </si>
  <si>
    <r>
      <rPr>
        <sz val="10"/>
        <color rgb="FF000000"/>
        <rFont val="Noto Sans CJK SC"/>
        <family val="2"/>
      </rPr>
      <t xml:space="preserve">设定提存计划</t>
    </r>
    <r>
      <rPr>
        <sz val="10"/>
        <color rgb="FF000000"/>
        <rFont val="Arial"/>
        <family val="0"/>
        <charset val="1"/>
      </rPr>
      <t xml:space="preserve">|</t>
    </r>
    <r>
      <rPr>
        <sz val="10"/>
        <color rgb="FF000000"/>
        <rFont val="Noto Sans CJK SC"/>
        <family val="2"/>
      </rPr>
      <t xml:space="preserve">失业保险费</t>
    </r>
  </si>
  <si>
    <r>
      <rPr>
        <sz val="10"/>
        <color rgb="FF000000"/>
        <rFont val="Noto Sans CJK SC"/>
        <family val="2"/>
      </rPr>
      <t xml:space="preserve">设定提存计划</t>
    </r>
    <r>
      <rPr>
        <sz val="10"/>
        <color rgb="FF000000"/>
        <rFont val="Arial"/>
        <family val="0"/>
        <charset val="1"/>
      </rPr>
      <t xml:space="preserve">|</t>
    </r>
    <r>
      <rPr>
        <sz val="10"/>
        <color rgb="FF000000"/>
        <rFont val="Noto Sans CJK SC"/>
        <family val="2"/>
      </rPr>
      <t xml:space="preserve">合计</t>
    </r>
  </si>
  <si>
    <t xml:space="preserve">应付职工薪酬本期增加总计</t>
  </si>
  <si>
    <t xml:space="preserve">研发投入与研发人员</t>
  </si>
  <si>
    <r>
      <rPr>
        <i val="true"/>
        <sz val="10"/>
        <color rgb="FF595959"/>
        <rFont val="Noto Sans CJK SC"/>
        <family val="2"/>
      </rPr>
      <t xml:space="preserve">单位：百万元（原表单位元；比例、单价、股数、人数等非金额行列保持原值；原单位说明：元（金额）；</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*_pct</t>
    </r>
    <r>
      <rPr>
        <i val="true"/>
        <sz val="10"/>
        <color rgb="FF595959"/>
        <rFont val="Noto Sans CJK SC"/>
        <family val="2"/>
      </rPr>
      <t xml:space="preserve">）；人（人数））；来源：</t>
    </r>
    <r>
      <rPr>
        <i val="true"/>
        <sz val="10"/>
        <color rgb="FF595959"/>
        <rFont val="Arial"/>
        <family val="0"/>
        <charset val="1"/>
      </rPr>
      <t xml:space="preserve">FY2021-FY2023: 2023</t>
    </r>
    <r>
      <rPr>
        <i val="true"/>
        <sz val="10"/>
        <color rgb="FF595959"/>
        <rFont val="Noto Sans CJK SC"/>
        <family val="2"/>
      </rPr>
      <t xml:space="preserve">年年度报告 第三节 四、</t>
    </r>
    <r>
      <rPr>
        <i val="true"/>
        <sz val="10"/>
        <color rgb="FF595959"/>
        <rFont val="Arial"/>
        <family val="0"/>
        <charset val="1"/>
      </rPr>
      <t xml:space="preserve">4 </t>
    </r>
    <r>
      <rPr>
        <i val="true"/>
        <sz val="10"/>
        <color rgb="FF595959"/>
        <rFont val="Noto Sans CJK SC"/>
        <family val="2"/>
      </rPr>
      <t xml:space="preserve">研发投入 </t>
    </r>
    <r>
      <rPr>
        <i val="true"/>
        <sz val="10"/>
        <color rgb="FF595959"/>
        <rFont val="Arial"/>
        <family val="0"/>
        <charset val="1"/>
      </rPr>
      <t xml:space="preserve">(PDF p16-17); FY2024: 2024</t>
    </r>
    <r>
      <rPr>
        <i val="true"/>
        <sz val="10"/>
        <color rgb="FF595959"/>
        <rFont val="Noto Sans CJK SC"/>
        <family val="2"/>
      </rPr>
      <t xml:space="preserve">年年度报告 </t>
    </r>
    <r>
      <rPr>
        <i val="true"/>
        <sz val="10"/>
        <color rgb="FF595959"/>
        <rFont val="Arial"/>
        <family val="0"/>
        <charset val="1"/>
      </rPr>
      <t xml:space="preserve">(PDF p16-17); FY2025: 2025</t>
    </r>
    <r>
      <rPr>
        <i val="true"/>
        <sz val="10"/>
        <color rgb="FF595959"/>
        <rFont val="Noto Sans CJK SC"/>
        <family val="2"/>
      </rPr>
      <t xml:space="preserve">年年度报告 </t>
    </r>
    <r>
      <rPr>
        <i val="true"/>
        <sz val="10"/>
        <color rgb="FF595959"/>
        <rFont val="Arial"/>
        <family val="0"/>
        <charset val="1"/>
      </rPr>
      <t xml:space="preserve">(PDF p15-16); 2024H1/2025H1: 2025</t>
    </r>
    <r>
      <rPr>
        <i val="true"/>
        <sz val="10"/>
        <color rgb="FF595959"/>
        <rFont val="Noto Sans CJK SC"/>
        <family val="2"/>
      </rPr>
      <t xml:space="preserve">年半年度报告 第三节 三 主要财务数据同比变动情况 </t>
    </r>
    <r>
      <rPr>
        <i val="true"/>
        <sz val="10"/>
        <color rgb="FF595959"/>
        <rFont val="Arial"/>
        <family val="0"/>
        <charset val="1"/>
      </rPr>
      <t xml:space="preserve">(PDF p10-11; </t>
    </r>
    <r>
      <rPr>
        <i val="true"/>
        <sz val="10"/>
        <color rgb="FF595959"/>
        <rFont val="Noto Sans CJK SC"/>
        <family val="2"/>
      </rPr>
      <t xml:space="preserve">研发投入 </t>
    </r>
    <r>
      <rPr>
        <i val="true"/>
        <sz val="10"/>
        <color rgb="FF595959"/>
        <rFont val="Arial"/>
        <family val="0"/>
        <charset val="1"/>
      </rPr>
      <t xml:space="preserve">row is on p11); 2026H</t>
    </r>
  </si>
  <si>
    <t xml:space="preserve">研发投入金额</t>
  </si>
  <si>
    <r>
      <rPr>
        <sz val="10"/>
        <color rgb="FF000000"/>
        <rFont val="Noto Sans CJK SC"/>
        <family val="2"/>
      </rPr>
      <t xml:space="preserve">研发投入占营业收入比例</t>
    </r>
    <r>
      <rPr>
        <sz val="10"/>
        <color rgb="FF000000"/>
        <rFont val="Arial"/>
        <family val="0"/>
        <charset val="1"/>
      </rPr>
      <t xml:space="preserve">_pct</t>
    </r>
  </si>
  <si>
    <t xml:space="preserve">研发支出资本化金额</t>
  </si>
  <si>
    <r>
      <rPr>
        <sz val="10"/>
        <color rgb="FF000000"/>
        <rFont val="Noto Sans CJK SC"/>
        <family val="2"/>
      </rPr>
      <t xml:space="preserve">资本化研发支出占研发投入比例</t>
    </r>
    <r>
      <rPr>
        <sz val="10"/>
        <color rgb="FF000000"/>
        <rFont val="Arial"/>
        <family val="0"/>
        <charset val="1"/>
      </rPr>
      <t xml:space="preserve">_pct</t>
    </r>
  </si>
  <si>
    <r>
      <rPr>
        <sz val="10"/>
        <color rgb="FF000000"/>
        <rFont val="Noto Sans CJK SC"/>
        <family val="2"/>
      </rPr>
      <t xml:space="preserve">资本化研发支出占当期净利润比重</t>
    </r>
    <r>
      <rPr>
        <sz val="10"/>
        <color rgb="FF000000"/>
        <rFont val="Arial"/>
        <family val="0"/>
        <charset val="1"/>
      </rPr>
      <t xml:space="preserve">_pct</t>
    </r>
  </si>
  <si>
    <r>
      <rPr>
        <sz val="10"/>
        <color rgb="FF000000"/>
        <rFont val="Noto Sans CJK SC"/>
        <family val="2"/>
      </rPr>
      <t xml:space="preserve">研发投入</t>
    </r>
    <r>
      <rPr>
        <sz val="10"/>
        <color rgb="FF000000"/>
        <rFont val="Arial"/>
        <family val="0"/>
        <charset val="1"/>
      </rPr>
      <t xml:space="preserve">yoy_pct</t>
    </r>
  </si>
  <si>
    <t xml:space="preserve">研发人员数量（人）</t>
  </si>
  <si>
    <r>
      <rPr>
        <sz val="10"/>
        <color rgb="FF000000"/>
        <rFont val="Noto Sans CJK SC"/>
        <family val="2"/>
      </rPr>
      <t xml:space="preserve">研发人员数量占比</t>
    </r>
    <r>
      <rPr>
        <sz val="10"/>
        <color rgb="FF000000"/>
        <rFont val="Arial"/>
        <family val="0"/>
        <charset val="1"/>
      </rPr>
      <t xml:space="preserve">_pct</t>
    </r>
  </si>
  <si>
    <r>
      <rPr>
        <sz val="10"/>
        <color rgb="FF000000"/>
        <rFont val="Noto Sans CJK SC"/>
        <family val="2"/>
      </rPr>
      <t xml:space="preserve">研发人员学历</t>
    </r>
    <r>
      <rPr>
        <sz val="10"/>
        <color rgb="FF000000"/>
        <rFont val="Arial"/>
        <family val="0"/>
        <charset val="1"/>
      </rPr>
      <t xml:space="preserve">|</t>
    </r>
    <r>
      <rPr>
        <sz val="10"/>
        <color rgb="FF000000"/>
        <rFont val="Noto Sans CJK SC"/>
        <family val="2"/>
      </rPr>
      <t xml:space="preserve">本科（人）</t>
    </r>
  </si>
  <si>
    <r>
      <rPr>
        <sz val="10"/>
        <color rgb="FF000000"/>
        <rFont val="Noto Sans CJK SC"/>
        <family val="2"/>
      </rPr>
      <t xml:space="preserve">研发人员学历</t>
    </r>
    <r>
      <rPr>
        <sz val="10"/>
        <color rgb="FF000000"/>
        <rFont val="Arial"/>
        <family val="0"/>
        <charset val="1"/>
      </rPr>
      <t xml:space="preserve">|</t>
    </r>
    <r>
      <rPr>
        <sz val="10"/>
        <color rgb="FF000000"/>
        <rFont val="Noto Sans CJK SC"/>
        <family val="2"/>
      </rPr>
      <t xml:space="preserve">硕士（人）</t>
    </r>
  </si>
  <si>
    <r>
      <rPr>
        <sz val="10"/>
        <color rgb="FF000000"/>
        <rFont val="Noto Sans CJK SC"/>
        <family val="2"/>
      </rPr>
      <t xml:space="preserve">研发人员年龄</t>
    </r>
    <r>
      <rPr>
        <sz val="10"/>
        <color rgb="FF000000"/>
        <rFont val="Arial"/>
        <family val="0"/>
        <charset val="1"/>
      </rPr>
      <t xml:space="preserve">|30</t>
    </r>
    <r>
      <rPr>
        <sz val="10"/>
        <color rgb="FF000000"/>
        <rFont val="Noto Sans CJK SC"/>
        <family val="2"/>
      </rPr>
      <t xml:space="preserve">岁以下（人）</t>
    </r>
  </si>
  <si>
    <r>
      <rPr>
        <sz val="10"/>
        <color rgb="FF000000"/>
        <rFont val="Noto Sans CJK SC"/>
        <family val="2"/>
      </rPr>
      <t xml:space="preserve">研发人员年龄</t>
    </r>
    <r>
      <rPr>
        <sz val="10"/>
        <color rgb="FF000000"/>
        <rFont val="Arial"/>
        <family val="0"/>
        <charset val="1"/>
      </rPr>
      <t xml:space="preserve">|30~40</t>
    </r>
    <r>
      <rPr>
        <sz val="10"/>
        <color rgb="FF000000"/>
        <rFont val="Noto Sans CJK SC"/>
        <family val="2"/>
      </rPr>
      <t xml:space="preserve">岁（人）</t>
    </r>
  </si>
  <si>
    <t xml:space="preserve">研发费用明细（合并）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</si>
  <si>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FY2022-23: 2023</t>
    </r>
    <r>
      <rPr>
        <i val="true"/>
        <sz val="10"/>
        <color rgb="FF595959"/>
        <rFont val="Noto Sans CJK SC"/>
        <family val="2"/>
      </rPr>
      <t xml:space="preserve">年年度报告 七、</t>
    </r>
    <r>
      <rPr>
        <i val="true"/>
        <sz val="10"/>
        <color rgb="FF595959"/>
        <rFont val="Arial"/>
        <family val="0"/>
        <charset val="1"/>
      </rPr>
      <t xml:space="preserve">43 (PDF p143); FY2024: 2024</t>
    </r>
    <r>
      <rPr>
        <i val="true"/>
        <sz val="10"/>
        <color rgb="FF595959"/>
        <rFont val="Noto Sans CJK SC"/>
        <family val="2"/>
      </rPr>
      <t xml:space="preserve">年年度报告 七、</t>
    </r>
    <r>
      <rPr>
        <i val="true"/>
        <sz val="10"/>
        <color rgb="FF595959"/>
        <rFont val="Arial"/>
        <family val="0"/>
        <charset val="1"/>
      </rPr>
      <t xml:space="preserve">42 (PDF p158); FY2025: 2025</t>
    </r>
    <r>
      <rPr>
        <i val="true"/>
        <sz val="10"/>
        <color rgb="FF595959"/>
        <rFont val="Noto Sans CJK SC"/>
        <family val="2"/>
      </rPr>
      <t xml:space="preserve">年年度报告 七、</t>
    </r>
    <r>
      <rPr>
        <i val="true"/>
        <sz val="10"/>
        <color rgb="FF595959"/>
        <rFont val="Arial"/>
        <family val="0"/>
        <charset val="1"/>
      </rPr>
      <t xml:space="preserve">45 (PDF p136); 2024H1/2025H1: 2025</t>
    </r>
    <r>
      <rPr>
        <i val="true"/>
        <sz val="10"/>
        <color rgb="FF595959"/>
        <rFont val="Noto Sans CJK SC"/>
        <family val="2"/>
      </rPr>
      <t xml:space="preserve">年半年度报告 七、</t>
    </r>
    <r>
      <rPr>
        <i val="true"/>
        <sz val="10"/>
        <color rgb="FF595959"/>
        <rFont val="Arial"/>
        <family val="0"/>
        <charset val="1"/>
      </rPr>
      <t xml:space="preserve">44 (PDF p100); 2026H1: 2026</t>
    </r>
    <r>
      <rPr>
        <i val="true"/>
        <sz val="10"/>
        <color rgb="FF595959"/>
        <rFont val="Noto Sans CJK SC"/>
        <family val="2"/>
      </rPr>
      <t xml:space="preserve">年半年度报告 七、</t>
    </r>
    <r>
      <rPr>
        <i val="true"/>
        <sz val="10"/>
        <color rgb="FF595959"/>
        <rFont val="Arial"/>
        <family val="0"/>
        <charset val="1"/>
      </rPr>
      <t xml:space="preserve">43 (PDF p98)</t>
    </r>
  </si>
  <si>
    <t xml:space="preserve">人员人工费用</t>
  </si>
  <si>
    <t xml:space="preserve">直接投入费用</t>
  </si>
  <si>
    <t xml:space="preserve">折旧摊销费用</t>
  </si>
  <si>
    <t xml:space="preserve">其他费用</t>
  </si>
  <si>
    <r>
      <rPr>
        <b val="true"/>
        <sz val="10"/>
        <color rgb="FF1F3864"/>
        <rFont val="Noto Sans CJK SC"/>
        <family val="2"/>
      </rPr>
      <t xml:space="preserve">销售费用明细（合并）— 年报</t>
    </r>
    <r>
      <rPr>
        <b val="true"/>
        <sz val="10"/>
        <color rgb="FF1F3864"/>
        <rFont val="Arial"/>
        <family val="0"/>
        <charset val="1"/>
      </rPr>
      <t xml:space="preserve">/2025</t>
    </r>
    <r>
      <rPr>
        <b val="true"/>
        <sz val="10"/>
        <color rgb="FF1F3864"/>
        <rFont val="Noto Sans CJK SC"/>
        <family val="2"/>
      </rPr>
      <t xml:space="preserve">半年报口径</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</si>
  <si>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FY2022-23: 2023</t>
    </r>
    <r>
      <rPr>
        <i val="true"/>
        <sz val="10"/>
        <color rgb="FF595959"/>
        <rFont val="Noto Sans CJK SC"/>
        <family val="2"/>
      </rPr>
      <t xml:space="preserve">年年度报告 七、</t>
    </r>
    <r>
      <rPr>
        <i val="true"/>
        <sz val="10"/>
        <color rgb="FF595959"/>
        <rFont val="Arial"/>
        <family val="0"/>
        <charset val="1"/>
      </rPr>
      <t xml:space="preserve">42 (PDF p143); FY2024: 2024</t>
    </r>
    <r>
      <rPr>
        <i val="true"/>
        <sz val="10"/>
        <color rgb="FF595959"/>
        <rFont val="Noto Sans CJK SC"/>
        <family val="2"/>
      </rPr>
      <t xml:space="preserve">年年度报告 七、</t>
    </r>
    <r>
      <rPr>
        <i val="true"/>
        <sz val="10"/>
        <color rgb="FF595959"/>
        <rFont val="Arial"/>
        <family val="0"/>
        <charset val="1"/>
      </rPr>
      <t xml:space="preserve">41 (PDF p158); FY2025: 2025</t>
    </r>
    <r>
      <rPr>
        <i val="true"/>
        <sz val="10"/>
        <color rgb="FF595959"/>
        <rFont val="Noto Sans CJK SC"/>
        <family val="2"/>
      </rPr>
      <t xml:space="preserve">年年度报告 七、</t>
    </r>
    <r>
      <rPr>
        <i val="true"/>
        <sz val="10"/>
        <color rgb="FF595959"/>
        <rFont val="Arial"/>
        <family val="0"/>
        <charset val="1"/>
      </rPr>
      <t xml:space="preserve">44 (PDF p135-136); 2024H1/2025H1: 2025</t>
    </r>
    <r>
      <rPr>
        <i val="true"/>
        <sz val="10"/>
        <color rgb="FF595959"/>
        <rFont val="Noto Sans CJK SC"/>
        <family val="2"/>
      </rPr>
      <t xml:space="preserve">年半年度报告 七、</t>
    </r>
    <r>
      <rPr>
        <i val="true"/>
        <sz val="10"/>
        <color rgb="FF595959"/>
        <rFont val="Arial"/>
        <family val="0"/>
        <charset val="1"/>
      </rPr>
      <t xml:space="preserve">43 (PDF p100)</t>
    </r>
  </si>
  <si>
    <r>
      <rPr>
        <sz val="10"/>
        <color rgb="FF000000"/>
        <rFont val="Noto Sans CJK SC"/>
        <family val="2"/>
      </rPr>
      <t xml:space="preserve">职工薪酬（</t>
    </r>
    <r>
      <rPr>
        <sz val="10"/>
        <color rgb="FF000000"/>
        <rFont val="Arial"/>
        <family val="0"/>
        <charset val="1"/>
      </rPr>
      <t xml:space="preserve">FY2022-23</t>
    </r>
    <r>
      <rPr>
        <sz val="10"/>
        <color rgb="FF000000"/>
        <rFont val="Noto Sans CJK SC"/>
        <family val="2"/>
      </rPr>
      <t xml:space="preserve">原称：工资、社保、福利）</t>
    </r>
  </si>
  <si>
    <t xml:space="preserve">差旅费</t>
  </si>
  <si>
    <t xml:space="preserve">业务招待费</t>
  </si>
  <si>
    <t xml:space="preserve">展览费</t>
  </si>
  <si>
    <t xml:space="preserve">其他</t>
  </si>
  <si>
    <r>
      <rPr>
        <b val="true"/>
        <sz val="10"/>
        <color rgb="FF1F3864"/>
        <rFont val="Noto Sans CJK SC"/>
        <family val="2"/>
      </rPr>
      <t xml:space="preserve">销售费用明细（合并）— </t>
    </r>
    <r>
      <rPr>
        <b val="true"/>
        <sz val="10"/>
        <color rgb="FF1F3864"/>
        <rFont val="Arial"/>
        <family val="0"/>
        <charset val="1"/>
      </rPr>
      <t xml:space="preserve">2026</t>
    </r>
    <r>
      <rPr>
        <b val="true"/>
        <sz val="10"/>
        <color rgb="FF1F3864"/>
        <rFont val="Noto Sans CJK SC"/>
        <family val="2"/>
      </rPr>
      <t xml:space="preserve">半年报新口径（含重分类后的</t>
    </r>
    <r>
      <rPr>
        <b val="true"/>
        <sz val="10"/>
        <color rgb="FF1F3864"/>
        <rFont val="Arial"/>
        <family val="0"/>
        <charset val="1"/>
      </rPr>
      <t xml:space="preserve">2025H1</t>
    </r>
    <r>
      <rPr>
        <b val="true"/>
        <sz val="10"/>
        <color rgb="FF1F3864"/>
        <rFont val="Noto Sans CJK SC"/>
        <family val="2"/>
      </rPr>
      <t xml:space="preserve">比较数）</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</si>
  <si>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年半年度报告 第八节 七、</t>
    </r>
    <r>
      <rPr>
        <i val="true"/>
        <sz val="10"/>
        <color rgb="FF595959"/>
        <rFont val="Arial"/>
        <family val="0"/>
        <charset val="1"/>
      </rPr>
      <t xml:space="preserve">42 (PDF p98)</t>
    </r>
  </si>
  <si>
    <t xml:space="preserve">职工薪酬</t>
  </si>
  <si>
    <t xml:space="preserve">差旅及业务招待费</t>
  </si>
  <si>
    <r>
      <rPr>
        <b val="true"/>
        <sz val="10"/>
        <color rgb="FF1F3864"/>
        <rFont val="Noto Sans CJK SC"/>
        <family val="2"/>
      </rPr>
      <t xml:space="preserve">管理费用明细（合并）— </t>
    </r>
    <r>
      <rPr>
        <b val="true"/>
        <sz val="10"/>
        <color rgb="FF1F3864"/>
        <rFont val="Arial"/>
        <family val="0"/>
        <charset val="1"/>
      </rPr>
      <t xml:space="preserve">2023</t>
    </r>
    <r>
      <rPr>
        <b val="true"/>
        <sz val="10"/>
        <color rgb="FF1F3864"/>
        <rFont val="Noto Sans CJK SC"/>
        <family val="2"/>
      </rPr>
      <t xml:space="preserve">年报口径</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</si>
  <si>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年年度报告 第十节 七、</t>
    </r>
    <r>
      <rPr>
        <i val="true"/>
        <sz val="10"/>
        <color rgb="FF595959"/>
        <rFont val="Arial"/>
        <family val="0"/>
        <charset val="1"/>
      </rPr>
      <t xml:space="preserve">41 (PDF p142)</t>
    </r>
  </si>
  <si>
    <t xml:space="preserve">工资、社保、福利</t>
  </si>
  <si>
    <t xml:space="preserve">办公费</t>
  </si>
  <si>
    <t xml:space="preserve">固定资产折旧</t>
  </si>
  <si>
    <t xml:space="preserve">无形资产摊销</t>
  </si>
  <si>
    <t xml:space="preserve">修理费</t>
  </si>
  <si>
    <t xml:space="preserve">排污费</t>
  </si>
  <si>
    <t xml:space="preserve">中介费</t>
  </si>
  <si>
    <t xml:space="preserve">咨询费</t>
  </si>
  <si>
    <t xml:space="preserve">运杂费</t>
  </si>
  <si>
    <t xml:space="preserve">劳保费</t>
  </si>
  <si>
    <r>
      <rPr>
        <b val="true"/>
        <sz val="10"/>
        <color rgb="FF1F3864"/>
        <rFont val="Noto Sans CJK SC"/>
        <family val="2"/>
      </rPr>
      <t xml:space="preserve">管理费用明细（合并）— </t>
    </r>
    <r>
      <rPr>
        <b val="true"/>
        <sz val="10"/>
        <color rgb="FF1F3864"/>
        <rFont val="Arial"/>
        <family val="0"/>
        <charset val="1"/>
      </rPr>
      <t xml:space="preserve">2024/2025</t>
    </r>
    <r>
      <rPr>
        <b val="true"/>
        <sz val="10"/>
        <color rgb="FF1F3864"/>
        <rFont val="Noto Sans CJK SC"/>
        <family val="2"/>
      </rPr>
      <t xml:space="preserve">年报口径（</t>
    </r>
    <r>
      <rPr>
        <b val="true"/>
        <sz val="10"/>
        <color rgb="FF1F3864"/>
        <rFont val="Arial"/>
        <family val="0"/>
        <charset val="1"/>
      </rPr>
      <t xml:space="preserve">FY2023</t>
    </r>
    <r>
      <rPr>
        <b val="true"/>
        <sz val="10"/>
        <color rgb="FF1F3864"/>
        <rFont val="Noto Sans CJK SC"/>
        <family val="2"/>
      </rPr>
      <t xml:space="preserve">为</t>
    </r>
    <r>
      <rPr>
        <b val="true"/>
        <sz val="10"/>
        <color rgb="FF1F3864"/>
        <rFont val="Arial"/>
        <family val="0"/>
        <charset val="1"/>
      </rPr>
      <t xml:space="preserve">2024</t>
    </r>
    <r>
      <rPr>
        <b val="true"/>
        <sz val="10"/>
        <color rgb="FF1F3864"/>
        <rFont val="Noto Sans CJK SC"/>
        <family val="2"/>
      </rPr>
      <t xml:space="preserve">年报重分类后比较数）</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</si>
  <si>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FY2023-24: 2024</t>
    </r>
    <r>
      <rPr>
        <i val="true"/>
        <sz val="10"/>
        <color rgb="FF595959"/>
        <rFont val="Noto Sans CJK SC"/>
        <family val="2"/>
      </rPr>
      <t xml:space="preserve">年年度报告 七、</t>
    </r>
    <r>
      <rPr>
        <i val="true"/>
        <sz val="10"/>
        <color rgb="FF595959"/>
        <rFont val="Arial"/>
        <family val="0"/>
        <charset val="1"/>
      </rPr>
      <t xml:space="preserve">40 (PDF p157-158); FY2024-25: 2025</t>
    </r>
    <r>
      <rPr>
        <i val="true"/>
        <sz val="10"/>
        <color rgb="FF595959"/>
        <rFont val="Noto Sans CJK SC"/>
        <family val="2"/>
      </rPr>
      <t xml:space="preserve">年年度报告 七、</t>
    </r>
    <r>
      <rPr>
        <i val="true"/>
        <sz val="10"/>
        <color rgb="FF595959"/>
        <rFont val="Arial"/>
        <family val="0"/>
        <charset val="1"/>
      </rPr>
      <t xml:space="preserve">43 (PDF p135)</t>
    </r>
  </si>
  <si>
    <t xml:space="preserve">咨询顾问费</t>
  </si>
  <si>
    <r>
      <rPr>
        <b val="true"/>
        <sz val="10"/>
        <color rgb="FF1F3864"/>
        <rFont val="Noto Sans CJK SC"/>
        <family val="2"/>
      </rPr>
      <t xml:space="preserve">管理费用明细（合并）— </t>
    </r>
    <r>
      <rPr>
        <b val="true"/>
        <sz val="10"/>
        <color rgb="FF1F3864"/>
        <rFont val="Arial"/>
        <family val="0"/>
        <charset val="1"/>
      </rPr>
      <t xml:space="preserve">2025</t>
    </r>
    <r>
      <rPr>
        <b val="true"/>
        <sz val="10"/>
        <color rgb="FF1F3864"/>
        <rFont val="Noto Sans CJK SC"/>
        <family val="2"/>
      </rPr>
      <t xml:space="preserve">半年报口径</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</si>
  <si>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年半年度报告 第八节 七、</t>
    </r>
    <r>
      <rPr>
        <i val="true"/>
        <sz val="10"/>
        <color rgb="FF595959"/>
        <rFont val="Arial"/>
        <family val="0"/>
        <charset val="1"/>
      </rPr>
      <t xml:space="preserve">42 (PDF p100)</t>
    </r>
  </si>
  <si>
    <r>
      <rPr>
        <b val="true"/>
        <sz val="10"/>
        <color rgb="FF1F3864"/>
        <rFont val="Noto Sans CJK SC"/>
        <family val="2"/>
      </rPr>
      <t xml:space="preserve">管理费用明细（合并）— </t>
    </r>
    <r>
      <rPr>
        <b val="true"/>
        <sz val="10"/>
        <color rgb="FF1F3864"/>
        <rFont val="Arial"/>
        <family val="0"/>
        <charset val="1"/>
      </rPr>
      <t xml:space="preserve">2026</t>
    </r>
    <r>
      <rPr>
        <b val="true"/>
        <sz val="10"/>
        <color rgb="FF1F3864"/>
        <rFont val="Noto Sans CJK SC"/>
        <family val="2"/>
      </rPr>
      <t xml:space="preserve">半年报新口径（含重分类后的</t>
    </r>
    <r>
      <rPr>
        <b val="true"/>
        <sz val="10"/>
        <color rgb="FF1F3864"/>
        <rFont val="Arial"/>
        <family val="0"/>
        <charset val="1"/>
      </rPr>
      <t xml:space="preserve">2025H1</t>
    </r>
    <r>
      <rPr>
        <b val="true"/>
        <sz val="10"/>
        <color rgb="FF1F3864"/>
        <rFont val="Noto Sans CJK SC"/>
        <family val="2"/>
      </rPr>
      <t xml:space="preserve">比较数）</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</si>
  <si>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年半年度报告 第八节 七、</t>
    </r>
    <r>
      <rPr>
        <i val="true"/>
        <sz val="10"/>
        <color rgb="FF595959"/>
        <rFont val="Arial"/>
        <family val="0"/>
        <charset val="1"/>
      </rPr>
      <t xml:space="preserve">41 (PDF p98)</t>
    </r>
  </si>
  <si>
    <t xml:space="preserve">后勤及办公费</t>
  </si>
  <si>
    <t xml:space="preserve">折旧和摊销费</t>
  </si>
  <si>
    <t xml:space="preserve">财务费用明细（合并）</t>
  </si>
  <si>
    <r>
      <rPr>
        <i val="true"/>
        <sz val="10"/>
        <color rgb="FF595959"/>
        <rFont val="Noto Sans CJK SC"/>
        <family val="2"/>
      </rPr>
      <t xml:space="preserve">单位：百万元（原表单位元；比例、单价、股数、人数等非金额行列保持原值；原单位说明：元（合计为负数</t>
    </r>
    <r>
      <rPr>
        <i val="true"/>
        <sz val="10"/>
        <color rgb="FF595959"/>
        <rFont val="Arial"/>
        <family val="0"/>
        <charset val="1"/>
      </rPr>
      <t xml:space="preserve">=</t>
    </r>
    <r>
      <rPr>
        <i val="true"/>
        <sz val="10"/>
        <color rgb="FF595959"/>
        <rFont val="Noto Sans CJK SC"/>
        <family val="2"/>
      </rPr>
      <t xml:space="preserve">净收益））；来源：</t>
    </r>
    <r>
      <rPr>
        <i val="true"/>
        <sz val="10"/>
        <color rgb="FF595959"/>
        <rFont val="Arial"/>
        <family val="0"/>
        <charset val="1"/>
      </rPr>
      <t xml:space="preserve">FY2022-23: 2023</t>
    </r>
    <r>
      <rPr>
        <i val="true"/>
        <sz val="10"/>
        <color rgb="FF595959"/>
        <rFont val="Noto Sans CJK SC"/>
        <family val="2"/>
      </rPr>
      <t xml:space="preserve">年年度报告 七、</t>
    </r>
    <r>
      <rPr>
        <i val="true"/>
        <sz val="10"/>
        <color rgb="FF595959"/>
        <rFont val="Arial"/>
        <family val="0"/>
        <charset val="1"/>
      </rPr>
      <t xml:space="preserve">44 (PDF p143); FY2024: 2024</t>
    </r>
    <r>
      <rPr>
        <i val="true"/>
        <sz val="10"/>
        <color rgb="FF595959"/>
        <rFont val="Noto Sans CJK SC"/>
        <family val="2"/>
      </rPr>
      <t xml:space="preserve">年年度报告 七、</t>
    </r>
    <r>
      <rPr>
        <i val="true"/>
        <sz val="10"/>
        <color rgb="FF595959"/>
        <rFont val="Arial"/>
        <family val="0"/>
        <charset val="1"/>
      </rPr>
      <t xml:space="preserve">43 (PDF p158-159); FY2025: 2025</t>
    </r>
    <r>
      <rPr>
        <i val="true"/>
        <sz val="10"/>
        <color rgb="FF595959"/>
        <rFont val="Noto Sans CJK SC"/>
        <family val="2"/>
      </rPr>
      <t xml:space="preserve">年年度报告 七、</t>
    </r>
    <r>
      <rPr>
        <i val="true"/>
        <sz val="10"/>
        <color rgb="FF595959"/>
        <rFont val="Arial"/>
        <family val="0"/>
        <charset val="1"/>
      </rPr>
      <t xml:space="preserve">46 (PDF p136); 2024H1/2025H1: 2025</t>
    </r>
    <r>
      <rPr>
        <i val="true"/>
        <sz val="10"/>
        <color rgb="FF595959"/>
        <rFont val="Noto Sans CJK SC"/>
        <family val="2"/>
      </rPr>
      <t xml:space="preserve">年半年度报告 七、</t>
    </r>
    <r>
      <rPr>
        <i val="true"/>
        <sz val="10"/>
        <color rgb="FF595959"/>
        <rFont val="Arial"/>
        <family val="0"/>
        <charset val="1"/>
      </rPr>
      <t xml:space="preserve">45 (PDF p101); 2026H1: 2026</t>
    </r>
    <r>
      <rPr>
        <i val="true"/>
        <sz val="10"/>
        <color rgb="FF595959"/>
        <rFont val="Noto Sans CJK SC"/>
        <family val="2"/>
      </rPr>
      <t xml:space="preserve">年半年度报告 七、</t>
    </r>
    <r>
      <rPr>
        <i val="true"/>
        <sz val="10"/>
        <color rgb="FF595959"/>
        <rFont val="Arial"/>
        <family val="0"/>
        <charset val="1"/>
      </rPr>
      <t xml:space="preserve">44 (PDF p98)</t>
    </r>
  </si>
  <si>
    <t xml:space="preserve">减：利息收入</t>
  </si>
  <si>
    <t xml:space="preserve">汇兑损益</t>
  </si>
  <si>
    <t xml:space="preserve">税金及附加明细（合并）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</si>
  <si>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FY2022-23: 2023</t>
    </r>
    <r>
      <rPr>
        <i val="true"/>
        <sz val="10"/>
        <color rgb="FF595959"/>
        <rFont val="Noto Sans CJK SC"/>
        <family val="2"/>
      </rPr>
      <t xml:space="preserve">年年度报告 七、</t>
    </r>
    <r>
      <rPr>
        <i val="true"/>
        <sz val="10"/>
        <color rgb="FF595959"/>
        <rFont val="Arial"/>
        <family val="0"/>
        <charset val="1"/>
      </rPr>
      <t xml:space="preserve">40 (PDF p142); FY2024: 2024</t>
    </r>
    <r>
      <rPr>
        <i val="true"/>
        <sz val="10"/>
        <color rgb="FF595959"/>
        <rFont val="Noto Sans CJK SC"/>
        <family val="2"/>
      </rPr>
      <t xml:space="preserve">年年度报告 七、</t>
    </r>
    <r>
      <rPr>
        <i val="true"/>
        <sz val="10"/>
        <color rgb="FF595959"/>
        <rFont val="Arial"/>
        <family val="0"/>
        <charset val="1"/>
      </rPr>
      <t xml:space="preserve">39 (PDF p157); FY2025: 2025</t>
    </r>
    <r>
      <rPr>
        <i val="true"/>
        <sz val="10"/>
        <color rgb="FF595959"/>
        <rFont val="Noto Sans CJK SC"/>
        <family val="2"/>
      </rPr>
      <t xml:space="preserve">年年度报告 七、</t>
    </r>
    <r>
      <rPr>
        <i val="true"/>
        <sz val="10"/>
        <color rgb="FF595959"/>
        <rFont val="Arial"/>
        <family val="0"/>
        <charset val="1"/>
      </rPr>
      <t xml:space="preserve">42 (PDF p135); 2024H1/2025H1: 2025</t>
    </r>
    <r>
      <rPr>
        <i val="true"/>
        <sz val="10"/>
        <color rgb="FF595959"/>
        <rFont val="Noto Sans CJK SC"/>
        <family val="2"/>
      </rPr>
      <t xml:space="preserve">年半年度报告 七、</t>
    </r>
    <r>
      <rPr>
        <i val="true"/>
        <sz val="10"/>
        <color rgb="FF595959"/>
        <rFont val="Arial"/>
        <family val="0"/>
        <charset val="1"/>
      </rPr>
      <t xml:space="preserve">41 (PDF p99); 2026H1: 2026</t>
    </r>
    <r>
      <rPr>
        <i val="true"/>
        <sz val="10"/>
        <color rgb="FF595959"/>
        <rFont val="Noto Sans CJK SC"/>
        <family val="2"/>
      </rPr>
      <t xml:space="preserve">年半年度报告 七、</t>
    </r>
    <r>
      <rPr>
        <i val="true"/>
        <sz val="10"/>
        <color rgb="FF595959"/>
        <rFont val="Arial"/>
        <family val="0"/>
        <charset val="1"/>
      </rPr>
      <t xml:space="preserve">40 (PDF p97-98)</t>
    </r>
  </si>
  <si>
    <t xml:space="preserve">城市维护建设税</t>
  </si>
  <si>
    <t xml:space="preserve">教育费附加</t>
  </si>
  <si>
    <t xml:space="preserve">房产税</t>
  </si>
  <si>
    <t xml:space="preserve">土地使用税</t>
  </si>
  <si>
    <t xml:space="preserve">车船使用税</t>
  </si>
  <si>
    <t xml:space="preserve">印花税</t>
  </si>
  <si>
    <t xml:space="preserve">环保税</t>
  </si>
  <si>
    <t xml:space="preserve">土地增值税</t>
  </si>
  <si>
    <t xml:space="preserve">水资源税</t>
  </si>
  <si>
    <t xml:space="preserve">期间费用及税金及附加汇总（合并利润表口径）</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</si>
  <si>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MD&amp;A 3</t>
    </r>
    <r>
      <rPr>
        <i val="true"/>
        <sz val="10"/>
        <color rgb="FF595959"/>
        <rFont val="Noto Sans CJK SC"/>
        <family val="2"/>
      </rPr>
      <t xml:space="preserve">、费用 </t>
    </r>
    <r>
      <rPr>
        <i val="true"/>
        <sz val="10"/>
        <color rgb="FF595959"/>
        <rFont val="Arial"/>
        <family val="0"/>
        <charset val="1"/>
      </rPr>
      <t xml:space="preserve">tables (2023</t>
    </r>
    <r>
      <rPr>
        <i val="true"/>
        <sz val="10"/>
        <color rgb="FF595959"/>
        <rFont val="Noto Sans CJK SC"/>
        <family val="2"/>
      </rPr>
      <t xml:space="preserve">年报 </t>
    </r>
    <r>
      <rPr>
        <i val="true"/>
        <sz val="10"/>
        <color rgb="FF595959"/>
        <rFont val="Arial"/>
        <family val="0"/>
        <charset val="1"/>
      </rPr>
      <t xml:space="preserve">p15, 2024</t>
    </r>
    <r>
      <rPr>
        <i val="true"/>
        <sz val="10"/>
        <color rgb="FF595959"/>
        <rFont val="Noto Sans CJK SC"/>
        <family val="2"/>
      </rPr>
      <t xml:space="preserve">年报 </t>
    </r>
    <r>
      <rPr>
        <i val="true"/>
        <sz val="10"/>
        <color rgb="FF595959"/>
        <rFont val="Arial"/>
        <family val="0"/>
        <charset val="1"/>
      </rPr>
      <t xml:space="preserve">p15, 2025</t>
    </r>
    <r>
      <rPr>
        <i val="true"/>
        <sz val="10"/>
        <color rgb="FF595959"/>
        <rFont val="Noto Sans CJK SC"/>
        <family val="2"/>
      </rPr>
      <t xml:space="preserve">年报 </t>
    </r>
    <r>
      <rPr>
        <i val="true"/>
        <sz val="10"/>
        <color rgb="FF595959"/>
        <rFont val="Arial"/>
        <family val="0"/>
        <charset val="1"/>
      </rPr>
      <t xml:space="preserve">p15) and half-year </t>
    </r>
    <r>
      <rPr>
        <i val="true"/>
        <sz val="10"/>
        <color rgb="FF595959"/>
        <rFont val="Noto Sans CJK SC"/>
        <family val="2"/>
      </rPr>
      <t xml:space="preserve">主要财务数据同比变动情况 </t>
    </r>
    <r>
      <rPr>
        <i val="true"/>
        <sz val="10"/>
        <color rgb="FF595959"/>
        <rFont val="Arial"/>
        <family val="0"/>
        <charset val="1"/>
      </rPr>
      <t xml:space="preserve">tables (p10); equal to note totals</t>
    </r>
  </si>
  <si>
    <r>
      <rPr>
        <b val="true"/>
        <sz val="10"/>
        <color rgb="FF1F3864"/>
        <rFont val="Noto Sans CJK SC"/>
        <family val="2"/>
      </rPr>
      <t xml:space="preserve">（推算，非披露）占比</t>
    </r>
    <r>
      <rPr>
        <b val="true"/>
        <sz val="10"/>
        <color rgb="FF1F3864"/>
        <rFont val="Arial"/>
        <family val="0"/>
        <charset val="1"/>
      </rPr>
      <t xml:space="preserve">10%</t>
    </r>
    <r>
      <rPr>
        <b val="true"/>
        <sz val="10"/>
        <color rgb="FF1F3864"/>
        <rFont val="Noto Sans CJK SC"/>
        <family val="2"/>
      </rPr>
      <t xml:space="preserve">以上行业</t>
    </r>
    <r>
      <rPr>
        <b val="true"/>
        <sz val="10"/>
        <color rgb="FF1F3864"/>
        <rFont val="Arial"/>
        <family val="0"/>
        <charset val="1"/>
      </rPr>
      <t xml:space="preserve">/</t>
    </r>
    <r>
      <rPr>
        <b val="true"/>
        <sz val="10"/>
        <color rgb="FF1F3864"/>
        <rFont val="Noto Sans CJK SC"/>
        <family val="2"/>
      </rPr>
      <t xml:space="preserve">产品</t>
    </r>
    <r>
      <rPr>
        <b val="true"/>
        <sz val="10"/>
        <color rgb="FF1F3864"/>
        <rFont val="Arial"/>
        <family val="0"/>
        <charset val="1"/>
      </rPr>
      <t xml:space="preserve">/</t>
    </r>
    <r>
      <rPr>
        <b val="true"/>
        <sz val="10"/>
        <color rgb="FF1F3864"/>
        <rFont val="Noto Sans CJK SC"/>
        <family val="2"/>
      </rPr>
      <t xml:space="preserve">地区的上期营业成本与毛利率 — 由本期金额及披露的同比增减反推</t>
    </r>
  </si>
  <si>
    <r>
      <rPr>
        <i val="true"/>
        <sz val="10"/>
        <color rgb="FF595959"/>
        <rFont val="Noto Sans CJK SC"/>
        <family val="2"/>
      </rPr>
      <t xml:space="preserve">单位：百万元（原表单位元；比例、单价、股数、人数等非金额行列保持原值；原单位说明：元（收入、成本、误差）；</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flag</t>
    </r>
    <r>
      <rPr>
        <i val="true"/>
        <sz val="10"/>
        <color rgb="FF595959"/>
        <rFont val="Noto Sans CJK SC"/>
        <family val="2"/>
      </rPr>
      <t xml:space="preserve">（</t>
    </r>
    <r>
      <rPr>
        <i val="true"/>
        <sz val="10"/>
        <color rgb="FF595959"/>
        <rFont val="Arial"/>
        <family val="0"/>
        <charset val="1"/>
      </rPr>
      <t xml:space="preserve">1=</t>
    </r>
    <r>
      <rPr>
        <i val="true"/>
        <sz val="10"/>
        <color rgb="FF595959"/>
        <rFont val="Noto Sans CJK SC"/>
        <family val="2"/>
      </rPr>
      <t xml:space="preserve">上期收入亦为反推））；来源：</t>
    </r>
    <r>
      <rPr>
        <i val="true"/>
        <sz val="10"/>
        <color rgb="FF595959"/>
        <rFont val="Arial"/>
        <family val="0"/>
        <charset val="1"/>
      </rPr>
      <t xml:space="preserve">Derived from D3_top10pct_* (</t>
    </r>
    <r>
      <rPr>
        <i val="true"/>
        <sz val="10"/>
        <color rgb="FF595959"/>
        <rFont val="Noto Sans CJK SC"/>
        <family val="2"/>
      </rPr>
      <t xml:space="preserve">本期营业收入</t>
    </r>
    <r>
      <rPr>
        <i val="true"/>
        <sz val="10"/>
        <color rgb="FF595959"/>
        <rFont val="Arial"/>
        <family val="0"/>
        <charset val="1"/>
      </rPr>
      <t xml:space="preserve">/</t>
    </r>
    <r>
      <rPr>
        <i val="true"/>
        <sz val="10"/>
        <color rgb="FF595959"/>
        <rFont val="Noto Sans CJK SC"/>
        <family val="2"/>
      </rPr>
      <t xml:space="preserve">营业成本 </t>
    </r>
    <r>
      <rPr>
        <i val="true"/>
        <sz val="10"/>
        <color rgb="FF595959"/>
        <rFont val="Arial"/>
        <family val="0"/>
        <charset val="1"/>
      </rPr>
      <t xml:space="preserve">and </t>
    </r>
    <r>
      <rPr>
        <i val="true"/>
        <sz val="10"/>
        <color rgb="FF595959"/>
        <rFont val="Noto Sans CJK SC"/>
        <family val="2"/>
      </rPr>
      <t xml:space="preserve">营业收入</t>
    </r>
    <r>
      <rPr>
        <i val="true"/>
        <sz val="10"/>
        <color rgb="FF595959"/>
        <rFont val="Arial"/>
        <family val="0"/>
        <charset val="1"/>
      </rPr>
      <t xml:space="preserve">/</t>
    </r>
    <r>
      <rPr>
        <i val="true"/>
        <sz val="10"/>
        <color rgb="FF595959"/>
        <rFont val="Noto Sans CJK SC"/>
        <family val="2"/>
      </rPr>
      <t xml:space="preserve">营业成本比上年同期增减</t>
    </r>
    <r>
      <rPr>
        <i val="true"/>
        <sz val="10"/>
        <color rgb="FF595959"/>
        <rFont val="Arial"/>
        <family val="0"/>
        <charset val="1"/>
      </rPr>
      <t xml:space="preserve">, </t>
    </r>
    <r>
      <rPr>
        <i val="true"/>
        <sz val="10"/>
        <color rgb="FF595959"/>
        <rFont val="Noto Sans CJK SC"/>
        <family val="2"/>
      </rPr>
      <t xml:space="preserve">毛利率比上年同期增减</t>
    </r>
    <r>
      <rPr>
        <i val="true"/>
        <sz val="10"/>
        <color rgb="FF595959"/>
        <rFont val="Arial"/>
        <family val="0"/>
        <charset val="1"/>
      </rPr>
      <t xml:space="preserve">). </t>
    </r>
    <r>
      <rPr>
        <i val="true"/>
        <sz val="10"/>
        <color rgb="FF595959"/>
        <rFont val="Noto Sans CJK SC"/>
        <family val="2"/>
      </rPr>
      <t xml:space="preserve">上期营业收入 </t>
    </r>
    <r>
      <rPr>
        <i val="true"/>
        <sz val="10"/>
        <color rgb="FF595959"/>
        <rFont val="Arial"/>
        <family val="0"/>
        <charset val="1"/>
      </rPr>
      <t xml:space="preserve">taken as disclosed where available (2023</t>
    </r>
    <r>
      <rPr>
        <i val="true"/>
        <sz val="10"/>
        <color rgb="FF595959"/>
        <rFont val="Noto Sans CJK SC"/>
        <family val="2"/>
      </rPr>
      <t xml:space="preserve">年报</t>
    </r>
    <r>
      <rPr>
        <i val="true"/>
        <sz val="10"/>
        <color rgb="FF595959"/>
        <rFont val="Arial"/>
        <family val="0"/>
        <charset val="1"/>
      </rPr>
      <t xml:space="preserve">/2024</t>
    </r>
    <r>
      <rPr>
        <i val="true"/>
        <sz val="10"/>
        <color rgb="FF595959"/>
        <rFont val="Noto Sans CJK SC"/>
        <family val="2"/>
      </rPr>
      <t xml:space="preserve">年报</t>
    </r>
    <r>
      <rPr>
        <i val="true"/>
        <sz val="10"/>
        <color rgb="FF595959"/>
        <rFont val="Arial"/>
        <family val="0"/>
        <charset val="1"/>
      </rPr>
      <t xml:space="preserve">/2025</t>
    </r>
    <r>
      <rPr>
        <i val="true"/>
        <sz val="10"/>
        <color rgb="FF595959"/>
        <rFont val="Noto Sans CJK SC"/>
        <family val="2"/>
      </rPr>
      <t xml:space="preserve">年报 营业收入构成 </t>
    </r>
    <r>
      <rPr>
        <i val="true"/>
        <sz val="10"/>
        <color rgb="FF595959"/>
        <rFont val="Arial"/>
        <family val="0"/>
        <charset val="1"/>
      </rPr>
      <t xml:space="preserve">comparatives); for 2024H1 and restated 2025H1 it is im</t>
    </r>
  </si>
  <si>
    <t xml:space="preserve">上期营业收入</t>
  </si>
  <si>
    <r>
      <rPr>
        <b val="true"/>
        <sz val="10"/>
        <color rgb="FFFFFFFF"/>
        <rFont val="Noto Sans CJK SC"/>
        <family val="2"/>
      </rPr>
      <t xml:space="preserve">上期营业成本</t>
    </r>
    <r>
      <rPr>
        <b val="true"/>
        <sz val="10"/>
        <color rgb="FFFFFFFF"/>
        <rFont val="Arial"/>
        <family val="0"/>
        <charset val="1"/>
      </rPr>
      <t xml:space="preserve">_</t>
    </r>
    <r>
      <rPr>
        <b val="true"/>
        <sz val="10"/>
        <color rgb="FFFFFFFF"/>
        <rFont val="Noto Sans CJK SC"/>
        <family val="2"/>
      </rPr>
      <t xml:space="preserve">推算</t>
    </r>
  </si>
  <si>
    <r>
      <rPr>
        <b val="true"/>
        <sz val="10"/>
        <color rgb="FFFFFFFF"/>
        <rFont val="Noto Sans CJK SC"/>
        <family val="2"/>
      </rPr>
      <t xml:space="preserve">上期毛利率</t>
    </r>
    <r>
      <rPr>
        <b val="true"/>
        <sz val="10"/>
        <color rgb="FFFFFFFF"/>
        <rFont val="Arial"/>
        <family val="0"/>
        <charset val="1"/>
      </rPr>
      <t xml:space="preserve">_pct_</t>
    </r>
    <r>
      <rPr>
        <b val="true"/>
        <sz val="10"/>
        <color rgb="FFFFFFFF"/>
        <rFont val="Noto Sans CJK SC"/>
        <family val="2"/>
      </rPr>
      <t xml:space="preserve">按披露</t>
    </r>
    <r>
      <rPr>
        <b val="true"/>
        <sz val="10"/>
        <color rgb="FFFFFFFF"/>
        <rFont val="Arial"/>
        <family val="0"/>
        <charset val="1"/>
      </rPr>
      <t xml:space="preserve">pp</t>
    </r>
    <r>
      <rPr>
        <b val="true"/>
        <sz val="10"/>
        <color rgb="FFFFFFFF"/>
        <rFont val="Noto Sans CJK SC"/>
        <family val="2"/>
      </rPr>
      <t xml:space="preserve">反推</t>
    </r>
  </si>
  <si>
    <r>
      <rPr>
        <b val="true"/>
        <sz val="10"/>
        <color rgb="FFFFFFFF"/>
        <rFont val="Noto Sans CJK SC"/>
        <family val="2"/>
      </rPr>
      <t xml:space="preserve">上期毛利率</t>
    </r>
    <r>
      <rPr>
        <b val="true"/>
        <sz val="10"/>
        <color rgb="FFFFFFFF"/>
        <rFont val="Arial"/>
        <family val="0"/>
        <charset val="1"/>
      </rPr>
      <t xml:space="preserve">_pct_</t>
    </r>
    <r>
      <rPr>
        <b val="true"/>
        <sz val="10"/>
        <color rgb="FFFFFFFF"/>
        <rFont val="Noto Sans CJK SC"/>
        <family val="2"/>
      </rPr>
      <t xml:space="preserve">按推算成本</t>
    </r>
  </si>
  <si>
    <r>
      <rPr>
        <b val="true"/>
        <sz val="10"/>
        <color rgb="FFFFFFFF"/>
        <rFont val="Noto Sans CJK SC"/>
        <family val="2"/>
      </rPr>
      <t xml:space="preserve">上期营业成本</t>
    </r>
    <r>
      <rPr>
        <b val="true"/>
        <sz val="10"/>
        <color rgb="FFFFFFFF"/>
        <rFont val="Arial"/>
        <family val="0"/>
        <charset val="1"/>
      </rPr>
      <t xml:space="preserve">_</t>
    </r>
    <r>
      <rPr>
        <b val="true"/>
        <sz val="10"/>
        <color rgb="FFFFFFFF"/>
        <rFont val="Noto Sans CJK SC"/>
        <family val="2"/>
      </rPr>
      <t xml:space="preserve">推算误差</t>
    </r>
    <r>
      <rPr>
        <b val="true"/>
        <sz val="10"/>
        <color rgb="FFFFFFFF"/>
        <rFont val="Arial"/>
        <family val="0"/>
        <charset val="1"/>
      </rPr>
      <t xml:space="preserve">±(yoy</t>
    </r>
    <r>
      <rPr>
        <b val="true"/>
        <sz val="10"/>
        <color rgb="FFFFFFFF"/>
        <rFont val="Noto Sans CJK SC"/>
        <family val="2"/>
      </rPr>
      <t xml:space="preserve">四舍五入</t>
    </r>
    <r>
      <rPr>
        <b val="true"/>
        <sz val="10"/>
        <color rgb="FFFFFFFF"/>
        <rFont val="Arial"/>
        <family val="0"/>
        <charset val="1"/>
      </rPr>
      <t xml:space="preserve">0.00</t>
    </r>
  </si>
  <si>
    <r>
      <rPr>
        <b val="true"/>
        <sz val="10"/>
        <color rgb="FFFFFFFF"/>
        <rFont val="Noto Sans CJK SC"/>
        <family val="2"/>
      </rPr>
      <t xml:space="preserve">上期收入为推算</t>
    </r>
    <r>
      <rPr>
        <b val="true"/>
        <sz val="10"/>
        <color rgb="FFFFFFFF"/>
        <rFont val="Arial"/>
        <family val="0"/>
        <charset val="1"/>
      </rPr>
      <t xml:space="preserve">_flag</t>
    </r>
  </si>
  <si>
    <r>
      <rPr>
        <sz val="10"/>
        <color rgb="FF000000"/>
        <rFont val="Arial"/>
        <family val="0"/>
        <charset val="1"/>
      </rPr>
      <t xml:space="preserve">FY2022|</t>
    </r>
    <r>
      <rPr>
        <sz val="10"/>
        <color rgb="FF000000"/>
        <rFont val="Noto Sans CJK SC"/>
        <family val="2"/>
      </rPr>
      <t xml:space="preserve">分行业</t>
    </r>
    <r>
      <rPr>
        <sz val="10"/>
        <color rgb="FF000000"/>
        <rFont val="Arial"/>
        <family val="0"/>
        <charset val="1"/>
      </rPr>
      <t xml:space="preserve">|</t>
    </r>
    <r>
      <rPr>
        <sz val="10"/>
        <color rgb="FF000000"/>
        <rFont val="Noto Sans CJK SC"/>
        <family val="2"/>
      </rPr>
      <t xml:space="preserve">工业</t>
    </r>
  </si>
  <si>
    <r>
      <rPr>
        <sz val="10"/>
        <color rgb="FF000000"/>
        <rFont val="Arial"/>
        <family val="0"/>
        <charset val="1"/>
      </rPr>
      <t xml:space="preserve">FY2022|</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电子元件及材料</t>
    </r>
  </si>
  <si>
    <r>
      <rPr>
        <sz val="10"/>
        <color rgb="FF000000"/>
        <rFont val="Arial"/>
        <family val="0"/>
        <charset val="1"/>
      </rPr>
      <t xml:space="preserve">FY2022|</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通信部件</t>
    </r>
  </si>
  <si>
    <r>
      <rPr>
        <sz val="10"/>
        <color rgb="FF000000"/>
        <rFont val="Arial"/>
        <family val="0"/>
        <charset val="1"/>
      </rPr>
      <t xml:space="preserve">FY2022|</t>
    </r>
    <r>
      <rPr>
        <sz val="10"/>
        <color rgb="FF000000"/>
        <rFont val="Noto Sans CJK SC"/>
        <family val="2"/>
      </rPr>
      <t xml:space="preserve">分地区</t>
    </r>
    <r>
      <rPr>
        <sz val="10"/>
        <color rgb="FF000000"/>
        <rFont val="Arial"/>
        <family val="0"/>
        <charset val="1"/>
      </rPr>
      <t xml:space="preserve">|</t>
    </r>
    <r>
      <rPr>
        <sz val="10"/>
        <color rgb="FF000000"/>
        <rFont val="Noto Sans CJK SC"/>
        <family val="2"/>
      </rPr>
      <t xml:space="preserve">境内</t>
    </r>
  </si>
  <si>
    <r>
      <rPr>
        <sz val="10"/>
        <color rgb="FF000000"/>
        <rFont val="Arial"/>
        <family val="0"/>
        <charset val="1"/>
      </rPr>
      <t xml:space="preserve">FY2022|</t>
    </r>
    <r>
      <rPr>
        <sz val="10"/>
        <color rgb="FF000000"/>
        <rFont val="Noto Sans CJK SC"/>
        <family val="2"/>
      </rPr>
      <t xml:space="preserve">分地区</t>
    </r>
    <r>
      <rPr>
        <sz val="10"/>
        <color rgb="FF000000"/>
        <rFont val="Arial"/>
        <family val="0"/>
        <charset val="1"/>
      </rPr>
      <t xml:space="preserve">|</t>
    </r>
    <r>
      <rPr>
        <sz val="10"/>
        <color rgb="FF000000"/>
        <rFont val="Noto Sans CJK SC"/>
        <family val="2"/>
      </rPr>
      <t xml:space="preserve">境外</t>
    </r>
  </si>
  <si>
    <r>
      <rPr>
        <sz val="10"/>
        <color rgb="FF000000"/>
        <rFont val="Arial"/>
        <family val="0"/>
        <charset val="1"/>
      </rPr>
      <t xml:space="preserve">FY2022|</t>
    </r>
    <r>
      <rPr>
        <sz val="10"/>
        <color rgb="FF000000"/>
        <rFont val="Noto Sans CJK SC"/>
        <family val="2"/>
      </rPr>
      <t xml:space="preserve">分销售模式</t>
    </r>
    <r>
      <rPr>
        <sz val="10"/>
        <color rgb="FF000000"/>
        <rFont val="Arial"/>
        <family val="0"/>
        <charset val="1"/>
      </rPr>
      <t xml:space="preserve">|</t>
    </r>
    <r>
      <rPr>
        <sz val="10"/>
        <color rgb="FF000000"/>
        <rFont val="Noto Sans CJK SC"/>
        <family val="2"/>
      </rPr>
      <t xml:space="preserve">直销</t>
    </r>
  </si>
  <si>
    <r>
      <rPr>
        <sz val="10"/>
        <color rgb="FF000000"/>
        <rFont val="Arial"/>
        <family val="0"/>
        <charset val="1"/>
      </rPr>
      <t xml:space="preserve">FY2022|</t>
    </r>
    <r>
      <rPr>
        <sz val="10"/>
        <color rgb="FF000000"/>
        <rFont val="Noto Sans CJK SC"/>
        <family val="2"/>
      </rPr>
      <t xml:space="preserve">分销售模式</t>
    </r>
    <r>
      <rPr>
        <sz val="10"/>
        <color rgb="FF000000"/>
        <rFont val="Arial"/>
        <family val="0"/>
        <charset val="1"/>
      </rPr>
      <t xml:space="preserve">|</t>
    </r>
    <r>
      <rPr>
        <sz val="10"/>
        <color rgb="FF000000"/>
        <rFont val="Noto Sans CJK SC"/>
        <family val="2"/>
      </rPr>
      <t xml:space="preserve">分销</t>
    </r>
  </si>
  <si>
    <r>
      <rPr>
        <sz val="10"/>
        <color rgb="FF000000"/>
        <rFont val="Arial"/>
        <family val="0"/>
        <charset val="1"/>
      </rPr>
      <t xml:space="preserve">FY2023(2024</t>
    </r>
    <r>
      <rPr>
        <sz val="10"/>
        <color rgb="FF000000"/>
        <rFont val="Noto Sans CJK SC"/>
        <family val="2"/>
      </rPr>
      <t xml:space="preserve">年报重述口径</t>
    </r>
    <r>
      <rPr>
        <sz val="10"/>
        <color rgb="FF000000"/>
        <rFont val="Arial"/>
        <family val="0"/>
        <charset val="1"/>
      </rPr>
      <t xml:space="preserve">)|</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电子、通信元件及材料</t>
    </r>
  </si>
  <si>
    <r>
      <rPr>
        <sz val="10"/>
        <color rgb="FF000000"/>
        <rFont val="Arial"/>
        <family val="0"/>
        <charset val="1"/>
      </rPr>
      <t xml:space="preserve">FY2024(2025</t>
    </r>
    <r>
      <rPr>
        <sz val="10"/>
        <color rgb="FF000000"/>
        <rFont val="Noto Sans CJK SC"/>
        <family val="2"/>
      </rPr>
      <t xml:space="preserve">年报新口径</t>
    </r>
    <r>
      <rPr>
        <sz val="10"/>
        <color rgb="FF000000"/>
        <rFont val="Arial"/>
        <family val="0"/>
        <charset val="1"/>
      </rPr>
      <t xml:space="preserve">)|</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电子元件</t>
    </r>
  </si>
  <si>
    <r>
      <rPr>
        <sz val="10"/>
        <color rgb="FF000000"/>
        <rFont val="Arial"/>
        <family val="0"/>
        <charset val="1"/>
      </rPr>
      <t xml:space="preserve">FY2024(2025</t>
    </r>
    <r>
      <rPr>
        <sz val="10"/>
        <color rgb="FF000000"/>
        <rFont val="Noto Sans CJK SC"/>
        <family val="2"/>
      </rPr>
      <t xml:space="preserve">年报新口径</t>
    </r>
    <r>
      <rPr>
        <sz val="10"/>
        <color rgb="FF000000"/>
        <rFont val="Arial"/>
        <family val="0"/>
        <charset val="1"/>
      </rPr>
      <t xml:space="preserve">)|</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电子及陶瓷材料</t>
    </r>
  </si>
  <si>
    <r>
      <rPr>
        <sz val="10"/>
        <color rgb="FF000000"/>
        <rFont val="Arial"/>
        <family val="0"/>
        <charset val="1"/>
      </rPr>
      <t xml:space="preserve">FY2024(2025</t>
    </r>
    <r>
      <rPr>
        <sz val="10"/>
        <color rgb="FF000000"/>
        <rFont val="Noto Sans CJK SC"/>
        <family val="2"/>
      </rPr>
      <t xml:space="preserve">年报新口径</t>
    </r>
    <r>
      <rPr>
        <sz val="10"/>
        <color rgb="FF000000"/>
        <rFont val="Arial"/>
        <family val="0"/>
        <charset val="1"/>
      </rPr>
      <t xml:space="preserve">)|</t>
    </r>
    <r>
      <rPr>
        <sz val="10"/>
        <color rgb="FF000000"/>
        <rFont val="Noto Sans CJK SC"/>
        <family val="2"/>
      </rPr>
      <t xml:space="preserve">分产品</t>
    </r>
    <r>
      <rPr>
        <sz val="10"/>
        <color rgb="FF000000"/>
        <rFont val="Arial"/>
        <family val="0"/>
        <charset val="1"/>
      </rPr>
      <t xml:space="preserve">|</t>
    </r>
    <r>
      <rPr>
        <sz val="10"/>
        <color rgb="FF000000"/>
        <rFont val="Noto Sans CJK SC"/>
        <family val="2"/>
      </rPr>
      <t xml:space="preserve">通信器件</t>
    </r>
  </si>
  <si>
    <r>
      <rPr>
        <sz val="10"/>
        <color rgb="FF000000"/>
        <rFont val="Arial"/>
        <family val="0"/>
        <charset val="1"/>
      </rPr>
      <t xml:space="preserve">2024H1(2025</t>
    </r>
    <r>
      <rPr>
        <sz val="10"/>
        <color rgb="FF000000"/>
        <rFont val="Noto Sans CJK SC"/>
        <family val="2"/>
      </rPr>
      <t xml:space="preserve">半年报口径</t>
    </r>
    <r>
      <rPr>
        <sz val="10"/>
        <color rgb="FF000000"/>
        <rFont val="Arial"/>
        <family val="0"/>
        <charset val="1"/>
      </rPr>
      <t xml:space="preserve">)|</t>
    </r>
    <r>
      <rPr>
        <sz val="10"/>
        <color rgb="FF000000"/>
        <rFont val="Noto Sans CJK SC"/>
        <family val="2"/>
      </rPr>
      <t xml:space="preserve">电子、通信元件及材料</t>
    </r>
  </si>
  <si>
    <r>
      <rPr>
        <sz val="10"/>
        <color rgb="FF000000"/>
        <rFont val="Arial"/>
        <family val="0"/>
        <charset val="1"/>
      </rPr>
      <t xml:space="preserve">2025H1(2026</t>
    </r>
    <r>
      <rPr>
        <sz val="10"/>
        <color rgb="FF000000"/>
        <rFont val="Noto Sans CJK SC"/>
        <family val="2"/>
      </rPr>
      <t xml:space="preserve">半年报重述口径</t>
    </r>
    <r>
      <rPr>
        <sz val="10"/>
        <color rgb="FF000000"/>
        <rFont val="Arial"/>
        <family val="0"/>
        <charset val="1"/>
      </rPr>
      <t xml:space="preserve">)|</t>
    </r>
    <r>
      <rPr>
        <sz val="10"/>
        <color rgb="FF000000"/>
        <rFont val="Noto Sans CJK SC"/>
        <family val="2"/>
      </rPr>
      <t xml:space="preserve">电子、通信元件及材料</t>
    </r>
  </si>
  <si>
    <r>
      <rPr>
        <b val="true"/>
        <sz val="10"/>
        <color rgb="FF1F3864"/>
        <rFont val="Noto Sans CJK SC"/>
        <family val="2"/>
      </rPr>
      <t xml:space="preserve">（推算，非披露）未进入</t>
    </r>
    <r>
      <rPr>
        <b val="true"/>
        <sz val="10"/>
        <color rgb="FF1F3864"/>
        <rFont val="Arial"/>
        <family val="0"/>
        <charset val="1"/>
      </rPr>
      <t xml:space="preserve">10%</t>
    </r>
    <r>
      <rPr>
        <b val="true"/>
        <sz val="10"/>
        <color rgb="FF1F3864"/>
        <rFont val="Noto Sans CJK SC"/>
        <family val="2"/>
      </rPr>
      <t xml:space="preserve">表的产品线合计收入、成本与毛利率（残差法）</t>
    </r>
  </si>
  <si>
    <r>
      <rPr>
        <i val="true"/>
        <sz val="10"/>
        <color rgb="FF595959"/>
        <rFont val="Noto Sans CJK SC"/>
        <family val="2"/>
      </rPr>
      <t xml:space="preserve">单位：百万元（原表单位元；比例、单价、股数、人数等非金额行列保持原值；原单位说明：元（收入、成本）；</t>
    </r>
    <r>
      <rPr>
        <i val="true"/>
        <sz val="10"/>
        <color rgb="FF595959"/>
        <rFont val="Arial"/>
        <family val="0"/>
        <charset val="1"/>
      </rPr>
      <t xml:space="preserve">%</t>
    </r>
    <r>
      <rPr>
        <i val="true"/>
        <sz val="10"/>
        <color rgb="FF595959"/>
        <rFont val="Noto Sans CJK SC"/>
        <family val="2"/>
      </rPr>
      <t xml:space="preserve">（毛利率）；</t>
    </r>
    <r>
      <rPr>
        <i val="true"/>
        <sz val="10"/>
        <color rgb="FF595959"/>
        <rFont val="Arial"/>
        <family val="0"/>
        <charset val="1"/>
      </rPr>
      <t xml:space="preserve">flag</t>
    </r>
    <r>
      <rPr>
        <i val="true"/>
        <sz val="10"/>
        <color rgb="FF595959"/>
        <rFont val="Noto Sans CJK SC"/>
        <family val="2"/>
      </rPr>
      <t xml:space="preserve">（</t>
    </r>
    <r>
      <rPr>
        <i val="true"/>
        <sz val="10"/>
        <color rgb="FF595959"/>
        <rFont val="Arial"/>
        <family val="0"/>
        <charset val="1"/>
      </rPr>
      <t xml:space="preserve">1=</t>
    </r>
    <r>
      <rPr>
        <i val="true"/>
        <sz val="10"/>
        <color rgb="FF595959"/>
        <rFont val="Noto Sans CJK SC"/>
        <family val="2"/>
      </rPr>
      <t xml:space="preserve">成本含反推的上期分产品成本，误差约</t>
    </r>
    <r>
      <rPr>
        <i val="true"/>
        <sz val="10"/>
        <color rgb="FF595959"/>
        <rFont val="Arial"/>
        <family val="0"/>
        <charset val="1"/>
      </rPr>
      <t xml:space="preserve">±10-20</t>
    </r>
    <r>
      <rPr>
        <i val="true"/>
        <sz val="10"/>
        <color rgb="FF595959"/>
        <rFont val="Noto Sans CJK SC"/>
        <family val="2"/>
      </rPr>
      <t xml:space="preserve">万元））；来源：</t>
    </r>
    <r>
      <rPr>
        <i val="true"/>
        <sz val="10"/>
        <color rgb="FF595959"/>
        <rFont val="Arial"/>
        <family val="0"/>
        <charset val="1"/>
      </rPr>
      <t xml:space="preserve">Residual = total (</t>
    </r>
    <r>
      <rPr>
        <i val="true"/>
        <sz val="10"/>
        <color rgb="FF595959"/>
        <rFont val="Noto Sans CJK SC"/>
        <family val="2"/>
      </rPr>
      <t xml:space="preserve">营业收入</t>
    </r>
    <r>
      <rPr>
        <i val="true"/>
        <sz val="10"/>
        <color rgb="FF595959"/>
        <rFont val="Arial"/>
        <family val="0"/>
        <charset val="1"/>
      </rPr>
      <t xml:space="preserve">/</t>
    </r>
    <r>
      <rPr>
        <i val="true"/>
        <sz val="10"/>
        <color rgb="FF595959"/>
        <rFont val="Noto Sans CJK SC"/>
        <family val="2"/>
      </rPr>
      <t xml:space="preserve">营业成本 </t>
    </r>
    <r>
      <rPr>
        <i val="true"/>
        <sz val="10"/>
        <color rgb="FF595959"/>
        <rFont val="Arial"/>
        <family val="0"/>
        <charset val="1"/>
      </rPr>
      <t xml:space="preserve">or </t>
    </r>
    <r>
      <rPr>
        <i val="true"/>
        <sz val="10"/>
        <color rgb="FF595959"/>
        <rFont val="Noto Sans CJK SC"/>
        <family val="2"/>
      </rPr>
      <t xml:space="preserve">主营业务收入</t>
    </r>
    <r>
      <rPr>
        <i val="true"/>
        <sz val="10"/>
        <color rgb="FF595959"/>
        <rFont val="Arial"/>
        <family val="0"/>
        <charset val="1"/>
      </rPr>
      <t xml:space="preserve">/</t>
    </r>
    <r>
      <rPr>
        <i val="true"/>
        <sz val="10"/>
        <color rgb="FF595959"/>
        <rFont val="Noto Sans CJK SC"/>
        <family val="2"/>
      </rPr>
      <t xml:space="preserve">主营业务成本</t>
    </r>
    <r>
      <rPr>
        <i val="true"/>
        <sz val="10"/>
        <color rgb="FF595959"/>
        <rFont val="Arial"/>
        <family val="0"/>
        <charset val="1"/>
      </rPr>
      <t xml:space="preserve">, D3_rev_cost_main_other) minus the product lines disclosed in D3_top10pct_* (current year) or D3_top10pct_implied_prior_DERIVED (prior year). </t>
    </r>
    <r>
      <rPr>
        <i val="true"/>
        <sz val="10"/>
        <color rgb="FF595959"/>
        <rFont val="Noto Sans CJK SC"/>
        <family val="2"/>
      </rPr>
      <t xml:space="preserve">其他业务 </t>
    </r>
    <r>
      <rPr>
        <i val="true"/>
        <sz val="10"/>
        <color rgb="FF595959"/>
        <rFont val="Arial"/>
        <family val="0"/>
        <charset val="1"/>
      </rPr>
      <t xml:space="preserve">revenue/</t>
    </r>
  </si>
  <si>
    <r>
      <rPr>
        <b val="true"/>
        <sz val="10"/>
        <color rgb="FFFFFFFF"/>
        <rFont val="Noto Sans CJK SC"/>
        <family val="2"/>
      </rPr>
      <t xml:space="preserve">营业成本</t>
    </r>
    <r>
      <rPr>
        <b val="true"/>
        <sz val="10"/>
        <color rgb="FFFFFFFF"/>
        <rFont val="Arial"/>
        <family val="0"/>
        <charset val="1"/>
      </rPr>
      <t xml:space="preserve">_</t>
    </r>
    <r>
      <rPr>
        <b val="true"/>
        <sz val="10"/>
        <color rgb="FFFFFFFF"/>
        <rFont val="Noto Sans CJK SC"/>
        <family val="2"/>
      </rPr>
      <t xml:space="preserve">残差</t>
    </r>
  </si>
  <si>
    <r>
      <rPr>
        <b val="true"/>
        <sz val="10"/>
        <color rgb="FFFFFFFF"/>
        <rFont val="Noto Sans CJK SC"/>
        <family val="2"/>
      </rPr>
      <t xml:space="preserve">含推算成本</t>
    </r>
    <r>
      <rPr>
        <b val="true"/>
        <sz val="10"/>
        <color rgb="FFFFFFFF"/>
        <rFont val="Arial"/>
        <family val="0"/>
        <charset val="1"/>
      </rPr>
      <t xml:space="preserve">_flag</t>
    </r>
  </si>
  <si>
    <r>
      <rPr>
        <sz val="10"/>
        <color rgb="FF000000"/>
        <rFont val="Arial"/>
        <family val="0"/>
        <charset val="1"/>
      </rPr>
      <t xml:space="preserve">FY2023(2023</t>
    </r>
    <r>
      <rPr>
        <sz val="10"/>
        <color rgb="FF000000"/>
        <rFont val="Noto Sans CJK SC"/>
        <family val="2"/>
      </rPr>
      <t xml:space="preserve">年报口径</t>
    </r>
    <r>
      <rPr>
        <sz val="10"/>
        <color rgb="FF000000"/>
        <rFont val="Arial"/>
        <family val="0"/>
        <charset val="1"/>
      </rPr>
      <t xml:space="preserve">)|</t>
    </r>
    <r>
      <rPr>
        <sz val="10"/>
        <color rgb="FF000000"/>
        <rFont val="Noto Sans CJK SC"/>
        <family val="2"/>
      </rPr>
      <t xml:space="preserve">压缩机部件</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</si>
  <si>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FY2022(2023</t>
    </r>
    <r>
      <rPr>
        <sz val="10"/>
        <color rgb="FF000000"/>
        <rFont val="Noto Sans CJK SC"/>
        <family val="2"/>
      </rPr>
      <t xml:space="preserve">年报口径</t>
    </r>
    <r>
      <rPr>
        <sz val="10"/>
        <color rgb="FF000000"/>
        <rFont val="Arial"/>
        <family val="0"/>
        <charset val="1"/>
      </rPr>
      <t xml:space="preserve">)|</t>
    </r>
    <r>
      <rPr>
        <sz val="10"/>
        <color rgb="FF000000"/>
        <rFont val="Noto Sans CJK SC"/>
        <family val="2"/>
      </rPr>
      <t xml:space="preserve">压缩机部件</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</si>
  <si>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FY2024(2024</t>
    </r>
    <r>
      <rPr>
        <sz val="10"/>
        <color rgb="FF000000"/>
        <rFont val="Noto Sans CJK SC"/>
        <family val="2"/>
      </rPr>
      <t xml:space="preserve">年报口径</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</si>
  <si>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FY2023(2024</t>
    </r>
    <r>
      <rPr>
        <sz val="10"/>
        <color rgb="FF000000"/>
        <rFont val="Noto Sans CJK SC"/>
        <family val="2"/>
      </rPr>
      <t xml:space="preserve">年报重述口径</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</si>
  <si>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FY2025(2025</t>
    </r>
    <r>
      <rPr>
        <sz val="10"/>
        <color rgb="FF000000"/>
        <rFont val="Noto Sans CJK SC"/>
        <family val="2"/>
      </rPr>
      <t xml:space="preserve">年报口径</t>
    </r>
    <r>
      <rPr>
        <sz val="10"/>
        <color rgb="FF000000"/>
        <rFont val="Arial"/>
        <family val="0"/>
        <charset val="1"/>
      </rPr>
      <t xml:space="preserve">)|</t>
    </r>
    <r>
      <rPr>
        <sz val="10"/>
        <color rgb="FF000000"/>
        <rFont val="Noto Sans CJK SC"/>
        <family val="2"/>
      </rPr>
      <t xml:space="preserve">设备组件</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主营</t>
    </r>
    <r>
      <rPr>
        <sz val="10"/>
        <color rgb="FF000000"/>
        <rFont val="Arial"/>
        <family val="0"/>
        <charset val="1"/>
      </rPr>
      <t xml:space="preserve">)</t>
    </r>
  </si>
  <si>
    <r>
      <rPr>
        <sz val="10"/>
        <color rgb="FF000000"/>
        <rFont val="Arial"/>
        <family val="0"/>
        <charset val="1"/>
      </rPr>
      <t xml:space="preserve">FY2025(2025</t>
    </r>
    <r>
      <rPr>
        <sz val="10"/>
        <color rgb="FF000000"/>
        <rFont val="Noto Sans CJK SC"/>
        <family val="2"/>
      </rPr>
      <t xml:space="preserve">年报口径</t>
    </r>
    <r>
      <rPr>
        <sz val="10"/>
        <color rgb="FF000000"/>
        <rFont val="Arial"/>
        <family val="0"/>
        <charset val="1"/>
      </rPr>
      <t xml:space="preserve">)|</t>
    </r>
    <r>
      <rPr>
        <sz val="10"/>
        <color rgb="FF000000"/>
        <rFont val="Noto Sans CJK SC"/>
        <family val="2"/>
      </rPr>
      <t xml:space="preserve">其他业务</t>
    </r>
  </si>
  <si>
    <r>
      <rPr>
        <sz val="10"/>
        <color rgb="FF000000"/>
        <rFont val="Arial"/>
        <family val="0"/>
        <charset val="1"/>
      </rPr>
      <t xml:space="preserve">FY2024(2025</t>
    </r>
    <r>
      <rPr>
        <sz val="10"/>
        <color rgb="FF000000"/>
        <rFont val="Noto Sans CJK SC"/>
        <family val="2"/>
      </rPr>
      <t xml:space="preserve">年报新口径</t>
    </r>
    <r>
      <rPr>
        <sz val="10"/>
        <color rgb="FF000000"/>
        <rFont val="Arial"/>
        <family val="0"/>
        <charset val="1"/>
      </rPr>
      <t xml:space="preserve">)|</t>
    </r>
    <r>
      <rPr>
        <sz val="10"/>
        <color rgb="FF000000"/>
        <rFont val="Noto Sans CJK SC"/>
        <family val="2"/>
      </rPr>
      <t xml:space="preserve">设备组件</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主营</t>
    </r>
    <r>
      <rPr>
        <sz val="10"/>
        <color rgb="FF000000"/>
        <rFont val="Arial"/>
        <family val="0"/>
        <charset val="1"/>
      </rPr>
      <t xml:space="preserve">)</t>
    </r>
  </si>
  <si>
    <r>
      <rPr>
        <sz val="10"/>
        <color rgb="FF000000"/>
        <rFont val="Arial"/>
        <family val="0"/>
        <charset val="1"/>
      </rPr>
      <t xml:space="preserve">FY2024(2025</t>
    </r>
    <r>
      <rPr>
        <sz val="10"/>
        <color rgb="FF000000"/>
        <rFont val="Noto Sans CJK SC"/>
        <family val="2"/>
      </rPr>
      <t xml:space="preserve">年报新口径</t>
    </r>
    <r>
      <rPr>
        <sz val="10"/>
        <color rgb="FF000000"/>
        <rFont val="Arial"/>
        <family val="0"/>
        <charset val="1"/>
      </rPr>
      <t xml:space="preserve">)|</t>
    </r>
    <r>
      <rPr>
        <sz val="10"/>
        <color rgb="FF000000"/>
        <rFont val="Noto Sans CJK SC"/>
        <family val="2"/>
      </rPr>
      <t xml:space="preserve">其他业务</t>
    </r>
  </si>
  <si>
    <r>
      <rPr>
        <sz val="10"/>
        <color rgb="FF000000"/>
        <rFont val="Arial"/>
        <family val="0"/>
        <charset val="1"/>
      </rPr>
      <t xml:space="preserve">2025H1(2025</t>
    </r>
    <r>
      <rPr>
        <sz val="10"/>
        <color rgb="FF000000"/>
        <rFont val="Noto Sans CJK SC"/>
        <family val="2"/>
      </rPr>
      <t xml:space="preserve">半年报口径</t>
    </r>
    <r>
      <rPr>
        <sz val="10"/>
        <color rgb="FF000000"/>
        <rFont val="Arial"/>
        <family val="0"/>
        <charset val="1"/>
      </rPr>
      <t xml:space="preserve">)|</t>
    </r>
    <r>
      <rPr>
        <sz val="10"/>
        <color rgb="FF000000"/>
        <rFont val="Noto Sans CJK SC"/>
        <family val="2"/>
      </rPr>
      <t xml:space="preserve">电子、通信元件及材料以外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</si>
  <si>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2025H1|</t>
    </r>
    <r>
      <rPr>
        <sz val="10"/>
        <color rgb="FF000000"/>
        <rFont val="Noto Sans CJK SC"/>
        <family val="2"/>
      </rPr>
      <t xml:space="preserve">其他业务</t>
    </r>
    <r>
      <rPr>
        <sz val="10"/>
        <color rgb="FF000000"/>
        <rFont val="Arial"/>
        <family val="0"/>
        <charset val="1"/>
      </rPr>
      <t xml:space="preserve">(</t>
    </r>
    <r>
      <rPr>
        <sz val="10"/>
        <color rgb="FF000000"/>
        <rFont val="Noto Sans CJK SC"/>
        <family val="2"/>
      </rPr>
      <t xml:space="preserve">附注</t>
    </r>
    <r>
      <rPr>
        <sz val="10"/>
        <color rgb="FF000000"/>
        <rFont val="Arial"/>
        <family val="0"/>
        <charset val="1"/>
      </rPr>
      <t xml:space="preserve">)</t>
    </r>
  </si>
  <si>
    <r>
      <rPr>
        <sz val="10"/>
        <color rgb="FF000000"/>
        <rFont val="Arial"/>
        <family val="0"/>
        <charset val="1"/>
      </rPr>
      <t xml:space="preserve">2026H1(2026</t>
    </r>
    <r>
      <rPr>
        <sz val="10"/>
        <color rgb="FF000000"/>
        <rFont val="Noto Sans CJK SC"/>
        <family val="2"/>
      </rPr>
      <t xml:space="preserve">半年报口径</t>
    </r>
    <r>
      <rPr>
        <sz val="10"/>
        <color rgb="FF000000"/>
        <rFont val="Arial"/>
        <family val="0"/>
        <charset val="1"/>
      </rPr>
      <t xml:space="preserve">)|</t>
    </r>
    <r>
      <rPr>
        <sz val="10"/>
        <color rgb="FF000000"/>
        <rFont val="Noto Sans CJK SC"/>
        <family val="2"/>
      </rPr>
      <t xml:space="preserve">电子、通信元件及材料以外</t>
    </r>
    <r>
      <rPr>
        <sz val="10"/>
        <color rgb="FF000000"/>
        <rFont val="Arial"/>
        <family val="0"/>
        <charset val="1"/>
      </rPr>
      <t xml:space="preserve">(</t>
    </r>
    <r>
      <rPr>
        <sz val="10"/>
        <color rgb="FF000000"/>
        <rFont val="Noto Sans CJK SC"/>
        <family val="2"/>
      </rPr>
      <t xml:space="preserve">含其他业务</t>
    </r>
    <r>
      <rPr>
        <sz val="10"/>
        <color rgb="FF000000"/>
        <rFont val="Arial"/>
        <family val="0"/>
        <charset val="1"/>
      </rPr>
      <t xml:space="preserve">)</t>
    </r>
  </si>
  <si>
    <r>
      <rPr>
        <sz val="10"/>
        <color rgb="FF000000"/>
        <rFont val="Arial"/>
        <family val="0"/>
        <charset val="1"/>
      </rPr>
      <t xml:space="preserve">2026H1|</t>
    </r>
    <r>
      <rPr>
        <sz val="10"/>
        <color rgb="FF000000"/>
        <rFont val="Noto Sans CJK SC"/>
        <family val="2"/>
      </rPr>
      <t xml:space="preserve">其他业务</t>
    </r>
    <r>
      <rPr>
        <sz val="10"/>
        <color rgb="FF000000"/>
        <rFont val="Arial"/>
        <family val="0"/>
        <charset val="1"/>
      </rPr>
      <t xml:space="preserve">(</t>
    </r>
    <r>
      <rPr>
        <sz val="10"/>
        <color rgb="FF000000"/>
        <rFont val="Noto Sans CJK SC"/>
        <family val="2"/>
      </rPr>
      <t xml:space="preserve">附注</t>
    </r>
    <r>
      <rPr>
        <sz val="10"/>
        <color rgb="FF000000"/>
        <rFont val="Arial"/>
        <family val="0"/>
        <charset val="1"/>
      </rPr>
      <t xml:space="preserve">)</t>
    </r>
  </si>
  <si>
    <r>
      <rPr>
        <b val="true"/>
        <sz val="10"/>
        <color rgb="FF1F3864"/>
        <rFont val="Noto Sans CJK SC"/>
        <family val="2"/>
      </rPr>
      <t xml:space="preserve">支付给职工以及为职工支付的现金（合并现金流量表）与应付职工薪酬本期增加</t>
    </r>
    <r>
      <rPr>
        <b val="true"/>
        <sz val="10"/>
        <color rgb="FF1F3864"/>
        <rFont val="Arial"/>
        <family val="0"/>
        <charset val="1"/>
      </rPr>
      <t xml:space="preserve">/</t>
    </r>
    <r>
      <rPr>
        <b val="true"/>
        <sz val="10"/>
        <color rgb="FF1F3864"/>
        <rFont val="Noto Sans CJK SC"/>
        <family val="2"/>
      </rPr>
      <t xml:space="preserve">减少对照</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</si>
  <si>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Cash line: </t>
    </r>
    <r>
      <rPr>
        <i val="true"/>
        <sz val="10"/>
        <color rgb="FF595959"/>
        <rFont val="Noto Sans CJK SC"/>
        <family val="2"/>
      </rPr>
      <t xml:space="preserve">合并现金流量表 经营活动现金流出「支付给职工以及为职工支付的现金」 — </t>
    </r>
    <r>
      <rPr>
        <i val="true"/>
        <sz val="10"/>
        <color rgb="FF595959"/>
        <rFont val="Arial"/>
        <family val="0"/>
        <charset val="1"/>
      </rPr>
      <t xml:space="preserve">2023</t>
    </r>
    <r>
      <rPr>
        <i val="true"/>
        <sz val="10"/>
        <color rgb="FF595959"/>
        <rFont val="Noto Sans CJK SC"/>
        <family val="2"/>
      </rPr>
      <t xml:space="preserve">年报 第十节 二、</t>
    </r>
    <r>
      <rPr>
        <i val="true"/>
        <sz val="10"/>
        <color rgb="FF595959"/>
        <rFont val="Arial"/>
        <family val="0"/>
        <charset val="1"/>
      </rPr>
      <t xml:space="preserve">5 </t>
    </r>
    <r>
      <rPr>
        <i val="true"/>
        <sz val="10"/>
        <color rgb="FF595959"/>
        <rFont val="Noto Sans CJK SC"/>
        <family val="2"/>
      </rPr>
      <t xml:space="preserve">合并现金流量表 </t>
    </r>
    <r>
      <rPr>
        <i val="true"/>
        <sz val="10"/>
        <color rgb="FF595959"/>
        <rFont val="Arial"/>
        <family val="0"/>
        <charset val="1"/>
      </rPr>
      <t xml:space="preserve">(PDF p80; FY2023 &amp; FY2022), 2024</t>
    </r>
    <r>
      <rPr>
        <i val="true"/>
        <sz val="10"/>
        <color rgb="FF595959"/>
        <rFont val="Noto Sans CJK SC"/>
        <family val="2"/>
      </rPr>
      <t xml:space="preserve">年报 第十节 二、</t>
    </r>
    <r>
      <rPr>
        <i val="true"/>
        <sz val="10"/>
        <color rgb="FF595959"/>
        <rFont val="Arial"/>
        <family val="0"/>
        <charset val="1"/>
      </rPr>
      <t xml:space="preserve">5 (PDF p84-85; line on p85; FY2024), 2025</t>
    </r>
    <r>
      <rPr>
        <i val="true"/>
        <sz val="10"/>
        <color rgb="FF595959"/>
        <rFont val="Noto Sans CJK SC"/>
        <family val="2"/>
      </rPr>
      <t xml:space="preserve">年报 第八节 二、</t>
    </r>
    <r>
      <rPr>
        <i val="true"/>
        <sz val="10"/>
        <color rgb="FF595959"/>
        <rFont val="Arial"/>
        <family val="0"/>
        <charset val="1"/>
      </rPr>
      <t xml:space="preserve">5 (PDF p73-74; line on p74; FY2025), 20</t>
    </r>
  </si>
  <si>
    <t xml:space="preserve">支付给职工以及为职工支付的现金（合并现金流量表）</t>
  </si>
  <si>
    <t xml:space="preserve">应付职工薪酬本期增加（计提）</t>
  </si>
  <si>
    <t xml:space="preserve">应付职工薪酬本期减少</t>
  </si>
  <si>
    <r>
      <rPr>
        <sz val="10"/>
        <color rgb="FF000000"/>
        <rFont val="Noto Sans CJK SC"/>
        <family val="2"/>
      </rPr>
      <t xml:space="preserve">本期减少 </t>
    </r>
    <r>
      <rPr>
        <sz val="10"/>
        <color rgb="FF000000"/>
        <rFont val="Arial"/>
        <family val="0"/>
        <charset val="1"/>
      </rPr>
      <t xml:space="preserve">- </t>
    </r>
    <r>
      <rPr>
        <sz val="10"/>
        <color rgb="FF000000"/>
        <rFont val="Noto Sans CJK SC"/>
        <family val="2"/>
      </rPr>
      <t xml:space="preserve">现金支付（差额，推算）</t>
    </r>
  </si>
  <si>
    <r>
      <rPr>
        <b val="true"/>
        <sz val="10"/>
        <color rgb="FF1F3864"/>
        <rFont val="Arial"/>
        <family val="0"/>
        <charset val="1"/>
      </rPr>
      <t xml:space="preserve">D4</t>
    </r>
    <r>
      <rPr>
        <b val="true"/>
        <sz val="10"/>
        <color rgb="FF1F3864"/>
        <rFont val="Noto Sans CJK SC"/>
        <family val="2"/>
      </rPr>
      <t xml:space="preserve">　应收、存货、应付与其他营运项目</t>
    </r>
  </si>
  <si>
    <t xml:space="preserve">应收账款按账龄披露（账面余额，合并）</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</si>
  <si>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.4(1) </t>
    </r>
    <r>
      <rPr>
        <i val="true"/>
        <sz val="10"/>
        <color rgb="FF595959"/>
        <rFont val="Noto Sans CJK SC"/>
        <family val="2"/>
      </rPr>
      <t xml:space="preserve">按账龄披露</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p114; 2024</t>
    </r>
    <r>
      <rPr>
        <i val="true"/>
        <sz val="10"/>
        <color rgb="FF595959"/>
        <rFont val="Noto Sans CJK SC"/>
        <family val="2"/>
      </rPr>
      <t xml:space="preserve">年报 </t>
    </r>
    <r>
      <rPr>
        <i val="true"/>
        <sz val="10"/>
        <color rgb="FF595959"/>
        <rFont val="Arial"/>
        <family val="0"/>
        <charset val="1"/>
      </rPr>
      <t xml:space="preserve">p125; 2025</t>
    </r>
    <r>
      <rPr>
        <i val="true"/>
        <sz val="10"/>
        <color rgb="FF595959"/>
        <rFont val="Noto Sans CJK SC"/>
        <family val="2"/>
      </rPr>
      <t xml:space="preserve">年报 </t>
    </r>
    <r>
      <rPr>
        <i val="true"/>
        <sz val="10"/>
        <color rgb="FF595959"/>
        <rFont val="Arial"/>
        <family val="0"/>
        <charset val="1"/>
      </rPr>
      <t xml:space="preserve">p110; 2025</t>
    </r>
    <r>
      <rPr>
        <i val="true"/>
        <sz val="10"/>
        <color rgb="FF595959"/>
        <rFont val="Noto Sans CJK SC"/>
        <family val="2"/>
      </rPr>
      <t xml:space="preserve">半年报 </t>
    </r>
    <r>
      <rPr>
        <i val="true"/>
        <sz val="10"/>
        <color rgb="FF595959"/>
        <rFont val="Arial"/>
        <family val="0"/>
        <charset val="1"/>
      </rPr>
      <t xml:space="preserve">p72; 2026</t>
    </r>
    <r>
      <rPr>
        <i val="true"/>
        <sz val="10"/>
        <color rgb="FF595959"/>
        <rFont val="Noto Sans CJK SC"/>
        <family val="2"/>
      </rPr>
      <t xml:space="preserve">半年报 </t>
    </r>
    <r>
      <rPr>
        <i val="true"/>
        <sz val="10"/>
        <color rgb="FF595959"/>
        <rFont val="Arial"/>
        <family val="0"/>
        <charset val="1"/>
      </rPr>
      <t xml:space="preserve">p75 (</t>
    </r>
    <r>
      <rPr>
        <i val="true"/>
        <sz val="10"/>
        <color rgb="FF595959"/>
        <rFont val="Noto Sans CJK SC"/>
        <family val="2"/>
      </rPr>
      <t xml:space="preserve">合并</t>
    </r>
    <r>
      <rPr>
        <i val="true"/>
        <sz val="10"/>
        <color rgb="FF595959"/>
        <rFont val="Arial"/>
        <family val="0"/>
        <charset val="1"/>
      </rPr>
      <t xml:space="preserve">)</t>
    </r>
  </si>
  <si>
    <r>
      <rPr>
        <sz val="10"/>
        <color rgb="FF000000"/>
        <rFont val="Arial"/>
        <family val="0"/>
        <charset val="1"/>
      </rPr>
      <t xml:space="preserve">1</t>
    </r>
    <r>
      <rPr>
        <sz val="10"/>
        <color rgb="FF000000"/>
        <rFont val="Noto Sans CJK SC"/>
        <family val="2"/>
      </rPr>
      <t xml:space="preserve">年以内（含</t>
    </r>
    <r>
      <rPr>
        <sz val="10"/>
        <color rgb="FF000000"/>
        <rFont val="Arial"/>
        <family val="0"/>
        <charset val="1"/>
      </rPr>
      <t xml:space="preserve">1</t>
    </r>
    <r>
      <rPr>
        <sz val="10"/>
        <color rgb="FF000000"/>
        <rFont val="Noto Sans CJK SC"/>
        <family val="2"/>
      </rPr>
      <t xml:space="preserve">年）</t>
    </r>
  </si>
  <si>
    <r>
      <rPr>
        <sz val="10"/>
        <color rgb="FF000000"/>
        <rFont val="Arial"/>
        <family val="0"/>
        <charset val="1"/>
      </rPr>
      <t xml:space="preserve">1</t>
    </r>
    <r>
      <rPr>
        <sz val="10"/>
        <color rgb="FF000000"/>
        <rFont val="Noto Sans CJK SC"/>
        <family val="2"/>
      </rPr>
      <t xml:space="preserve">至</t>
    </r>
    <r>
      <rPr>
        <sz val="10"/>
        <color rgb="FF000000"/>
        <rFont val="Arial"/>
        <family val="0"/>
        <charset val="1"/>
      </rPr>
      <t xml:space="preserve">2</t>
    </r>
    <r>
      <rPr>
        <sz val="10"/>
        <color rgb="FF000000"/>
        <rFont val="Noto Sans CJK SC"/>
        <family val="2"/>
      </rPr>
      <t xml:space="preserve">年</t>
    </r>
  </si>
  <si>
    <r>
      <rPr>
        <sz val="10"/>
        <color rgb="FF000000"/>
        <rFont val="Arial"/>
        <family val="0"/>
        <charset val="1"/>
      </rPr>
      <t xml:space="preserve">2</t>
    </r>
    <r>
      <rPr>
        <sz val="10"/>
        <color rgb="FF000000"/>
        <rFont val="Noto Sans CJK SC"/>
        <family val="2"/>
      </rPr>
      <t xml:space="preserve">至</t>
    </r>
    <r>
      <rPr>
        <sz val="10"/>
        <color rgb="FF000000"/>
        <rFont val="Arial"/>
        <family val="0"/>
        <charset val="1"/>
      </rPr>
      <t xml:space="preserve">3</t>
    </r>
    <r>
      <rPr>
        <sz val="10"/>
        <color rgb="FF000000"/>
        <rFont val="Noto Sans CJK SC"/>
        <family val="2"/>
      </rPr>
      <t xml:space="preserve">年</t>
    </r>
  </si>
  <si>
    <r>
      <rPr>
        <sz val="10"/>
        <color rgb="FF000000"/>
        <rFont val="Arial"/>
        <family val="0"/>
        <charset val="1"/>
      </rPr>
      <t xml:space="preserve">3</t>
    </r>
    <r>
      <rPr>
        <sz val="10"/>
        <color rgb="FF000000"/>
        <rFont val="Noto Sans CJK SC"/>
        <family val="2"/>
      </rPr>
      <t xml:space="preserve">年以上</t>
    </r>
  </si>
  <si>
    <r>
      <rPr>
        <sz val="10"/>
        <color rgb="FF000000"/>
        <rFont val="Noto Sans CJK SC"/>
        <family val="2"/>
      </rPr>
      <t xml:space="preserve">其中</t>
    </r>
    <r>
      <rPr>
        <sz val="10"/>
        <color rgb="FF000000"/>
        <rFont val="Arial"/>
        <family val="0"/>
        <charset val="1"/>
      </rPr>
      <t xml:space="preserve">:4</t>
    </r>
    <r>
      <rPr>
        <sz val="10"/>
        <color rgb="FF000000"/>
        <rFont val="Noto Sans CJK SC"/>
        <family val="2"/>
      </rPr>
      <t xml:space="preserve">至</t>
    </r>
    <r>
      <rPr>
        <sz val="10"/>
        <color rgb="FF000000"/>
        <rFont val="Arial"/>
        <family val="0"/>
        <charset val="1"/>
      </rPr>
      <t xml:space="preserve">5</t>
    </r>
    <r>
      <rPr>
        <sz val="10"/>
        <color rgb="FF000000"/>
        <rFont val="Noto Sans CJK SC"/>
        <family val="2"/>
      </rPr>
      <t xml:space="preserve">年</t>
    </r>
  </si>
  <si>
    <r>
      <rPr>
        <sz val="10"/>
        <color rgb="FF000000"/>
        <rFont val="Noto Sans CJK SC"/>
        <family val="2"/>
      </rPr>
      <t xml:space="preserve">其中</t>
    </r>
    <r>
      <rPr>
        <sz val="10"/>
        <color rgb="FF000000"/>
        <rFont val="Arial"/>
        <family val="0"/>
        <charset val="1"/>
      </rPr>
      <t xml:space="preserve">:5</t>
    </r>
    <r>
      <rPr>
        <sz val="10"/>
        <color rgb="FF000000"/>
        <rFont val="Noto Sans CJK SC"/>
        <family val="2"/>
      </rPr>
      <t xml:space="preserve">年以上</t>
    </r>
  </si>
  <si>
    <t xml:space="preserve">合计（账面余额）</t>
  </si>
  <si>
    <r>
      <rPr>
        <b val="true"/>
        <sz val="10"/>
        <color rgb="FF1F3864"/>
        <rFont val="Noto Sans CJK SC"/>
        <family val="2"/>
      </rPr>
      <t xml:space="preserve">应收账款按坏账计提方法分类（按单项</t>
    </r>
    <r>
      <rPr>
        <b val="true"/>
        <sz val="10"/>
        <color rgb="FF1F3864"/>
        <rFont val="Arial"/>
        <family val="0"/>
        <charset val="1"/>
      </rPr>
      <t xml:space="preserve">/</t>
    </r>
    <r>
      <rPr>
        <b val="true"/>
        <sz val="10"/>
        <color rgb="FF1F3864"/>
        <rFont val="Noto Sans CJK SC"/>
        <family val="2"/>
      </rPr>
      <t xml:space="preserve">按组合）</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</si>
  <si>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.4(2) </t>
    </r>
    <r>
      <rPr>
        <i val="true"/>
        <sz val="10"/>
        <color rgb="FF595959"/>
        <rFont val="Noto Sans CJK SC"/>
        <family val="2"/>
      </rPr>
      <t xml:space="preserve">按坏账计提方法分类披露</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p114-115; 2024</t>
    </r>
    <r>
      <rPr>
        <i val="true"/>
        <sz val="10"/>
        <color rgb="FF595959"/>
        <rFont val="Noto Sans CJK SC"/>
        <family val="2"/>
      </rPr>
      <t xml:space="preserve">年报 </t>
    </r>
    <r>
      <rPr>
        <i val="true"/>
        <sz val="10"/>
        <color rgb="FF595959"/>
        <rFont val="Arial"/>
        <family val="0"/>
        <charset val="1"/>
      </rPr>
      <t xml:space="preserve">p125-126; 2025</t>
    </r>
    <r>
      <rPr>
        <i val="true"/>
        <sz val="10"/>
        <color rgb="FF595959"/>
        <rFont val="Noto Sans CJK SC"/>
        <family val="2"/>
      </rPr>
      <t xml:space="preserve">年报 </t>
    </r>
    <r>
      <rPr>
        <i val="true"/>
        <sz val="10"/>
        <color rgb="FF595959"/>
        <rFont val="Arial"/>
        <family val="0"/>
        <charset val="1"/>
      </rPr>
      <t xml:space="preserve">p110-111; 2025</t>
    </r>
    <r>
      <rPr>
        <i val="true"/>
        <sz val="10"/>
        <color rgb="FF595959"/>
        <rFont val="Noto Sans CJK SC"/>
        <family val="2"/>
      </rPr>
      <t xml:space="preserve">半年报 </t>
    </r>
    <r>
      <rPr>
        <i val="true"/>
        <sz val="10"/>
        <color rgb="FF595959"/>
        <rFont val="Arial"/>
        <family val="0"/>
        <charset val="1"/>
      </rPr>
      <t xml:space="preserve">p72-73; 2026</t>
    </r>
    <r>
      <rPr>
        <i val="true"/>
        <sz val="10"/>
        <color rgb="FF595959"/>
        <rFont val="Noto Sans CJK SC"/>
        <family val="2"/>
      </rPr>
      <t xml:space="preserve">半年报 </t>
    </r>
    <r>
      <rPr>
        <i val="true"/>
        <sz val="10"/>
        <color rgb="FF595959"/>
        <rFont val="Arial"/>
        <family val="0"/>
        <charset val="1"/>
      </rPr>
      <t xml:space="preserve">p75 (checked with pdfplumber because pdftotext wraps digits)</t>
    </r>
  </si>
  <si>
    <r>
      <rPr>
        <sz val="10"/>
        <color rgb="FF000000"/>
        <rFont val="Noto Sans CJK SC"/>
        <family val="2"/>
      </rPr>
      <t xml:space="preserve">按单项计提</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</si>
  <si>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按单项计提</t>
    </r>
    <r>
      <rPr>
        <sz val="10"/>
        <color rgb="FF000000"/>
        <rFont val="Arial"/>
        <family val="0"/>
        <charset val="1"/>
      </rPr>
      <t xml:space="preserve">-</t>
    </r>
    <r>
      <rPr>
        <sz val="10"/>
        <color rgb="FF000000"/>
        <rFont val="Noto Sans CJK SC"/>
        <family val="2"/>
      </rPr>
      <t xml:space="preserve">坏账准备</t>
    </r>
    <r>
      <rPr>
        <sz val="10"/>
        <color rgb="FF000000"/>
        <rFont val="Arial"/>
        <family val="0"/>
        <charset val="1"/>
      </rPr>
      <t xml:space="preserve">(100%)</t>
    </r>
  </si>
  <si>
    <r>
      <rPr>
        <sz val="10"/>
        <color rgb="FF000000"/>
        <rFont val="Noto Sans CJK SC"/>
        <family val="2"/>
      </rPr>
      <t xml:space="preserve">按组合</t>
    </r>
    <r>
      <rPr>
        <sz val="10"/>
        <color rgb="FF000000"/>
        <rFont val="Arial"/>
        <family val="0"/>
        <charset val="1"/>
      </rPr>
      <t xml:space="preserve">(</t>
    </r>
    <r>
      <rPr>
        <sz val="10"/>
        <color rgb="FF000000"/>
        <rFont val="Noto Sans CJK SC"/>
        <family val="2"/>
      </rPr>
      <t xml:space="preserve">账龄组合</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</si>
  <si>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按组合</t>
    </r>
    <r>
      <rPr>
        <sz val="10"/>
        <color rgb="FF000000"/>
        <rFont val="Arial"/>
        <family val="0"/>
        <charset val="1"/>
      </rPr>
      <t xml:space="preserve">(</t>
    </r>
    <r>
      <rPr>
        <sz val="10"/>
        <color rgb="FF000000"/>
        <rFont val="Noto Sans CJK SC"/>
        <family val="2"/>
      </rPr>
      <t xml:space="preserve">账龄组合</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t>
    </r>
    <r>
      <rPr>
        <sz val="10"/>
        <color rgb="FF000000"/>
        <rFont val="Noto Sans CJK SC"/>
        <family val="2"/>
      </rPr>
      <t xml:space="preserve">坏账准备</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</si>
  <si>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</si>
  <si>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坏账准备</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</si>
  <si>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账面价值</t>
    </r>
    <r>
      <rPr>
        <sz val="10"/>
        <color rgb="FF000000"/>
        <rFont val="Arial"/>
        <family val="0"/>
        <charset val="1"/>
      </rPr>
      <t xml:space="preserve">(=</t>
    </r>
    <r>
      <rPr>
        <sz val="10"/>
        <color rgb="FF000000"/>
        <rFont val="Noto Sans CJK SC"/>
        <family val="2"/>
      </rPr>
      <t xml:space="preserve">资产负债表应收账款</t>
    </r>
    <r>
      <rPr>
        <sz val="10"/>
        <color rgb="FF000000"/>
        <rFont val="Arial"/>
        <family val="0"/>
        <charset val="1"/>
      </rPr>
      <t xml:space="preserve">)</t>
    </r>
  </si>
  <si>
    <t xml:space="preserve">应收账款账龄组合明细（按组合计提：账面余额与坏账准备）</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</si>
  <si>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.4(2) </t>
    </r>
    <r>
      <rPr>
        <i val="true"/>
        <sz val="10"/>
        <color rgb="FF595959"/>
        <rFont val="Noto Sans CJK SC"/>
        <family val="2"/>
      </rPr>
      <t xml:space="preserve">按组合计提坏账准备（账龄组合）</t>
    </r>
    <r>
      <rPr>
        <i val="true"/>
        <sz val="10"/>
        <color rgb="FF595959"/>
        <rFont val="Arial"/>
        <family val="0"/>
        <charset val="1"/>
      </rPr>
      <t xml:space="preserve">in each report</t>
    </r>
  </si>
  <si>
    <r>
      <rPr>
        <sz val="10"/>
        <color rgb="FF000000"/>
        <rFont val="Arial"/>
        <family val="0"/>
        <charset val="1"/>
      </rPr>
      <t xml:space="preserve">1</t>
    </r>
    <r>
      <rPr>
        <sz val="10"/>
        <color rgb="FF000000"/>
        <rFont val="Noto Sans CJK SC"/>
        <family val="2"/>
      </rPr>
      <t xml:space="preserve">年以内</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5%)</t>
    </r>
  </si>
  <si>
    <r>
      <rPr>
        <sz val="10"/>
        <color rgb="FF000000"/>
        <rFont val="Arial"/>
        <family val="0"/>
        <charset val="1"/>
      </rPr>
      <t xml:space="preserve">1</t>
    </r>
    <r>
      <rPr>
        <sz val="10"/>
        <color rgb="FF000000"/>
        <rFont val="Noto Sans CJK SC"/>
        <family val="2"/>
      </rPr>
      <t xml:space="preserve">年以内</t>
    </r>
    <r>
      <rPr>
        <sz val="10"/>
        <color rgb="FF000000"/>
        <rFont val="Arial"/>
        <family val="0"/>
        <charset val="1"/>
      </rPr>
      <t xml:space="preserve">-</t>
    </r>
    <r>
      <rPr>
        <sz val="10"/>
        <color rgb="FF000000"/>
        <rFont val="Noto Sans CJK SC"/>
        <family val="2"/>
      </rPr>
      <t xml:space="preserve">坏账准备</t>
    </r>
  </si>
  <si>
    <r>
      <rPr>
        <sz val="10"/>
        <color rgb="FF000000"/>
        <rFont val="Arial"/>
        <family val="0"/>
        <charset val="1"/>
      </rPr>
      <t xml:space="preserve">1-2</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10%)</t>
    </r>
  </si>
  <si>
    <r>
      <rPr>
        <sz val="10"/>
        <color rgb="FF000000"/>
        <rFont val="Arial"/>
        <family val="0"/>
        <charset val="1"/>
      </rPr>
      <t xml:space="preserve">1-2</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坏账准备</t>
    </r>
  </si>
  <si>
    <r>
      <rPr>
        <sz val="10"/>
        <color rgb="FF000000"/>
        <rFont val="Arial"/>
        <family val="0"/>
        <charset val="1"/>
      </rPr>
      <t xml:space="preserve">4-5</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90%)</t>
    </r>
  </si>
  <si>
    <r>
      <rPr>
        <sz val="10"/>
        <color rgb="FF000000"/>
        <rFont val="Arial"/>
        <family val="0"/>
        <charset val="1"/>
      </rPr>
      <t xml:space="preserve">4-5</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坏账准备</t>
    </r>
  </si>
  <si>
    <r>
      <rPr>
        <sz val="10"/>
        <color rgb="FF000000"/>
        <rFont val="Arial"/>
        <family val="0"/>
        <charset val="1"/>
      </rPr>
      <t xml:space="preserve">5</t>
    </r>
    <r>
      <rPr>
        <sz val="10"/>
        <color rgb="FF000000"/>
        <rFont val="Noto Sans CJK SC"/>
        <family val="2"/>
      </rPr>
      <t xml:space="preserve">年以上</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90%)</t>
    </r>
  </si>
  <si>
    <r>
      <rPr>
        <sz val="10"/>
        <color rgb="FF000000"/>
        <rFont val="Arial"/>
        <family val="0"/>
        <charset val="1"/>
      </rPr>
      <t xml:space="preserve">5</t>
    </r>
    <r>
      <rPr>
        <sz val="10"/>
        <color rgb="FF000000"/>
        <rFont val="Noto Sans CJK SC"/>
        <family val="2"/>
      </rPr>
      <t xml:space="preserve">年以上</t>
    </r>
    <r>
      <rPr>
        <sz val="10"/>
        <color rgb="FF000000"/>
        <rFont val="Arial"/>
        <family val="0"/>
        <charset val="1"/>
      </rPr>
      <t xml:space="preserve">-</t>
    </r>
    <r>
      <rPr>
        <sz val="10"/>
        <color rgb="FF000000"/>
        <rFont val="Noto Sans CJK SC"/>
        <family val="2"/>
      </rPr>
      <t xml:space="preserve">坏账准备</t>
    </r>
  </si>
  <si>
    <r>
      <rPr>
        <sz val="10"/>
        <color rgb="FF000000"/>
        <rFont val="Noto Sans CJK SC"/>
        <family val="2"/>
      </rPr>
      <t xml:space="preserve">组合合计</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</si>
  <si>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组合合计</t>
    </r>
    <r>
      <rPr>
        <sz val="10"/>
        <color rgb="FF000000"/>
        <rFont val="Arial"/>
        <family val="0"/>
        <charset val="1"/>
      </rPr>
      <t xml:space="preserve">-</t>
    </r>
    <r>
      <rPr>
        <sz val="10"/>
        <color rgb="FF000000"/>
        <rFont val="Noto Sans CJK SC"/>
        <family val="2"/>
      </rPr>
      <t xml:space="preserve">坏账准备</t>
    </r>
  </si>
  <si>
    <t xml:space="preserve">应收账款坏账准备变动</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</si>
  <si>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.4(3) </t>
    </r>
    <r>
      <rPr>
        <i val="true"/>
        <sz val="10"/>
        <color rgb="FF595959"/>
        <rFont val="Noto Sans CJK SC"/>
        <family val="2"/>
      </rPr>
      <t xml:space="preserve">本期计提、收回或转回的坏账准备情况</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p115; 2024</t>
    </r>
    <r>
      <rPr>
        <i val="true"/>
        <sz val="10"/>
        <color rgb="FF595959"/>
        <rFont val="Noto Sans CJK SC"/>
        <family val="2"/>
      </rPr>
      <t xml:space="preserve">年报 </t>
    </r>
    <r>
      <rPr>
        <i val="true"/>
        <sz val="10"/>
        <color rgb="FF595959"/>
        <rFont val="Arial"/>
        <family val="0"/>
        <charset val="1"/>
      </rPr>
      <t xml:space="preserve">p126-127; 2025</t>
    </r>
    <r>
      <rPr>
        <i val="true"/>
        <sz val="10"/>
        <color rgb="FF595959"/>
        <rFont val="Noto Sans CJK SC"/>
        <family val="2"/>
      </rPr>
      <t xml:space="preserve">年报 </t>
    </r>
    <r>
      <rPr>
        <i val="true"/>
        <sz val="10"/>
        <color rgb="FF595959"/>
        <rFont val="Arial"/>
        <family val="0"/>
        <charset val="1"/>
      </rPr>
      <t xml:space="preserve">p111-112; 2025</t>
    </r>
    <r>
      <rPr>
        <i val="true"/>
        <sz val="10"/>
        <color rgb="FF595959"/>
        <rFont val="Noto Sans CJK SC"/>
        <family val="2"/>
      </rPr>
      <t xml:space="preserve">半年报 </t>
    </r>
    <r>
      <rPr>
        <i val="true"/>
        <sz val="10"/>
        <color rgb="FF595959"/>
        <rFont val="Arial"/>
        <family val="0"/>
        <charset val="1"/>
      </rPr>
      <t xml:space="preserve">p73; 2026</t>
    </r>
    <r>
      <rPr>
        <i val="true"/>
        <sz val="10"/>
        <color rgb="FF595959"/>
        <rFont val="Noto Sans CJK SC"/>
        <family val="2"/>
      </rPr>
      <t xml:space="preserve">半年报 </t>
    </r>
    <r>
      <rPr>
        <i val="true"/>
        <sz val="10"/>
        <color rgb="FF595959"/>
        <rFont val="Arial"/>
        <family val="0"/>
        <charset val="1"/>
      </rPr>
      <t xml:space="preserve">p76. The 2023 and 2024 reports label the last column </t>
    </r>
    <r>
      <rPr>
        <i val="true"/>
        <sz val="10"/>
        <color rgb="FF595959"/>
        <rFont val="Noto Sans CJK SC"/>
        <family val="2"/>
      </rPr>
      <t xml:space="preserve">汇率变动</t>
    </r>
    <r>
      <rPr>
        <i val="true"/>
        <sz val="10"/>
        <color rgb="FF595959"/>
        <rFont val="Arial"/>
        <family val="0"/>
        <charset val="1"/>
      </rPr>
      <t xml:space="preserve">; the other reports label it </t>
    </r>
    <r>
      <rPr>
        <i val="true"/>
        <sz val="10"/>
        <color rgb="FF595959"/>
        <rFont val="Noto Sans CJK SC"/>
        <family val="2"/>
      </rPr>
      <t xml:space="preserve">其他</t>
    </r>
    <r>
      <rPr>
        <i val="true"/>
        <sz val="10"/>
        <color rgb="FF595959"/>
        <rFont val="Arial"/>
        <family val="0"/>
        <charset val="1"/>
      </rPr>
      <t xml:space="preserve">.</t>
    </r>
  </si>
  <si>
    <t xml:space="preserve">本期计提</t>
  </si>
  <si>
    <t xml:space="preserve">收回或转回</t>
  </si>
  <si>
    <t xml:space="preserve">核销</t>
  </si>
  <si>
    <r>
      <rPr>
        <b val="true"/>
        <sz val="10"/>
        <color rgb="FFFFFFFF"/>
        <rFont val="Noto Sans CJK SC"/>
        <family val="2"/>
      </rPr>
      <t xml:space="preserve">其他</t>
    </r>
    <r>
      <rPr>
        <b val="true"/>
        <sz val="10"/>
        <color rgb="FFFFFFFF"/>
        <rFont val="Arial"/>
        <family val="0"/>
        <charset val="1"/>
      </rPr>
      <t xml:space="preserve">/</t>
    </r>
    <r>
      <rPr>
        <b val="true"/>
        <sz val="10"/>
        <color rgb="FFFFFFFF"/>
        <rFont val="Noto Sans CJK SC"/>
        <family val="2"/>
      </rPr>
      <t xml:space="preserve">汇率变动</t>
    </r>
  </si>
  <si>
    <t xml:space="preserve">按欠款方归集的期末余额前五名应收账款（无合同资产）</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</si>
  <si>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.4(5) in each report</t>
    </r>
  </si>
  <si>
    <t xml:space="preserve">第一名</t>
  </si>
  <si>
    <t xml:space="preserve">第二名</t>
  </si>
  <si>
    <t xml:space="preserve">第三名</t>
  </si>
  <si>
    <t xml:space="preserve">第四名</t>
  </si>
  <si>
    <t xml:space="preserve">第五名</t>
  </si>
  <si>
    <t xml:space="preserve">前五名合计</t>
  </si>
  <si>
    <t xml:space="preserve">前五名坏账准备合计</t>
  </si>
  <si>
    <t xml:space="preserve">前五名应收账款占应收账款和合同资产期末余额合计数比例</t>
  </si>
  <si>
    <r>
      <rPr>
        <i val="true"/>
        <sz val="10"/>
        <color rgb="FF595959"/>
        <rFont val="Noto Sans CJK SC"/>
        <family val="2"/>
      </rPr>
      <t xml:space="preserve">单位：</t>
    </r>
    <r>
      <rPr>
        <i val="true"/>
        <sz val="10"/>
        <color rgb="FF595959"/>
        <rFont val="Arial"/>
        <family val="0"/>
        <charset val="1"/>
      </rPr>
      <t xml:space="preserve">%</t>
    </r>
    <r>
      <rPr>
        <i val="true"/>
        <sz val="10"/>
        <color rgb="FF595959"/>
        <rFont val="Noto Sans CJK SC"/>
        <family val="2"/>
      </rPr>
      <t xml:space="preserve">；来源：附注七</t>
    </r>
    <r>
      <rPr>
        <i val="true"/>
        <sz val="10"/>
        <color rgb="FF595959"/>
        <rFont val="Arial"/>
        <family val="0"/>
        <charset val="1"/>
      </rPr>
      <t xml:space="preserve">.4(5) in each report</t>
    </r>
  </si>
  <si>
    <t xml:space="preserve">第一名占比</t>
  </si>
  <si>
    <t xml:space="preserve">前五名合计占比</t>
  </si>
  <si>
    <r>
      <rPr>
        <b val="true"/>
        <sz val="10"/>
        <color rgb="FF1F3864"/>
        <rFont val="Noto Sans CJK SC"/>
        <family val="2"/>
      </rPr>
      <t xml:space="preserve">应收票据分类，及已背书</t>
    </r>
    <r>
      <rPr>
        <b val="true"/>
        <sz val="10"/>
        <color rgb="FF1F3864"/>
        <rFont val="Arial"/>
        <family val="0"/>
        <charset val="1"/>
      </rPr>
      <t xml:space="preserve">/</t>
    </r>
    <r>
      <rPr>
        <b val="true"/>
        <sz val="10"/>
        <color rgb="FF1F3864"/>
        <rFont val="Noto Sans CJK SC"/>
        <family val="2"/>
      </rPr>
      <t xml:space="preserve">贴现未终止确认票据</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</si>
  <si>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.3 </t>
    </r>
    <r>
      <rPr>
        <i val="true"/>
        <sz val="10"/>
        <color rgb="FF595959"/>
        <rFont val="Noto Sans CJK SC"/>
        <family val="2"/>
      </rPr>
      <t xml:space="preserve">应收票据</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p113-114; 2024</t>
    </r>
    <r>
      <rPr>
        <i val="true"/>
        <sz val="10"/>
        <color rgb="FF595959"/>
        <rFont val="Noto Sans CJK SC"/>
        <family val="2"/>
      </rPr>
      <t xml:space="preserve">年报 </t>
    </r>
    <r>
      <rPr>
        <i val="true"/>
        <sz val="10"/>
        <color rgb="FF595959"/>
        <rFont val="Arial"/>
        <family val="0"/>
        <charset val="1"/>
      </rPr>
      <t xml:space="preserve">p124-125; 2025</t>
    </r>
    <r>
      <rPr>
        <i val="true"/>
        <sz val="10"/>
        <color rgb="FF595959"/>
        <rFont val="Noto Sans CJK SC"/>
        <family val="2"/>
      </rPr>
      <t xml:space="preserve">年报 </t>
    </r>
    <r>
      <rPr>
        <i val="true"/>
        <sz val="10"/>
        <color rgb="FF595959"/>
        <rFont val="Arial"/>
        <family val="0"/>
        <charset val="1"/>
      </rPr>
      <t xml:space="preserve">p110; 2025</t>
    </r>
    <r>
      <rPr>
        <i val="true"/>
        <sz val="10"/>
        <color rgb="FF595959"/>
        <rFont val="Noto Sans CJK SC"/>
        <family val="2"/>
      </rPr>
      <t xml:space="preserve">半年报 </t>
    </r>
    <r>
      <rPr>
        <i val="true"/>
        <sz val="10"/>
        <color rgb="FF595959"/>
        <rFont val="Arial"/>
        <family val="0"/>
        <charset val="1"/>
      </rPr>
      <t xml:space="preserve">p70-71; 2026</t>
    </r>
    <r>
      <rPr>
        <i val="true"/>
        <sz val="10"/>
        <color rgb="FF595959"/>
        <rFont val="Noto Sans CJK SC"/>
        <family val="2"/>
      </rPr>
      <t xml:space="preserve">半年报 </t>
    </r>
    <r>
      <rPr>
        <i val="true"/>
        <sz val="10"/>
        <color rgb="FF595959"/>
        <rFont val="Arial"/>
        <family val="0"/>
        <charset val="1"/>
      </rPr>
      <t xml:space="preserve">p74-75. </t>
    </r>
    <r>
      <rPr>
        <i val="true"/>
        <sz val="10"/>
        <color rgb="FF595959"/>
        <rFont val="Noto Sans CJK SC"/>
        <family val="2"/>
      </rPr>
      <t xml:space="preserve">对应负债 </t>
    </r>
    <r>
      <rPr>
        <i val="true"/>
        <sz val="10"/>
        <color rgb="FF595959"/>
        <rFont val="Arial"/>
        <family val="0"/>
        <charset val="1"/>
      </rPr>
      <t xml:space="preserve">from the </t>
    </r>
    <r>
      <rPr>
        <i val="true"/>
        <sz val="10"/>
        <color rgb="FF595959"/>
        <rFont val="Noto Sans CJK SC"/>
        <family val="2"/>
      </rPr>
      <t xml:space="preserve">其他流动负债 </t>
    </r>
    <r>
      <rPr>
        <i val="true"/>
        <sz val="10"/>
        <color rgb="FF595959"/>
        <rFont val="Arial"/>
        <family val="0"/>
        <charset val="1"/>
      </rPr>
      <t xml:space="preserve">and </t>
    </r>
    <r>
      <rPr>
        <i val="true"/>
        <sz val="10"/>
        <color rgb="FF595959"/>
        <rFont val="Noto Sans CJK SC"/>
        <family val="2"/>
      </rPr>
      <t xml:space="preserve">短期借款 </t>
    </r>
    <r>
      <rPr>
        <i val="true"/>
        <sz val="10"/>
        <color rgb="FF595959"/>
        <rFont val="Arial"/>
        <family val="0"/>
        <charset val="1"/>
      </rPr>
      <t xml:space="preserve">notes of the same reports.</t>
    </r>
  </si>
  <si>
    <r>
      <rPr>
        <sz val="10"/>
        <color rgb="FF000000"/>
        <rFont val="Noto Sans CJK SC"/>
        <family val="2"/>
      </rPr>
      <t xml:space="preserve">银行承兑票据</t>
    </r>
    <r>
      <rPr>
        <sz val="10"/>
        <color rgb="FF000000"/>
        <rFont val="Arial"/>
        <family val="0"/>
        <charset val="1"/>
      </rPr>
      <t xml:space="preserve">(</t>
    </r>
    <r>
      <rPr>
        <sz val="10"/>
        <color rgb="FF000000"/>
        <rFont val="Noto Sans CJK SC"/>
        <family val="2"/>
      </rPr>
      <t xml:space="preserve">账面价值</t>
    </r>
    <r>
      <rPr>
        <sz val="10"/>
        <color rgb="FF000000"/>
        <rFont val="Arial"/>
        <family val="0"/>
        <charset val="1"/>
      </rPr>
      <t xml:space="preserve">)</t>
    </r>
  </si>
  <si>
    <r>
      <rPr>
        <sz val="10"/>
        <color rgb="FF000000"/>
        <rFont val="Noto Sans CJK SC"/>
        <family val="2"/>
      </rPr>
      <t xml:space="preserve">商业承兑票据</t>
    </r>
    <r>
      <rPr>
        <sz val="10"/>
        <color rgb="FF000000"/>
        <rFont val="Arial"/>
        <family val="0"/>
        <charset val="1"/>
      </rPr>
      <t xml:space="preserve">(</t>
    </r>
    <r>
      <rPr>
        <sz val="10"/>
        <color rgb="FF000000"/>
        <rFont val="Noto Sans CJK SC"/>
        <family val="2"/>
      </rPr>
      <t xml:space="preserve">账面价值</t>
    </r>
    <r>
      <rPr>
        <sz val="10"/>
        <color rgb="FF000000"/>
        <rFont val="Arial"/>
        <family val="0"/>
        <charset val="1"/>
      </rPr>
      <t xml:space="preserve">)</t>
    </r>
  </si>
  <si>
    <r>
      <rPr>
        <sz val="10"/>
        <color rgb="FF000000"/>
        <rFont val="Noto Sans CJK SC"/>
        <family val="2"/>
      </rPr>
      <t xml:space="preserve">应收票据合计</t>
    </r>
    <r>
      <rPr>
        <sz val="10"/>
        <color rgb="FF000000"/>
        <rFont val="Arial"/>
        <family val="0"/>
        <charset val="1"/>
      </rPr>
      <t xml:space="preserve">(</t>
    </r>
    <r>
      <rPr>
        <sz val="10"/>
        <color rgb="FF000000"/>
        <rFont val="Noto Sans CJK SC"/>
        <family val="2"/>
      </rPr>
      <t xml:space="preserve">账面价值</t>
    </r>
    <r>
      <rPr>
        <sz val="10"/>
        <color rgb="FF000000"/>
        <rFont val="Arial"/>
        <family val="0"/>
        <charset val="1"/>
      </rPr>
      <t xml:space="preserve">)</t>
    </r>
  </si>
  <si>
    <r>
      <rPr>
        <sz val="10"/>
        <color rgb="FF000000"/>
        <rFont val="Noto Sans CJK SC"/>
        <family val="2"/>
      </rPr>
      <t xml:space="preserve">商业承兑票据</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</si>
  <si>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商业承兑票据</t>
    </r>
    <r>
      <rPr>
        <sz val="10"/>
        <color rgb="FF000000"/>
        <rFont val="Arial"/>
        <family val="0"/>
        <charset val="1"/>
      </rPr>
      <t xml:space="preserve">-</t>
    </r>
    <r>
      <rPr>
        <sz val="10"/>
        <color rgb="FF000000"/>
        <rFont val="Noto Sans CJK SC"/>
        <family val="2"/>
      </rPr>
      <t xml:space="preserve">坏账准备</t>
    </r>
    <r>
      <rPr>
        <sz val="10"/>
        <color rgb="FF000000"/>
        <rFont val="Arial"/>
        <family val="0"/>
        <charset val="1"/>
      </rPr>
      <t xml:space="preserve">(5%)</t>
    </r>
  </si>
  <si>
    <r>
      <rPr>
        <sz val="10"/>
        <color rgb="FF000000"/>
        <rFont val="Noto Sans CJK SC"/>
        <family val="2"/>
      </rPr>
      <t xml:space="preserve">应收票据</t>
    </r>
    <r>
      <rPr>
        <sz val="10"/>
        <color rgb="FF000000"/>
        <rFont val="Arial"/>
        <family val="0"/>
        <charset val="1"/>
      </rPr>
      <t xml:space="preserve">-</t>
    </r>
    <r>
      <rPr>
        <sz val="10"/>
        <color rgb="FF000000"/>
        <rFont val="Noto Sans CJK SC"/>
        <family val="2"/>
      </rPr>
      <t xml:space="preserve">账面余额合计</t>
    </r>
  </si>
  <si>
    <r>
      <rPr>
        <sz val="10"/>
        <color rgb="FF000000"/>
        <rFont val="Noto Sans CJK SC"/>
        <family val="2"/>
      </rPr>
      <t xml:space="preserve">应收票据</t>
    </r>
    <r>
      <rPr>
        <sz val="10"/>
        <color rgb="FF000000"/>
        <rFont val="Arial"/>
        <family val="0"/>
        <charset val="1"/>
      </rPr>
      <t xml:space="preserve">-</t>
    </r>
    <r>
      <rPr>
        <sz val="10"/>
        <color rgb="FF000000"/>
        <rFont val="Noto Sans CJK SC"/>
        <family val="2"/>
      </rPr>
      <t xml:space="preserve">坏账准备合计</t>
    </r>
    <r>
      <rPr>
        <sz val="10"/>
        <color rgb="FF000000"/>
        <rFont val="Arial"/>
        <family val="0"/>
        <charset val="1"/>
      </rPr>
      <t xml:space="preserve">(2026H1</t>
    </r>
    <r>
      <rPr>
        <sz val="10"/>
        <color rgb="FF000000"/>
        <rFont val="Noto Sans CJK SC"/>
        <family val="2"/>
      </rPr>
      <t xml:space="preserve">本期计提</t>
    </r>
    <r>
      <rPr>
        <sz val="10"/>
        <color rgb="FF000000"/>
        <rFont val="Arial"/>
        <family val="0"/>
        <charset val="1"/>
      </rPr>
      <t xml:space="preserve">,</t>
    </r>
    <r>
      <rPr>
        <sz val="10"/>
        <color rgb="FF000000"/>
        <rFont val="Noto Sans CJK SC"/>
        <family val="2"/>
      </rPr>
      <t xml:space="preserve">期初为零</t>
    </r>
    <r>
      <rPr>
        <sz val="10"/>
        <color rgb="FF000000"/>
        <rFont val="Arial"/>
        <family val="0"/>
        <charset val="1"/>
      </rPr>
      <t xml:space="preserve">)</t>
    </r>
  </si>
  <si>
    <r>
      <rPr>
        <sz val="10"/>
        <color rgb="FF000000"/>
        <rFont val="Noto Sans CJK SC"/>
        <family val="2"/>
      </rPr>
      <t xml:space="preserve">已背书或贴现未到期</t>
    </r>
    <r>
      <rPr>
        <sz val="10"/>
        <color rgb="FF000000"/>
        <rFont val="Arial"/>
        <family val="0"/>
        <charset val="1"/>
      </rPr>
      <t xml:space="preserve">-</t>
    </r>
    <r>
      <rPr>
        <sz val="10"/>
        <color rgb="FF000000"/>
        <rFont val="Noto Sans CJK SC"/>
        <family val="2"/>
      </rPr>
      <t xml:space="preserve">期末未终止确认</t>
    </r>
    <r>
      <rPr>
        <sz val="10"/>
        <color rgb="FF000000"/>
        <rFont val="Arial"/>
        <family val="0"/>
        <charset val="1"/>
      </rPr>
      <t xml:space="preserve">:</t>
    </r>
    <r>
      <rPr>
        <sz val="10"/>
        <color rgb="FF000000"/>
        <rFont val="Noto Sans CJK SC"/>
        <family val="2"/>
      </rPr>
      <t xml:space="preserve">银行承兑</t>
    </r>
  </si>
  <si>
    <r>
      <rPr>
        <sz val="10"/>
        <color rgb="FF000000"/>
        <rFont val="Noto Sans CJK SC"/>
        <family val="2"/>
      </rPr>
      <t xml:space="preserve">已背书或贴现未到期</t>
    </r>
    <r>
      <rPr>
        <sz val="10"/>
        <color rgb="FF000000"/>
        <rFont val="Arial"/>
        <family val="0"/>
        <charset val="1"/>
      </rPr>
      <t xml:space="preserve">-</t>
    </r>
    <r>
      <rPr>
        <sz val="10"/>
        <color rgb="FF000000"/>
        <rFont val="Noto Sans CJK SC"/>
        <family val="2"/>
      </rPr>
      <t xml:space="preserve">期末未终止确认</t>
    </r>
    <r>
      <rPr>
        <sz val="10"/>
        <color rgb="FF000000"/>
        <rFont val="Arial"/>
        <family val="0"/>
        <charset val="1"/>
      </rPr>
      <t xml:space="preserve">:</t>
    </r>
    <r>
      <rPr>
        <sz val="10"/>
        <color rgb="FF000000"/>
        <rFont val="Noto Sans CJK SC"/>
        <family val="2"/>
      </rPr>
      <t xml:space="preserve">商业承兑</t>
    </r>
  </si>
  <si>
    <r>
      <rPr>
        <sz val="10"/>
        <color rgb="FF000000"/>
        <rFont val="Noto Sans CJK SC"/>
        <family val="2"/>
      </rPr>
      <t xml:space="preserve">已背书或贴现未到期</t>
    </r>
    <r>
      <rPr>
        <sz val="10"/>
        <color rgb="FF000000"/>
        <rFont val="Arial"/>
        <family val="0"/>
        <charset val="1"/>
      </rPr>
      <t xml:space="preserve">-</t>
    </r>
    <r>
      <rPr>
        <sz val="10"/>
        <color rgb="FF000000"/>
        <rFont val="Noto Sans CJK SC"/>
        <family val="2"/>
      </rPr>
      <t xml:space="preserve">期末未终止确认</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</si>
  <si>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对应</t>
    </r>
    <r>
      <rPr>
        <sz val="10"/>
        <color rgb="FF000000"/>
        <rFont val="Arial"/>
        <family val="0"/>
        <charset val="1"/>
      </rPr>
      <t xml:space="preserve">:</t>
    </r>
    <r>
      <rPr>
        <sz val="10"/>
        <color rgb="FF000000"/>
        <rFont val="Noto Sans CJK SC"/>
        <family val="2"/>
      </rPr>
      <t xml:space="preserve">其他流动负债</t>
    </r>
    <r>
      <rPr>
        <sz val="10"/>
        <color rgb="FF000000"/>
        <rFont val="Arial"/>
        <family val="0"/>
        <charset val="1"/>
      </rPr>
      <t xml:space="preserve">-</t>
    </r>
    <r>
      <rPr>
        <sz val="10"/>
        <color rgb="FF000000"/>
        <rFont val="Noto Sans CJK SC"/>
        <family val="2"/>
      </rPr>
      <t xml:space="preserve">未终止确认的已背书未到期票据</t>
    </r>
  </si>
  <si>
    <r>
      <rPr>
        <sz val="10"/>
        <color rgb="FF000000"/>
        <rFont val="Noto Sans CJK SC"/>
        <family val="2"/>
      </rPr>
      <t xml:space="preserve">对应</t>
    </r>
    <r>
      <rPr>
        <sz val="10"/>
        <color rgb="FF000000"/>
        <rFont val="Arial"/>
        <family val="0"/>
        <charset val="1"/>
      </rPr>
      <t xml:space="preserve">:</t>
    </r>
    <r>
      <rPr>
        <sz val="10"/>
        <color rgb="FF000000"/>
        <rFont val="Noto Sans CJK SC"/>
        <family val="2"/>
      </rPr>
      <t xml:space="preserve">短期借款</t>
    </r>
    <r>
      <rPr>
        <sz val="10"/>
        <color rgb="FF000000"/>
        <rFont val="Arial"/>
        <family val="0"/>
        <charset val="1"/>
      </rPr>
      <t xml:space="preserve">-</t>
    </r>
    <r>
      <rPr>
        <sz val="10"/>
        <color rgb="FF000000"/>
        <rFont val="Noto Sans CJK SC"/>
        <family val="2"/>
      </rPr>
      <t xml:space="preserve">未终止确认的已贴现未到期票据</t>
    </r>
  </si>
  <si>
    <r>
      <rPr>
        <b val="true"/>
        <sz val="10"/>
        <color rgb="FF1F3864"/>
        <rFont val="Noto Sans CJK SC"/>
        <family val="2"/>
      </rPr>
      <t xml:space="preserve">应收款项融资（银行承兑汇票）变动，及已背书</t>
    </r>
    <r>
      <rPr>
        <b val="true"/>
        <sz val="10"/>
        <color rgb="FF1F3864"/>
        <rFont val="Arial"/>
        <family val="0"/>
        <charset val="1"/>
      </rPr>
      <t xml:space="preserve">/</t>
    </r>
    <r>
      <rPr>
        <b val="true"/>
        <sz val="10"/>
        <color rgb="FF1F3864"/>
        <rFont val="Noto Sans CJK SC"/>
        <family val="2"/>
      </rPr>
      <t xml:space="preserve">贴现终止确认金额</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</si>
  <si>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.5 </t>
    </r>
    <r>
      <rPr>
        <i val="true"/>
        <sz val="10"/>
        <color rgb="FF595959"/>
        <rFont val="Noto Sans CJK SC"/>
        <family val="2"/>
      </rPr>
      <t xml:space="preserve">应收款项融资</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p116-118; 2024</t>
    </r>
    <r>
      <rPr>
        <i val="true"/>
        <sz val="10"/>
        <color rgb="FF595959"/>
        <rFont val="Noto Sans CJK SC"/>
        <family val="2"/>
      </rPr>
      <t xml:space="preserve">年报 </t>
    </r>
    <r>
      <rPr>
        <i val="true"/>
        <sz val="10"/>
        <color rgb="FF595959"/>
        <rFont val="Arial"/>
        <family val="0"/>
        <charset val="1"/>
      </rPr>
      <t xml:space="preserve">p127-129; 2025</t>
    </r>
    <r>
      <rPr>
        <i val="true"/>
        <sz val="10"/>
        <color rgb="FF595959"/>
        <rFont val="Noto Sans CJK SC"/>
        <family val="2"/>
      </rPr>
      <t xml:space="preserve">年报 </t>
    </r>
    <r>
      <rPr>
        <i val="true"/>
        <sz val="10"/>
        <color rgb="FF595959"/>
        <rFont val="Arial"/>
        <family val="0"/>
        <charset val="1"/>
      </rPr>
      <t xml:space="preserve">p112-113; 2025</t>
    </r>
    <r>
      <rPr>
        <i val="true"/>
        <sz val="10"/>
        <color rgb="FF595959"/>
        <rFont val="Noto Sans CJK SC"/>
        <family val="2"/>
      </rPr>
      <t xml:space="preserve">半年报 </t>
    </r>
    <r>
      <rPr>
        <i val="true"/>
        <sz val="10"/>
        <color rgb="FF595959"/>
        <rFont val="Arial"/>
        <family val="0"/>
        <charset val="1"/>
      </rPr>
      <t xml:space="preserve">p74-75; 2026</t>
    </r>
    <r>
      <rPr>
        <i val="true"/>
        <sz val="10"/>
        <color rgb="FF595959"/>
        <rFont val="Noto Sans CJK SC"/>
        <family val="2"/>
      </rPr>
      <t xml:space="preserve">半年报 </t>
    </r>
    <r>
      <rPr>
        <i val="true"/>
        <sz val="10"/>
        <color rgb="FF595959"/>
        <rFont val="Arial"/>
        <family val="0"/>
        <charset val="1"/>
      </rPr>
      <t xml:space="preserve">p77-78</t>
    </r>
  </si>
  <si>
    <t xml:space="preserve">本期新增</t>
  </si>
  <si>
    <t xml:space="preserve">本期终止确认</t>
  </si>
  <si>
    <r>
      <rPr>
        <sz val="10"/>
        <color rgb="FF000000"/>
        <rFont val="Noto Sans CJK SC"/>
        <family val="2"/>
      </rPr>
      <t xml:space="preserve">期末余额</t>
    </r>
    <r>
      <rPr>
        <sz val="10"/>
        <color rgb="FF000000"/>
        <rFont val="Arial"/>
        <family val="0"/>
        <charset val="1"/>
      </rPr>
      <t xml:space="preserve">(</t>
    </r>
    <r>
      <rPr>
        <sz val="10"/>
        <color rgb="FF000000"/>
        <rFont val="Noto Sans CJK SC"/>
        <family val="2"/>
      </rPr>
      <t xml:space="preserve">全部为银行承兑汇票</t>
    </r>
    <r>
      <rPr>
        <sz val="10"/>
        <color rgb="FF000000"/>
        <rFont val="Arial"/>
        <family val="0"/>
        <charset val="1"/>
      </rPr>
      <t xml:space="preserve">)</t>
    </r>
  </si>
  <si>
    <r>
      <rPr>
        <sz val="10"/>
        <color rgb="FF000000"/>
        <rFont val="Noto Sans CJK SC"/>
        <family val="2"/>
      </rPr>
      <t xml:space="preserve">已背书或贴现未到期</t>
    </r>
    <r>
      <rPr>
        <sz val="10"/>
        <color rgb="FF000000"/>
        <rFont val="Arial"/>
        <family val="0"/>
        <charset val="1"/>
      </rPr>
      <t xml:space="preserve">-</t>
    </r>
    <r>
      <rPr>
        <sz val="10"/>
        <color rgb="FF000000"/>
        <rFont val="Noto Sans CJK SC"/>
        <family val="2"/>
      </rPr>
      <t xml:space="preserve">期末终止确认金额</t>
    </r>
  </si>
  <si>
    <t xml:space="preserve">预付款项按账龄</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</si>
  <si>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.7 </t>
    </r>
    <r>
      <rPr>
        <i val="true"/>
        <sz val="10"/>
        <color rgb="FF595959"/>
        <rFont val="Noto Sans CJK SC"/>
        <family val="2"/>
      </rPr>
      <t xml:space="preserve">预付款项</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p121; 2024</t>
    </r>
    <r>
      <rPr>
        <i val="true"/>
        <sz val="10"/>
        <color rgb="FF595959"/>
        <rFont val="Noto Sans CJK SC"/>
        <family val="2"/>
      </rPr>
      <t xml:space="preserve">年报 </t>
    </r>
    <r>
      <rPr>
        <i val="true"/>
        <sz val="10"/>
        <color rgb="FF595959"/>
        <rFont val="Arial"/>
        <family val="0"/>
        <charset val="1"/>
      </rPr>
      <t xml:space="preserve">p133; 2025</t>
    </r>
    <r>
      <rPr>
        <i val="true"/>
        <sz val="10"/>
        <color rgb="FF595959"/>
        <rFont val="Noto Sans CJK SC"/>
        <family val="2"/>
      </rPr>
      <t xml:space="preserve">年报 </t>
    </r>
    <r>
      <rPr>
        <i val="true"/>
        <sz val="10"/>
        <color rgb="FF595959"/>
        <rFont val="Arial"/>
        <family val="0"/>
        <charset val="1"/>
      </rPr>
      <t xml:space="preserve">p116; 2025</t>
    </r>
    <r>
      <rPr>
        <i val="true"/>
        <sz val="10"/>
        <color rgb="FF595959"/>
        <rFont val="Noto Sans CJK SC"/>
        <family val="2"/>
      </rPr>
      <t xml:space="preserve">半年报 </t>
    </r>
    <r>
      <rPr>
        <i val="true"/>
        <sz val="10"/>
        <color rgb="FF595959"/>
        <rFont val="Arial"/>
        <family val="0"/>
        <charset val="1"/>
      </rPr>
      <t xml:space="preserve">p78; 2026</t>
    </r>
    <r>
      <rPr>
        <i val="true"/>
        <sz val="10"/>
        <color rgb="FF595959"/>
        <rFont val="Noto Sans CJK SC"/>
        <family val="2"/>
      </rPr>
      <t xml:space="preserve">半年报 </t>
    </r>
    <r>
      <rPr>
        <i val="true"/>
        <sz val="10"/>
        <color rgb="FF595959"/>
        <rFont val="Arial"/>
        <family val="0"/>
        <charset val="1"/>
      </rPr>
      <t xml:space="preserve">p80</t>
    </r>
  </si>
  <si>
    <r>
      <rPr>
        <sz val="10"/>
        <color rgb="FF000000"/>
        <rFont val="Arial"/>
        <family val="0"/>
        <charset val="1"/>
      </rPr>
      <t xml:space="preserve">1</t>
    </r>
    <r>
      <rPr>
        <sz val="10"/>
        <color rgb="FF000000"/>
        <rFont val="Noto Sans CJK SC"/>
        <family val="2"/>
      </rPr>
      <t xml:space="preserve">年以内</t>
    </r>
  </si>
  <si>
    <t xml:space="preserve">前五名预付对象合计</t>
  </si>
  <si>
    <t xml:space="preserve">其他应收款按款项性质（账面余额）及坏账准备</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</si>
  <si>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.6(1)1) </t>
    </r>
    <r>
      <rPr>
        <i val="true"/>
        <sz val="10"/>
        <color rgb="FF595959"/>
        <rFont val="Noto Sans CJK SC"/>
        <family val="2"/>
      </rPr>
      <t xml:space="preserve">按款项性质</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p118; 2024</t>
    </r>
    <r>
      <rPr>
        <i val="true"/>
        <sz val="10"/>
        <color rgb="FF595959"/>
        <rFont val="Noto Sans CJK SC"/>
        <family val="2"/>
      </rPr>
      <t xml:space="preserve">年报 </t>
    </r>
    <r>
      <rPr>
        <i val="true"/>
        <sz val="10"/>
        <color rgb="FF595959"/>
        <rFont val="Arial"/>
        <family val="0"/>
        <charset val="1"/>
      </rPr>
      <t xml:space="preserve">p129-130; 2025</t>
    </r>
    <r>
      <rPr>
        <i val="true"/>
        <sz val="10"/>
        <color rgb="FF595959"/>
        <rFont val="Noto Sans CJK SC"/>
        <family val="2"/>
      </rPr>
      <t xml:space="preserve">年报 </t>
    </r>
    <r>
      <rPr>
        <i val="true"/>
        <sz val="10"/>
        <color rgb="FF595959"/>
        <rFont val="Arial"/>
        <family val="0"/>
        <charset val="1"/>
      </rPr>
      <t xml:space="preserve">p113; 2025</t>
    </r>
    <r>
      <rPr>
        <i val="true"/>
        <sz val="10"/>
        <color rgb="FF595959"/>
        <rFont val="Noto Sans CJK SC"/>
        <family val="2"/>
      </rPr>
      <t xml:space="preserve">半年报 </t>
    </r>
    <r>
      <rPr>
        <i val="true"/>
        <sz val="10"/>
        <color rgb="FF595959"/>
        <rFont val="Arial"/>
        <family val="0"/>
        <charset val="1"/>
      </rPr>
      <t xml:space="preserve">p76; 2026</t>
    </r>
    <r>
      <rPr>
        <i val="true"/>
        <sz val="10"/>
        <color rgb="FF595959"/>
        <rFont val="Noto Sans CJK SC"/>
        <family val="2"/>
      </rPr>
      <t xml:space="preserve">半年报 </t>
    </r>
    <r>
      <rPr>
        <i val="true"/>
        <sz val="10"/>
        <color rgb="FF595959"/>
        <rFont val="Arial"/>
        <family val="0"/>
        <charset val="1"/>
      </rPr>
      <t xml:space="preserve">p78. No </t>
    </r>
    <r>
      <rPr>
        <i val="true"/>
        <sz val="10"/>
        <color rgb="FF595959"/>
        <rFont val="Noto Sans CJK SC"/>
        <family val="2"/>
      </rPr>
      <t xml:space="preserve">应收利息 </t>
    </r>
    <r>
      <rPr>
        <i val="true"/>
        <sz val="10"/>
        <color rgb="FF595959"/>
        <rFont val="Arial"/>
        <family val="0"/>
        <charset val="1"/>
      </rPr>
      <t xml:space="preserve">or </t>
    </r>
    <r>
      <rPr>
        <i val="true"/>
        <sz val="10"/>
        <color rgb="FF595959"/>
        <rFont val="Noto Sans CJK SC"/>
        <family val="2"/>
      </rPr>
      <t xml:space="preserve">应收股利 </t>
    </r>
    <r>
      <rPr>
        <i val="true"/>
        <sz val="10"/>
        <color rgb="FF595959"/>
        <rFont val="Arial"/>
        <family val="0"/>
        <charset val="1"/>
      </rPr>
      <t xml:space="preserve">in any period.</t>
    </r>
  </si>
  <si>
    <t xml:space="preserve">员工借款</t>
  </si>
  <si>
    <t xml:space="preserve">备用金</t>
  </si>
  <si>
    <t xml:space="preserve">保证金、押金</t>
  </si>
  <si>
    <t xml:space="preserve">土地转让款</t>
  </si>
  <si>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</si>
  <si>
    <t xml:space="preserve">坏账准备</t>
  </si>
  <si>
    <t xml:space="preserve">账面价值</t>
  </si>
  <si>
    <t xml:space="preserve">其他应收款按账龄（账面余额）</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</si>
  <si>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.6(1)2) </t>
    </r>
    <r>
      <rPr>
        <i val="true"/>
        <sz val="10"/>
        <color rgb="FF595959"/>
        <rFont val="Noto Sans CJK SC"/>
        <family val="2"/>
      </rPr>
      <t xml:space="preserve">按账龄披露 </t>
    </r>
    <r>
      <rPr>
        <i val="true"/>
        <sz val="10"/>
        <color rgb="FF595959"/>
        <rFont val="Arial"/>
        <family val="0"/>
        <charset val="1"/>
      </rPr>
      <t xml:space="preserve">in each report</t>
    </r>
  </si>
  <si>
    <r>
      <rPr>
        <sz val="10"/>
        <color rgb="FF000000"/>
        <rFont val="Noto Sans CJK SC"/>
        <family val="2"/>
      </rPr>
      <t xml:space="preserve">其中</t>
    </r>
    <r>
      <rPr>
        <sz val="10"/>
        <color rgb="FF000000"/>
        <rFont val="Arial"/>
        <family val="0"/>
        <charset val="1"/>
      </rPr>
      <t xml:space="preserve">:3</t>
    </r>
    <r>
      <rPr>
        <sz val="10"/>
        <color rgb="FF000000"/>
        <rFont val="Noto Sans CJK SC"/>
        <family val="2"/>
      </rPr>
      <t xml:space="preserve">至</t>
    </r>
    <r>
      <rPr>
        <sz val="10"/>
        <color rgb="FF000000"/>
        <rFont val="Arial"/>
        <family val="0"/>
        <charset val="1"/>
      </rPr>
      <t xml:space="preserve">4</t>
    </r>
    <r>
      <rPr>
        <sz val="10"/>
        <color rgb="FF000000"/>
        <rFont val="Noto Sans CJK SC"/>
        <family val="2"/>
      </rPr>
      <t xml:space="preserve">年</t>
    </r>
  </si>
  <si>
    <t xml:space="preserve">其他应收款坏账准备变动（账龄组合，第一阶段）</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</si>
  <si>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.6(1)3)-4) in each report</t>
    </r>
  </si>
  <si>
    <t xml:space="preserve">本期转回</t>
  </si>
  <si>
    <t xml:space="preserve">转销或核销</t>
  </si>
  <si>
    <t xml:space="preserve">其他变动</t>
  </si>
  <si>
    <t xml:space="preserve">其他应收款前五名合计</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</si>
  <si>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.6(1)6) in each report</t>
    </r>
  </si>
  <si>
    <r>
      <rPr>
        <b val="true"/>
        <sz val="10"/>
        <color rgb="FF1F3864"/>
        <rFont val="Noto Sans CJK SC"/>
        <family val="2"/>
      </rPr>
      <t xml:space="preserve">存货分类</t>
    </r>
    <r>
      <rPr>
        <b val="true"/>
        <sz val="10"/>
        <color rgb="FF1F3864"/>
        <rFont val="Arial"/>
        <family val="0"/>
        <charset val="1"/>
      </rPr>
      <t xml:space="preserve">-</t>
    </r>
    <r>
      <rPr>
        <b val="true"/>
        <sz val="10"/>
        <color rgb="FF1F3864"/>
        <rFont val="Noto Sans CJK SC"/>
        <family val="2"/>
      </rPr>
      <t xml:space="preserve">账面余额</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</si>
  <si>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.8(1) </t>
    </r>
    <r>
      <rPr>
        <i val="true"/>
        <sz val="10"/>
        <color rgb="FF595959"/>
        <rFont val="Noto Sans CJK SC"/>
        <family val="2"/>
      </rPr>
      <t xml:space="preserve">存货分类</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p121-122; 2024</t>
    </r>
    <r>
      <rPr>
        <i val="true"/>
        <sz val="10"/>
        <color rgb="FF595959"/>
        <rFont val="Noto Sans CJK SC"/>
        <family val="2"/>
      </rPr>
      <t xml:space="preserve">年报 </t>
    </r>
    <r>
      <rPr>
        <i val="true"/>
        <sz val="10"/>
        <color rgb="FF595959"/>
        <rFont val="Arial"/>
        <family val="0"/>
        <charset val="1"/>
      </rPr>
      <t xml:space="preserve">p133-134; 2025</t>
    </r>
    <r>
      <rPr>
        <i val="true"/>
        <sz val="10"/>
        <color rgb="FF595959"/>
        <rFont val="Noto Sans CJK SC"/>
        <family val="2"/>
      </rPr>
      <t xml:space="preserve">年报 </t>
    </r>
    <r>
      <rPr>
        <i val="true"/>
        <sz val="10"/>
        <color rgb="FF595959"/>
        <rFont val="Arial"/>
        <family val="0"/>
        <charset val="1"/>
      </rPr>
      <t xml:space="preserve">p116-117; 2025</t>
    </r>
    <r>
      <rPr>
        <i val="true"/>
        <sz val="10"/>
        <color rgb="FF595959"/>
        <rFont val="Noto Sans CJK SC"/>
        <family val="2"/>
      </rPr>
      <t xml:space="preserve">半年报 </t>
    </r>
    <r>
      <rPr>
        <i val="true"/>
        <sz val="10"/>
        <color rgb="FF595959"/>
        <rFont val="Arial"/>
        <family val="0"/>
        <charset val="1"/>
      </rPr>
      <t xml:space="preserve">p79; 2026</t>
    </r>
    <r>
      <rPr>
        <i val="true"/>
        <sz val="10"/>
        <color rgb="FF595959"/>
        <rFont val="Noto Sans CJK SC"/>
        <family val="2"/>
      </rPr>
      <t xml:space="preserve">半年报 </t>
    </r>
    <r>
      <rPr>
        <i val="true"/>
        <sz val="10"/>
        <color rgb="FF595959"/>
        <rFont val="Arial"/>
        <family val="0"/>
        <charset val="1"/>
      </rPr>
      <t xml:space="preserve">p80-81 (pdfplumber-verified because pdftotext wraps digits)</t>
    </r>
  </si>
  <si>
    <t xml:space="preserve">原材料</t>
  </si>
  <si>
    <t xml:space="preserve">在产品</t>
  </si>
  <si>
    <t xml:space="preserve">库存商品</t>
  </si>
  <si>
    <t xml:space="preserve">发出商品</t>
  </si>
  <si>
    <t xml:space="preserve">半成品</t>
  </si>
  <si>
    <r>
      <rPr>
        <b val="true"/>
        <sz val="10"/>
        <color rgb="FF1F3864"/>
        <rFont val="Noto Sans CJK SC"/>
        <family val="2"/>
      </rPr>
      <t xml:space="preserve">存货分类</t>
    </r>
    <r>
      <rPr>
        <b val="true"/>
        <sz val="10"/>
        <color rgb="FF1F3864"/>
        <rFont val="Arial"/>
        <family val="0"/>
        <charset val="1"/>
      </rPr>
      <t xml:space="preserve">-</t>
    </r>
    <r>
      <rPr>
        <b val="true"/>
        <sz val="10"/>
        <color rgb="FF1F3864"/>
        <rFont val="Noto Sans CJK SC"/>
        <family val="2"/>
      </rPr>
      <t xml:space="preserve">存货跌价准备</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</si>
  <si>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.8(1) </t>
    </r>
    <r>
      <rPr>
        <i val="true"/>
        <sz val="10"/>
        <color rgb="FF595959"/>
        <rFont val="Noto Sans CJK SC"/>
        <family val="2"/>
      </rPr>
      <t xml:space="preserve">存货分类 </t>
    </r>
    <r>
      <rPr>
        <i val="true"/>
        <sz val="10"/>
        <color rgb="FF595959"/>
        <rFont val="Arial"/>
        <family val="0"/>
        <charset val="1"/>
      </rPr>
      <t xml:space="preserve">(same pages as inventory_gross)</t>
    </r>
  </si>
  <si>
    <r>
      <rPr>
        <b val="true"/>
        <sz val="10"/>
        <color rgb="FF1F3864"/>
        <rFont val="Noto Sans CJK SC"/>
        <family val="2"/>
      </rPr>
      <t xml:space="preserve">存货分类</t>
    </r>
    <r>
      <rPr>
        <b val="true"/>
        <sz val="10"/>
        <color rgb="FF1F3864"/>
        <rFont val="Arial"/>
        <family val="0"/>
        <charset val="1"/>
      </rPr>
      <t xml:space="preserve">-</t>
    </r>
    <r>
      <rPr>
        <b val="true"/>
        <sz val="10"/>
        <color rgb="FF1F3864"/>
        <rFont val="Noto Sans CJK SC"/>
        <family val="2"/>
      </rPr>
      <t xml:space="preserve">账面价值</t>
    </r>
  </si>
  <si>
    <r>
      <rPr>
        <b val="true"/>
        <sz val="10"/>
        <color rgb="FF1F3864"/>
        <rFont val="Noto Sans CJK SC"/>
        <family val="2"/>
      </rPr>
      <t xml:space="preserve">存货跌价准备变动 </t>
    </r>
    <r>
      <rPr>
        <b val="true"/>
        <sz val="10"/>
        <color rgb="FF1F3864"/>
        <rFont val="Arial"/>
        <family val="0"/>
        <charset val="1"/>
      </rPr>
      <t xml:space="preserve">FY2023</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</si>
  <si>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年年度报告 附注七</t>
    </r>
    <r>
      <rPr>
        <i val="true"/>
        <sz val="10"/>
        <color rgb="FF595959"/>
        <rFont val="Arial"/>
        <family val="0"/>
        <charset val="1"/>
      </rPr>
      <t xml:space="preserve">.8(2) p122</t>
    </r>
  </si>
  <si>
    <r>
      <rPr>
        <b val="true"/>
        <sz val="10"/>
        <color rgb="FFFFFFFF"/>
        <rFont val="Noto Sans CJK SC"/>
        <family val="2"/>
      </rPr>
      <t xml:space="preserve">本期增加</t>
    </r>
    <r>
      <rPr>
        <b val="true"/>
        <sz val="10"/>
        <color rgb="FFFFFFFF"/>
        <rFont val="Arial"/>
        <family val="0"/>
        <charset val="1"/>
      </rPr>
      <t xml:space="preserve">-</t>
    </r>
    <r>
      <rPr>
        <b val="true"/>
        <sz val="10"/>
        <color rgb="FFFFFFFF"/>
        <rFont val="Noto Sans CJK SC"/>
        <family val="2"/>
      </rPr>
      <t xml:space="preserve">其他</t>
    </r>
  </si>
  <si>
    <t xml:space="preserve">转回或转销</t>
  </si>
  <si>
    <r>
      <rPr>
        <b val="true"/>
        <sz val="10"/>
        <color rgb="FFFFFFFF"/>
        <rFont val="Noto Sans CJK SC"/>
        <family val="2"/>
      </rPr>
      <t xml:space="preserve">本期减少</t>
    </r>
    <r>
      <rPr>
        <b val="true"/>
        <sz val="10"/>
        <color rgb="FFFFFFFF"/>
        <rFont val="Arial"/>
        <family val="0"/>
        <charset val="1"/>
      </rPr>
      <t xml:space="preserve">-</t>
    </r>
    <r>
      <rPr>
        <b val="true"/>
        <sz val="10"/>
        <color rgb="FFFFFFFF"/>
        <rFont val="Noto Sans CJK SC"/>
        <family val="2"/>
      </rPr>
      <t xml:space="preserve">其他</t>
    </r>
  </si>
  <si>
    <r>
      <rPr>
        <b val="true"/>
        <sz val="10"/>
        <color rgb="FF1F3864"/>
        <rFont val="Noto Sans CJK SC"/>
        <family val="2"/>
      </rPr>
      <t xml:space="preserve">存货跌价准备变动 </t>
    </r>
    <r>
      <rPr>
        <b val="true"/>
        <sz val="10"/>
        <color rgb="FF1F3864"/>
        <rFont val="Arial"/>
        <family val="0"/>
        <charset val="1"/>
      </rPr>
      <t xml:space="preserve">FY2024</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</si>
  <si>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2024</t>
    </r>
    <r>
      <rPr>
        <i val="true"/>
        <sz val="10"/>
        <color rgb="FF595959"/>
        <rFont val="Noto Sans CJK SC"/>
        <family val="2"/>
      </rPr>
      <t xml:space="preserve">年年度报告 附注七</t>
    </r>
    <r>
      <rPr>
        <i val="true"/>
        <sz val="10"/>
        <color rgb="FF595959"/>
        <rFont val="Arial"/>
        <family val="0"/>
        <charset val="1"/>
      </rPr>
      <t xml:space="preserve">.8(2) p134</t>
    </r>
  </si>
  <si>
    <r>
      <rPr>
        <b val="true"/>
        <sz val="10"/>
        <color rgb="FF1F3864"/>
        <rFont val="Noto Sans CJK SC"/>
        <family val="2"/>
      </rPr>
      <t xml:space="preserve">存货跌价准备变动 </t>
    </r>
    <r>
      <rPr>
        <b val="true"/>
        <sz val="10"/>
        <color rgb="FF1F3864"/>
        <rFont val="Arial"/>
        <family val="0"/>
        <charset val="1"/>
      </rPr>
      <t xml:space="preserve">FY2025</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</si>
  <si>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年年度报告 附注七</t>
    </r>
    <r>
      <rPr>
        <i val="true"/>
        <sz val="10"/>
        <color rgb="FF595959"/>
        <rFont val="Arial"/>
        <family val="0"/>
        <charset val="1"/>
      </rPr>
      <t xml:space="preserve">.8(2) p117</t>
    </r>
  </si>
  <si>
    <r>
      <rPr>
        <b val="true"/>
        <sz val="10"/>
        <color rgb="FF1F3864"/>
        <rFont val="Noto Sans CJK SC"/>
        <family val="2"/>
      </rPr>
      <t xml:space="preserve">存货跌价准备变动 </t>
    </r>
    <r>
      <rPr>
        <b val="true"/>
        <sz val="10"/>
        <color rgb="FF1F3864"/>
        <rFont val="Arial"/>
        <family val="0"/>
        <charset val="1"/>
      </rPr>
      <t xml:space="preserve">2025H1</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</si>
  <si>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年半年度报告 附注七</t>
    </r>
    <r>
      <rPr>
        <i val="true"/>
        <sz val="10"/>
        <color rgb="FF595959"/>
        <rFont val="Arial"/>
        <family val="0"/>
        <charset val="1"/>
      </rPr>
      <t xml:space="preserve">.8(2) p79</t>
    </r>
  </si>
  <si>
    <r>
      <rPr>
        <b val="true"/>
        <sz val="10"/>
        <color rgb="FF1F3864"/>
        <rFont val="Noto Sans CJK SC"/>
        <family val="2"/>
      </rPr>
      <t xml:space="preserve">存货跌价准备变动 </t>
    </r>
    <r>
      <rPr>
        <b val="true"/>
        <sz val="10"/>
        <color rgb="FF1F3864"/>
        <rFont val="Arial"/>
        <family val="0"/>
        <charset val="1"/>
      </rPr>
      <t xml:space="preserve">2026H1</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</si>
  <si>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年半年度报告 附注七</t>
    </r>
    <r>
      <rPr>
        <i val="true"/>
        <sz val="10"/>
        <color rgb="FF595959"/>
        <rFont val="Arial"/>
        <family val="0"/>
        <charset val="1"/>
      </rPr>
      <t xml:space="preserve">.8(2) p81</t>
    </r>
  </si>
  <si>
    <t xml:space="preserve">应付票据按种类</t>
  </si>
  <si>
    <r>
      <rPr>
        <i val="true"/>
        <sz val="10"/>
        <color rgb="FF595959"/>
        <rFont val="Noto Sans CJK SC"/>
        <family val="2"/>
      </rPr>
      <t xml:space="preserve">单位：百万元（原表单位元；比例、单价、股数、人数等非金额行列保持原值；原单位说明：元）；来源：附注七 应付票据</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.23 p136; 2024</t>
    </r>
    <r>
      <rPr>
        <i val="true"/>
        <sz val="10"/>
        <color rgb="FF595959"/>
        <rFont val="Noto Sans CJK SC"/>
        <family val="2"/>
      </rPr>
      <t xml:space="preserve">年报 七</t>
    </r>
    <r>
      <rPr>
        <i val="true"/>
        <sz val="10"/>
        <color rgb="FF595959"/>
        <rFont val="Arial"/>
        <family val="0"/>
        <charset val="1"/>
      </rPr>
      <t xml:space="preserve">.22 p150; 2025</t>
    </r>
    <r>
      <rPr>
        <i val="true"/>
        <sz val="10"/>
        <color rgb="FF595959"/>
        <rFont val="Noto Sans CJK SC"/>
        <family val="2"/>
      </rPr>
      <t xml:space="preserve">年报 七</t>
    </r>
    <r>
      <rPr>
        <i val="true"/>
        <sz val="10"/>
        <color rgb="FF595959"/>
        <rFont val="Arial"/>
        <family val="0"/>
        <charset val="1"/>
      </rPr>
      <t xml:space="preserve">.22 p128; 2025</t>
    </r>
    <r>
      <rPr>
        <i val="true"/>
        <sz val="10"/>
        <color rgb="FF595959"/>
        <rFont val="Noto Sans CJK SC"/>
        <family val="2"/>
      </rPr>
      <t xml:space="preserve">半年报 七</t>
    </r>
    <r>
      <rPr>
        <i val="true"/>
        <sz val="10"/>
        <color rgb="FF595959"/>
        <rFont val="Arial"/>
        <family val="0"/>
        <charset val="1"/>
      </rPr>
      <t xml:space="preserve">.22 p92; 2026</t>
    </r>
    <r>
      <rPr>
        <i val="true"/>
        <sz val="10"/>
        <color rgb="FF595959"/>
        <rFont val="Noto Sans CJK SC"/>
        <family val="2"/>
      </rPr>
      <t xml:space="preserve">半年报 七</t>
    </r>
    <r>
      <rPr>
        <i val="true"/>
        <sz val="10"/>
        <color rgb="FF595959"/>
        <rFont val="Arial"/>
        <family val="0"/>
        <charset val="1"/>
      </rPr>
      <t xml:space="preserve">.22 p92</t>
    </r>
  </si>
  <si>
    <t xml:space="preserve">商业承兑汇票</t>
  </si>
  <si>
    <t xml:space="preserve">银行承兑汇票</t>
  </si>
  <si>
    <t xml:space="preserve">应付账款按账龄</t>
  </si>
  <si>
    <r>
      <rPr>
        <i val="true"/>
        <sz val="10"/>
        <color rgb="FF595959"/>
        <rFont val="Noto Sans CJK SC"/>
        <family val="2"/>
      </rPr>
      <t xml:space="preserve">单位：百万元（原表单位元；比例、单价、股数、人数等非金额行列保持原值；原单位说明：元）；来源：附注七 应付账款</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.24 p136 (1,934,286.12 labelled 3</t>
    </r>
    <r>
      <rPr>
        <i val="true"/>
        <sz val="10"/>
        <color rgb="FF595959"/>
        <rFont val="Noto Sans CJK SC"/>
        <family val="2"/>
      </rPr>
      <t xml:space="preserve">年以上</t>
    </r>
    <r>
      <rPr>
        <i val="true"/>
        <sz val="10"/>
        <color rgb="FF595959"/>
        <rFont val="Arial"/>
        <family val="0"/>
        <charset val="1"/>
      </rPr>
      <t xml:space="preserve">; the 2024 report comparative labels it 3-4</t>
    </r>
    <r>
      <rPr>
        <i val="true"/>
        <sz val="10"/>
        <color rgb="FF595959"/>
        <rFont val="Noto Sans CJK SC"/>
        <family val="2"/>
      </rPr>
      <t xml:space="preserve">年</t>
    </r>
    <r>
      <rPr>
        <i val="true"/>
        <sz val="10"/>
        <color rgb="FF595959"/>
        <rFont val="Arial"/>
        <family val="0"/>
        <charset val="1"/>
      </rPr>
      <t xml:space="preserve">); 2024</t>
    </r>
    <r>
      <rPr>
        <i val="true"/>
        <sz val="10"/>
        <color rgb="FF595959"/>
        <rFont val="Noto Sans CJK SC"/>
        <family val="2"/>
      </rPr>
      <t xml:space="preserve">年报 七</t>
    </r>
    <r>
      <rPr>
        <i val="true"/>
        <sz val="10"/>
        <color rgb="FF595959"/>
        <rFont val="Arial"/>
        <family val="0"/>
        <charset val="1"/>
      </rPr>
      <t xml:space="preserve">.23 p150; 2025</t>
    </r>
    <r>
      <rPr>
        <i val="true"/>
        <sz val="10"/>
        <color rgb="FF595959"/>
        <rFont val="Noto Sans CJK SC"/>
        <family val="2"/>
      </rPr>
      <t xml:space="preserve">年报 七</t>
    </r>
    <r>
      <rPr>
        <i val="true"/>
        <sz val="10"/>
        <color rgb="FF595959"/>
        <rFont val="Arial"/>
        <family val="0"/>
        <charset val="1"/>
      </rPr>
      <t xml:space="preserve">.23 p128; 2025</t>
    </r>
    <r>
      <rPr>
        <i val="true"/>
        <sz val="10"/>
        <color rgb="FF595959"/>
        <rFont val="Noto Sans CJK SC"/>
        <family val="2"/>
      </rPr>
      <t xml:space="preserve">半年报 七</t>
    </r>
    <r>
      <rPr>
        <i val="true"/>
        <sz val="10"/>
        <color rgb="FF595959"/>
        <rFont val="Arial"/>
        <family val="0"/>
        <charset val="1"/>
      </rPr>
      <t xml:space="preserve">.23 p92; 2026</t>
    </r>
    <r>
      <rPr>
        <i val="true"/>
        <sz val="10"/>
        <color rgb="FF595959"/>
        <rFont val="Noto Sans CJK SC"/>
        <family val="2"/>
      </rPr>
      <t xml:space="preserve">半年报 七</t>
    </r>
    <r>
      <rPr>
        <i val="true"/>
        <sz val="10"/>
        <color rgb="FF595959"/>
        <rFont val="Arial"/>
        <family val="0"/>
        <charset val="1"/>
      </rPr>
      <t xml:space="preserve">.23 p92</t>
    </r>
  </si>
  <si>
    <r>
      <rPr>
        <sz val="10"/>
        <color rgb="FF000000"/>
        <rFont val="Arial"/>
        <family val="0"/>
        <charset val="1"/>
      </rPr>
      <t xml:space="preserve">1-2</t>
    </r>
    <r>
      <rPr>
        <sz val="10"/>
        <color rgb="FF000000"/>
        <rFont val="Noto Sans CJK SC"/>
        <family val="2"/>
      </rPr>
      <t xml:space="preserve">年</t>
    </r>
  </si>
  <si>
    <r>
      <rPr>
        <sz val="10"/>
        <color rgb="FF000000"/>
        <rFont val="Arial"/>
        <family val="0"/>
        <charset val="1"/>
      </rPr>
      <t xml:space="preserve">2-3</t>
    </r>
    <r>
      <rPr>
        <sz val="10"/>
        <color rgb="FF000000"/>
        <rFont val="Noto Sans CJK SC"/>
        <family val="2"/>
      </rPr>
      <t xml:space="preserve">年</t>
    </r>
  </si>
  <si>
    <r>
      <rPr>
        <sz val="10"/>
        <color rgb="FF000000"/>
        <rFont val="Arial"/>
        <family val="0"/>
        <charset val="1"/>
      </rPr>
      <t xml:space="preserve">3-4</t>
    </r>
    <r>
      <rPr>
        <sz val="10"/>
        <color rgb="FF000000"/>
        <rFont val="Noto Sans CJK SC"/>
        <family val="2"/>
      </rPr>
      <t xml:space="preserve">年</t>
    </r>
  </si>
  <si>
    <r>
      <rPr>
        <sz val="10"/>
        <color rgb="FF000000"/>
        <rFont val="Arial"/>
        <family val="0"/>
        <charset val="1"/>
      </rPr>
      <t xml:space="preserve">4-5</t>
    </r>
    <r>
      <rPr>
        <sz val="10"/>
        <color rgb="FF000000"/>
        <rFont val="Noto Sans CJK SC"/>
        <family val="2"/>
      </rPr>
      <t xml:space="preserve">年</t>
    </r>
  </si>
  <si>
    <r>
      <rPr>
        <sz val="10"/>
        <color rgb="FF000000"/>
        <rFont val="Arial"/>
        <family val="0"/>
        <charset val="1"/>
      </rPr>
      <t xml:space="preserve">5</t>
    </r>
    <r>
      <rPr>
        <sz val="10"/>
        <color rgb="FF000000"/>
        <rFont val="Noto Sans CJK SC"/>
        <family val="2"/>
      </rPr>
      <t xml:space="preserve">年以上</t>
    </r>
  </si>
  <si>
    <t xml:space="preserve">合同负债（预收货款）</t>
  </si>
  <si>
    <r>
      <rPr>
        <i val="true"/>
        <sz val="10"/>
        <color rgb="FF595959"/>
        <rFont val="Noto Sans CJK SC"/>
        <family val="2"/>
      </rPr>
      <t xml:space="preserve">单位：百万元（原表单位元；比例、单价、股数、人数等非金额行列保持原值；原单位说明：元）；来源：附注七 合同负债</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.26 p137; 2024</t>
    </r>
    <r>
      <rPr>
        <i val="true"/>
        <sz val="10"/>
        <color rgb="FF595959"/>
        <rFont val="Noto Sans CJK SC"/>
        <family val="2"/>
      </rPr>
      <t xml:space="preserve">年报 七</t>
    </r>
    <r>
      <rPr>
        <i val="true"/>
        <sz val="10"/>
        <color rgb="FF595959"/>
        <rFont val="Arial"/>
        <family val="0"/>
        <charset val="1"/>
      </rPr>
      <t xml:space="preserve">.25 p151; 2025</t>
    </r>
    <r>
      <rPr>
        <i val="true"/>
        <sz val="10"/>
        <color rgb="FF595959"/>
        <rFont val="Noto Sans CJK SC"/>
        <family val="2"/>
      </rPr>
      <t xml:space="preserve">年报 七</t>
    </r>
    <r>
      <rPr>
        <i val="true"/>
        <sz val="10"/>
        <color rgb="FF595959"/>
        <rFont val="Arial"/>
        <family val="0"/>
        <charset val="1"/>
      </rPr>
      <t xml:space="preserve">.26 p129; 2025</t>
    </r>
    <r>
      <rPr>
        <i val="true"/>
        <sz val="10"/>
        <color rgb="FF595959"/>
        <rFont val="Noto Sans CJK SC"/>
        <family val="2"/>
      </rPr>
      <t xml:space="preserve">半年报 七</t>
    </r>
    <r>
      <rPr>
        <i val="true"/>
        <sz val="10"/>
        <color rgb="FF595959"/>
        <rFont val="Arial"/>
        <family val="0"/>
        <charset val="1"/>
      </rPr>
      <t xml:space="preserve">.25 p93; 2026</t>
    </r>
    <r>
      <rPr>
        <i val="true"/>
        <sz val="10"/>
        <color rgb="FF595959"/>
        <rFont val="Noto Sans CJK SC"/>
        <family val="2"/>
      </rPr>
      <t xml:space="preserve">半年报 七</t>
    </r>
    <r>
      <rPr>
        <i val="true"/>
        <sz val="10"/>
        <color rgb="FF595959"/>
        <rFont val="Arial"/>
        <family val="0"/>
        <charset val="1"/>
      </rPr>
      <t xml:space="preserve">.25 p92</t>
    </r>
  </si>
  <si>
    <r>
      <rPr>
        <sz val="10"/>
        <color rgb="FF000000"/>
        <rFont val="Noto Sans CJK SC"/>
        <family val="2"/>
      </rPr>
      <t xml:space="preserve">预收货款</t>
    </r>
    <r>
      <rPr>
        <sz val="10"/>
        <color rgb="FF000000"/>
        <rFont val="Arial"/>
        <family val="0"/>
        <charset val="1"/>
      </rPr>
      <t xml:space="preserve">/</t>
    </r>
    <r>
      <rPr>
        <sz val="10"/>
        <color rgb="FF000000"/>
        <rFont val="Noto Sans CJK SC"/>
        <family val="2"/>
      </rPr>
      <t xml:space="preserve">预收款</t>
    </r>
  </si>
  <si>
    <t xml:space="preserve">应付职工薪酬期末余额</t>
  </si>
  <si>
    <r>
      <rPr>
        <i val="true"/>
        <sz val="10"/>
        <color rgb="FF595959"/>
        <rFont val="Noto Sans CJK SC"/>
        <family val="2"/>
      </rPr>
      <t xml:space="preserve">单位：百万元（原表单位元；比例、单价、股数、人数等非金额行列保持原值；原单位说明：元）；来源：附注七 应付职工薪酬</t>
    </r>
    <r>
      <rPr>
        <i val="true"/>
        <sz val="10"/>
        <color rgb="FF595959"/>
        <rFont val="Arial"/>
        <family val="0"/>
        <charset val="1"/>
      </rPr>
      <t xml:space="preserve">(1): 2023</t>
    </r>
    <r>
      <rPr>
        <i val="true"/>
        <sz val="10"/>
        <color rgb="FF595959"/>
        <rFont val="Noto Sans CJK SC"/>
        <family val="2"/>
      </rPr>
      <t xml:space="preserve">年报 七</t>
    </r>
    <r>
      <rPr>
        <i val="true"/>
        <sz val="10"/>
        <color rgb="FF595959"/>
        <rFont val="Arial"/>
        <family val="0"/>
        <charset val="1"/>
      </rPr>
      <t xml:space="preserve">.27 p137; 2024</t>
    </r>
    <r>
      <rPr>
        <i val="true"/>
        <sz val="10"/>
        <color rgb="FF595959"/>
        <rFont val="Noto Sans CJK SC"/>
        <family val="2"/>
      </rPr>
      <t xml:space="preserve">年报 七</t>
    </r>
    <r>
      <rPr>
        <i val="true"/>
        <sz val="10"/>
        <color rgb="FF595959"/>
        <rFont val="Arial"/>
        <family val="0"/>
        <charset val="1"/>
      </rPr>
      <t xml:space="preserve">.26 p151; 2025</t>
    </r>
    <r>
      <rPr>
        <i val="true"/>
        <sz val="10"/>
        <color rgb="FF595959"/>
        <rFont val="Noto Sans CJK SC"/>
        <family val="2"/>
      </rPr>
      <t xml:space="preserve">年报 七</t>
    </r>
    <r>
      <rPr>
        <i val="true"/>
        <sz val="10"/>
        <color rgb="FF595959"/>
        <rFont val="Arial"/>
        <family val="0"/>
        <charset val="1"/>
      </rPr>
      <t xml:space="preserve">.27 p129; 2025</t>
    </r>
    <r>
      <rPr>
        <i val="true"/>
        <sz val="10"/>
        <color rgb="FF595959"/>
        <rFont val="Noto Sans CJK SC"/>
        <family val="2"/>
      </rPr>
      <t xml:space="preserve">半年报 七</t>
    </r>
    <r>
      <rPr>
        <i val="true"/>
        <sz val="10"/>
        <color rgb="FF595959"/>
        <rFont val="Arial"/>
        <family val="0"/>
        <charset val="1"/>
      </rPr>
      <t xml:space="preserve">.26 p94; 2026</t>
    </r>
    <r>
      <rPr>
        <i val="true"/>
        <sz val="10"/>
        <color rgb="FF595959"/>
        <rFont val="Noto Sans CJK SC"/>
        <family val="2"/>
      </rPr>
      <t xml:space="preserve">半年报 七</t>
    </r>
    <r>
      <rPr>
        <i val="true"/>
        <sz val="10"/>
        <color rgb="FF595959"/>
        <rFont val="Arial"/>
        <family val="0"/>
        <charset val="1"/>
      </rPr>
      <t xml:space="preserve">.26 p93</t>
    </r>
  </si>
  <si>
    <t xml:space="preserve">短期薪酬</t>
  </si>
  <si>
    <r>
      <rPr>
        <sz val="10"/>
        <color rgb="FF000000"/>
        <rFont val="Noto Sans CJK SC"/>
        <family val="2"/>
      </rPr>
      <t xml:space="preserve">离职后福利</t>
    </r>
    <r>
      <rPr>
        <sz val="10"/>
        <color rgb="FF000000"/>
        <rFont val="Arial"/>
        <family val="0"/>
        <charset val="1"/>
      </rPr>
      <t xml:space="preserve">-</t>
    </r>
    <r>
      <rPr>
        <sz val="10"/>
        <color rgb="FF000000"/>
        <rFont val="Noto Sans CJK SC"/>
        <family val="2"/>
      </rPr>
      <t xml:space="preserve">设定提存计划</t>
    </r>
  </si>
  <si>
    <r>
      <rPr>
        <b val="true"/>
        <sz val="10"/>
        <color rgb="FF1F3864"/>
        <rFont val="Noto Sans CJK SC"/>
        <family val="2"/>
      </rPr>
      <t xml:space="preserve">应付职工薪酬变动（期初</t>
    </r>
    <r>
      <rPr>
        <b val="true"/>
        <sz val="10"/>
        <color rgb="FF1F3864"/>
        <rFont val="Arial"/>
        <family val="0"/>
        <charset val="1"/>
      </rPr>
      <t xml:space="preserve">/</t>
    </r>
    <r>
      <rPr>
        <b val="true"/>
        <sz val="10"/>
        <color rgb="FF1F3864"/>
        <rFont val="Noto Sans CJK SC"/>
        <family val="2"/>
      </rPr>
      <t xml:space="preserve">本期增加</t>
    </r>
    <r>
      <rPr>
        <b val="true"/>
        <sz val="10"/>
        <color rgb="FF1F3864"/>
        <rFont val="Arial"/>
        <family val="0"/>
        <charset val="1"/>
      </rPr>
      <t xml:space="preserve">/</t>
    </r>
    <r>
      <rPr>
        <b val="true"/>
        <sz val="10"/>
        <color rgb="FF1F3864"/>
        <rFont val="Noto Sans CJK SC"/>
        <family val="2"/>
      </rPr>
      <t xml:space="preserve">本期减少</t>
    </r>
    <r>
      <rPr>
        <b val="true"/>
        <sz val="10"/>
        <color rgb="FF1F3864"/>
        <rFont val="Arial"/>
        <family val="0"/>
        <charset val="1"/>
      </rPr>
      <t xml:space="preserve">/</t>
    </r>
    <r>
      <rPr>
        <b val="true"/>
        <sz val="10"/>
        <color rgb="FF1F3864"/>
        <rFont val="Noto Sans CJK SC"/>
        <family val="2"/>
      </rPr>
      <t xml:space="preserve">期末）</t>
    </r>
  </si>
  <si>
    <r>
      <rPr>
        <i val="true"/>
        <sz val="10"/>
        <color rgb="FF595959"/>
        <rFont val="Noto Sans CJK SC"/>
        <family val="2"/>
      </rPr>
      <t xml:space="preserve">单位：百万元（原表单位元；比例、单价、股数、人数等非金额行列保持原值；原单位说明：元）；来源：附注七 应付职工薪酬</t>
    </r>
    <r>
      <rPr>
        <i val="true"/>
        <sz val="10"/>
        <color rgb="FF595959"/>
        <rFont val="Arial"/>
        <family val="0"/>
        <charset val="1"/>
      </rPr>
      <t xml:space="preserve">(1) in each report</t>
    </r>
  </si>
  <si>
    <r>
      <rPr>
        <sz val="10"/>
        <color rgb="FF000000"/>
        <rFont val="Arial"/>
        <family val="0"/>
        <charset val="1"/>
      </rPr>
      <t xml:space="preserve">FY2023 </t>
    </r>
    <r>
      <rPr>
        <sz val="10"/>
        <color rgb="FF000000"/>
        <rFont val="Noto Sans CJK SC"/>
        <family val="2"/>
      </rPr>
      <t xml:space="preserve">短期薪酬</t>
    </r>
  </si>
  <si>
    <r>
      <rPr>
        <sz val="10"/>
        <color rgb="FF000000"/>
        <rFont val="Arial"/>
        <family val="0"/>
        <charset val="1"/>
      </rPr>
      <t xml:space="preserve">FY2023 </t>
    </r>
    <r>
      <rPr>
        <sz val="10"/>
        <color rgb="FF000000"/>
        <rFont val="Noto Sans CJK SC"/>
        <family val="2"/>
      </rPr>
      <t xml:space="preserve">设定提存计划</t>
    </r>
  </si>
  <si>
    <r>
      <rPr>
        <sz val="10"/>
        <color rgb="FF000000"/>
        <rFont val="Arial"/>
        <family val="0"/>
        <charset val="1"/>
      </rPr>
      <t xml:space="preserve">FY2023 </t>
    </r>
    <r>
      <rPr>
        <sz val="10"/>
        <color rgb="FF000000"/>
        <rFont val="Noto Sans CJK SC"/>
        <family val="2"/>
      </rPr>
      <t xml:space="preserve">合计</t>
    </r>
  </si>
  <si>
    <r>
      <rPr>
        <sz val="10"/>
        <color rgb="FF000000"/>
        <rFont val="Arial"/>
        <family val="0"/>
        <charset val="1"/>
      </rPr>
      <t xml:space="preserve">FY2024 </t>
    </r>
    <r>
      <rPr>
        <sz val="10"/>
        <color rgb="FF000000"/>
        <rFont val="Noto Sans CJK SC"/>
        <family val="2"/>
      </rPr>
      <t xml:space="preserve">短期薪酬</t>
    </r>
  </si>
  <si>
    <r>
      <rPr>
        <sz val="10"/>
        <color rgb="FF000000"/>
        <rFont val="Arial"/>
        <family val="0"/>
        <charset val="1"/>
      </rPr>
      <t xml:space="preserve">FY2024 </t>
    </r>
    <r>
      <rPr>
        <sz val="10"/>
        <color rgb="FF000000"/>
        <rFont val="Noto Sans CJK SC"/>
        <family val="2"/>
      </rPr>
      <t xml:space="preserve">设定提存计划</t>
    </r>
  </si>
  <si>
    <r>
      <rPr>
        <sz val="10"/>
        <color rgb="FF000000"/>
        <rFont val="Arial"/>
        <family val="0"/>
        <charset val="1"/>
      </rPr>
      <t xml:space="preserve">FY2024 </t>
    </r>
    <r>
      <rPr>
        <sz val="10"/>
        <color rgb="FF000000"/>
        <rFont val="Noto Sans CJK SC"/>
        <family val="2"/>
      </rPr>
      <t xml:space="preserve">合计</t>
    </r>
  </si>
  <si>
    <r>
      <rPr>
        <sz val="10"/>
        <color rgb="FF000000"/>
        <rFont val="Arial"/>
        <family val="0"/>
        <charset val="1"/>
      </rPr>
      <t xml:space="preserve">FY2025 </t>
    </r>
    <r>
      <rPr>
        <sz val="10"/>
        <color rgb="FF000000"/>
        <rFont val="Noto Sans CJK SC"/>
        <family val="2"/>
      </rPr>
      <t xml:space="preserve">短期薪酬</t>
    </r>
  </si>
  <si>
    <r>
      <rPr>
        <sz val="10"/>
        <color rgb="FF000000"/>
        <rFont val="Arial"/>
        <family val="0"/>
        <charset val="1"/>
      </rPr>
      <t xml:space="preserve">FY2025 </t>
    </r>
    <r>
      <rPr>
        <sz val="10"/>
        <color rgb="FF000000"/>
        <rFont val="Noto Sans CJK SC"/>
        <family val="2"/>
      </rPr>
      <t xml:space="preserve">设定提存计划</t>
    </r>
  </si>
  <si>
    <r>
      <rPr>
        <sz val="10"/>
        <color rgb="FF000000"/>
        <rFont val="Arial"/>
        <family val="0"/>
        <charset val="1"/>
      </rPr>
      <t xml:space="preserve">FY2025 </t>
    </r>
    <r>
      <rPr>
        <sz val="10"/>
        <color rgb="FF000000"/>
        <rFont val="Noto Sans CJK SC"/>
        <family val="2"/>
      </rPr>
      <t xml:space="preserve">合计</t>
    </r>
  </si>
  <si>
    <r>
      <rPr>
        <sz val="10"/>
        <color rgb="FF000000"/>
        <rFont val="Arial"/>
        <family val="0"/>
        <charset val="1"/>
      </rPr>
      <t xml:space="preserve">2025H1 </t>
    </r>
    <r>
      <rPr>
        <sz val="10"/>
        <color rgb="FF000000"/>
        <rFont val="Noto Sans CJK SC"/>
        <family val="2"/>
      </rPr>
      <t xml:space="preserve">短期薪酬</t>
    </r>
  </si>
  <si>
    <r>
      <rPr>
        <sz val="10"/>
        <color rgb="FF000000"/>
        <rFont val="Arial"/>
        <family val="0"/>
        <charset val="1"/>
      </rPr>
      <t xml:space="preserve">2025H1 </t>
    </r>
    <r>
      <rPr>
        <sz val="10"/>
        <color rgb="FF000000"/>
        <rFont val="Noto Sans CJK SC"/>
        <family val="2"/>
      </rPr>
      <t xml:space="preserve">设定提存计划</t>
    </r>
  </si>
  <si>
    <r>
      <rPr>
        <sz val="10"/>
        <color rgb="FF000000"/>
        <rFont val="Arial"/>
        <family val="0"/>
        <charset val="1"/>
      </rPr>
      <t xml:space="preserve">2025H1 </t>
    </r>
    <r>
      <rPr>
        <sz val="10"/>
        <color rgb="FF000000"/>
        <rFont val="Noto Sans CJK SC"/>
        <family val="2"/>
      </rPr>
      <t xml:space="preserve">合计</t>
    </r>
  </si>
  <si>
    <r>
      <rPr>
        <sz val="10"/>
        <color rgb="FF000000"/>
        <rFont val="Arial"/>
        <family val="0"/>
        <charset val="1"/>
      </rPr>
      <t xml:space="preserve">2026H1 </t>
    </r>
    <r>
      <rPr>
        <sz val="10"/>
        <color rgb="FF000000"/>
        <rFont val="Noto Sans CJK SC"/>
        <family val="2"/>
      </rPr>
      <t xml:space="preserve">短期薪酬</t>
    </r>
  </si>
  <si>
    <r>
      <rPr>
        <sz val="10"/>
        <color rgb="FF000000"/>
        <rFont val="Arial"/>
        <family val="0"/>
        <charset val="1"/>
      </rPr>
      <t xml:space="preserve">2026H1 </t>
    </r>
    <r>
      <rPr>
        <sz val="10"/>
        <color rgb="FF000000"/>
        <rFont val="Noto Sans CJK SC"/>
        <family val="2"/>
      </rPr>
      <t xml:space="preserve">设定提存计划</t>
    </r>
  </si>
  <si>
    <r>
      <rPr>
        <sz val="10"/>
        <color rgb="FF000000"/>
        <rFont val="Arial"/>
        <family val="0"/>
        <charset val="1"/>
      </rPr>
      <t xml:space="preserve">2026H1 </t>
    </r>
    <r>
      <rPr>
        <sz val="10"/>
        <color rgb="FF000000"/>
        <rFont val="Noto Sans CJK SC"/>
        <family val="2"/>
      </rPr>
      <t xml:space="preserve">合计</t>
    </r>
  </si>
  <si>
    <t xml:space="preserve">应付职工薪酬本期增加明细（短期薪酬及设定提存计划）</t>
  </si>
  <si>
    <r>
      <rPr>
        <i val="true"/>
        <sz val="10"/>
        <color rgb="FF595959"/>
        <rFont val="Noto Sans CJK SC"/>
        <family val="2"/>
      </rPr>
      <t xml:space="preserve">单位：百万元（原表单位元；比例、单价、股数、人数等非金额行列保持原值；原单位说明：元）；来源：附注七 应付职工薪酬</t>
    </r>
    <r>
      <rPr>
        <i val="true"/>
        <sz val="10"/>
        <color rgb="FF595959"/>
        <rFont val="Arial"/>
        <family val="0"/>
        <charset val="1"/>
      </rPr>
      <t xml:space="preserve">(2) </t>
    </r>
    <r>
      <rPr>
        <i val="true"/>
        <sz val="10"/>
        <color rgb="FF595959"/>
        <rFont val="Noto Sans CJK SC"/>
        <family val="2"/>
      </rPr>
      <t xml:space="preserve">短期薪酬列示 </t>
    </r>
    <r>
      <rPr>
        <i val="true"/>
        <sz val="10"/>
        <color rgb="FF595959"/>
        <rFont val="Arial"/>
        <family val="0"/>
        <charset val="1"/>
      </rPr>
      <t xml:space="preserve">and (3) </t>
    </r>
    <r>
      <rPr>
        <i val="true"/>
        <sz val="10"/>
        <color rgb="FF595959"/>
        <rFont val="Noto Sans CJK SC"/>
        <family val="2"/>
      </rPr>
      <t xml:space="preserve">设定提存计划列示</t>
    </r>
    <r>
      <rPr>
        <i val="true"/>
        <sz val="10"/>
        <color rgb="FF595959"/>
        <rFont val="Arial"/>
        <family val="0"/>
        <charset val="1"/>
      </rPr>
      <t xml:space="preserve">, </t>
    </r>
    <r>
      <rPr>
        <i val="true"/>
        <sz val="10"/>
        <color rgb="FF595959"/>
        <rFont val="Noto Sans CJK SC"/>
        <family val="2"/>
      </rPr>
      <t xml:space="preserve">本期增加 </t>
    </r>
    <r>
      <rPr>
        <i val="true"/>
        <sz val="10"/>
        <color rgb="FF595959"/>
        <rFont val="Arial"/>
        <family val="0"/>
        <charset val="1"/>
      </rPr>
      <t xml:space="preserve">column, in each report</t>
    </r>
  </si>
  <si>
    <t xml:space="preserve">工资、奖金、津贴和补贴</t>
  </si>
  <si>
    <t xml:space="preserve">职工福利费</t>
  </si>
  <si>
    <t xml:space="preserve">社会保险费</t>
  </si>
  <si>
    <t xml:space="preserve">住房公积金</t>
  </si>
  <si>
    <t xml:space="preserve">工会经费和职工教育经费</t>
  </si>
  <si>
    <t xml:space="preserve">短期薪酬本期增加合计</t>
  </si>
  <si>
    <t xml:space="preserve">基本养老保险</t>
  </si>
  <si>
    <t xml:space="preserve">失业保险费</t>
  </si>
  <si>
    <t xml:space="preserve">设定提存计划本期增加合计</t>
  </si>
  <si>
    <t xml:space="preserve">应交税费构成</t>
  </si>
  <si>
    <r>
      <rPr>
        <i val="true"/>
        <sz val="10"/>
        <color rgb="FF595959"/>
        <rFont val="Noto Sans CJK SC"/>
        <family val="2"/>
      </rPr>
      <t xml:space="preserve">单位：百万元（原表单位元；比例、单价、股数、人数等非金额行列保持原值；原单位说明：元）；来源：附注七 应交税费</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.28 p138; 2024</t>
    </r>
    <r>
      <rPr>
        <i val="true"/>
        <sz val="10"/>
        <color rgb="FF595959"/>
        <rFont val="Noto Sans CJK SC"/>
        <family val="2"/>
      </rPr>
      <t xml:space="preserve">年报 七</t>
    </r>
    <r>
      <rPr>
        <i val="true"/>
        <sz val="10"/>
        <color rgb="FF595959"/>
        <rFont val="Arial"/>
        <family val="0"/>
        <charset val="1"/>
      </rPr>
      <t xml:space="preserve">.27 p152-153; 2025</t>
    </r>
    <r>
      <rPr>
        <i val="true"/>
        <sz val="10"/>
        <color rgb="FF595959"/>
        <rFont val="Noto Sans CJK SC"/>
        <family val="2"/>
      </rPr>
      <t xml:space="preserve">年报 七</t>
    </r>
    <r>
      <rPr>
        <i val="true"/>
        <sz val="10"/>
        <color rgb="FF595959"/>
        <rFont val="Arial"/>
        <family val="0"/>
        <charset val="1"/>
      </rPr>
      <t xml:space="preserve">.28 p130; 2025</t>
    </r>
    <r>
      <rPr>
        <i val="true"/>
        <sz val="10"/>
        <color rgb="FF595959"/>
        <rFont val="Noto Sans CJK SC"/>
        <family val="2"/>
      </rPr>
      <t xml:space="preserve">半年报 七</t>
    </r>
    <r>
      <rPr>
        <i val="true"/>
        <sz val="10"/>
        <color rgb="FF595959"/>
        <rFont val="Arial"/>
        <family val="0"/>
        <charset val="1"/>
      </rPr>
      <t xml:space="preserve">.27 p94-95; 2026</t>
    </r>
    <r>
      <rPr>
        <i val="true"/>
        <sz val="10"/>
        <color rgb="FF595959"/>
        <rFont val="Noto Sans CJK SC"/>
        <family val="2"/>
      </rPr>
      <t xml:space="preserve">半年报 七</t>
    </r>
    <r>
      <rPr>
        <i val="true"/>
        <sz val="10"/>
        <color rgb="FF595959"/>
        <rFont val="Arial"/>
        <family val="0"/>
        <charset val="1"/>
      </rPr>
      <t xml:space="preserve">.27 p93-94</t>
    </r>
  </si>
  <si>
    <t xml:space="preserve">增值税</t>
  </si>
  <si>
    <t xml:space="preserve">企业所得税</t>
  </si>
  <si>
    <t xml:space="preserve">个人所得税</t>
  </si>
  <si>
    <t xml:space="preserve">契税</t>
  </si>
  <si>
    <t xml:space="preserve">其他应付款按款项性质</t>
  </si>
  <si>
    <r>
      <rPr>
        <i val="true"/>
        <sz val="10"/>
        <color rgb="FF595959"/>
        <rFont val="Noto Sans CJK SC"/>
        <family val="2"/>
      </rPr>
      <t xml:space="preserve">单位：百万元（原表单位元；比例、单价、股数、人数等非金额行列保持原值；原单位说明：元）；来源：附注七 其他应付款</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.25 p136; 2024</t>
    </r>
    <r>
      <rPr>
        <i val="true"/>
        <sz val="10"/>
        <color rgb="FF595959"/>
        <rFont val="Noto Sans CJK SC"/>
        <family val="2"/>
      </rPr>
      <t xml:space="preserve">年报 七</t>
    </r>
    <r>
      <rPr>
        <i val="true"/>
        <sz val="10"/>
        <color rgb="FF595959"/>
        <rFont val="Arial"/>
        <family val="0"/>
        <charset val="1"/>
      </rPr>
      <t xml:space="preserve">.24 p150-151; 2025</t>
    </r>
    <r>
      <rPr>
        <i val="true"/>
        <sz val="10"/>
        <color rgb="FF595959"/>
        <rFont val="Noto Sans CJK SC"/>
        <family val="2"/>
      </rPr>
      <t xml:space="preserve">年报 七</t>
    </r>
    <r>
      <rPr>
        <i val="true"/>
        <sz val="10"/>
        <color rgb="FF595959"/>
        <rFont val="Arial"/>
        <family val="0"/>
        <charset val="1"/>
      </rPr>
      <t xml:space="preserve">.24 p128-129; 2025</t>
    </r>
    <r>
      <rPr>
        <i val="true"/>
        <sz val="10"/>
        <color rgb="FF595959"/>
        <rFont val="Noto Sans CJK SC"/>
        <family val="2"/>
      </rPr>
      <t xml:space="preserve">半年报 七</t>
    </r>
    <r>
      <rPr>
        <i val="true"/>
        <sz val="10"/>
        <color rgb="FF595959"/>
        <rFont val="Arial"/>
        <family val="0"/>
        <charset val="1"/>
      </rPr>
      <t xml:space="preserve">.24 p93; 2026</t>
    </r>
    <r>
      <rPr>
        <i val="true"/>
        <sz val="10"/>
        <color rgb="FF595959"/>
        <rFont val="Noto Sans CJK SC"/>
        <family val="2"/>
      </rPr>
      <t xml:space="preserve">半年报 七</t>
    </r>
    <r>
      <rPr>
        <i val="true"/>
        <sz val="10"/>
        <color rgb="FF595959"/>
        <rFont val="Arial"/>
        <family val="0"/>
        <charset val="1"/>
      </rPr>
      <t xml:space="preserve">.24 p92. No </t>
    </r>
    <r>
      <rPr>
        <i val="true"/>
        <sz val="10"/>
        <color rgb="FF595959"/>
        <rFont val="Noto Sans CJK SC"/>
        <family val="2"/>
      </rPr>
      <t xml:space="preserve">应付利息 </t>
    </r>
    <r>
      <rPr>
        <i val="true"/>
        <sz val="10"/>
        <color rgb="FF595959"/>
        <rFont val="Arial"/>
        <family val="0"/>
        <charset val="1"/>
      </rPr>
      <t xml:space="preserve">or </t>
    </r>
    <r>
      <rPr>
        <i val="true"/>
        <sz val="10"/>
        <color rgb="FF595959"/>
        <rFont val="Noto Sans CJK SC"/>
        <family val="2"/>
      </rPr>
      <t xml:space="preserve">应付股利 </t>
    </r>
    <r>
      <rPr>
        <i val="true"/>
        <sz val="10"/>
        <color rgb="FF595959"/>
        <rFont val="Arial"/>
        <family val="0"/>
        <charset val="1"/>
      </rPr>
      <t xml:space="preserve">sub-lines.</t>
    </r>
  </si>
  <si>
    <t xml:space="preserve">保证金</t>
  </si>
  <si>
    <t xml:space="preserve">押金</t>
  </si>
  <si>
    <r>
      <rPr>
        <sz val="10"/>
        <color rgb="FF000000"/>
        <rFont val="Noto Sans CJK SC"/>
        <family val="2"/>
      </rPr>
      <t xml:space="preserve">押金、保证金</t>
    </r>
    <r>
      <rPr>
        <sz val="10"/>
        <color rgb="FF000000"/>
        <rFont val="Arial"/>
        <family val="0"/>
        <charset val="1"/>
      </rPr>
      <t xml:space="preserve">(2026H1</t>
    </r>
    <r>
      <rPr>
        <sz val="10"/>
        <color rgb="FF000000"/>
        <rFont val="Noto Sans CJK SC"/>
        <family val="2"/>
      </rPr>
      <t xml:space="preserve">合并列示</t>
    </r>
    <r>
      <rPr>
        <sz val="10"/>
        <color rgb="FF000000"/>
        <rFont val="Arial"/>
        <family val="0"/>
        <charset val="1"/>
      </rPr>
      <t xml:space="preserve">)</t>
    </r>
  </si>
  <si>
    <t xml:space="preserve">租金</t>
  </si>
  <si>
    <r>
      <rPr>
        <i val="true"/>
        <sz val="10"/>
        <color rgb="FF595959"/>
        <rFont val="Noto Sans CJK SC"/>
        <family val="2"/>
      </rPr>
      <t xml:space="preserve">单位：百万元（原表单位元；比例、单价、股数、人数等非金额行列保持原值；原单位说明：元）；来源：附注七 其他流动负债</t>
    </r>
    <r>
      <rPr>
        <i val="true"/>
        <sz val="10"/>
        <color rgb="FF595959"/>
        <rFont val="Arial"/>
        <family val="0"/>
        <charset val="1"/>
      </rPr>
      <t xml:space="preserve">: 2023</t>
    </r>
    <r>
      <rPr>
        <i val="true"/>
        <sz val="10"/>
        <color rgb="FF595959"/>
        <rFont val="Noto Sans CJK SC"/>
        <family val="2"/>
      </rPr>
      <t xml:space="preserve">年报 七</t>
    </r>
    <r>
      <rPr>
        <i val="true"/>
        <sz val="10"/>
        <color rgb="FF595959"/>
        <rFont val="Arial"/>
        <family val="0"/>
        <charset val="1"/>
      </rPr>
      <t xml:space="preserve">.30 p138; 2024</t>
    </r>
    <r>
      <rPr>
        <i val="true"/>
        <sz val="10"/>
        <color rgb="FF595959"/>
        <rFont val="Noto Sans CJK SC"/>
        <family val="2"/>
      </rPr>
      <t xml:space="preserve">年报 七</t>
    </r>
    <r>
      <rPr>
        <i val="true"/>
        <sz val="10"/>
        <color rgb="FF595959"/>
        <rFont val="Arial"/>
        <family val="0"/>
        <charset val="1"/>
      </rPr>
      <t xml:space="preserve">.29 p153; 2025</t>
    </r>
    <r>
      <rPr>
        <i val="true"/>
        <sz val="10"/>
        <color rgb="FF595959"/>
        <rFont val="Noto Sans CJK SC"/>
        <family val="2"/>
      </rPr>
      <t xml:space="preserve">年报 七</t>
    </r>
    <r>
      <rPr>
        <i val="true"/>
        <sz val="10"/>
        <color rgb="FF595959"/>
        <rFont val="Arial"/>
        <family val="0"/>
        <charset val="1"/>
      </rPr>
      <t xml:space="preserve">.30 p130-131; 2025</t>
    </r>
    <r>
      <rPr>
        <i val="true"/>
        <sz val="10"/>
        <color rgb="FF595959"/>
        <rFont val="Noto Sans CJK SC"/>
        <family val="2"/>
      </rPr>
      <t xml:space="preserve">半年报 七</t>
    </r>
    <r>
      <rPr>
        <i val="true"/>
        <sz val="10"/>
        <color rgb="FF595959"/>
        <rFont val="Arial"/>
        <family val="0"/>
        <charset val="1"/>
      </rPr>
      <t xml:space="preserve">.29 p95; 2026</t>
    </r>
    <r>
      <rPr>
        <i val="true"/>
        <sz val="10"/>
        <color rgb="FF595959"/>
        <rFont val="Noto Sans CJK SC"/>
        <family val="2"/>
      </rPr>
      <t xml:space="preserve">半年报 七</t>
    </r>
    <r>
      <rPr>
        <i val="true"/>
        <sz val="10"/>
        <color rgb="FF595959"/>
        <rFont val="Arial"/>
        <family val="0"/>
        <charset val="1"/>
      </rPr>
      <t xml:space="preserve">.29 p94</t>
    </r>
  </si>
  <si>
    <r>
      <rPr>
        <sz val="10"/>
        <color rgb="FF000000"/>
        <rFont val="Noto Sans CJK SC"/>
        <family val="2"/>
      </rPr>
      <t xml:space="preserve">维修准备金</t>
    </r>
    <r>
      <rPr>
        <sz val="10"/>
        <color rgb="FF000000"/>
        <rFont val="Arial"/>
        <family val="0"/>
        <charset val="1"/>
      </rPr>
      <t xml:space="preserve">(Vermes)</t>
    </r>
  </si>
  <si>
    <t xml:space="preserve">其他流动资产构成</t>
  </si>
  <si>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.9 </t>
    </r>
    <r>
      <rPr>
        <i val="true"/>
        <sz val="10"/>
        <color rgb="FF595959"/>
        <rFont val="Noto Sans CJK SC"/>
        <family val="2"/>
      </rPr>
      <t xml:space="preserve">其他流动资产</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p122; 2024</t>
    </r>
    <r>
      <rPr>
        <i val="true"/>
        <sz val="10"/>
        <color rgb="FF595959"/>
        <rFont val="Noto Sans CJK SC"/>
        <family val="2"/>
      </rPr>
      <t xml:space="preserve">年报 </t>
    </r>
    <r>
      <rPr>
        <i val="true"/>
        <sz val="10"/>
        <color rgb="FF595959"/>
        <rFont val="Arial"/>
        <family val="0"/>
        <charset val="1"/>
      </rPr>
      <t xml:space="preserve">p135; 2025</t>
    </r>
    <r>
      <rPr>
        <i val="true"/>
        <sz val="10"/>
        <color rgb="FF595959"/>
        <rFont val="Noto Sans CJK SC"/>
        <family val="2"/>
      </rPr>
      <t xml:space="preserve">年报 </t>
    </r>
    <r>
      <rPr>
        <i val="true"/>
        <sz val="10"/>
        <color rgb="FF595959"/>
        <rFont val="Arial"/>
        <family val="0"/>
        <charset val="1"/>
      </rPr>
      <t xml:space="preserve">p117; 2025</t>
    </r>
    <r>
      <rPr>
        <i val="true"/>
        <sz val="10"/>
        <color rgb="FF595959"/>
        <rFont val="Noto Sans CJK SC"/>
        <family val="2"/>
      </rPr>
      <t xml:space="preserve">半年报 </t>
    </r>
    <r>
      <rPr>
        <i val="true"/>
        <sz val="10"/>
        <color rgb="FF595959"/>
        <rFont val="Arial"/>
        <family val="0"/>
        <charset val="1"/>
      </rPr>
      <t xml:space="preserve">p80; 2026</t>
    </r>
    <r>
      <rPr>
        <i val="true"/>
        <sz val="10"/>
        <color rgb="FF595959"/>
        <rFont val="Noto Sans CJK SC"/>
        <family val="2"/>
      </rPr>
      <t xml:space="preserve">半年报 </t>
    </r>
    <r>
      <rPr>
        <i val="true"/>
        <sz val="10"/>
        <color rgb="FF595959"/>
        <rFont val="Arial"/>
        <family val="0"/>
        <charset val="1"/>
      </rPr>
      <t xml:space="preserve">p81</t>
    </r>
  </si>
  <si>
    <r>
      <rPr>
        <sz val="10"/>
        <color rgb="FF000000"/>
        <rFont val="Noto Sans CJK SC"/>
        <family val="2"/>
      </rPr>
      <t xml:space="preserve">上市费用</t>
    </r>
    <r>
      <rPr>
        <sz val="10"/>
        <color rgb="FF000000"/>
        <rFont val="Arial"/>
        <family val="0"/>
        <charset val="1"/>
      </rPr>
      <t xml:space="preserve">(2025</t>
    </r>
    <r>
      <rPr>
        <sz val="10"/>
        <color rgb="FF000000"/>
        <rFont val="Noto Sans CJK SC"/>
        <family val="2"/>
      </rPr>
      <t xml:space="preserve">年报</t>
    </r>
    <r>
      <rPr>
        <sz val="10"/>
        <color rgb="FF000000"/>
        <rFont val="Arial"/>
        <family val="0"/>
        <charset val="1"/>
      </rPr>
      <t xml:space="preserve">)/</t>
    </r>
    <r>
      <rPr>
        <sz val="10"/>
        <color rgb="FF000000"/>
        <rFont val="Noto Sans CJK SC"/>
        <family val="2"/>
      </rPr>
      <t xml:space="preserve">预付上市费用</t>
    </r>
    <r>
      <rPr>
        <sz val="10"/>
        <color rgb="FF000000"/>
        <rFont val="Arial"/>
        <family val="0"/>
        <charset val="1"/>
      </rPr>
      <t xml:space="preserve">(2026</t>
    </r>
    <r>
      <rPr>
        <sz val="10"/>
        <color rgb="FF000000"/>
        <rFont val="Noto Sans CJK SC"/>
        <family val="2"/>
      </rPr>
      <t xml:space="preserve">半年报</t>
    </r>
    <r>
      <rPr>
        <sz val="10"/>
        <color rgb="FF000000"/>
        <rFont val="Arial"/>
        <family val="0"/>
        <charset val="1"/>
      </rPr>
      <t xml:space="preserve">)</t>
    </r>
  </si>
  <si>
    <r>
      <rPr>
        <b val="true"/>
        <sz val="10"/>
        <color rgb="FF1F3864"/>
        <rFont val="Noto Sans CJK SC"/>
        <family val="2"/>
      </rPr>
      <t xml:space="preserve">其他应收款按坏账计提方法分类（单项</t>
    </r>
    <r>
      <rPr>
        <b val="true"/>
        <sz val="10"/>
        <color rgb="FF1F3864"/>
        <rFont val="Arial"/>
        <family val="0"/>
        <charset val="1"/>
      </rPr>
      <t xml:space="preserve">/</t>
    </r>
    <r>
      <rPr>
        <b val="true"/>
        <sz val="10"/>
        <color rgb="FF1F3864"/>
        <rFont val="Noto Sans CJK SC"/>
        <family val="2"/>
      </rPr>
      <t xml:space="preserve">账龄组合</t>
    </r>
    <r>
      <rPr>
        <b val="true"/>
        <sz val="10"/>
        <color rgb="FF1F3864"/>
        <rFont val="Arial"/>
        <family val="0"/>
        <charset val="1"/>
      </rPr>
      <t xml:space="preserve">/</t>
    </r>
    <r>
      <rPr>
        <b val="true"/>
        <sz val="10"/>
        <color rgb="FF1F3864"/>
        <rFont val="Noto Sans CJK SC"/>
        <family val="2"/>
      </rPr>
      <t xml:space="preserve">无风险组合）</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</si>
  <si>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.6(1)3) </t>
    </r>
    <r>
      <rPr>
        <i val="true"/>
        <sz val="10"/>
        <color rgb="FF595959"/>
        <rFont val="Noto Sans CJK SC"/>
        <family val="2"/>
      </rPr>
      <t xml:space="preserve">按坏账计提方法分类披露</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p118-119; 2024</t>
    </r>
    <r>
      <rPr>
        <i val="true"/>
        <sz val="10"/>
        <color rgb="FF595959"/>
        <rFont val="Noto Sans CJK SC"/>
        <family val="2"/>
      </rPr>
      <t xml:space="preserve">年报 </t>
    </r>
    <r>
      <rPr>
        <i val="true"/>
        <sz val="10"/>
        <color rgb="FF595959"/>
        <rFont val="Arial"/>
        <family val="0"/>
        <charset val="1"/>
      </rPr>
      <t xml:space="preserve">p130; 2025</t>
    </r>
    <r>
      <rPr>
        <i val="true"/>
        <sz val="10"/>
        <color rgb="FF595959"/>
        <rFont val="Noto Sans CJK SC"/>
        <family val="2"/>
      </rPr>
      <t xml:space="preserve">年报 </t>
    </r>
    <r>
      <rPr>
        <i val="true"/>
        <sz val="10"/>
        <color rgb="FF595959"/>
        <rFont val="Arial"/>
        <family val="0"/>
        <charset val="1"/>
      </rPr>
      <t xml:space="preserve">p114; 2025</t>
    </r>
    <r>
      <rPr>
        <i val="true"/>
        <sz val="10"/>
        <color rgb="FF595959"/>
        <rFont val="Noto Sans CJK SC"/>
        <family val="2"/>
      </rPr>
      <t xml:space="preserve">半年报 </t>
    </r>
    <r>
      <rPr>
        <i val="true"/>
        <sz val="10"/>
        <color rgb="FF595959"/>
        <rFont val="Arial"/>
        <family val="0"/>
        <charset val="1"/>
      </rPr>
      <t xml:space="preserve">p76-77; 2026</t>
    </r>
    <r>
      <rPr>
        <i val="true"/>
        <sz val="10"/>
        <color rgb="FF595959"/>
        <rFont val="Noto Sans CJK SC"/>
        <family val="2"/>
      </rPr>
      <t xml:space="preserve">半年报 </t>
    </r>
    <r>
      <rPr>
        <i val="true"/>
        <sz val="10"/>
        <color rgb="FF595959"/>
        <rFont val="Arial"/>
        <family val="0"/>
        <charset val="1"/>
      </rPr>
      <t xml:space="preserve">p78-79 (pdfplumber-verified)</t>
    </r>
  </si>
  <si>
    <r>
      <rPr>
        <sz val="10"/>
        <color rgb="FF000000"/>
        <rFont val="Noto Sans CJK SC"/>
        <family val="2"/>
      </rPr>
      <t xml:space="preserve">按单项计提</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土地转让款</t>
    </r>
    <r>
      <rPr>
        <sz val="10"/>
        <color rgb="FF000000"/>
        <rFont val="Arial"/>
        <family val="0"/>
        <charset val="1"/>
      </rPr>
      <t xml:space="preserve">)</t>
    </r>
  </si>
  <si>
    <r>
      <rPr>
        <sz val="10"/>
        <color rgb="FF000000"/>
        <rFont val="Noto Sans CJK SC"/>
        <family val="2"/>
      </rPr>
      <t xml:space="preserve">按单项计提</t>
    </r>
    <r>
      <rPr>
        <sz val="10"/>
        <color rgb="FF000000"/>
        <rFont val="Arial"/>
        <family val="0"/>
        <charset val="1"/>
      </rPr>
      <t xml:space="preserve">-</t>
    </r>
    <r>
      <rPr>
        <sz val="10"/>
        <color rgb="FF000000"/>
        <rFont val="Noto Sans CJK SC"/>
        <family val="2"/>
      </rPr>
      <t xml:space="preserve">坏账准备</t>
    </r>
  </si>
  <si>
    <r>
      <rPr>
        <sz val="10"/>
        <color rgb="FF000000"/>
        <rFont val="Noto Sans CJK SC"/>
        <family val="2"/>
      </rPr>
      <t xml:space="preserve">账龄组合</t>
    </r>
    <r>
      <rPr>
        <sz val="10"/>
        <color rgb="FF000000"/>
        <rFont val="Arial"/>
        <family val="0"/>
        <charset val="1"/>
      </rPr>
      <t xml:space="preserve">-</t>
    </r>
    <r>
      <rPr>
        <sz val="10"/>
        <color rgb="FF000000"/>
        <rFont val="Noto Sans CJK SC"/>
        <family val="2"/>
      </rPr>
      <t xml:space="preserve">账面余额</t>
    </r>
  </si>
  <si>
    <r>
      <rPr>
        <sz val="10"/>
        <color rgb="FF000000"/>
        <rFont val="Noto Sans CJK SC"/>
        <family val="2"/>
      </rPr>
      <t xml:space="preserve">账龄组合</t>
    </r>
    <r>
      <rPr>
        <sz val="10"/>
        <color rgb="FF000000"/>
        <rFont val="Arial"/>
        <family val="0"/>
        <charset val="1"/>
      </rPr>
      <t xml:space="preserve">-</t>
    </r>
    <r>
      <rPr>
        <sz val="10"/>
        <color rgb="FF000000"/>
        <rFont val="Noto Sans CJK SC"/>
        <family val="2"/>
      </rPr>
      <t xml:space="preserve">坏账准备</t>
    </r>
  </si>
  <si>
    <r>
      <rPr>
        <sz val="10"/>
        <color rgb="FF000000"/>
        <rFont val="Noto Sans CJK SC"/>
        <family val="2"/>
      </rPr>
      <t xml:space="preserve">无风险组合</t>
    </r>
    <r>
      <rPr>
        <sz val="10"/>
        <color rgb="FF000000"/>
        <rFont val="Arial"/>
        <family val="0"/>
        <charset val="1"/>
      </rPr>
      <t xml:space="preserve">(</t>
    </r>
    <r>
      <rPr>
        <sz val="10"/>
        <color rgb="FF000000"/>
        <rFont val="Noto Sans CJK SC"/>
        <family val="2"/>
      </rPr>
      <t xml:space="preserve">押金、保证金</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t>
    </r>
    <r>
      <rPr>
        <sz val="10"/>
        <color rgb="FF000000"/>
        <rFont val="Noto Sans CJK SC"/>
        <family val="2"/>
      </rPr>
      <t xml:space="preserve">不计提</t>
    </r>
    <r>
      <rPr>
        <sz val="10"/>
        <color rgb="FF000000"/>
        <rFont val="Arial"/>
        <family val="0"/>
        <charset val="1"/>
      </rPr>
      <t xml:space="preserve">)</t>
    </r>
  </si>
  <si>
    <r>
      <rPr>
        <sz val="10"/>
        <color rgb="FF000000"/>
        <rFont val="Noto Sans CJK SC"/>
        <family val="2"/>
      </rPr>
      <t xml:space="preserve">合计</t>
    </r>
    <r>
      <rPr>
        <sz val="10"/>
        <color rgb="FF000000"/>
        <rFont val="Arial"/>
        <family val="0"/>
        <charset val="1"/>
      </rPr>
      <t xml:space="preserve">-</t>
    </r>
    <r>
      <rPr>
        <sz val="10"/>
        <color rgb="FF000000"/>
        <rFont val="Noto Sans CJK SC"/>
        <family val="2"/>
      </rPr>
      <t xml:space="preserve">账面价值</t>
    </r>
  </si>
  <si>
    <r>
      <rPr>
        <b val="true"/>
        <sz val="10"/>
        <color rgb="FF1F3864"/>
        <rFont val="Noto Sans CJK SC"/>
        <family val="2"/>
      </rPr>
      <t xml:space="preserve">其他应收款账龄组合明细（账面余额</t>
    </r>
    <r>
      <rPr>
        <b val="true"/>
        <sz val="10"/>
        <color rgb="FF1F3864"/>
        <rFont val="Arial"/>
        <family val="0"/>
        <charset val="1"/>
      </rPr>
      <t xml:space="preserve">/</t>
    </r>
    <r>
      <rPr>
        <b val="true"/>
        <sz val="10"/>
        <color rgb="FF1F3864"/>
        <rFont val="Noto Sans CJK SC"/>
        <family val="2"/>
      </rPr>
      <t xml:space="preserve">坏账准备）</t>
    </r>
  </si>
  <si>
    <r>
      <rPr>
        <i val="true"/>
        <sz val="10"/>
        <color rgb="FF595959"/>
        <rFont val="Noto Sans CJK SC"/>
        <family val="2"/>
      </rPr>
      <t xml:space="preserve">单位：百万元（原表单位元；比例、单价、股数、人数等非金额行列保持原值；原单位说明：元）；来源：附注七</t>
    </r>
    <r>
      <rPr>
        <i val="true"/>
        <sz val="10"/>
        <color rgb="FF595959"/>
        <rFont val="Arial"/>
        <family val="0"/>
        <charset val="1"/>
      </rPr>
      <t xml:space="preserve">.6(1)3) </t>
    </r>
    <r>
      <rPr>
        <i val="true"/>
        <sz val="10"/>
        <color rgb="FF595959"/>
        <rFont val="Noto Sans CJK SC"/>
        <family val="2"/>
      </rPr>
      <t xml:space="preserve">按组合计提坏账准备（账龄组合）</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p119; 2024</t>
    </r>
    <r>
      <rPr>
        <i val="true"/>
        <sz val="10"/>
        <color rgb="FF595959"/>
        <rFont val="Noto Sans CJK SC"/>
        <family val="2"/>
      </rPr>
      <t xml:space="preserve">年报 </t>
    </r>
    <r>
      <rPr>
        <i val="true"/>
        <sz val="10"/>
        <color rgb="FF595959"/>
        <rFont val="Arial"/>
        <family val="0"/>
        <charset val="1"/>
      </rPr>
      <t xml:space="preserve">p131; 2025</t>
    </r>
    <r>
      <rPr>
        <i val="true"/>
        <sz val="10"/>
        <color rgb="FF595959"/>
        <rFont val="Noto Sans CJK SC"/>
        <family val="2"/>
      </rPr>
      <t xml:space="preserve">年报 </t>
    </r>
    <r>
      <rPr>
        <i val="true"/>
        <sz val="10"/>
        <color rgb="FF595959"/>
        <rFont val="Arial"/>
        <family val="0"/>
        <charset val="1"/>
      </rPr>
      <t xml:space="preserve">p114; 2025</t>
    </r>
    <r>
      <rPr>
        <i val="true"/>
        <sz val="10"/>
        <color rgb="FF595959"/>
        <rFont val="Noto Sans CJK SC"/>
        <family val="2"/>
      </rPr>
      <t xml:space="preserve">半年报 </t>
    </r>
    <r>
      <rPr>
        <i val="true"/>
        <sz val="10"/>
        <color rgb="FF595959"/>
        <rFont val="Arial"/>
        <family val="0"/>
        <charset val="1"/>
      </rPr>
      <t xml:space="preserve">p77; 2026</t>
    </r>
    <r>
      <rPr>
        <i val="true"/>
        <sz val="10"/>
        <color rgb="FF595959"/>
        <rFont val="Noto Sans CJK SC"/>
        <family val="2"/>
      </rPr>
      <t xml:space="preserve">半年报 </t>
    </r>
    <r>
      <rPr>
        <i val="true"/>
        <sz val="10"/>
        <color rgb="FF595959"/>
        <rFont val="Arial"/>
        <family val="0"/>
        <charset val="1"/>
      </rPr>
      <t xml:space="preserve">p79</t>
    </r>
  </si>
  <si>
    <r>
      <rPr>
        <sz val="10"/>
        <color rgb="FF000000"/>
        <rFont val="Arial"/>
        <family val="0"/>
        <charset val="1"/>
      </rPr>
      <t xml:space="preserve">1</t>
    </r>
    <r>
      <rPr>
        <sz val="10"/>
        <color rgb="FF000000"/>
        <rFont val="Noto Sans CJK SC"/>
        <family val="2"/>
      </rPr>
      <t xml:space="preserve">年以内</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(5%)</t>
    </r>
  </si>
  <si>
    <r>
      <rPr>
        <sz val="10"/>
        <color rgb="FF000000"/>
        <rFont val="Arial"/>
        <family val="0"/>
        <charset val="1"/>
      </rPr>
      <t xml:space="preserve">1-2</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(10%)</t>
    </r>
  </si>
  <si>
    <r>
      <rPr>
        <sz val="10"/>
        <color rgb="FF000000"/>
        <rFont val="Arial"/>
        <family val="0"/>
        <charset val="1"/>
      </rPr>
      <t xml:space="preserve">2-3</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(30%)</t>
    </r>
  </si>
  <si>
    <r>
      <rPr>
        <sz val="10"/>
        <color rgb="FF000000"/>
        <rFont val="Arial"/>
        <family val="0"/>
        <charset val="1"/>
      </rPr>
      <t xml:space="preserve">2-3</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坏账准备</t>
    </r>
  </si>
  <si>
    <r>
      <rPr>
        <sz val="10"/>
        <color rgb="FF000000"/>
        <rFont val="Arial"/>
        <family val="0"/>
        <charset val="1"/>
      </rPr>
      <t xml:space="preserve">3-4</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(80%)</t>
    </r>
  </si>
  <si>
    <r>
      <rPr>
        <sz val="10"/>
        <color rgb="FF000000"/>
        <rFont val="Arial"/>
        <family val="0"/>
        <charset val="1"/>
      </rPr>
      <t xml:space="preserve">3-4</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坏账准备</t>
    </r>
  </si>
  <si>
    <r>
      <rPr>
        <sz val="10"/>
        <color rgb="FF000000"/>
        <rFont val="Arial"/>
        <family val="0"/>
        <charset val="1"/>
      </rPr>
      <t xml:space="preserve">4-5</t>
    </r>
    <r>
      <rPr>
        <sz val="10"/>
        <color rgb="FF000000"/>
        <rFont val="Noto Sans CJK SC"/>
        <family val="2"/>
      </rPr>
      <t xml:space="preserve">年</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(80%)</t>
    </r>
  </si>
  <si>
    <r>
      <rPr>
        <sz val="10"/>
        <color rgb="FF000000"/>
        <rFont val="Arial"/>
        <family val="0"/>
        <charset val="1"/>
      </rPr>
      <t xml:space="preserve">5</t>
    </r>
    <r>
      <rPr>
        <sz val="10"/>
        <color rgb="FF000000"/>
        <rFont val="Noto Sans CJK SC"/>
        <family val="2"/>
      </rPr>
      <t xml:space="preserve">年以上</t>
    </r>
    <r>
      <rPr>
        <sz val="10"/>
        <color rgb="FF000000"/>
        <rFont val="Arial"/>
        <family val="0"/>
        <charset val="1"/>
      </rPr>
      <t xml:space="preserve">-</t>
    </r>
    <r>
      <rPr>
        <sz val="10"/>
        <color rgb="FF000000"/>
        <rFont val="Noto Sans CJK SC"/>
        <family val="2"/>
      </rPr>
      <t xml:space="preserve">账面余额</t>
    </r>
    <r>
      <rPr>
        <sz val="10"/>
        <color rgb="FF000000"/>
        <rFont val="Arial"/>
        <family val="0"/>
        <charset val="1"/>
      </rPr>
      <t xml:space="preserve">(80%)</t>
    </r>
  </si>
  <si>
    <r>
      <rPr>
        <b val="true"/>
        <sz val="10"/>
        <color rgb="FF1F3864"/>
        <rFont val="Noto Sans CJK SC"/>
        <family val="2"/>
      </rPr>
      <t xml:space="preserve">营运资本相关减值损失（利润表附注，负数</t>
    </r>
    <r>
      <rPr>
        <b val="true"/>
        <sz val="10"/>
        <color rgb="FF1F3864"/>
        <rFont val="Arial"/>
        <family val="0"/>
        <charset val="1"/>
      </rPr>
      <t xml:space="preserve">=</t>
    </r>
    <r>
      <rPr>
        <b val="true"/>
        <sz val="10"/>
        <color rgb="FF1F3864"/>
        <rFont val="Noto Sans CJK SC"/>
        <family val="2"/>
      </rPr>
      <t xml:space="preserve">损失）及存货跌价准备转回</t>
    </r>
    <r>
      <rPr>
        <b val="true"/>
        <sz val="10"/>
        <color rgb="FF1F3864"/>
        <rFont val="Arial"/>
        <family val="0"/>
        <charset val="1"/>
      </rPr>
      <t xml:space="preserve">/</t>
    </r>
    <r>
      <rPr>
        <b val="true"/>
        <sz val="10"/>
        <color rgb="FF1F3864"/>
        <rFont val="Noto Sans CJK SC"/>
        <family val="2"/>
      </rPr>
      <t xml:space="preserve">转销拆分（推算）</t>
    </r>
  </si>
  <si>
    <r>
      <rPr>
        <i val="true"/>
        <sz val="10"/>
        <color rgb="FF595959"/>
        <rFont val="Noto Sans CJK SC"/>
        <family val="2"/>
      </rPr>
      <t xml:space="preserve">单位：百万元（原表单位元；比例、单价、股数、人数等非金额行列保持原值；原单位说明：元）；来源：附注七 信用减值损失 </t>
    </r>
    <r>
      <rPr>
        <i val="true"/>
        <sz val="10"/>
        <color rgb="FF595959"/>
        <rFont val="Arial"/>
        <family val="0"/>
        <charset val="1"/>
      </rPr>
      <t xml:space="preserve">/ </t>
    </r>
    <r>
      <rPr>
        <i val="true"/>
        <sz val="10"/>
        <color rgb="FF595959"/>
        <rFont val="Noto Sans CJK SC"/>
        <family val="2"/>
      </rPr>
      <t xml:space="preserve">资产减值损失</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p144; 2024</t>
    </r>
    <r>
      <rPr>
        <i val="true"/>
        <sz val="10"/>
        <color rgb="FF595959"/>
        <rFont val="Noto Sans CJK SC"/>
        <family val="2"/>
      </rPr>
      <t xml:space="preserve">年报 </t>
    </r>
    <r>
      <rPr>
        <i val="true"/>
        <sz val="10"/>
        <color rgb="FF595959"/>
        <rFont val="Arial"/>
        <family val="0"/>
        <charset val="1"/>
      </rPr>
      <t xml:space="preserve">p160 (layout text misaligned, pdfplumber used); 2025</t>
    </r>
    <r>
      <rPr>
        <i val="true"/>
        <sz val="10"/>
        <color rgb="FF595959"/>
        <rFont val="Noto Sans CJK SC"/>
        <family val="2"/>
      </rPr>
      <t xml:space="preserve">年报 </t>
    </r>
    <r>
      <rPr>
        <i val="true"/>
        <sz val="10"/>
        <color rgb="FF595959"/>
        <rFont val="Arial"/>
        <family val="0"/>
        <charset val="1"/>
      </rPr>
      <t xml:space="preserve">p137; 2025</t>
    </r>
    <r>
      <rPr>
        <i val="true"/>
        <sz val="10"/>
        <color rgb="FF595959"/>
        <rFont val="Noto Sans CJK SC"/>
        <family val="2"/>
      </rPr>
      <t xml:space="preserve">半年报 </t>
    </r>
    <r>
      <rPr>
        <i val="true"/>
        <sz val="10"/>
        <color rgb="FF595959"/>
        <rFont val="Arial"/>
        <family val="0"/>
        <charset val="1"/>
      </rPr>
      <t xml:space="preserve">p102; 2026</t>
    </r>
    <r>
      <rPr>
        <i val="true"/>
        <sz val="10"/>
        <color rgb="FF595959"/>
        <rFont val="Noto Sans CJK SC"/>
        <family val="2"/>
      </rPr>
      <t xml:space="preserve">半年报 </t>
    </r>
    <r>
      <rPr>
        <i val="true"/>
        <sz val="10"/>
        <color rgb="FF595959"/>
        <rFont val="Arial"/>
        <family val="0"/>
        <charset val="1"/>
      </rPr>
      <t xml:space="preserve">p99. The </t>
    </r>
    <r>
      <rPr>
        <i val="true"/>
        <sz val="10"/>
        <color rgb="FF595959"/>
        <rFont val="Noto Sans CJK SC"/>
        <family val="2"/>
      </rPr>
      <t xml:space="preserve">计提 </t>
    </r>
    <r>
      <rPr>
        <i val="true"/>
        <sz val="10"/>
        <color rgb="FF595959"/>
        <rFont val="Arial"/>
        <family val="0"/>
        <charset val="1"/>
      </rPr>
      <t xml:space="preserve">row is from the inventory provision roll-forwards.</t>
    </r>
  </si>
  <si>
    <r>
      <rPr>
        <sz val="10"/>
        <color rgb="FF000000"/>
        <rFont val="Noto Sans CJK SC"/>
        <family val="2"/>
      </rPr>
      <t xml:space="preserve">信用减值损失</t>
    </r>
    <r>
      <rPr>
        <sz val="10"/>
        <color rgb="FF000000"/>
        <rFont val="Arial"/>
        <family val="0"/>
        <charset val="1"/>
      </rPr>
      <t xml:space="preserve">-</t>
    </r>
    <r>
      <rPr>
        <sz val="10"/>
        <color rgb="FF000000"/>
        <rFont val="Noto Sans CJK SC"/>
        <family val="2"/>
      </rPr>
      <t xml:space="preserve">应收账款坏账损失</t>
    </r>
  </si>
  <si>
    <r>
      <rPr>
        <sz val="10"/>
        <color rgb="FF000000"/>
        <rFont val="Noto Sans CJK SC"/>
        <family val="2"/>
      </rPr>
      <t xml:space="preserve">信用减值损失</t>
    </r>
    <r>
      <rPr>
        <sz val="10"/>
        <color rgb="FF000000"/>
        <rFont val="Arial"/>
        <family val="0"/>
        <charset val="1"/>
      </rPr>
      <t xml:space="preserve">-</t>
    </r>
    <r>
      <rPr>
        <sz val="10"/>
        <color rgb="FF000000"/>
        <rFont val="Noto Sans CJK SC"/>
        <family val="2"/>
      </rPr>
      <t xml:space="preserve">其他应收款坏账损失</t>
    </r>
  </si>
  <si>
    <r>
      <rPr>
        <sz val="10"/>
        <color rgb="FF000000"/>
        <rFont val="Noto Sans CJK SC"/>
        <family val="2"/>
      </rPr>
      <t xml:space="preserve">信用减值损失</t>
    </r>
    <r>
      <rPr>
        <sz val="10"/>
        <color rgb="FF000000"/>
        <rFont val="Arial"/>
        <family val="0"/>
        <charset val="1"/>
      </rPr>
      <t xml:space="preserve">-</t>
    </r>
    <r>
      <rPr>
        <sz val="10"/>
        <color rgb="FF000000"/>
        <rFont val="Noto Sans CJK SC"/>
        <family val="2"/>
      </rPr>
      <t xml:space="preserve">应收票据坏账损失</t>
    </r>
  </si>
  <si>
    <r>
      <rPr>
        <sz val="10"/>
        <color rgb="FF000000"/>
        <rFont val="Noto Sans CJK SC"/>
        <family val="2"/>
      </rPr>
      <t xml:space="preserve">信用减值损失</t>
    </r>
    <r>
      <rPr>
        <sz val="10"/>
        <color rgb="FF000000"/>
        <rFont val="Arial"/>
        <family val="0"/>
        <charset val="1"/>
      </rPr>
      <t xml:space="preserve">-</t>
    </r>
    <r>
      <rPr>
        <sz val="10"/>
        <color rgb="FF000000"/>
        <rFont val="Noto Sans CJK SC"/>
        <family val="2"/>
      </rPr>
      <t xml:space="preserve">合计</t>
    </r>
  </si>
  <si>
    <r>
      <rPr>
        <sz val="10"/>
        <color rgb="FF000000"/>
        <rFont val="Noto Sans CJK SC"/>
        <family val="2"/>
      </rPr>
      <t xml:space="preserve">资产减值损失</t>
    </r>
    <r>
      <rPr>
        <sz val="10"/>
        <color rgb="FF000000"/>
        <rFont val="Arial"/>
        <family val="0"/>
        <charset val="1"/>
      </rPr>
      <t xml:space="preserve">-</t>
    </r>
    <r>
      <rPr>
        <sz val="10"/>
        <color rgb="FF000000"/>
        <rFont val="Noto Sans CJK SC"/>
        <family val="2"/>
      </rPr>
      <t xml:space="preserve">存货跌价损失及合同履约成本减值损失</t>
    </r>
  </si>
  <si>
    <r>
      <rPr>
        <sz val="10"/>
        <color rgb="FF000000"/>
        <rFont val="Arial"/>
        <family val="0"/>
        <charset val="1"/>
      </rPr>
      <t xml:space="preserve">[</t>
    </r>
    <r>
      <rPr>
        <sz val="10"/>
        <color rgb="FF000000"/>
        <rFont val="Noto Sans CJK SC"/>
        <family val="2"/>
      </rPr>
      <t xml:space="preserve">推算</t>
    </r>
    <r>
      <rPr>
        <sz val="10"/>
        <color rgb="FF000000"/>
        <rFont val="Arial"/>
        <family val="0"/>
        <charset val="1"/>
      </rPr>
      <t xml:space="preserve">]</t>
    </r>
    <r>
      <rPr>
        <sz val="10"/>
        <color rgb="FF000000"/>
        <rFont val="Noto Sans CJK SC"/>
        <family val="2"/>
      </rPr>
      <t xml:space="preserve">存货跌价准备本期计提</t>
    </r>
    <r>
      <rPr>
        <sz val="10"/>
        <color rgb="FF000000"/>
        <rFont val="Arial"/>
        <family val="0"/>
        <charset val="1"/>
      </rPr>
      <t xml:space="preserve">(</t>
    </r>
    <r>
      <rPr>
        <sz val="10"/>
        <color rgb="FF000000"/>
        <rFont val="Noto Sans CJK SC"/>
        <family val="2"/>
      </rPr>
      <t xml:space="preserve">附注</t>
    </r>
    <r>
      <rPr>
        <sz val="10"/>
        <color rgb="FF000000"/>
        <rFont val="Arial"/>
        <family val="0"/>
        <charset val="1"/>
      </rPr>
      <t xml:space="preserve">)</t>
    </r>
  </si>
  <si>
    <r>
      <rPr>
        <sz val="10"/>
        <color rgb="FF000000"/>
        <rFont val="Arial"/>
        <family val="0"/>
        <charset val="1"/>
      </rPr>
      <t xml:space="preserve">[</t>
    </r>
    <r>
      <rPr>
        <sz val="10"/>
        <color rgb="FF000000"/>
        <rFont val="Noto Sans CJK SC"/>
        <family val="2"/>
      </rPr>
      <t xml:space="preserve">推算</t>
    </r>
    <r>
      <rPr>
        <sz val="10"/>
        <color rgb="FF000000"/>
        <rFont val="Arial"/>
        <family val="0"/>
        <charset val="1"/>
      </rPr>
      <t xml:space="preserve">]</t>
    </r>
    <r>
      <rPr>
        <sz val="10"/>
        <color rgb="FF000000"/>
        <rFont val="Noto Sans CJK SC"/>
        <family val="2"/>
      </rPr>
      <t xml:space="preserve">其中计入损益的转回</t>
    </r>
    <r>
      <rPr>
        <sz val="10"/>
        <color rgb="FF000000"/>
        <rFont val="Arial"/>
        <family val="0"/>
        <charset val="1"/>
      </rPr>
      <t xml:space="preserve">(=</t>
    </r>
    <r>
      <rPr>
        <sz val="10"/>
        <color rgb="FF000000"/>
        <rFont val="Noto Sans CJK SC"/>
        <family val="2"/>
      </rPr>
      <t xml:space="preserve">计提</t>
    </r>
    <r>
      <rPr>
        <sz val="10"/>
        <color rgb="FF000000"/>
        <rFont val="Arial"/>
        <family val="0"/>
        <charset val="1"/>
      </rPr>
      <t xml:space="preserve">-|</t>
    </r>
    <r>
      <rPr>
        <sz val="10"/>
        <color rgb="FF000000"/>
        <rFont val="Noto Sans CJK SC"/>
        <family val="2"/>
      </rPr>
      <t xml:space="preserve">资产减值损失</t>
    </r>
    <r>
      <rPr>
        <sz val="10"/>
        <color rgb="FF000000"/>
        <rFont val="Arial"/>
        <family val="0"/>
        <charset val="1"/>
      </rPr>
      <t xml:space="preserve">|)</t>
    </r>
  </si>
  <si>
    <r>
      <rPr>
        <sz val="10"/>
        <color rgb="FF000000"/>
        <rFont val="Arial"/>
        <family val="0"/>
        <charset val="1"/>
      </rPr>
      <t xml:space="preserve">[</t>
    </r>
    <r>
      <rPr>
        <sz val="10"/>
        <color rgb="FF000000"/>
        <rFont val="Noto Sans CJK SC"/>
        <family val="2"/>
      </rPr>
      <t xml:space="preserve">推算</t>
    </r>
    <r>
      <rPr>
        <sz val="10"/>
        <color rgb="FF000000"/>
        <rFont val="Arial"/>
        <family val="0"/>
        <charset val="1"/>
      </rPr>
      <t xml:space="preserve">]</t>
    </r>
    <r>
      <rPr>
        <sz val="10"/>
        <color rgb="FF000000"/>
        <rFont val="Noto Sans CJK SC"/>
        <family val="2"/>
      </rPr>
      <t xml:space="preserve">转销</t>
    </r>
    <r>
      <rPr>
        <sz val="10"/>
        <color rgb="FF000000"/>
        <rFont val="Arial"/>
        <family val="0"/>
        <charset val="1"/>
      </rPr>
      <t xml:space="preserve">(</t>
    </r>
    <r>
      <rPr>
        <sz val="10"/>
        <color rgb="FF000000"/>
        <rFont val="Noto Sans CJK SC"/>
        <family val="2"/>
      </rPr>
      <t xml:space="preserve">随销售</t>
    </r>
    <r>
      <rPr>
        <sz val="10"/>
        <color rgb="FF000000"/>
        <rFont val="Arial"/>
        <family val="0"/>
        <charset val="1"/>
      </rPr>
      <t xml:space="preserve">/</t>
    </r>
    <r>
      <rPr>
        <sz val="10"/>
        <color rgb="FF000000"/>
        <rFont val="Noto Sans CJK SC"/>
        <family val="2"/>
      </rPr>
      <t xml:space="preserve">报废结转</t>
    </r>
    <r>
      <rPr>
        <sz val="10"/>
        <color rgb="FF000000"/>
        <rFont val="Arial"/>
        <family val="0"/>
        <charset val="1"/>
      </rPr>
      <t xml:space="preserve">,=</t>
    </r>
    <r>
      <rPr>
        <sz val="10"/>
        <color rgb="FF000000"/>
        <rFont val="Noto Sans CJK SC"/>
        <family val="2"/>
      </rPr>
      <t xml:space="preserve">转回或转销</t>
    </r>
    <r>
      <rPr>
        <sz val="10"/>
        <color rgb="FF000000"/>
        <rFont val="Arial"/>
        <family val="0"/>
        <charset val="1"/>
      </rPr>
      <t xml:space="preserve">-</t>
    </r>
    <r>
      <rPr>
        <sz val="10"/>
        <color rgb="FF000000"/>
        <rFont val="Noto Sans CJK SC"/>
        <family val="2"/>
      </rPr>
      <t xml:space="preserve">推算转回</t>
    </r>
    <r>
      <rPr>
        <sz val="10"/>
        <color rgb="FF000000"/>
        <rFont val="Arial"/>
        <family val="0"/>
        <charset val="1"/>
      </rPr>
      <t xml:space="preserve">)</t>
    </r>
  </si>
  <si>
    <t xml:space="preserve">参考：其他非流动资产构成（含一年以上定期存款及大额存单、预付长期资产款）</t>
  </si>
  <si>
    <r>
      <rPr>
        <i val="true"/>
        <sz val="10"/>
        <color rgb="FF595959"/>
        <rFont val="Noto Sans CJK SC"/>
        <family val="2"/>
      </rPr>
      <t xml:space="preserve">单位：百万元（原表单位元；比例、单价、股数、人数等非金额行列保持原值；原单位说明：元）；来源：附注七 其他非流动资产</t>
    </r>
    <r>
      <rPr>
        <i val="true"/>
        <sz val="10"/>
        <color rgb="FF595959"/>
        <rFont val="Arial"/>
        <family val="0"/>
        <charset val="1"/>
      </rPr>
      <t xml:space="preserve">: 2023</t>
    </r>
    <r>
      <rPr>
        <i val="true"/>
        <sz val="10"/>
        <color rgb="FF595959"/>
        <rFont val="Noto Sans CJK SC"/>
        <family val="2"/>
      </rPr>
      <t xml:space="preserve">年报 </t>
    </r>
    <r>
      <rPr>
        <i val="true"/>
        <sz val="10"/>
        <color rgb="FF595959"/>
        <rFont val="Arial"/>
        <family val="0"/>
        <charset val="1"/>
      </rPr>
      <t xml:space="preserve">p134-135; 2024</t>
    </r>
    <r>
      <rPr>
        <i val="true"/>
        <sz val="10"/>
        <color rgb="FF595959"/>
        <rFont val="Noto Sans CJK SC"/>
        <family val="2"/>
      </rPr>
      <t xml:space="preserve">年报 </t>
    </r>
    <r>
      <rPr>
        <i val="true"/>
        <sz val="10"/>
        <color rgb="FF595959"/>
        <rFont val="Arial"/>
        <family val="0"/>
        <charset val="1"/>
      </rPr>
      <t xml:space="preserve">p148-149 (wrapped digits; FY2024 </t>
    </r>
    <r>
      <rPr>
        <i val="true"/>
        <sz val="10"/>
        <color rgb="FF595959"/>
        <rFont val="Noto Sans CJK SC"/>
        <family val="2"/>
      </rPr>
      <t xml:space="preserve">预付 </t>
    </r>
    <r>
      <rPr>
        <i val="true"/>
        <sz val="10"/>
        <color rgb="FF595959"/>
        <rFont val="Arial"/>
        <family val="0"/>
        <charset val="1"/>
      </rPr>
      <t xml:space="preserve">lines cross-checked against the 2025</t>
    </r>
    <r>
      <rPr>
        <i val="true"/>
        <sz val="10"/>
        <color rgb="FF595959"/>
        <rFont val="Noto Sans CJK SC"/>
        <family val="2"/>
      </rPr>
      <t xml:space="preserve">年报 期初 </t>
    </r>
    <r>
      <rPr>
        <i val="true"/>
        <sz val="10"/>
        <color rgb="FF595959"/>
        <rFont val="Arial"/>
        <family val="0"/>
        <charset val="1"/>
      </rPr>
      <t xml:space="preserve">column); 2025</t>
    </r>
    <r>
      <rPr>
        <i val="true"/>
        <sz val="10"/>
        <color rgb="FF595959"/>
        <rFont val="Noto Sans CJK SC"/>
        <family val="2"/>
      </rPr>
      <t xml:space="preserve">年报 </t>
    </r>
    <r>
      <rPr>
        <i val="true"/>
        <sz val="10"/>
        <color rgb="FF595959"/>
        <rFont val="Arial"/>
        <family val="0"/>
        <charset val="1"/>
      </rPr>
      <t xml:space="preserve">p127; 2025</t>
    </r>
    <r>
      <rPr>
        <i val="true"/>
        <sz val="10"/>
        <color rgb="FF595959"/>
        <rFont val="Noto Sans CJK SC"/>
        <family val="2"/>
      </rPr>
      <t xml:space="preserve">半年报 </t>
    </r>
    <r>
      <rPr>
        <i val="true"/>
        <sz val="10"/>
        <color rgb="FF595959"/>
        <rFont val="Arial"/>
        <family val="0"/>
        <charset val="1"/>
      </rPr>
      <t xml:space="preserve">p91; 2026</t>
    </r>
    <r>
      <rPr>
        <i val="true"/>
        <sz val="10"/>
        <color rgb="FF595959"/>
        <rFont val="Noto Sans CJK SC"/>
        <family val="2"/>
      </rPr>
      <t xml:space="preserve">半年报 </t>
    </r>
    <r>
      <rPr>
        <i val="true"/>
        <sz val="10"/>
        <color rgb="FF595959"/>
        <rFont val="Arial"/>
        <family val="0"/>
        <charset val="1"/>
      </rPr>
      <t xml:space="preserve">p91. No impairment in any period.</t>
    </r>
  </si>
  <si>
    <r>
      <rPr>
        <b val="true"/>
        <sz val="10"/>
        <color rgb="FF1F3864"/>
        <rFont val="Noto Sans CJK SC"/>
        <family val="2"/>
      </rPr>
      <t xml:space="preserve">维修准备金（</t>
    </r>
    <r>
      <rPr>
        <b val="true"/>
        <sz val="10"/>
        <color rgb="FF1F3864"/>
        <rFont val="Arial"/>
        <family val="0"/>
        <charset val="1"/>
      </rPr>
      <t xml:space="preserve">Vermes </t>
    </r>
    <r>
      <rPr>
        <b val="true"/>
        <sz val="10"/>
        <color rgb="FF1F3864"/>
        <rFont val="Noto Sans CJK SC"/>
        <family val="2"/>
      </rPr>
      <t xml:space="preserve">质保）列报位置</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</si>
  <si>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年报 附注七 预计负债 </t>
    </r>
    <r>
      <rPr>
        <i val="true"/>
        <sz val="10"/>
        <color rgb="FF595959"/>
        <rFont val="Arial"/>
        <family val="0"/>
        <charset val="1"/>
      </rPr>
      <t xml:space="preserve">p139; 2024</t>
    </r>
    <r>
      <rPr>
        <i val="true"/>
        <sz val="10"/>
        <color rgb="FF595959"/>
        <rFont val="Noto Sans CJK SC"/>
        <family val="2"/>
      </rPr>
      <t xml:space="preserve">年报 预计负债 </t>
    </r>
    <r>
      <rPr>
        <i val="true"/>
        <sz val="10"/>
        <color rgb="FF595959"/>
        <rFont val="Arial"/>
        <family val="0"/>
        <charset val="1"/>
      </rPr>
      <t xml:space="preserve">p154; 2025</t>
    </r>
    <r>
      <rPr>
        <i val="true"/>
        <sz val="10"/>
        <color rgb="FF595959"/>
        <rFont val="Noto Sans CJK SC"/>
        <family val="2"/>
      </rPr>
      <t xml:space="preserve">半年报 预计负债 </t>
    </r>
    <r>
      <rPr>
        <i val="true"/>
        <sz val="10"/>
        <color rgb="FF595959"/>
        <rFont val="Arial"/>
        <family val="0"/>
        <charset val="1"/>
      </rPr>
      <t xml:space="preserve">p96; 2025</t>
    </r>
    <r>
      <rPr>
        <i val="true"/>
        <sz val="10"/>
        <color rgb="FF595959"/>
        <rFont val="Noto Sans CJK SC"/>
        <family val="2"/>
      </rPr>
      <t xml:space="preserve">年报 其他流动负债 </t>
    </r>
    <r>
      <rPr>
        <i val="true"/>
        <sz val="10"/>
        <color rgb="FF595959"/>
        <rFont val="Arial"/>
        <family val="0"/>
        <charset val="1"/>
      </rPr>
      <t xml:space="preserve">p131 (</t>
    </r>
    <r>
      <rPr>
        <i val="true"/>
        <sz val="10"/>
        <color rgb="FF595959"/>
        <rFont val="Noto Sans CJK SC"/>
        <family val="2"/>
      </rPr>
      <t xml:space="preserve">预计负债 </t>
    </r>
    <r>
      <rPr>
        <i val="true"/>
        <sz val="10"/>
        <color rgb="FF595959"/>
        <rFont val="Arial"/>
        <family val="0"/>
        <charset val="1"/>
      </rPr>
      <t xml:space="preserve">period-end blank); 2026</t>
    </r>
    <r>
      <rPr>
        <i val="true"/>
        <sz val="10"/>
        <color rgb="FF595959"/>
        <rFont val="Noto Sans CJK SC"/>
        <family val="2"/>
      </rPr>
      <t xml:space="preserve">半年报 其他流动负债 </t>
    </r>
    <r>
      <rPr>
        <i val="true"/>
        <sz val="10"/>
        <color rgb="FF595959"/>
        <rFont val="Arial"/>
        <family val="0"/>
        <charset val="1"/>
      </rPr>
      <t xml:space="preserve">p94</t>
    </r>
  </si>
  <si>
    <r>
      <rPr>
        <sz val="10"/>
        <color rgb="FF000000"/>
        <rFont val="Noto Sans CJK SC"/>
        <family val="2"/>
      </rPr>
      <t xml:space="preserve">预计负债</t>
    </r>
    <r>
      <rPr>
        <sz val="10"/>
        <color rgb="FF000000"/>
        <rFont val="Arial"/>
        <family val="0"/>
        <charset val="1"/>
      </rPr>
      <t xml:space="preserve">-</t>
    </r>
    <r>
      <rPr>
        <sz val="10"/>
        <color rgb="FF000000"/>
        <rFont val="Noto Sans CJK SC"/>
        <family val="2"/>
      </rPr>
      <t xml:space="preserve">维修准备金</t>
    </r>
  </si>
  <si>
    <r>
      <rPr>
        <sz val="10"/>
        <color rgb="FF000000"/>
        <rFont val="Noto Sans CJK SC"/>
        <family val="2"/>
      </rPr>
      <t xml:space="preserve">其他流动负债</t>
    </r>
    <r>
      <rPr>
        <sz val="10"/>
        <color rgb="FF000000"/>
        <rFont val="Arial"/>
        <family val="0"/>
        <charset val="1"/>
      </rPr>
      <t xml:space="preserve">-</t>
    </r>
    <r>
      <rPr>
        <sz val="10"/>
        <color rgb="FF000000"/>
        <rFont val="Noto Sans CJK SC"/>
        <family val="2"/>
      </rPr>
      <t xml:space="preserve">维修准备金</t>
    </r>
  </si>
  <si>
    <r>
      <rPr>
        <b val="true"/>
        <sz val="10"/>
        <color rgb="FF1F3864"/>
        <rFont val="Arial"/>
        <family val="0"/>
        <charset val="1"/>
      </rPr>
      <t xml:space="preserve">D5</t>
    </r>
    <r>
      <rPr>
        <b val="true"/>
        <sz val="10"/>
        <color rgb="FF1F3864"/>
        <rFont val="Noto Sans CJK SC"/>
        <family val="2"/>
      </rPr>
      <t xml:space="preserve">　所得税、其他收益、减值与非经常性损益</t>
    </r>
  </si>
  <si>
    <t xml:space="preserve">企业所得税税率（按纳税主体）</t>
  </si>
  <si>
    <r>
      <rPr>
        <i val="true"/>
        <sz val="10"/>
        <color rgb="FF595959"/>
        <rFont val="Noto Sans CJK SC"/>
        <family val="2"/>
      </rPr>
      <t xml:space="preserve">单位：</t>
    </r>
    <r>
      <rPr>
        <i val="true"/>
        <sz val="10"/>
        <color rgb="FF595959"/>
        <rFont val="Arial"/>
        <family val="0"/>
        <charset val="1"/>
      </rPr>
      <t xml:space="preserve">%</t>
    </r>
    <r>
      <rPr>
        <i val="true"/>
        <sz val="10"/>
        <color rgb="FF595959"/>
        <rFont val="Noto Sans CJK SC"/>
        <family val="2"/>
      </rPr>
      <t xml:space="preserve">（法定</t>
    </r>
    <r>
      <rPr>
        <i val="true"/>
        <sz val="10"/>
        <color rgb="FF595959"/>
        <rFont val="Arial"/>
        <family val="0"/>
        <charset val="1"/>
      </rPr>
      <t xml:space="preserve">/</t>
    </r>
    <r>
      <rPr>
        <i val="true"/>
        <sz val="10"/>
        <color rgb="FF595959"/>
        <rFont val="Noto Sans CJK SC"/>
        <family val="2"/>
      </rPr>
      <t xml:space="preserve">适用税率，</t>
    </r>
    <r>
      <rPr>
        <i val="true"/>
        <sz val="10"/>
        <color rgb="FF595959"/>
        <rFont val="Arial"/>
        <family val="0"/>
        <charset val="1"/>
      </rPr>
      <t xml:space="preserve">15=15%</t>
    </r>
    <r>
      <rPr>
        <i val="true"/>
        <sz val="10"/>
        <color rgb="FF595959"/>
        <rFont val="Noto Sans CJK SC"/>
        <family val="2"/>
      </rPr>
      <t xml:space="preserve">）；来源：</t>
    </r>
    <r>
      <rPr>
        <i val="true"/>
        <sz val="10"/>
        <color rgb="FF595959"/>
        <rFont val="Arial"/>
        <family val="0"/>
        <charset val="1"/>
      </rPr>
      <t xml:space="preserve">2023</t>
    </r>
    <r>
      <rPr>
        <i val="true"/>
        <sz val="10"/>
        <color rgb="FF595959"/>
        <rFont val="Noto Sans CJK SC"/>
        <family val="2"/>
      </rPr>
      <t xml:space="preserve">年年报 </t>
    </r>
    <r>
      <rPr>
        <i val="true"/>
        <sz val="10"/>
        <color rgb="FF595959"/>
        <rFont val="Arial"/>
        <family val="0"/>
        <charset val="1"/>
      </rPr>
      <t xml:space="preserve">/ 2024</t>
    </r>
    <r>
      <rPr>
        <i val="true"/>
        <sz val="10"/>
        <color rgb="FF595959"/>
        <rFont val="Noto Sans CJK SC"/>
        <family val="2"/>
      </rPr>
      <t xml:space="preserve">年年报 </t>
    </r>
    <r>
      <rPr>
        <i val="true"/>
        <sz val="10"/>
        <color rgb="FF595959"/>
        <rFont val="Arial"/>
        <family val="0"/>
        <charset val="1"/>
      </rPr>
      <t xml:space="preserve">/ 2025</t>
    </r>
    <r>
      <rPr>
        <i val="true"/>
        <sz val="10"/>
        <color rgb="FF595959"/>
        <rFont val="Noto Sans CJK SC"/>
        <family val="2"/>
      </rPr>
      <t xml:space="preserve">年年报 </t>
    </r>
    <r>
      <rPr>
        <i val="true"/>
        <sz val="10"/>
        <color rgb="FF595959"/>
        <rFont val="Arial"/>
        <family val="0"/>
        <charset val="1"/>
      </rPr>
      <t xml:space="preserve">/ 2026</t>
    </r>
    <r>
      <rPr>
        <i val="true"/>
        <sz val="10"/>
        <color rgb="FF595959"/>
        <rFont val="Noto Sans CJK SC"/>
        <family val="2"/>
      </rPr>
      <t xml:space="preserve">年半年报 财务报告 六、税项 </t>
    </r>
    <r>
      <rPr>
        <i val="true"/>
        <sz val="10"/>
        <color rgb="FF595959"/>
        <rFont val="Arial"/>
        <family val="0"/>
        <charset val="1"/>
      </rPr>
      <t xml:space="preserve">1</t>
    </r>
    <r>
      <rPr>
        <i val="true"/>
        <sz val="10"/>
        <color rgb="FF595959"/>
        <rFont val="Noto Sans CJK SC"/>
        <family val="2"/>
      </rPr>
      <t xml:space="preserve">、主要税种及税率；</t>
    </r>
    <r>
      <rPr>
        <i val="true"/>
        <sz val="10"/>
        <color rgb="FF595959"/>
        <rFont val="Arial"/>
        <family val="0"/>
        <charset val="1"/>
      </rPr>
      <t xml:space="preserve">2</t>
    </r>
    <r>
      <rPr>
        <i val="true"/>
        <sz val="10"/>
        <color rgb="FF595959"/>
        <rFont val="Noto Sans CJK SC"/>
        <family val="2"/>
      </rPr>
      <t xml:space="preserve">、税收优惠；</t>
    </r>
    <r>
      <rPr>
        <i val="true"/>
        <sz val="10"/>
        <color rgb="FF595959"/>
        <rFont val="Arial"/>
        <family val="0"/>
        <charset val="1"/>
      </rPr>
      <t xml:space="preserve">3</t>
    </r>
    <r>
      <rPr>
        <i val="true"/>
        <sz val="10"/>
        <color rgb="FF595959"/>
        <rFont val="Noto Sans CJK SC"/>
        <family val="2"/>
      </rPr>
      <t xml:space="preserve">、其他</t>
    </r>
  </si>
  <si>
    <t xml:space="preserve">潮州三环（集团）股份有限公司（母公司，高新技术企业）</t>
  </si>
  <si>
    <r>
      <rPr>
        <sz val="10"/>
        <color rgb="FF000000"/>
        <rFont val="Noto Sans CJK SC"/>
        <family val="2"/>
      </rPr>
      <t xml:space="preserve">深圳三环科技有限公司（高新技术企业；</t>
    </r>
    <r>
      <rPr>
        <sz val="10"/>
        <color rgb="FF000000"/>
        <rFont val="Arial"/>
        <family val="0"/>
        <charset val="1"/>
      </rPr>
      <t xml:space="preserve">FY2023</t>
    </r>
    <r>
      <rPr>
        <sz val="10"/>
        <color rgb="FF000000"/>
        <rFont val="Noto Sans CJK SC"/>
        <family val="2"/>
      </rPr>
      <t xml:space="preserve">年报列示为</t>
    </r>
    <r>
      <rPr>
        <sz val="10"/>
        <color rgb="FF000000"/>
        <rFont val="Arial"/>
        <family val="0"/>
        <charset val="1"/>
      </rPr>
      <t xml:space="preserve">'</t>
    </r>
    <r>
      <rPr>
        <sz val="10"/>
        <color rgb="FF000000"/>
        <rFont val="Noto Sans CJK SC"/>
        <family val="2"/>
      </rPr>
      <t xml:space="preserve">深圳三环电子有限公司</t>
    </r>
    <r>
      <rPr>
        <sz val="10"/>
        <color rgb="FF000000"/>
        <rFont val="Arial"/>
        <family val="0"/>
        <charset val="1"/>
      </rPr>
      <t xml:space="preserve">'</t>
    </r>
    <r>
      <rPr>
        <sz val="10"/>
        <color rgb="FF000000"/>
        <rFont val="Noto Sans CJK SC"/>
        <family val="2"/>
      </rPr>
      <t xml:space="preserve">，证书</t>
    </r>
    <r>
      <rPr>
        <sz val="10"/>
        <color rgb="FF000000"/>
        <rFont val="Arial"/>
        <family val="0"/>
        <charset val="1"/>
      </rPr>
      <t xml:space="preserve">GR202144203020</t>
    </r>
    <r>
      <rPr>
        <sz val="10"/>
        <color rgb="FF000000"/>
        <rFont val="Noto Sans CJK SC"/>
        <family val="2"/>
      </rPr>
      <t xml:space="preserve">）</t>
    </r>
  </si>
  <si>
    <t xml:space="preserve">南充三环电子有限公司（高新技术企业）</t>
  </si>
  <si>
    <t xml:space="preserve">德阳三环科技有限公司（高新技术企业）</t>
  </si>
  <si>
    <r>
      <rPr>
        <sz val="10"/>
        <color rgb="FF000000"/>
        <rFont val="Noto Sans CJK SC"/>
        <family val="2"/>
      </rPr>
      <t xml:space="preserve">苏州三环科技有限公司（高新技术企业，自</t>
    </r>
    <r>
      <rPr>
        <sz val="10"/>
        <color rgb="FF000000"/>
        <rFont val="Arial"/>
        <family val="0"/>
        <charset val="1"/>
      </rPr>
      <t xml:space="preserve">2024</t>
    </r>
    <r>
      <rPr>
        <sz val="10"/>
        <color rgb="FF000000"/>
        <rFont val="Noto Sans CJK SC"/>
        <family val="2"/>
      </rPr>
      <t xml:space="preserve">年起；</t>
    </r>
    <r>
      <rPr>
        <sz val="10"/>
        <color rgb="FF000000"/>
        <rFont val="Arial"/>
        <family val="0"/>
        <charset val="1"/>
      </rPr>
      <t xml:space="preserve">FY2023</t>
    </r>
    <r>
      <rPr>
        <sz val="10"/>
        <color rgb="FF000000"/>
        <rFont val="Noto Sans CJK SC"/>
        <family val="2"/>
      </rPr>
      <t xml:space="preserve">为</t>
    </r>
    <r>
      <rPr>
        <sz val="10"/>
        <color rgb="FF000000"/>
        <rFont val="Arial"/>
        <family val="0"/>
        <charset val="1"/>
      </rPr>
      <t xml:space="preserve">25%</t>
    </r>
    <r>
      <rPr>
        <sz val="10"/>
        <color rgb="FF000000"/>
        <rFont val="Noto Sans CJK SC"/>
        <family val="2"/>
      </rPr>
      <t xml:space="preserve">）</t>
    </r>
  </si>
  <si>
    <t xml:space="preserve">成都三环科技有限公司（西部大开发）</t>
  </si>
  <si>
    <t xml:space="preserve">红河三环科技有限公司（西部大开发）</t>
  </si>
  <si>
    <t xml:space="preserve">广东省先进陶瓷材料科技有限公司（小型微利）</t>
  </si>
  <si>
    <t xml:space="preserve">武汉三寰贸易有限公司（小型微利）</t>
  </si>
  <si>
    <t xml:space="preserve">潮州三环生物新材料有限公司（小型微利）</t>
  </si>
  <si>
    <t xml:space="preserve">德阳光胜贸易有限公司（小型微利）</t>
  </si>
  <si>
    <t xml:space="preserve">深圳三环新能源有限公司（小型微利）</t>
  </si>
  <si>
    <r>
      <rPr>
        <sz val="10"/>
        <color rgb="FF000000"/>
        <rFont val="Noto Sans CJK SC"/>
        <family val="2"/>
      </rPr>
      <t xml:space="preserve">潮州三环环保科技有限责任公司（小型微利，</t>
    </r>
    <r>
      <rPr>
        <sz val="10"/>
        <color rgb="FF000000"/>
        <rFont val="Arial"/>
        <family val="0"/>
        <charset val="1"/>
      </rPr>
      <t xml:space="preserve">2025-09</t>
    </r>
    <r>
      <rPr>
        <sz val="10"/>
        <color rgb="FF000000"/>
        <rFont val="Noto Sans CJK SC"/>
        <family val="2"/>
      </rPr>
      <t xml:space="preserve">新设）</t>
    </r>
  </si>
  <si>
    <r>
      <rPr>
        <sz val="10"/>
        <color rgb="FF000000"/>
        <rFont val="Noto Sans CJK SC"/>
        <family val="2"/>
      </rPr>
      <t xml:space="preserve">潮州微密斯科技有限公司（</t>
    </r>
    <r>
      <rPr>
        <sz val="10"/>
        <color rgb="FF000000"/>
        <rFont val="Arial"/>
        <family val="0"/>
        <charset val="1"/>
      </rPr>
      <t xml:space="preserve">2026H1</t>
    </r>
    <r>
      <rPr>
        <sz val="10"/>
        <color rgb="FF000000"/>
        <rFont val="Noto Sans CJK SC"/>
        <family val="2"/>
      </rPr>
      <t xml:space="preserve">标注为小型微利）</t>
    </r>
  </si>
  <si>
    <t xml:space="preserve">微密斯点胶科技（厦门）有限公司</t>
  </si>
  <si>
    <r>
      <rPr>
        <sz val="10"/>
        <color rgb="FF000000"/>
        <rFont val="Arial"/>
        <family val="0"/>
        <charset val="1"/>
      </rPr>
      <t xml:space="preserve">Frontier Coöperatief U.A.</t>
    </r>
    <r>
      <rPr>
        <sz val="10"/>
        <color rgb="FF000000"/>
        <rFont val="Noto Sans CJK SC"/>
        <family val="2"/>
      </rPr>
      <t xml:space="preserve">（荷兰）</t>
    </r>
  </si>
  <si>
    <t xml:space="preserve">Singularity Management GmbH / Dynamics Administration GmbH &amp; Co.KG / Vermes Micr</t>
  </si>
  <si>
    <r>
      <rPr>
        <sz val="10"/>
        <color rgb="FF000000"/>
        <rFont val="Arial"/>
        <family val="0"/>
        <charset val="1"/>
      </rPr>
      <t xml:space="preserve">Vermes Microdispensing(M)SDN.BHD.</t>
    </r>
    <r>
      <rPr>
        <sz val="10"/>
        <color rgb="FF000000"/>
        <rFont val="Noto Sans CJK SC"/>
        <family val="2"/>
      </rPr>
      <t xml:space="preserve">（马来西亚）</t>
    </r>
  </si>
  <si>
    <r>
      <rPr>
        <sz val="10"/>
        <color rgb="FF000000"/>
        <rFont val="Arial"/>
        <family val="0"/>
        <charset val="1"/>
      </rPr>
      <t xml:space="preserve">Vermes Microdispensing America Inc.</t>
    </r>
    <r>
      <rPr>
        <sz val="10"/>
        <color rgb="FF000000"/>
        <rFont val="Noto Sans CJK SC"/>
        <family val="2"/>
      </rPr>
      <t xml:space="preserve">（美国）</t>
    </r>
  </si>
  <si>
    <r>
      <rPr>
        <sz val="10"/>
        <color rgb="FF000000"/>
        <rFont val="Arial"/>
        <family val="0"/>
        <charset val="1"/>
      </rPr>
      <t xml:space="preserve">Vermes Microdispensing Ltd.</t>
    </r>
    <r>
      <rPr>
        <sz val="10"/>
        <color rgb="FF000000"/>
        <rFont val="Noto Sans CJK SC"/>
        <family val="2"/>
      </rPr>
      <t xml:space="preserve">（韩国）</t>
    </r>
    <r>
      <rPr>
        <sz val="10"/>
        <color rgb="FF000000"/>
        <rFont val="Arial"/>
        <family val="0"/>
        <charset val="1"/>
      </rPr>
      <t xml:space="preserve">- </t>
    </r>
    <r>
      <rPr>
        <sz val="10"/>
        <color rgb="FF000000"/>
        <rFont val="Noto Sans CJK SC"/>
        <family val="2"/>
      </rPr>
      <t xml:space="preserve">应纳税所得额≤</t>
    </r>
    <r>
      <rPr>
        <sz val="10"/>
        <color rgb="FF000000"/>
        <rFont val="Arial"/>
        <family val="0"/>
        <charset val="1"/>
      </rPr>
      <t xml:space="preserve">2</t>
    </r>
    <r>
      <rPr>
        <sz val="10"/>
        <color rgb="FF000000"/>
        <rFont val="Noto Sans CJK SC"/>
        <family val="2"/>
      </rPr>
      <t xml:space="preserve">亿韩元部分</t>
    </r>
  </si>
  <si>
    <r>
      <rPr>
        <sz val="10"/>
        <color rgb="FF000000"/>
        <rFont val="Arial"/>
        <family val="0"/>
        <charset val="1"/>
      </rPr>
      <t xml:space="preserve">Vermes Microdispensing Ltd.</t>
    </r>
    <r>
      <rPr>
        <sz val="10"/>
        <color rgb="FF000000"/>
        <rFont val="Noto Sans CJK SC"/>
        <family val="2"/>
      </rPr>
      <t xml:space="preserve">（韩国）</t>
    </r>
    <r>
      <rPr>
        <sz val="10"/>
        <color rgb="FF000000"/>
        <rFont val="Arial"/>
        <family val="0"/>
        <charset val="1"/>
      </rPr>
      <t xml:space="preserve">- 2</t>
    </r>
    <r>
      <rPr>
        <sz val="10"/>
        <color rgb="FF000000"/>
        <rFont val="Noto Sans CJK SC"/>
        <family val="2"/>
      </rPr>
      <t xml:space="preserve">亿至</t>
    </r>
    <r>
      <rPr>
        <sz val="10"/>
        <color rgb="FF000000"/>
        <rFont val="Arial"/>
        <family val="0"/>
        <charset val="1"/>
      </rPr>
      <t xml:space="preserve">200</t>
    </r>
    <r>
      <rPr>
        <sz val="10"/>
        <color rgb="FF000000"/>
        <rFont val="Noto Sans CJK SC"/>
        <family val="2"/>
      </rPr>
      <t xml:space="preserve">亿韩元部分</t>
    </r>
  </si>
  <si>
    <r>
      <rPr>
        <sz val="10"/>
        <color rgb="FF000000"/>
        <rFont val="Arial"/>
        <family val="0"/>
        <charset val="1"/>
      </rPr>
      <t xml:space="preserve">Vermes Microdispensing India Pvt.Ltd.</t>
    </r>
    <r>
      <rPr>
        <sz val="10"/>
        <color rgb="FF000000"/>
        <rFont val="Noto Sans CJK SC"/>
        <family val="2"/>
      </rPr>
      <t xml:space="preserve">（印度）</t>
    </r>
  </si>
  <si>
    <r>
      <rPr>
        <sz val="10"/>
        <color rgb="FF000000"/>
        <rFont val="Arial"/>
        <family val="0"/>
        <charset val="1"/>
      </rPr>
      <t xml:space="preserve">Glory Winner(Thailand)Co.,Ltd.</t>
    </r>
    <r>
      <rPr>
        <sz val="10"/>
        <color rgb="FF000000"/>
        <rFont val="Noto Sans CJK SC"/>
        <family val="2"/>
      </rPr>
      <t xml:space="preserve">（泰国；</t>
    </r>
    <r>
      <rPr>
        <sz val="10"/>
        <color rgb="FF000000"/>
        <rFont val="Arial"/>
        <family val="0"/>
        <charset val="1"/>
      </rPr>
      <t xml:space="preserve">BOI</t>
    </r>
    <r>
      <rPr>
        <sz val="10"/>
        <color rgb="FF000000"/>
        <rFont val="Noto Sans CJK SC"/>
        <family val="2"/>
      </rPr>
      <t xml:space="preserve">免税期内）</t>
    </r>
  </si>
  <si>
    <r>
      <rPr>
        <sz val="10"/>
        <color rgb="FF000000"/>
        <rFont val="Noto Sans CJK SC"/>
        <family val="2"/>
      </rPr>
      <t xml:space="preserve">香港三环电子有限公司 </t>
    </r>
    <r>
      <rPr>
        <sz val="10"/>
        <color rgb="FF000000"/>
        <rFont val="Arial"/>
        <family val="0"/>
        <charset val="1"/>
      </rPr>
      <t xml:space="preserve">- </t>
    </r>
    <r>
      <rPr>
        <sz val="10"/>
        <color rgb="FF000000"/>
        <rFont val="Noto Sans CJK SC"/>
        <family val="2"/>
      </rPr>
      <t xml:space="preserve">应评税利润≤</t>
    </r>
    <r>
      <rPr>
        <sz val="10"/>
        <color rgb="FF000000"/>
        <rFont val="Arial"/>
        <family val="0"/>
        <charset val="1"/>
      </rPr>
      <t xml:space="preserve">200</t>
    </r>
    <r>
      <rPr>
        <sz val="10"/>
        <color rgb="FF000000"/>
        <rFont val="Noto Sans CJK SC"/>
        <family val="2"/>
      </rPr>
      <t xml:space="preserve">万港币部分</t>
    </r>
  </si>
  <si>
    <r>
      <rPr>
        <sz val="10"/>
        <color rgb="FF000000"/>
        <rFont val="Noto Sans CJK SC"/>
        <family val="2"/>
      </rPr>
      <t xml:space="preserve">香港三环电子有限公司 </t>
    </r>
    <r>
      <rPr>
        <sz val="10"/>
        <color rgb="FF000000"/>
        <rFont val="Arial"/>
        <family val="0"/>
        <charset val="1"/>
      </rPr>
      <t xml:space="preserve">- </t>
    </r>
    <r>
      <rPr>
        <sz val="10"/>
        <color rgb="FF000000"/>
        <rFont val="Noto Sans CJK SC"/>
        <family val="2"/>
      </rPr>
      <t xml:space="preserve">超过</t>
    </r>
    <r>
      <rPr>
        <sz val="10"/>
        <color rgb="FF000000"/>
        <rFont val="Arial"/>
        <family val="0"/>
        <charset val="1"/>
      </rPr>
      <t xml:space="preserve">200</t>
    </r>
    <r>
      <rPr>
        <sz val="10"/>
        <color rgb="FF000000"/>
        <rFont val="Noto Sans CJK SC"/>
        <family val="2"/>
      </rPr>
      <t xml:space="preserve">万港币部分</t>
    </r>
  </si>
  <si>
    <r>
      <rPr>
        <b val="true"/>
        <sz val="10"/>
        <color rgb="FF1F3864"/>
        <rFont val="Arial"/>
        <family val="0"/>
        <charset val="1"/>
      </rPr>
      <t xml:space="preserve">Glory Winner(Thailand) BOI </t>
    </r>
    <r>
      <rPr>
        <b val="true"/>
        <sz val="10"/>
        <color rgb="FF1F3864"/>
        <rFont val="Noto Sans CJK SC"/>
        <family val="2"/>
      </rPr>
      <t xml:space="preserve">享受免税额度</t>
    </r>
  </si>
  <si>
    <r>
      <rPr>
        <i val="true"/>
        <sz val="10"/>
        <color rgb="FF595959"/>
        <rFont val="Noto Sans CJK SC"/>
        <family val="2"/>
      </rPr>
      <t xml:space="preserve">单位：泰铢 </t>
    </r>
    <r>
      <rPr>
        <i val="true"/>
        <sz val="10"/>
        <color rgb="FF595959"/>
        <rFont val="Arial"/>
        <family val="0"/>
        <charset val="1"/>
      </rPr>
      <t xml:space="preserve">THB</t>
    </r>
    <r>
      <rPr>
        <i val="true"/>
        <sz val="10"/>
        <color rgb="FF595959"/>
        <rFont val="Noto Sans CJK SC"/>
        <family val="2"/>
      </rPr>
      <t xml:space="preserve">；来源：</t>
    </r>
    <r>
      <rPr>
        <i val="true"/>
        <sz val="10"/>
        <color rgb="FF595959"/>
        <rFont val="Arial"/>
        <family val="0"/>
        <charset val="1"/>
      </rPr>
      <t xml:space="preserve">2024</t>
    </r>
    <r>
      <rPr>
        <i val="true"/>
        <sz val="10"/>
        <color rgb="FF595959"/>
        <rFont val="Noto Sans CJK SC"/>
        <family val="2"/>
      </rPr>
      <t xml:space="preserve">年年报 </t>
    </r>
    <r>
      <rPr>
        <i val="true"/>
        <sz val="10"/>
        <color rgb="FF595959"/>
        <rFont val="Arial"/>
        <family val="0"/>
        <charset val="1"/>
      </rPr>
      <t xml:space="preserve">/ 2025</t>
    </r>
    <r>
      <rPr>
        <i val="true"/>
        <sz val="10"/>
        <color rgb="FF595959"/>
        <rFont val="Noto Sans CJK SC"/>
        <family val="2"/>
      </rPr>
      <t xml:space="preserve">年年报 </t>
    </r>
    <r>
      <rPr>
        <i val="true"/>
        <sz val="10"/>
        <color rgb="FF595959"/>
        <rFont val="Arial"/>
        <family val="0"/>
        <charset val="1"/>
      </rPr>
      <t xml:space="preserve">/ 2026</t>
    </r>
    <r>
      <rPr>
        <i val="true"/>
        <sz val="10"/>
        <color rgb="FF595959"/>
        <rFont val="Noto Sans CJK SC"/>
        <family val="2"/>
      </rPr>
      <t xml:space="preserve">年半年报 六、税项 </t>
    </r>
    <r>
      <rPr>
        <i val="true"/>
        <sz val="10"/>
        <color rgb="FF595959"/>
        <rFont val="Arial"/>
        <family val="0"/>
        <charset val="1"/>
      </rPr>
      <t xml:space="preserve">2</t>
    </r>
    <r>
      <rPr>
        <i val="true"/>
        <sz val="10"/>
        <color rgb="FF595959"/>
        <rFont val="Noto Sans CJK SC"/>
        <family val="2"/>
      </rPr>
      <t xml:space="preserve">、税收优惠 </t>
    </r>
    <r>
      <rPr>
        <i val="true"/>
        <sz val="10"/>
        <color rgb="FF595959"/>
        <rFont val="Arial"/>
        <family val="0"/>
        <charset val="1"/>
      </rPr>
      <t xml:space="preserve">*12</t>
    </r>
  </si>
  <si>
    <r>
      <rPr>
        <sz val="10"/>
        <color rgb="FF000000"/>
        <rFont val="Arial"/>
        <family val="0"/>
        <charset val="1"/>
      </rPr>
      <t xml:space="preserve">Glory Winner(Thailand)Co.,Ltd. </t>
    </r>
    <r>
      <rPr>
        <sz val="10"/>
        <color rgb="FF000000"/>
        <rFont val="Noto Sans CJK SC"/>
        <family val="2"/>
      </rPr>
      <t xml:space="preserve">享受免税额度</t>
    </r>
  </si>
  <si>
    <t xml:space="preserve">所得税费用表（合并）及利润总额</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</si>
  <si>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53(1)</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52(1)</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55(1)</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54(1)</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53(1)</t>
    </r>
    <r>
      <rPr>
        <i val="true"/>
        <sz val="10"/>
        <color rgb="FF595959"/>
        <rFont val="Noto Sans CJK SC"/>
        <family val="2"/>
      </rPr>
      <t xml:space="preserve">；合并利润表；</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54(1) </t>
    </r>
    <r>
      <rPr>
        <i val="true"/>
        <sz val="10"/>
        <color rgb="FF595959"/>
        <rFont val="Noto Sans CJK SC"/>
        <family val="2"/>
      </rPr>
      <t xml:space="preserve">上期发生额 及合并利润表上期</t>
    </r>
  </si>
  <si>
    <t xml:space="preserve">当期所得税费用</t>
  </si>
  <si>
    <t xml:space="preserve">递延所得税费用</t>
  </si>
  <si>
    <t xml:space="preserve">所得税费用合计</t>
  </si>
  <si>
    <t xml:space="preserve">利润总额（合并利润表）</t>
  </si>
  <si>
    <t xml:space="preserve">会计利润与所得税费用调整过程（合并）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</si>
  <si>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53(2)</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52(2)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55(2)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54(2)</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53(2)</t>
    </r>
  </si>
  <si>
    <r>
      <rPr>
        <sz val="10"/>
        <color rgb="FF000000"/>
        <rFont val="Noto Sans CJK SC"/>
        <family val="2"/>
      </rPr>
      <t xml:space="preserve">按法定</t>
    </r>
    <r>
      <rPr>
        <sz val="10"/>
        <color rgb="FF000000"/>
        <rFont val="Arial"/>
        <family val="0"/>
        <charset val="1"/>
      </rPr>
      <t xml:space="preserve">/</t>
    </r>
    <r>
      <rPr>
        <sz val="10"/>
        <color rgb="FF000000"/>
        <rFont val="Noto Sans CJK SC"/>
        <family val="2"/>
      </rPr>
      <t xml:space="preserve">适用税率计算的所得税费用</t>
    </r>
  </si>
  <si>
    <t xml:space="preserve">调整以前期间所得税的影响</t>
  </si>
  <si>
    <t xml:space="preserve">非应税收入的影响</t>
  </si>
  <si>
    <t xml:space="preserve">不可抵扣的成本、费用和损失的影响</t>
  </si>
  <si>
    <t xml:space="preserve">使用前期未确认递延所得税资产的可抵扣亏损的影响</t>
  </si>
  <si>
    <t xml:space="preserve">本期未确认递延所得税资产的可抵扣暂时性差异或可抵扣亏损的影响</t>
  </si>
  <si>
    <t xml:space="preserve">使用前期未确认递延所得税资产的固定资产折旧的影响</t>
  </si>
  <si>
    <t xml:space="preserve">研发费用加计扣除</t>
  </si>
  <si>
    <t xml:space="preserve">税率变动对期初递延所得税余额的影响</t>
  </si>
  <si>
    <t xml:space="preserve">其他收益构成（合并）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</si>
  <si>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45</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44</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47</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46</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45</t>
    </r>
    <r>
      <rPr>
        <i val="true"/>
        <sz val="10"/>
        <color rgb="FF595959"/>
        <rFont val="Noto Sans CJK SC"/>
        <family val="2"/>
      </rPr>
      <t xml:space="preserve">。</t>
    </r>
    <r>
      <rPr>
        <i val="true"/>
        <sz val="10"/>
        <color rgb="FF595959"/>
        <rFont val="Arial"/>
        <family val="0"/>
        <charset val="1"/>
      </rPr>
      <t xml:space="preserve">The split of '</t>
    </r>
    <r>
      <rPr>
        <i val="true"/>
        <sz val="10"/>
        <color rgb="FF595959"/>
        <rFont val="Noto Sans CJK SC"/>
        <family val="2"/>
      </rPr>
      <t xml:space="preserve">其他</t>
    </r>
    <r>
      <rPr>
        <i val="true"/>
        <sz val="10"/>
        <color rgb="FF595959"/>
        <rFont val="Arial"/>
        <family val="0"/>
        <charset val="1"/>
      </rPr>
      <t xml:space="preserve">' comes from each report's </t>
    </r>
    <r>
      <rPr>
        <i val="true"/>
        <sz val="10"/>
        <color rgb="FF595959"/>
        <rFont val="Noto Sans CJK SC"/>
        <family val="2"/>
      </rPr>
      <t xml:space="preserve">第二节 非经常性损益项目及金额 </t>
    </r>
    <r>
      <rPr>
        <i val="true"/>
        <sz val="10"/>
        <color rgb="FF595959"/>
        <rFont val="Arial"/>
        <family val="0"/>
        <charset val="1"/>
      </rPr>
      <t xml:space="preserve">('</t>
    </r>
    <r>
      <rPr>
        <i val="true"/>
        <sz val="10"/>
        <color rgb="FF595959"/>
        <rFont val="Noto Sans CJK SC"/>
        <family val="2"/>
      </rPr>
      <t xml:space="preserve">其他符合非经常性损益定义的损益项目的具体情况</t>
    </r>
    <r>
      <rPr>
        <i val="true"/>
        <sz val="10"/>
        <color rgb="FF595959"/>
        <rFont val="Arial"/>
        <family val="0"/>
        <charset val="1"/>
      </rPr>
      <t xml:space="preserve">' and '</t>
    </r>
    <r>
      <rPr>
        <i val="true"/>
        <sz val="10"/>
        <color rgb="FF595959"/>
        <rFont val="Noto Sans CJK SC"/>
        <family val="2"/>
      </rPr>
      <t xml:space="preserve">界定为经常性损益：增值税加计抵减</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46 </t>
    </r>
    <r>
      <rPr>
        <i val="true"/>
        <sz val="10"/>
        <color rgb="FF595959"/>
        <rFont val="Noto Sans CJK SC"/>
        <family val="2"/>
      </rPr>
      <t xml:space="preserve">上</t>
    </r>
  </si>
  <si>
    <t xml:space="preserve">政府补助（计入其他收益）</t>
  </si>
  <si>
    <t xml:space="preserve">  其中：与资产相关</t>
  </si>
  <si>
    <t xml:space="preserve">  其中：与收益相关</t>
  </si>
  <si>
    <t xml:space="preserve">  其中：与资产、收益相关</t>
  </si>
  <si>
    <r>
      <rPr>
        <sz val="10"/>
        <color rgb="FF000000"/>
        <rFont val="Noto Sans CJK SC"/>
        <family val="2"/>
      </rPr>
      <t xml:space="preserve">其他（附注</t>
    </r>
    <r>
      <rPr>
        <sz val="10"/>
        <color rgb="FF000000"/>
        <rFont val="Arial"/>
        <family val="0"/>
        <charset val="1"/>
      </rPr>
      <t xml:space="preserve">'</t>
    </r>
    <r>
      <rPr>
        <sz val="10"/>
        <color rgb="FF000000"/>
        <rFont val="Noto Sans CJK SC"/>
        <family val="2"/>
      </rPr>
      <t xml:space="preserve">其他</t>
    </r>
    <r>
      <rPr>
        <sz val="10"/>
        <color rgb="FF000000"/>
        <rFont val="Arial"/>
        <family val="0"/>
        <charset val="1"/>
      </rPr>
      <t xml:space="preserve">'</t>
    </r>
    <r>
      <rPr>
        <sz val="10"/>
        <color rgb="FF000000"/>
        <rFont val="Noto Sans CJK SC"/>
        <family val="2"/>
      </rPr>
      <t xml:space="preserve">行）</t>
    </r>
  </si>
  <si>
    <t xml:space="preserve">  其中：增值税加计抵减（非经常性损益节，界定为经常性损益）</t>
  </si>
  <si>
    <r>
      <rPr>
        <sz val="10"/>
        <color rgb="FF000000"/>
        <rFont val="Noto Sans CJK SC"/>
        <family val="2"/>
      </rPr>
      <t xml:space="preserve">  其中：减征税款（非经常性损益节</t>
    </r>
    <r>
      <rPr>
        <sz val="10"/>
        <color rgb="FF000000"/>
        <rFont val="Arial"/>
        <family val="0"/>
        <charset val="1"/>
      </rPr>
      <t xml:space="preserve">'</t>
    </r>
    <r>
      <rPr>
        <sz val="10"/>
        <color rgb="FF000000"/>
        <rFont val="Noto Sans CJK SC"/>
        <family val="2"/>
      </rPr>
      <t xml:space="preserve">其他符合定义项目</t>
    </r>
    <r>
      <rPr>
        <sz val="10"/>
        <color rgb="FF000000"/>
        <rFont val="Arial"/>
        <family val="0"/>
        <charset val="1"/>
      </rPr>
      <t xml:space="preserve">'</t>
    </r>
    <r>
      <rPr>
        <sz val="10"/>
        <color rgb="FF000000"/>
        <rFont val="Noto Sans CJK SC"/>
        <family val="2"/>
      </rPr>
      <t xml:space="preserve">）</t>
    </r>
  </si>
  <si>
    <t xml:space="preserve">  其中：个税手续费返还（同上）</t>
  </si>
  <si>
    <t xml:space="preserve">  其中：其他零星（同上）</t>
  </si>
  <si>
    <r>
      <rPr>
        <b val="true"/>
        <sz val="10"/>
        <color rgb="FF1F3864"/>
        <rFont val="Noto Sans CJK SC"/>
        <family val="2"/>
      </rPr>
      <t xml:space="preserve">信用减值损失构成（合并；损失以</t>
    </r>
    <r>
      <rPr>
        <b val="true"/>
        <sz val="10"/>
        <color rgb="FF1F3864"/>
        <rFont val="Arial"/>
        <family val="0"/>
        <charset val="1"/>
      </rPr>
      <t xml:space="preserve">'-'</t>
    </r>
    <r>
      <rPr>
        <b val="true"/>
        <sz val="10"/>
        <color rgb="FF1F3864"/>
        <rFont val="Noto Sans CJK SC"/>
        <family val="2"/>
      </rPr>
      <t xml:space="preserve">号填列）</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</si>
  <si>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48</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47</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50</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49</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48</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49 </t>
    </r>
    <r>
      <rPr>
        <i val="true"/>
        <sz val="10"/>
        <color rgb="FF595959"/>
        <rFont val="Noto Sans CJK SC"/>
        <family val="2"/>
      </rPr>
      <t xml:space="preserve">上期发生额</t>
    </r>
  </si>
  <si>
    <t xml:space="preserve">应收票据坏账损失</t>
  </si>
  <si>
    <t xml:space="preserve">应收账款坏账损失</t>
  </si>
  <si>
    <t xml:space="preserve">其他应收款坏账损失</t>
  </si>
  <si>
    <t xml:space="preserve">信用减值损失合计</t>
  </si>
  <si>
    <r>
      <rPr>
        <b val="true"/>
        <sz val="10"/>
        <color rgb="FF1F3864"/>
        <rFont val="Noto Sans CJK SC"/>
        <family val="2"/>
      </rPr>
      <t xml:space="preserve">资产减值损失构成（合并；损失以</t>
    </r>
    <r>
      <rPr>
        <b val="true"/>
        <sz val="10"/>
        <color rgb="FF1F3864"/>
        <rFont val="Arial"/>
        <family val="0"/>
        <charset val="1"/>
      </rPr>
      <t xml:space="preserve">'-'</t>
    </r>
    <r>
      <rPr>
        <b val="true"/>
        <sz val="10"/>
        <color rgb="FF1F3864"/>
        <rFont val="Noto Sans CJK SC"/>
        <family val="2"/>
      </rPr>
      <t xml:space="preserve">号填列）</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</si>
  <si>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49</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48</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51</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50</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49</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50 </t>
    </r>
    <r>
      <rPr>
        <i val="true"/>
        <sz val="10"/>
        <color rgb="FF595959"/>
        <rFont val="Noto Sans CJK SC"/>
        <family val="2"/>
      </rPr>
      <t xml:space="preserve">上期发生额</t>
    </r>
  </si>
  <si>
    <t xml:space="preserve">存货跌价损失及合同履约成本减值损失</t>
  </si>
  <si>
    <t xml:space="preserve">资产减值损失合计</t>
  </si>
  <si>
    <t xml:space="preserve">营业外收入构成（合并）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</si>
  <si>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51 (FY2023, FY2022)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53 (FY2025 and FY2024 comparative)</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51 (2026H1 and 2025H1 comparative)</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52 </t>
    </r>
    <r>
      <rPr>
        <i val="true"/>
        <sz val="10"/>
        <color rgb="FF595959"/>
        <rFont val="Noto Sans CJK SC"/>
        <family val="2"/>
      </rPr>
      <t xml:space="preserve">上期发生额</t>
    </r>
  </si>
  <si>
    <t xml:space="preserve">政府补助</t>
  </si>
  <si>
    <t xml:space="preserve">非流动资产处置利得</t>
  </si>
  <si>
    <t xml:space="preserve">非流动资产毁损报废利得</t>
  </si>
  <si>
    <r>
      <rPr>
        <sz val="10"/>
        <color rgb="FF000000"/>
        <rFont val="Noto Sans CJK SC"/>
        <family val="2"/>
      </rPr>
      <t xml:space="preserve">废品收入（年报）</t>
    </r>
    <r>
      <rPr>
        <sz val="10"/>
        <color rgb="FF000000"/>
        <rFont val="Arial"/>
        <family val="0"/>
        <charset val="1"/>
      </rPr>
      <t xml:space="preserve">/</t>
    </r>
    <r>
      <rPr>
        <sz val="10"/>
        <color rgb="FF000000"/>
        <rFont val="Noto Sans CJK SC"/>
        <family val="2"/>
      </rPr>
      <t xml:space="preserve">废旧物料处置收入（半年报）</t>
    </r>
  </si>
  <si>
    <t xml:space="preserve">赔款及罚款</t>
  </si>
  <si>
    <t xml:space="preserve">拆迁收益</t>
  </si>
  <si>
    <t xml:space="preserve">营业外收入合计</t>
  </si>
  <si>
    <t xml:space="preserve">营业外支出构成（合并）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</si>
  <si>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52</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51</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54</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53</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52</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53 </t>
    </r>
    <r>
      <rPr>
        <i val="true"/>
        <sz val="10"/>
        <color rgb="FF595959"/>
        <rFont val="Noto Sans CJK SC"/>
        <family val="2"/>
      </rPr>
      <t xml:space="preserve">上期发生额</t>
    </r>
  </si>
  <si>
    <t xml:space="preserve">对外捐赠</t>
  </si>
  <si>
    <t xml:space="preserve">非流动资产毁损报废损失</t>
  </si>
  <si>
    <t xml:space="preserve">赔款及罚款支出（罚款及赔款支出）</t>
  </si>
  <si>
    <t xml:space="preserve">存货毁损报废损失</t>
  </si>
  <si>
    <t xml:space="preserve">营业外支出合计</t>
  </si>
  <si>
    <r>
      <rPr>
        <b val="true"/>
        <sz val="10"/>
        <color rgb="FF1F3864"/>
        <rFont val="Noto Sans CJK SC"/>
        <family val="2"/>
      </rPr>
      <t xml:space="preserve">递延收益（政府补助）变动 </t>
    </r>
    <r>
      <rPr>
        <b val="true"/>
        <sz val="10"/>
        <color rgb="FF1F3864"/>
        <rFont val="Arial"/>
        <family val="0"/>
        <charset val="1"/>
      </rPr>
      <t xml:space="preserve">- FY2025</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</si>
  <si>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34 </t>
    </r>
    <r>
      <rPr>
        <i val="true"/>
        <sz val="10"/>
        <color rgb="FF595959"/>
        <rFont val="Noto Sans CJK SC"/>
        <family val="2"/>
      </rPr>
      <t xml:space="preserve">递延收益（涉及政府补助的项目）；十一、政府补助 </t>
    </r>
    <r>
      <rPr>
        <i val="true"/>
        <sz val="10"/>
        <color rgb="FF595959"/>
        <rFont val="Arial"/>
        <family val="0"/>
        <charset val="1"/>
      </rPr>
      <t xml:space="preserve">2</t>
    </r>
  </si>
  <si>
    <t xml:space="preserve">本期新增补助金额</t>
  </si>
  <si>
    <t xml:space="preserve">本期计入营业外收入金额</t>
  </si>
  <si>
    <t xml:space="preserve">本期计入其他收益金额</t>
  </si>
  <si>
    <t xml:space="preserve">本期冲减成本费用金额</t>
  </si>
  <si>
    <t xml:space="preserve">其他变动（按披露原值）</t>
  </si>
  <si>
    <t xml:space="preserve">与资产相关</t>
  </si>
  <si>
    <t xml:space="preserve">与收益相关</t>
  </si>
  <si>
    <t xml:space="preserve">与资产、收益相关</t>
  </si>
  <si>
    <r>
      <rPr>
        <b val="true"/>
        <sz val="10"/>
        <color rgb="FF1F3864"/>
        <rFont val="Noto Sans CJK SC"/>
        <family val="2"/>
      </rPr>
      <t xml:space="preserve">递延收益（政府补助）变动 </t>
    </r>
    <r>
      <rPr>
        <b val="true"/>
        <sz val="10"/>
        <color rgb="FF1F3864"/>
        <rFont val="Arial"/>
        <family val="0"/>
        <charset val="1"/>
      </rPr>
      <t xml:space="preserve">- 2026H1</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</si>
  <si>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32 </t>
    </r>
    <r>
      <rPr>
        <i val="true"/>
        <sz val="10"/>
        <color rgb="FF595959"/>
        <rFont val="Noto Sans CJK SC"/>
        <family val="2"/>
      </rPr>
      <t xml:space="preserve">递延收益；十一、政府补助 </t>
    </r>
    <r>
      <rPr>
        <i val="true"/>
        <sz val="10"/>
        <color rgb="FF595959"/>
        <rFont val="Arial"/>
        <family val="0"/>
        <charset val="1"/>
      </rPr>
      <t xml:space="preserve">2</t>
    </r>
  </si>
  <si>
    <r>
      <rPr>
        <b val="true"/>
        <sz val="10"/>
        <color rgb="FF1F3864"/>
        <rFont val="Noto Sans CJK SC"/>
        <family val="2"/>
      </rPr>
      <t xml:space="preserve">递延收益（政府补助）变动 </t>
    </r>
    <r>
      <rPr>
        <b val="true"/>
        <sz val="10"/>
        <color rgb="FF1F3864"/>
        <rFont val="Arial"/>
        <family val="0"/>
        <charset val="1"/>
      </rPr>
      <t xml:space="preserve">- 2025H1</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</si>
  <si>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33 </t>
    </r>
    <r>
      <rPr>
        <i val="true"/>
        <sz val="10"/>
        <color rgb="FF595959"/>
        <rFont val="Noto Sans CJK SC"/>
        <family val="2"/>
      </rPr>
      <t xml:space="preserve">递延收益</t>
    </r>
  </si>
  <si>
    <r>
      <rPr>
        <b val="true"/>
        <sz val="10"/>
        <color rgb="FF1F3864"/>
        <rFont val="Noto Sans CJK SC"/>
        <family val="2"/>
      </rPr>
      <t xml:space="preserve">递延收益（政府补助）变动 </t>
    </r>
    <r>
      <rPr>
        <b val="true"/>
        <sz val="10"/>
        <color rgb="FF1F3864"/>
        <rFont val="Arial"/>
        <family val="0"/>
        <charset val="1"/>
      </rPr>
      <t xml:space="preserve">- FY2024</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</si>
  <si>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32 </t>
    </r>
    <r>
      <rPr>
        <i val="true"/>
        <sz val="10"/>
        <color rgb="FF595959"/>
        <rFont val="Noto Sans CJK SC"/>
        <family val="2"/>
      </rPr>
      <t xml:space="preserve">递延收益</t>
    </r>
  </si>
  <si>
    <r>
      <rPr>
        <b val="true"/>
        <sz val="10"/>
        <color rgb="FF1F3864"/>
        <rFont val="Noto Sans CJK SC"/>
        <family val="2"/>
      </rPr>
      <t xml:space="preserve">递延收益（政府补助）变动 </t>
    </r>
    <r>
      <rPr>
        <b val="true"/>
        <sz val="10"/>
        <color rgb="FF1F3864"/>
        <rFont val="Arial"/>
        <family val="0"/>
        <charset val="1"/>
      </rPr>
      <t xml:space="preserve">- FY2023</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</si>
  <si>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33 </t>
    </r>
    <r>
      <rPr>
        <i val="true"/>
        <sz val="10"/>
        <color rgb="FF595959"/>
        <rFont val="Noto Sans CJK SC"/>
        <family val="2"/>
      </rPr>
      <t xml:space="preserve">递延收益</t>
    </r>
  </si>
  <si>
    <t xml:space="preserve">未经抵销的递延所得税资产</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</si>
  <si>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18(1) (</t>
    </r>
    <r>
      <rPr>
        <i val="true"/>
        <sz val="10"/>
        <color rgb="FF595959"/>
        <rFont val="Noto Sans CJK SC"/>
        <family val="2"/>
      </rPr>
      <t xml:space="preserve">期初 </t>
    </r>
    <r>
      <rPr>
        <i val="true"/>
        <sz val="10"/>
        <color rgb="FF595959"/>
        <rFont val="Arial"/>
        <family val="0"/>
        <charset val="1"/>
      </rPr>
      <t xml:space="preserve">= FY2024</t>
    </r>
    <r>
      <rPr>
        <i val="true"/>
        <sz val="10"/>
        <color rgb="FF595959"/>
        <rFont val="Noto Sans CJK SC"/>
        <family val="2"/>
      </rPr>
      <t xml:space="preserve">末</t>
    </r>
    <r>
      <rPr>
        <i val="true"/>
        <sz val="10"/>
        <color rgb="FF595959"/>
        <rFont val="Arial"/>
        <family val="0"/>
        <charset val="1"/>
      </rPr>
      <t xml:space="preserve">, </t>
    </r>
    <r>
      <rPr>
        <i val="true"/>
        <sz val="10"/>
        <color rgb="FF595959"/>
        <rFont val="Noto Sans CJK SC"/>
        <family val="2"/>
      </rPr>
      <t xml:space="preserve">期末 </t>
    </r>
    <r>
      <rPr>
        <i val="true"/>
        <sz val="10"/>
        <color rgb="FF595959"/>
        <rFont val="Arial"/>
        <family val="0"/>
        <charset val="1"/>
      </rPr>
      <t xml:space="preserve">= FY2025</t>
    </r>
    <r>
      <rPr>
        <i val="true"/>
        <sz val="10"/>
        <color rgb="FF595959"/>
        <rFont val="Noto Sans CJK SC"/>
        <family val="2"/>
      </rPr>
      <t xml:space="preserve">末</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18(1)</t>
    </r>
  </si>
  <si>
    <r>
      <rPr>
        <b val="true"/>
        <sz val="10"/>
        <color rgb="FFFFFFFF"/>
        <rFont val="Arial"/>
        <family val="0"/>
        <charset val="1"/>
      </rPr>
      <t xml:space="preserve">FY2024</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</si>
  <si>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FY2024</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</si>
  <si>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r>
      <rPr>
        <b val="true"/>
        <sz val="10"/>
        <color rgb="FFFFFFFF"/>
        <rFont val="Arial"/>
        <family val="0"/>
        <charset val="1"/>
      </rPr>
      <t xml:space="preserve">FY2025</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</si>
  <si>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FY2025</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</si>
  <si>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r>
      <rPr>
        <b val="true"/>
        <sz val="10"/>
        <color rgb="FFFFFFFF"/>
        <rFont val="Arial"/>
        <family val="0"/>
        <charset val="1"/>
      </rPr>
      <t xml:space="preserve">2026H1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</si>
  <si>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2026H1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</si>
  <si>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t xml:space="preserve">资产减值准备</t>
  </si>
  <si>
    <t xml:space="preserve">内部交易未实现利润</t>
  </si>
  <si>
    <t xml:space="preserve">可抵扣亏损</t>
  </si>
  <si>
    <t xml:space="preserve">递延收益</t>
  </si>
  <si>
    <r>
      <rPr>
        <sz val="10"/>
        <color rgb="FF000000"/>
        <rFont val="Noto Sans CJK SC"/>
        <family val="2"/>
      </rPr>
      <t xml:space="preserve">租赁负债（</t>
    </r>
    <r>
      <rPr>
        <sz val="10"/>
        <color rgb="FF000000"/>
        <rFont val="Arial"/>
        <family val="0"/>
        <charset val="1"/>
      </rPr>
      <t xml:space="preserve">FY2024</t>
    </r>
    <r>
      <rPr>
        <sz val="10"/>
        <color rgb="FF000000"/>
        <rFont val="Noto Sans CJK SC"/>
        <family val="2"/>
      </rPr>
      <t xml:space="preserve">年报及</t>
    </r>
    <r>
      <rPr>
        <sz val="10"/>
        <color rgb="FF000000"/>
        <rFont val="Arial"/>
        <family val="0"/>
        <charset val="1"/>
      </rPr>
      <t xml:space="preserve">2025H1</t>
    </r>
    <r>
      <rPr>
        <sz val="10"/>
        <color rgb="FF000000"/>
        <rFont val="Noto Sans CJK SC"/>
        <family val="2"/>
      </rPr>
      <t xml:space="preserve">报告同一项目列示为</t>
    </r>
    <r>
      <rPr>
        <sz val="10"/>
        <color rgb="FF000000"/>
        <rFont val="Arial"/>
        <family val="0"/>
        <charset val="1"/>
      </rPr>
      <t xml:space="preserve">'</t>
    </r>
    <r>
      <rPr>
        <sz val="10"/>
        <color rgb="FF000000"/>
        <rFont val="Noto Sans CJK SC"/>
        <family val="2"/>
      </rPr>
      <t xml:space="preserve">使用权资产折旧</t>
    </r>
    <r>
      <rPr>
        <sz val="10"/>
        <color rgb="FF000000"/>
        <rFont val="Arial"/>
        <family val="0"/>
        <charset val="1"/>
      </rPr>
      <t xml:space="preserve">'</t>
    </r>
    <r>
      <rPr>
        <sz val="10"/>
        <color rgb="FF000000"/>
        <rFont val="Noto Sans CJK SC"/>
        <family val="2"/>
      </rPr>
      <t xml:space="preserve">）</t>
    </r>
  </si>
  <si>
    <t xml:space="preserve">未经抵销的递延所得税负债</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</si>
  <si>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18(2)</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18(2)</t>
    </r>
  </si>
  <si>
    <r>
      <rPr>
        <b val="true"/>
        <sz val="10"/>
        <color rgb="FFFFFFFF"/>
        <rFont val="Arial"/>
        <family val="0"/>
        <charset val="1"/>
      </rPr>
      <t xml:space="preserve">FY2024</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</si>
  <si>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FY2024</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</si>
  <si>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r>
      <rPr>
        <b val="true"/>
        <sz val="10"/>
        <color rgb="FFFFFFFF"/>
        <rFont val="Arial"/>
        <family val="0"/>
        <charset val="1"/>
      </rPr>
      <t xml:space="preserve">FY2025</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</si>
  <si>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FY2025</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</si>
  <si>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r>
      <rPr>
        <b val="true"/>
        <sz val="10"/>
        <color rgb="FFFFFFFF"/>
        <rFont val="Arial"/>
        <family val="0"/>
        <charset val="1"/>
      </rPr>
      <t xml:space="preserve">2026H1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</si>
  <si>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2026H1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</si>
  <si>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r>
      <rPr>
        <b val="true"/>
        <sz val="10"/>
        <color rgb="FF1F3864"/>
        <rFont val="Noto Sans CJK SC"/>
        <family val="2"/>
      </rPr>
      <t xml:space="preserve">以抵销后净额列示的递延所得税资产</t>
    </r>
    <r>
      <rPr>
        <b val="true"/>
        <sz val="10"/>
        <color rgb="FF1F3864"/>
        <rFont val="Arial"/>
        <family val="0"/>
        <charset val="1"/>
      </rPr>
      <t xml:space="preserve">/</t>
    </r>
    <r>
      <rPr>
        <b val="true"/>
        <sz val="10"/>
        <color rgb="FF1F3864"/>
        <rFont val="Noto Sans CJK SC"/>
        <family val="2"/>
      </rPr>
      <t xml:space="preserve">负债</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</si>
  <si>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18(3)</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18(3)</t>
    </r>
  </si>
  <si>
    <r>
      <rPr>
        <b val="true"/>
        <sz val="10"/>
        <color rgb="FFFFFFFF"/>
        <rFont val="Arial"/>
        <family val="0"/>
        <charset val="1"/>
      </rPr>
      <t xml:space="preserve">FY2024</t>
    </r>
    <r>
      <rPr>
        <b val="true"/>
        <sz val="10"/>
        <color rgb="FFFFFFFF"/>
        <rFont val="Noto Sans CJK SC"/>
        <family val="2"/>
      </rPr>
      <t xml:space="preserve">末</t>
    </r>
  </si>
  <si>
    <r>
      <rPr>
        <b val="true"/>
        <sz val="10"/>
        <color rgb="FFFFFFFF"/>
        <rFont val="Arial"/>
        <family val="0"/>
        <charset val="1"/>
      </rPr>
      <t xml:space="preserve">FY2025</t>
    </r>
    <r>
      <rPr>
        <b val="true"/>
        <sz val="10"/>
        <color rgb="FFFFFFFF"/>
        <rFont val="Noto Sans CJK SC"/>
        <family val="2"/>
      </rPr>
      <t xml:space="preserve">末</t>
    </r>
  </si>
  <si>
    <r>
      <rPr>
        <b val="true"/>
        <sz val="10"/>
        <color rgb="FFFFFFFF"/>
        <rFont val="Arial"/>
        <family val="0"/>
        <charset val="1"/>
      </rPr>
      <t xml:space="preserve">2026H1</t>
    </r>
    <r>
      <rPr>
        <b val="true"/>
        <sz val="10"/>
        <color rgb="FFFFFFFF"/>
        <rFont val="Noto Sans CJK SC"/>
        <family val="2"/>
      </rPr>
      <t xml:space="preserve">末</t>
    </r>
  </si>
  <si>
    <t xml:space="preserve">递延所得税资产和负债互抵金额</t>
  </si>
  <si>
    <t xml:space="preserve">抵销后递延所得税资产（资产负债表列示）</t>
  </si>
  <si>
    <t xml:space="preserve">抵销后递延所得税负债（资产负债表列示）</t>
  </si>
  <si>
    <t xml:space="preserve">未确认递延所得税资产的可抵扣亏损及到期年度</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</si>
  <si>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18(4)(5) </t>
    </r>
    <r>
      <rPr>
        <i val="true"/>
        <sz val="10"/>
        <color rgb="FF595959"/>
        <rFont val="Noto Sans CJK SC"/>
        <family val="2"/>
      </rPr>
      <t xml:space="preserve">期初 </t>
    </r>
    <r>
      <rPr>
        <i val="true"/>
        <sz val="10"/>
        <color rgb="FF595959"/>
        <rFont val="Arial"/>
        <family val="0"/>
        <charset val="1"/>
      </rPr>
      <t xml:space="preserve">(FY2023</t>
    </r>
    <r>
      <rPr>
        <i val="true"/>
        <sz val="10"/>
        <color rgb="FF595959"/>
        <rFont val="Noto Sans CJK SC"/>
        <family val="2"/>
      </rPr>
      <t xml:space="preserve">末</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18(4)(5)</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18(4)(5)</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18(4)(5)</t>
    </r>
  </si>
  <si>
    <r>
      <rPr>
        <b val="true"/>
        <sz val="10"/>
        <color rgb="FFFFFFFF"/>
        <rFont val="Arial"/>
        <family val="0"/>
        <charset val="1"/>
      </rPr>
      <t xml:space="preserve">FY2023</t>
    </r>
    <r>
      <rPr>
        <b val="true"/>
        <sz val="10"/>
        <color rgb="FFFFFFFF"/>
        <rFont val="Noto Sans CJK SC"/>
        <family val="2"/>
      </rPr>
      <t xml:space="preserve">末</t>
    </r>
  </si>
  <si>
    <r>
      <rPr>
        <b val="true"/>
        <sz val="10"/>
        <color rgb="FFFFFFFF"/>
        <rFont val="Arial"/>
        <family val="0"/>
        <charset val="1"/>
      </rPr>
      <t xml:space="preserve">2025H1</t>
    </r>
    <r>
      <rPr>
        <b val="true"/>
        <sz val="10"/>
        <color rgb="FFFFFFFF"/>
        <rFont val="Noto Sans CJK SC"/>
        <family val="2"/>
      </rPr>
      <t xml:space="preserve">末</t>
    </r>
  </si>
  <si>
    <r>
      <rPr>
        <sz val="10"/>
        <color rgb="FF000000"/>
        <rFont val="Arial"/>
        <family val="0"/>
        <charset val="1"/>
      </rPr>
      <t xml:space="preserve">2026</t>
    </r>
    <r>
      <rPr>
        <sz val="10"/>
        <color rgb="FF000000"/>
        <rFont val="Noto Sans CJK SC"/>
        <family val="2"/>
      </rPr>
      <t xml:space="preserve">年度到期</t>
    </r>
  </si>
  <si>
    <r>
      <rPr>
        <sz val="10"/>
        <color rgb="FF000000"/>
        <rFont val="Arial"/>
        <family val="0"/>
        <charset val="1"/>
      </rPr>
      <t xml:space="preserve">2027</t>
    </r>
    <r>
      <rPr>
        <sz val="10"/>
        <color rgb="FF000000"/>
        <rFont val="Noto Sans CJK SC"/>
        <family val="2"/>
      </rPr>
      <t xml:space="preserve">年度到期</t>
    </r>
  </si>
  <si>
    <r>
      <rPr>
        <sz val="10"/>
        <color rgb="FF000000"/>
        <rFont val="Arial"/>
        <family val="0"/>
        <charset val="1"/>
      </rPr>
      <t xml:space="preserve">2028</t>
    </r>
    <r>
      <rPr>
        <sz val="10"/>
        <color rgb="FF000000"/>
        <rFont val="Noto Sans CJK SC"/>
        <family val="2"/>
      </rPr>
      <t xml:space="preserve">年度到期</t>
    </r>
  </si>
  <si>
    <r>
      <rPr>
        <sz val="10"/>
        <color rgb="FF000000"/>
        <rFont val="Arial"/>
        <family val="0"/>
        <charset val="1"/>
      </rPr>
      <t xml:space="preserve">2029</t>
    </r>
    <r>
      <rPr>
        <sz val="10"/>
        <color rgb="FF000000"/>
        <rFont val="Noto Sans CJK SC"/>
        <family val="2"/>
      </rPr>
      <t xml:space="preserve">年度到期</t>
    </r>
  </si>
  <si>
    <r>
      <rPr>
        <sz val="10"/>
        <color rgb="FF000000"/>
        <rFont val="Arial"/>
        <family val="0"/>
        <charset val="1"/>
      </rPr>
      <t xml:space="preserve">2030</t>
    </r>
    <r>
      <rPr>
        <sz val="10"/>
        <color rgb="FF000000"/>
        <rFont val="Noto Sans CJK SC"/>
        <family val="2"/>
      </rPr>
      <t xml:space="preserve">年度到期</t>
    </r>
  </si>
  <si>
    <r>
      <rPr>
        <sz val="10"/>
        <color rgb="FF000000"/>
        <rFont val="Arial"/>
        <family val="0"/>
        <charset val="1"/>
      </rPr>
      <t xml:space="preserve">2031</t>
    </r>
    <r>
      <rPr>
        <sz val="10"/>
        <color rgb="FF000000"/>
        <rFont val="Noto Sans CJK SC"/>
        <family val="2"/>
      </rPr>
      <t xml:space="preserve">年度到期</t>
    </r>
  </si>
  <si>
    <r>
      <rPr>
        <sz val="10"/>
        <color rgb="FF000000"/>
        <rFont val="Arial"/>
        <family val="0"/>
        <charset val="1"/>
      </rPr>
      <t xml:space="preserve">2032</t>
    </r>
    <r>
      <rPr>
        <sz val="10"/>
        <color rgb="FF000000"/>
        <rFont val="Noto Sans CJK SC"/>
        <family val="2"/>
      </rPr>
      <t xml:space="preserve">年度到期</t>
    </r>
  </si>
  <si>
    <r>
      <rPr>
        <sz val="10"/>
        <color rgb="FF000000"/>
        <rFont val="Arial"/>
        <family val="0"/>
        <charset val="1"/>
      </rPr>
      <t xml:space="preserve">2033</t>
    </r>
    <r>
      <rPr>
        <sz val="10"/>
        <color rgb="FF000000"/>
        <rFont val="Noto Sans CJK SC"/>
        <family val="2"/>
      </rPr>
      <t xml:space="preserve">年度到期</t>
    </r>
  </si>
  <si>
    <r>
      <rPr>
        <sz val="10"/>
        <color rgb="FF000000"/>
        <rFont val="Arial"/>
        <family val="0"/>
        <charset val="1"/>
      </rPr>
      <t xml:space="preserve">2034</t>
    </r>
    <r>
      <rPr>
        <sz val="10"/>
        <color rgb="FF000000"/>
        <rFont val="Noto Sans CJK SC"/>
        <family val="2"/>
      </rPr>
      <t xml:space="preserve">年度到期</t>
    </r>
  </si>
  <si>
    <r>
      <rPr>
        <sz val="10"/>
        <color rgb="FF000000"/>
        <rFont val="Arial"/>
        <family val="0"/>
        <charset val="1"/>
      </rPr>
      <t xml:space="preserve">2035</t>
    </r>
    <r>
      <rPr>
        <sz val="10"/>
        <color rgb="FF000000"/>
        <rFont val="Noto Sans CJK SC"/>
        <family val="2"/>
      </rPr>
      <t xml:space="preserve">年度到期</t>
    </r>
  </si>
  <si>
    <t xml:space="preserve">境外子公司未弥补亏损</t>
  </si>
  <si>
    <t xml:space="preserve">未确认递延所得税资产的可抵扣亏损合计</t>
  </si>
  <si>
    <t xml:space="preserve">未确认递延所得税资产的资产减值准备（可抵扣暂时性差异）</t>
  </si>
  <si>
    <r>
      <rPr>
        <sz val="10"/>
        <color rgb="FF000000"/>
        <rFont val="Noto Sans CJK SC"/>
        <family val="2"/>
      </rPr>
      <t xml:space="preserve">未确认递延所得税资产明细合计（可抵扣亏损</t>
    </r>
    <r>
      <rPr>
        <sz val="10"/>
        <color rgb="FF000000"/>
        <rFont val="Arial"/>
        <family val="0"/>
        <charset val="1"/>
      </rPr>
      <t xml:space="preserve">+</t>
    </r>
    <r>
      <rPr>
        <sz val="10"/>
        <color rgb="FF000000"/>
        <rFont val="Noto Sans CJK SC"/>
        <family val="2"/>
      </rPr>
      <t xml:space="preserve">资产减值准备）</t>
    </r>
  </si>
  <si>
    <t xml:space="preserve">非经常性损益项目及金额；归母净利润与扣非归母净利润</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</si>
  <si>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第二节 八 </t>
    </r>
    <r>
      <rPr>
        <i val="true"/>
        <sz val="10"/>
        <color rgb="FF595959"/>
        <rFont val="Arial"/>
        <family val="0"/>
        <charset val="1"/>
      </rPr>
      <t xml:space="preserve">(FY2023, FY2022)</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第二节 八 </t>
    </r>
    <r>
      <rPr>
        <i val="true"/>
        <sz val="10"/>
        <color rgb="FF595959"/>
        <rFont val="Arial"/>
        <family val="0"/>
        <charset val="1"/>
      </rPr>
      <t xml:space="preserve">(FY2024)</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第二节 五、八 </t>
    </r>
    <r>
      <rPr>
        <i val="true"/>
        <sz val="10"/>
        <color rgb="FF595959"/>
        <rFont val="Arial"/>
        <family val="0"/>
        <charset val="1"/>
      </rPr>
      <t xml:space="preserve">(FY2025)</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第二节 四、六；</t>
    </r>
    <r>
      <rPr>
        <i val="true"/>
        <sz val="10"/>
        <color rgb="FF595959"/>
        <rFont val="Arial"/>
        <family val="0"/>
        <charset val="1"/>
      </rPr>
      <t xml:space="preserve">2026</t>
    </r>
    <r>
      <rPr>
        <i val="true"/>
        <sz val="10"/>
        <color rgb="FF595959"/>
        <rFont val="Noto Sans CJK SC"/>
        <family val="2"/>
      </rPr>
      <t xml:space="preserve">年半年报 第二节 四、六；</t>
    </r>
    <r>
      <rPr>
        <i val="true"/>
        <sz val="10"/>
        <color rgb="FF595959"/>
        <rFont val="Arial"/>
        <family val="0"/>
        <charset val="1"/>
      </rPr>
      <t xml:space="preserve">2024H1 </t>
    </r>
    <r>
      <rPr>
        <i val="true"/>
        <sz val="10"/>
        <color rgb="FF595959"/>
        <rFont val="Noto Sans CJK SC"/>
        <family val="2"/>
      </rPr>
      <t xml:space="preserve">归母</t>
    </r>
    <r>
      <rPr>
        <i val="true"/>
        <sz val="10"/>
        <color rgb="FF595959"/>
        <rFont val="Arial"/>
        <family val="0"/>
        <charset val="1"/>
      </rPr>
      <t xml:space="preserve">/</t>
    </r>
    <r>
      <rPr>
        <i val="true"/>
        <sz val="10"/>
        <color rgb="FF595959"/>
        <rFont val="Noto Sans CJK SC"/>
        <family val="2"/>
      </rPr>
      <t xml:space="preserve">扣非 </t>
    </r>
    <r>
      <rPr>
        <i val="true"/>
        <sz val="10"/>
        <color rgb="FF595959"/>
        <rFont val="Arial"/>
        <family val="0"/>
        <charset val="1"/>
      </rPr>
      <t xml:space="preserve">= 2025</t>
    </r>
    <r>
      <rPr>
        <i val="true"/>
        <sz val="10"/>
        <color rgb="FF595959"/>
        <rFont val="Noto Sans CJK SC"/>
        <family val="2"/>
      </rPr>
      <t xml:space="preserve">年半年报 第二节 四 上年同期 </t>
    </r>
    <r>
      <rPr>
        <i val="true"/>
        <sz val="10"/>
        <color rgb="FF595959"/>
        <rFont val="Arial"/>
        <family val="0"/>
        <charset val="1"/>
      </rPr>
      <t xml:space="preserve">(the 2025H1 non-recurring table itself shows only th</t>
    </r>
  </si>
  <si>
    <t xml:space="preserve">非流动性资产处置损益（包括已计提资产减值准备的冲销部分）</t>
  </si>
  <si>
    <t xml:space="preserve">计入当期损益的政府补助</t>
  </si>
  <si>
    <r>
      <rPr>
        <sz val="10"/>
        <color rgb="FF000000"/>
        <rFont val="Noto Sans CJK SC"/>
        <family val="2"/>
      </rPr>
      <t xml:space="preserve">金融资产</t>
    </r>
    <r>
      <rPr>
        <sz val="10"/>
        <color rgb="FF000000"/>
        <rFont val="Arial"/>
        <family val="0"/>
        <charset val="1"/>
      </rPr>
      <t xml:space="preserve">/</t>
    </r>
    <r>
      <rPr>
        <sz val="10"/>
        <color rgb="FF000000"/>
        <rFont val="Noto Sans CJK SC"/>
        <family val="2"/>
      </rPr>
      <t xml:space="preserve">负债公允价值变动损益及处置损益（非有效套期）</t>
    </r>
  </si>
  <si>
    <t xml:space="preserve">单独进行减值测试的应收款项减值准备转回</t>
  </si>
  <si>
    <t xml:space="preserve">除上述各项之外的其他营业外收入和支出</t>
  </si>
  <si>
    <t xml:space="preserve">其他符合非经常性损益定义的损益项目</t>
  </si>
  <si>
    <t xml:space="preserve">减：所得税影响额</t>
  </si>
  <si>
    <t xml:space="preserve">减：少数股东权益影响额（税后）</t>
  </si>
  <si>
    <t xml:space="preserve">非经常性损益合计</t>
  </si>
  <si>
    <t xml:space="preserve">  明细（其他符合定义项目）：减征税款</t>
  </si>
  <si>
    <t xml:space="preserve">  明细（其他符合定义项目）：个税手续费返还</t>
  </si>
  <si>
    <t xml:space="preserve">  明细（其他符合定义项目）：其他</t>
  </si>
  <si>
    <t xml:space="preserve">界定为经常性损益：增值税加计抵减（未计入非经常性损益）</t>
  </si>
  <si>
    <t xml:space="preserve">归属于上市公司股东的净利润</t>
  </si>
  <si>
    <t xml:space="preserve">归属于上市公司股东的扣除非经常性损益的净利润</t>
  </si>
  <si>
    <t xml:space="preserve">分季度归母净利润与扣非归母净利润</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</si>
  <si>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2023/2024/2025</t>
    </r>
    <r>
      <rPr>
        <i val="true"/>
        <sz val="10"/>
        <color rgb="FF595959"/>
        <rFont val="Noto Sans CJK SC"/>
        <family val="2"/>
      </rPr>
      <t xml:space="preserve">年年报 第二节 分季度主要财务指标</t>
    </r>
  </si>
  <si>
    <t xml:space="preserve">2023Q1</t>
  </si>
  <si>
    <t xml:space="preserve">2023Q2</t>
  </si>
  <si>
    <t xml:space="preserve">2023Q3</t>
  </si>
  <si>
    <t xml:space="preserve">2023Q4</t>
  </si>
  <si>
    <t xml:space="preserve">税金及附加构成（合并）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</si>
  <si>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40</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39</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42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41</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40</t>
    </r>
    <r>
      <rPr>
        <i val="true"/>
        <sz val="10"/>
        <color rgb="FF595959"/>
        <rFont val="Noto Sans CJK SC"/>
        <family val="2"/>
      </rPr>
      <t xml:space="preserve">；</t>
    </r>
    <r>
      <rPr>
        <i val="true"/>
        <sz val="10"/>
        <color rgb="FF595959"/>
        <rFont val="Arial"/>
        <family val="0"/>
        <charset val="1"/>
      </rPr>
      <t xml:space="preserve">2024H1 = 2025</t>
    </r>
    <r>
      <rPr>
        <i val="true"/>
        <sz val="10"/>
        <color rgb="FF595959"/>
        <rFont val="Noto Sans CJK SC"/>
        <family val="2"/>
      </rPr>
      <t xml:space="preserve">年半年报 七、</t>
    </r>
    <r>
      <rPr>
        <i val="true"/>
        <sz val="10"/>
        <color rgb="FF595959"/>
        <rFont val="Arial"/>
        <family val="0"/>
        <charset val="1"/>
      </rPr>
      <t xml:space="preserve">41 </t>
    </r>
    <r>
      <rPr>
        <i val="true"/>
        <sz val="10"/>
        <color rgb="FF595959"/>
        <rFont val="Noto Sans CJK SC"/>
        <family val="2"/>
      </rPr>
      <t xml:space="preserve">上期发生额</t>
    </r>
  </si>
  <si>
    <t xml:space="preserve">税金及附加合计</t>
  </si>
  <si>
    <t xml:space="preserve">应交税费构成（合并）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</si>
  <si>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27</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28</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27</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27</t>
    </r>
    <r>
      <rPr>
        <i val="true"/>
        <sz val="10"/>
        <color rgb="FF595959"/>
        <rFont val="Noto Sans CJK SC"/>
        <family val="2"/>
      </rPr>
      <t xml:space="preserve">；</t>
    </r>
    <r>
      <rPr>
        <i val="true"/>
        <sz val="10"/>
        <color rgb="FF595959"/>
        <rFont val="Arial"/>
        <family val="0"/>
        <charset val="1"/>
      </rPr>
      <t xml:space="preserve">FY2023</t>
    </r>
    <r>
      <rPr>
        <i val="true"/>
        <sz val="10"/>
        <color rgb="FF595959"/>
        <rFont val="Noto Sans CJK SC"/>
        <family val="2"/>
      </rPr>
      <t xml:space="preserve">末 </t>
    </r>
    <r>
      <rPr>
        <i val="true"/>
        <sz val="10"/>
        <color rgb="FF595959"/>
        <rFont val="Arial"/>
        <family val="0"/>
        <charset val="1"/>
      </rPr>
      <t xml:space="preserve">= 2024</t>
    </r>
    <r>
      <rPr>
        <i val="true"/>
        <sz val="10"/>
        <color rgb="FF595959"/>
        <rFont val="Noto Sans CJK SC"/>
        <family val="2"/>
      </rPr>
      <t xml:space="preserve">年年报 七、</t>
    </r>
    <r>
      <rPr>
        <i val="true"/>
        <sz val="10"/>
        <color rgb="FF595959"/>
        <rFont val="Arial"/>
        <family val="0"/>
        <charset val="1"/>
      </rPr>
      <t xml:space="preserve">27 </t>
    </r>
    <r>
      <rPr>
        <i val="true"/>
        <sz val="10"/>
        <color rgb="FF595959"/>
        <rFont val="Noto Sans CJK SC"/>
        <family val="2"/>
      </rPr>
      <t xml:space="preserve">期初余额</t>
    </r>
  </si>
  <si>
    <t xml:space="preserve">应交税费合计</t>
  </si>
  <si>
    <t xml:space="preserve">未经抵销的递延所得税资产（补充期间）</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</si>
  <si>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19(1) (</t>
    </r>
    <r>
      <rPr>
        <i val="true"/>
        <sz val="10"/>
        <color rgb="FF595959"/>
        <rFont val="Noto Sans CJK SC"/>
        <family val="2"/>
      </rPr>
      <t xml:space="preserve">期初</t>
    </r>
    <r>
      <rPr>
        <i val="true"/>
        <sz val="10"/>
        <color rgb="FF595959"/>
        <rFont val="Arial"/>
        <family val="0"/>
        <charset val="1"/>
      </rPr>
      <t xml:space="preserve">=FY2022</t>
    </r>
    <r>
      <rPr>
        <i val="true"/>
        <sz val="10"/>
        <color rgb="FF595959"/>
        <rFont val="Noto Sans CJK SC"/>
        <family val="2"/>
      </rPr>
      <t xml:space="preserve">末</t>
    </r>
    <r>
      <rPr>
        <i val="true"/>
        <sz val="10"/>
        <color rgb="FF595959"/>
        <rFont val="Arial"/>
        <family val="0"/>
        <charset val="1"/>
      </rPr>
      <t xml:space="preserve">, </t>
    </r>
    <r>
      <rPr>
        <i val="true"/>
        <sz val="10"/>
        <color rgb="FF595959"/>
        <rFont val="Noto Sans CJK SC"/>
        <family val="2"/>
      </rPr>
      <t xml:space="preserve">期末</t>
    </r>
    <r>
      <rPr>
        <i val="true"/>
        <sz val="10"/>
        <color rgb="FF595959"/>
        <rFont val="Arial"/>
        <family val="0"/>
        <charset val="1"/>
      </rPr>
      <t xml:space="preserve">=FY2023</t>
    </r>
    <r>
      <rPr>
        <i val="true"/>
        <sz val="10"/>
        <color rgb="FF595959"/>
        <rFont val="Noto Sans CJK SC"/>
        <family val="2"/>
      </rPr>
      <t xml:space="preserve">末</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18(1) </t>
    </r>
    <r>
      <rPr>
        <i val="true"/>
        <sz val="10"/>
        <color rgb="FF595959"/>
        <rFont val="Noto Sans CJK SC"/>
        <family val="2"/>
      </rPr>
      <t xml:space="preserve">期末</t>
    </r>
  </si>
  <si>
    <r>
      <rPr>
        <b val="true"/>
        <sz val="10"/>
        <color rgb="FFFFFFFF"/>
        <rFont val="Arial"/>
        <family val="0"/>
        <charset val="1"/>
      </rPr>
      <t xml:space="preserve">FY2022</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</si>
  <si>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FY2022</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</si>
  <si>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r>
      <rPr>
        <b val="true"/>
        <sz val="10"/>
        <color rgb="FFFFFFFF"/>
        <rFont val="Arial"/>
        <family val="0"/>
        <charset val="1"/>
      </rPr>
      <t xml:space="preserve">FY2023</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</si>
  <si>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FY2023</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</si>
  <si>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r>
      <rPr>
        <b val="true"/>
        <sz val="10"/>
        <color rgb="FFFFFFFF"/>
        <rFont val="Arial"/>
        <family val="0"/>
        <charset val="1"/>
      </rPr>
      <t xml:space="preserve">2025H1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可抵扣暂时性差异</t>
    </r>
  </si>
  <si>
    <r>
      <rPr>
        <b val="true"/>
        <sz val="10"/>
        <color rgb="FFFFFFFF"/>
        <rFont val="Arial"/>
        <family val="0"/>
        <charset val="1"/>
      </rPr>
      <t xml:space="preserve">2025H1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递延所得税资产</t>
    </r>
  </si>
  <si>
    <r>
      <rPr>
        <sz val="10"/>
        <color rgb="FF000000"/>
        <rFont val="Noto Sans CJK SC"/>
        <family val="2"/>
      </rPr>
      <t xml:space="preserve">使用权资产折旧（</t>
    </r>
    <r>
      <rPr>
        <sz val="10"/>
        <color rgb="FF000000"/>
        <rFont val="Arial"/>
        <family val="0"/>
        <charset val="1"/>
      </rPr>
      <t xml:space="preserve">FY2025</t>
    </r>
    <r>
      <rPr>
        <sz val="10"/>
        <color rgb="FF000000"/>
        <rFont val="Noto Sans CJK SC"/>
        <family val="2"/>
      </rPr>
      <t xml:space="preserve">起列示为</t>
    </r>
    <r>
      <rPr>
        <sz val="10"/>
        <color rgb="FF000000"/>
        <rFont val="Arial"/>
        <family val="0"/>
        <charset val="1"/>
      </rPr>
      <t xml:space="preserve">'</t>
    </r>
    <r>
      <rPr>
        <sz val="10"/>
        <color rgb="FF000000"/>
        <rFont val="Noto Sans CJK SC"/>
        <family val="2"/>
      </rPr>
      <t xml:space="preserve">租赁负债</t>
    </r>
    <r>
      <rPr>
        <sz val="10"/>
        <color rgb="FF000000"/>
        <rFont val="Arial"/>
        <family val="0"/>
        <charset val="1"/>
      </rPr>
      <t xml:space="preserve">'</t>
    </r>
    <r>
      <rPr>
        <sz val="10"/>
        <color rgb="FF000000"/>
        <rFont val="Noto Sans CJK SC"/>
        <family val="2"/>
      </rPr>
      <t xml:space="preserve">）</t>
    </r>
  </si>
  <si>
    <t xml:space="preserve">未经抵销的递延所得税负债（补充期间）</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</si>
  <si>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19(2)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18(2)</t>
    </r>
  </si>
  <si>
    <r>
      <rPr>
        <b val="true"/>
        <sz val="10"/>
        <color rgb="FFFFFFFF"/>
        <rFont val="Arial"/>
        <family val="0"/>
        <charset val="1"/>
      </rPr>
      <t xml:space="preserve">FY2022</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</si>
  <si>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FY2022</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</si>
  <si>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r>
      <rPr>
        <b val="true"/>
        <sz val="10"/>
        <color rgb="FFFFFFFF"/>
        <rFont val="Arial"/>
        <family val="0"/>
        <charset val="1"/>
      </rPr>
      <t xml:space="preserve">FY2023</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</si>
  <si>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FY2023</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</si>
  <si>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r>
      <rPr>
        <b val="true"/>
        <sz val="10"/>
        <color rgb="FFFFFFFF"/>
        <rFont val="Arial"/>
        <family val="0"/>
        <charset val="1"/>
      </rPr>
      <t xml:space="preserve">2025H1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应纳税暂时性差异</t>
    </r>
  </si>
  <si>
    <r>
      <rPr>
        <b val="true"/>
        <sz val="10"/>
        <color rgb="FFFFFFFF"/>
        <rFont val="Arial"/>
        <family val="0"/>
        <charset val="1"/>
      </rPr>
      <t xml:space="preserve">2025H1</t>
    </r>
    <r>
      <rPr>
        <b val="true"/>
        <sz val="10"/>
        <color rgb="FFFFFFFF"/>
        <rFont val="Noto Sans CJK SC"/>
        <family val="2"/>
      </rPr>
      <t xml:space="preserve">末</t>
    </r>
    <r>
      <rPr>
        <b val="true"/>
        <sz val="10"/>
        <color rgb="FFFFFFFF"/>
        <rFont val="Arial"/>
        <family val="0"/>
        <charset val="1"/>
      </rPr>
      <t xml:space="preserve">_</t>
    </r>
    <r>
      <rPr>
        <b val="true"/>
        <sz val="10"/>
        <color rgb="FFFFFFFF"/>
        <rFont val="Noto Sans CJK SC"/>
        <family val="2"/>
      </rPr>
      <t xml:space="preserve">递延所得税负债</t>
    </r>
  </si>
  <si>
    <t xml:space="preserve">递延所得税净额变动与递延所得税费用勾稽（推算）</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</si>
  <si>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Derived from D5_dta_unoffset / D5_dtl_unoffset / *_hist (unoffset gross totals) and D5_income_tax_expense </t>
    </r>
    <r>
      <rPr>
        <i val="true"/>
        <sz val="10"/>
        <color rgb="FF595959"/>
        <rFont val="Noto Sans CJK SC"/>
        <family val="2"/>
      </rPr>
      <t xml:space="preserve">递延所得税费用</t>
    </r>
  </si>
  <si>
    <t xml:space="preserve">期初未经抵销递延所得税资产合计</t>
  </si>
  <si>
    <t xml:space="preserve">期初未经抵销递延所得税负债合计</t>
  </si>
  <si>
    <r>
      <rPr>
        <sz val="10"/>
        <color rgb="FF000000"/>
        <rFont val="Noto Sans CJK SC"/>
        <family val="2"/>
      </rPr>
      <t xml:space="preserve">期初净递延所得税负债（推算</t>
    </r>
    <r>
      <rPr>
        <sz val="10"/>
        <color rgb="FF000000"/>
        <rFont val="Arial"/>
        <family val="0"/>
        <charset val="1"/>
      </rPr>
      <t xml:space="preserve">=DTL-DTA</t>
    </r>
    <r>
      <rPr>
        <sz val="10"/>
        <color rgb="FF000000"/>
        <rFont val="Noto Sans CJK SC"/>
        <family val="2"/>
      </rPr>
      <t xml:space="preserve">）</t>
    </r>
  </si>
  <si>
    <t xml:space="preserve">期末未经抵销递延所得税资产合计</t>
  </si>
  <si>
    <t xml:space="preserve">期末未经抵销递延所得税负债合计</t>
  </si>
  <si>
    <r>
      <rPr>
        <sz val="10"/>
        <color rgb="FF000000"/>
        <rFont val="Noto Sans CJK SC"/>
        <family val="2"/>
      </rPr>
      <t xml:space="preserve">期末净递延所得税负债（推算</t>
    </r>
    <r>
      <rPr>
        <sz val="10"/>
        <color rgb="FF000000"/>
        <rFont val="Arial"/>
        <family val="0"/>
        <charset val="1"/>
      </rPr>
      <t xml:space="preserve">=DTL-DTA</t>
    </r>
    <r>
      <rPr>
        <sz val="10"/>
        <color rgb="FF000000"/>
        <rFont val="Noto Sans CJK SC"/>
        <family val="2"/>
      </rPr>
      <t xml:space="preserve">）</t>
    </r>
  </si>
  <si>
    <t xml:space="preserve">净递延所得税负债增加额（推算）</t>
  </si>
  <si>
    <t xml:space="preserve">递延所得税费用（所得税费用表）</t>
  </si>
  <si>
    <r>
      <rPr>
        <sz val="10"/>
        <color rgb="FF000000"/>
        <rFont val="Noto Sans CJK SC"/>
        <family val="2"/>
      </rPr>
      <t xml:space="preserve">差异（推算</t>
    </r>
    <r>
      <rPr>
        <sz val="10"/>
        <color rgb="FF000000"/>
        <rFont val="Arial"/>
        <family val="0"/>
        <charset val="1"/>
      </rPr>
      <t xml:space="preserve">=</t>
    </r>
    <r>
      <rPr>
        <sz val="10"/>
        <color rgb="FF000000"/>
        <rFont val="Noto Sans CJK SC"/>
        <family val="2"/>
      </rPr>
      <t xml:space="preserve">递延所得税费用</t>
    </r>
    <r>
      <rPr>
        <sz val="10"/>
        <color rgb="FF000000"/>
        <rFont val="Arial"/>
        <family val="0"/>
        <charset val="1"/>
      </rPr>
      <t xml:space="preserve">-</t>
    </r>
    <r>
      <rPr>
        <sz val="10"/>
        <color rgb="FF000000"/>
        <rFont val="Noto Sans CJK SC"/>
        <family val="2"/>
      </rPr>
      <t xml:space="preserve">净额增加；外币折算</t>
    </r>
    <r>
      <rPr>
        <sz val="10"/>
        <color rgb="FF000000"/>
        <rFont val="Arial"/>
        <family val="0"/>
        <charset val="1"/>
      </rPr>
      <t xml:space="preserve">/</t>
    </r>
    <r>
      <rPr>
        <sz val="10"/>
        <color rgb="FF000000"/>
        <rFont val="Noto Sans CJK SC"/>
        <family val="2"/>
      </rPr>
      <t xml:space="preserve">其他综合收益等）</t>
    </r>
  </si>
  <si>
    <r>
      <rPr>
        <b val="true"/>
        <sz val="10"/>
        <color rgb="FF1F3864"/>
        <rFont val="Noto Sans CJK SC"/>
        <family val="2"/>
      </rPr>
      <t xml:space="preserve">资产处置收益构成（合并；损失以</t>
    </r>
    <r>
      <rPr>
        <b val="true"/>
        <sz val="10"/>
        <color rgb="FF1F3864"/>
        <rFont val="Arial"/>
        <family val="0"/>
        <charset val="1"/>
      </rPr>
      <t xml:space="preserve">'-'</t>
    </r>
    <r>
      <rPr>
        <b val="true"/>
        <sz val="10"/>
        <color rgb="FF1F3864"/>
        <rFont val="Noto Sans CJK SC"/>
        <family val="2"/>
      </rPr>
      <t xml:space="preserve">号填列）</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</si>
  <si>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2023</t>
    </r>
    <r>
      <rPr>
        <i val="true"/>
        <sz val="10"/>
        <color rgb="FF595959"/>
        <rFont val="Noto Sans CJK SC"/>
        <family val="2"/>
      </rPr>
      <t xml:space="preserve">年年报 七、</t>
    </r>
    <r>
      <rPr>
        <i val="true"/>
        <sz val="10"/>
        <color rgb="FF595959"/>
        <rFont val="Arial"/>
        <family val="0"/>
        <charset val="1"/>
      </rPr>
      <t xml:space="preserve">50</t>
    </r>
    <r>
      <rPr>
        <i val="true"/>
        <sz val="10"/>
        <color rgb="FF595959"/>
        <rFont val="Noto Sans CJK SC"/>
        <family val="2"/>
      </rPr>
      <t xml:space="preserve">；</t>
    </r>
    <r>
      <rPr>
        <i val="true"/>
        <sz val="10"/>
        <color rgb="FF595959"/>
        <rFont val="Arial"/>
        <family val="0"/>
        <charset val="1"/>
      </rPr>
      <t xml:space="preserve">2024</t>
    </r>
    <r>
      <rPr>
        <i val="true"/>
        <sz val="10"/>
        <color rgb="FF595959"/>
        <rFont val="Noto Sans CJK SC"/>
        <family val="2"/>
      </rPr>
      <t xml:space="preserve">年年报 七、</t>
    </r>
    <r>
      <rPr>
        <i val="true"/>
        <sz val="10"/>
        <color rgb="FF595959"/>
        <rFont val="Arial"/>
        <family val="0"/>
        <charset val="1"/>
      </rPr>
      <t xml:space="preserve">49</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年年报 七、</t>
    </r>
    <r>
      <rPr>
        <i val="true"/>
        <sz val="10"/>
        <color rgb="FF595959"/>
        <rFont val="Arial"/>
        <family val="0"/>
        <charset val="1"/>
      </rPr>
      <t xml:space="preserve">52</t>
    </r>
    <r>
      <rPr>
        <i val="true"/>
        <sz val="10"/>
        <color rgb="FF595959"/>
        <rFont val="Noto Sans CJK SC"/>
        <family val="2"/>
      </rPr>
      <t xml:space="preserve">；</t>
    </r>
    <r>
      <rPr>
        <i val="true"/>
        <sz val="10"/>
        <color rgb="FF595959"/>
        <rFont val="Arial"/>
        <family val="0"/>
        <charset val="1"/>
      </rPr>
      <t xml:space="preserve">2025</t>
    </r>
    <r>
      <rPr>
        <i val="true"/>
        <sz val="10"/>
        <color rgb="FF595959"/>
        <rFont val="Noto Sans CJK SC"/>
        <family val="2"/>
      </rPr>
      <t xml:space="preserve">年半年报 七、</t>
    </r>
    <r>
      <rPr>
        <i val="true"/>
        <sz val="10"/>
        <color rgb="FF595959"/>
        <rFont val="Arial"/>
        <family val="0"/>
        <charset val="1"/>
      </rPr>
      <t xml:space="preserve">51</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年半年报 七、</t>
    </r>
    <r>
      <rPr>
        <i val="true"/>
        <sz val="10"/>
        <color rgb="FF595959"/>
        <rFont val="Arial"/>
        <family val="0"/>
        <charset val="1"/>
      </rPr>
      <t xml:space="preserve">50</t>
    </r>
    <r>
      <rPr>
        <i val="true"/>
        <sz val="10"/>
        <color rgb="FF595959"/>
        <rFont val="Noto Sans CJK SC"/>
        <family val="2"/>
      </rPr>
      <t xml:space="preserve">；</t>
    </r>
    <r>
      <rPr>
        <i val="true"/>
        <sz val="10"/>
        <color rgb="FF595959"/>
        <rFont val="Arial"/>
        <family val="0"/>
        <charset val="1"/>
      </rPr>
      <t xml:space="preserve">totals tie to </t>
    </r>
    <r>
      <rPr>
        <i val="true"/>
        <sz val="10"/>
        <color rgb="FF595959"/>
        <rFont val="Noto Sans CJK SC"/>
        <family val="2"/>
      </rPr>
      <t xml:space="preserve">合并利润表 资产处置收益</t>
    </r>
  </si>
  <si>
    <t xml:space="preserve">固定资产处置收益</t>
  </si>
  <si>
    <t xml:space="preserve">使用权资产处置收益</t>
  </si>
  <si>
    <t xml:space="preserve">资产处置收益合计</t>
  </si>
  <si>
    <r>
      <rPr>
        <b val="true"/>
        <sz val="10"/>
        <color rgb="FF1F3864"/>
        <rFont val="Noto Sans CJK SC"/>
        <family val="2"/>
      </rPr>
      <t xml:space="preserve">单季度税项及其他损益项目（</t>
    </r>
    <r>
      <rPr>
        <b val="true"/>
        <sz val="10"/>
        <color rgb="FF1F3864"/>
        <rFont val="Arial"/>
        <family val="0"/>
        <charset val="1"/>
      </rPr>
      <t xml:space="preserve">2025Q1/Q2</t>
    </r>
    <r>
      <rPr>
        <b val="true"/>
        <sz val="10"/>
        <color rgb="FF1F3864"/>
        <rFont val="Noto Sans CJK SC"/>
        <family val="2"/>
      </rPr>
      <t xml:space="preserve">、</t>
    </r>
    <r>
      <rPr>
        <b val="true"/>
        <sz val="10"/>
        <color rgb="FF1F3864"/>
        <rFont val="Arial"/>
        <family val="0"/>
        <charset val="1"/>
      </rPr>
      <t xml:space="preserve">2026Q1/Q2</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</si>
  <si>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2025</t>
    </r>
    <r>
      <rPr>
        <i val="true"/>
        <sz val="10"/>
        <color rgb="FF595959"/>
        <rFont val="Noto Sans CJK SC"/>
        <family val="2"/>
      </rPr>
      <t xml:space="preserve">年一季度报告 </t>
    </r>
    <r>
      <rPr>
        <i val="true"/>
        <sz val="10"/>
        <color rgb="FF595959"/>
        <rFont val="Arial"/>
        <family val="0"/>
        <charset val="1"/>
      </rPr>
      <t xml:space="preserve">(2025Q1; the same comparatives appear in the 2026</t>
    </r>
    <r>
      <rPr>
        <i val="true"/>
        <sz val="10"/>
        <color rgb="FF595959"/>
        <rFont val="Noto Sans CJK SC"/>
        <family val="2"/>
      </rPr>
      <t xml:space="preserve">年一季度报告</t>
    </r>
    <r>
      <rPr>
        <i val="true"/>
        <sz val="10"/>
        <color rgb="FF595959"/>
        <rFont val="Arial"/>
        <family val="0"/>
        <charset val="1"/>
      </rPr>
      <t xml:space="preserve">)</t>
    </r>
    <r>
      <rPr>
        <i val="true"/>
        <sz val="10"/>
        <color rgb="FF595959"/>
        <rFont val="Noto Sans CJK SC"/>
        <family val="2"/>
      </rPr>
      <t xml:space="preserve">；</t>
    </r>
    <r>
      <rPr>
        <i val="true"/>
        <sz val="10"/>
        <color rgb="FF595959"/>
        <rFont val="Arial"/>
        <family val="0"/>
        <charset val="1"/>
      </rPr>
      <t xml:space="preserve">2026</t>
    </r>
    <r>
      <rPr>
        <i val="true"/>
        <sz val="10"/>
        <color rgb="FF595959"/>
        <rFont val="Noto Sans CJK SC"/>
        <family val="2"/>
      </rPr>
      <t xml:space="preserve">年一季度报告 </t>
    </r>
    <r>
      <rPr>
        <i val="true"/>
        <sz val="10"/>
        <color rgb="FF595959"/>
        <rFont val="Arial"/>
        <family val="0"/>
        <charset val="1"/>
      </rPr>
      <t xml:space="preserve">(2026Q1)</t>
    </r>
    <r>
      <rPr>
        <i val="true"/>
        <sz val="10"/>
        <color rgb="FF595959"/>
        <rFont val="Noto Sans CJK SC"/>
        <family val="2"/>
      </rPr>
      <t xml:space="preserve">；</t>
    </r>
    <r>
      <rPr>
        <i val="true"/>
        <sz val="10"/>
        <color rgb="FF595959"/>
        <rFont val="Arial"/>
        <family val="0"/>
        <charset val="1"/>
      </rPr>
      <t xml:space="preserve">Q2 = </t>
    </r>
    <r>
      <rPr>
        <i val="true"/>
        <sz val="10"/>
        <color rgb="FF595959"/>
        <rFont val="Noto Sans CJK SC"/>
        <family val="2"/>
      </rPr>
      <t xml:space="preserve">半年报 </t>
    </r>
    <r>
      <rPr>
        <i val="true"/>
        <sz val="10"/>
        <color rgb="FF595959"/>
        <rFont val="Arial"/>
        <family val="0"/>
        <charset val="1"/>
      </rPr>
      <t xml:space="preserve">H1 minus Q1 (derived)</t>
    </r>
  </si>
  <si>
    <r>
      <rPr>
        <b val="true"/>
        <sz val="10"/>
        <color rgb="FFFFFFFF"/>
        <rFont val="Arial"/>
        <family val="0"/>
        <charset val="1"/>
      </rPr>
      <t xml:space="preserve">2025Q2</t>
    </r>
    <r>
      <rPr>
        <b val="true"/>
        <sz val="10"/>
        <color rgb="FFFFFFFF"/>
        <rFont val="Noto Sans CJK SC"/>
        <family val="2"/>
      </rPr>
      <t xml:space="preserve">（推算</t>
    </r>
    <r>
      <rPr>
        <b val="true"/>
        <sz val="10"/>
        <color rgb="FFFFFFFF"/>
        <rFont val="Arial"/>
        <family val="0"/>
        <charset val="1"/>
      </rPr>
      <t xml:space="preserve">=H1-Q1</t>
    </r>
    <r>
      <rPr>
        <b val="true"/>
        <sz val="10"/>
        <color rgb="FFFFFFFF"/>
        <rFont val="Noto Sans CJK SC"/>
        <family val="2"/>
      </rPr>
      <t xml:space="preserve">）</t>
    </r>
  </si>
  <si>
    <r>
      <rPr>
        <b val="true"/>
        <sz val="10"/>
        <color rgb="FFFFFFFF"/>
        <rFont val="Arial"/>
        <family val="0"/>
        <charset val="1"/>
      </rPr>
      <t xml:space="preserve">2026Q2</t>
    </r>
    <r>
      <rPr>
        <b val="true"/>
        <sz val="10"/>
        <color rgb="FFFFFFFF"/>
        <rFont val="Noto Sans CJK SC"/>
        <family val="2"/>
      </rPr>
      <t xml:space="preserve">（推算</t>
    </r>
    <r>
      <rPr>
        <b val="true"/>
        <sz val="10"/>
        <color rgb="FFFFFFFF"/>
        <rFont val="Arial"/>
        <family val="0"/>
        <charset val="1"/>
      </rPr>
      <t xml:space="preserve">=H1-Q1</t>
    </r>
    <r>
      <rPr>
        <b val="true"/>
        <sz val="10"/>
        <color rgb="FFFFFFFF"/>
        <rFont val="Noto Sans CJK SC"/>
        <family val="2"/>
      </rPr>
      <t xml:space="preserve">）</t>
    </r>
  </si>
  <si>
    <t xml:space="preserve">  其中：政府补助（非经常性损益表口径）</t>
  </si>
  <si>
    <t xml:space="preserve">  其中：增值税加计抵减（界定为经常性损益）</t>
  </si>
  <si>
    <r>
      <rPr>
        <sz val="10"/>
        <color rgb="FF000000"/>
        <rFont val="Noto Sans CJK SC"/>
        <family val="2"/>
      </rPr>
      <t xml:space="preserve">信用减值损失（损失以</t>
    </r>
    <r>
      <rPr>
        <sz val="10"/>
        <color rgb="FF000000"/>
        <rFont val="Arial"/>
        <family val="0"/>
        <charset val="1"/>
      </rPr>
      <t xml:space="preserve">'-'</t>
    </r>
    <r>
      <rPr>
        <sz val="10"/>
        <color rgb="FF000000"/>
        <rFont val="Noto Sans CJK SC"/>
        <family val="2"/>
      </rPr>
      <t xml:space="preserve">号填列）</t>
    </r>
  </si>
  <si>
    <r>
      <rPr>
        <sz val="10"/>
        <color rgb="FF000000"/>
        <rFont val="Noto Sans CJK SC"/>
        <family val="2"/>
      </rPr>
      <t xml:space="preserve">资产减值损失（损失以</t>
    </r>
    <r>
      <rPr>
        <sz val="10"/>
        <color rgb="FF000000"/>
        <rFont val="Arial"/>
        <family val="0"/>
        <charset val="1"/>
      </rPr>
      <t xml:space="preserve">'-'</t>
    </r>
    <r>
      <rPr>
        <sz val="10"/>
        <color rgb="FF000000"/>
        <rFont val="Noto Sans CJK SC"/>
        <family val="2"/>
      </rPr>
      <t xml:space="preserve">号填列；</t>
    </r>
    <r>
      <rPr>
        <sz val="10"/>
        <color rgb="FF000000"/>
        <rFont val="Arial"/>
        <family val="0"/>
        <charset val="1"/>
      </rPr>
      <t xml:space="preserve">2025Q1</t>
    </r>
    <r>
      <rPr>
        <sz val="10"/>
        <color rgb="FF000000"/>
        <rFont val="Noto Sans CJK SC"/>
        <family val="2"/>
      </rPr>
      <t xml:space="preserve">利润表空白，推算</t>
    </r>
    <r>
      <rPr>
        <sz val="10"/>
        <color rgb="FF000000"/>
        <rFont val="Arial"/>
        <family val="0"/>
        <charset val="1"/>
      </rPr>
      <t xml:space="preserve">Q2</t>
    </r>
    <r>
      <rPr>
        <sz val="10"/>
        <color rgb="FF000000"/>
        <rFont val="Noto Sans CJK SC"/>
        <family val="2"/>
      </rPr>
      <t xml:space="preserve">时按</t>
    </r>
    <r>
      <rPr>
        <sz val="10"/>
        <color rgb="FF000000"/>
        <rFont val="Arial"/>
        <family val="0"/>
        <charset val="1"/>
      </rPr>
      <t xml:space="preserve">0</t>
    </r>
    <r>
      <rPr>
        <sz val="10"/>
        <color rgb="FF000000"/>
        <rFont val="Noto Sans CJK SC"/>
        <family val="2"/>
      </rPr>
      <t xml:space="preserve">处理）</t>
    </r>
  </si>
  <si>
    <r>
      <rPr>
        <b val="true"/>
        <sz val="10"/>
        <color rgb="FF1F3864"/>
        <rFont val="Arial"/>
        <family val="0"/>
        <charset val="1"/>
      </rPr>
      <t xml:space="preserve">D6</t>
    </r>
    <r>
      <rPr>
        <b val="true"/>
        <sz val="10"/>
        <color rgb="FF1F3864"/>
        <rFont val="Noto Sans CJK SC"/>
        <family val="2"/>
      </rPr>
      <t xml:space="preserve">　产能、分部与其他</t>
    </r>
  </si>
  <si>
    <t xml:space="preserve">主要会计数据（合并）</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</si>
  <si>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第二节五</t>
    </r>
    <r>
      <rPr>
        <i val="true"/>
        <sz val="10"/>
        <color rgb="FF595959"/>
        <rFont val="Arial"/>
        <family val="0"/>
        <charset val="1"/>
      </rPr>
      <t xml:space="preserve">; 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第二节五</t>
    </r>
    <r>
      <rPr>
        <i val="true"/>
        <sz val="10"/>
        <color rgb="FF595959"/>
        <rFont val="Arial"/>
        <family val="0"/>
        <charset val="1"/>
      </rPr>
      <t xml:space="preserve">; 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第二节五</t>
    </r>
    <r>
      <rPr>
        <i val="true"/>
        <sz val="10"/>
        <color rgb="FF595959"/>
        <rFont val="Arial"/>
        <family val="0"/>
        <charset val="1"/>
      </rPr>
      <t xml:space="preserve">;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第二节四</t>
    </r>
    <r>
      <rPr>
        <i val="true"/>
        <sz val="10"/>
        <color rgb="FF595959"/>
        <rFont val="Arial"/>
        <family val="0"/>
        <charset val="1"/>
      </rPr>
      <t xml:space="preserve">;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第二节四</t>
    </r>
    <r>
      <rPr>
        <i val="true"/>
        <sz val="10"/>
        <color rgb="FF595959"/>
        <rFont val="Arial"/>
        <family val="0"/>
        <charset val="1"/>
      </rPr>
      <t xml:space="preserve">; 2026</t>
    </r>
    <r>
      <rPr>
        <i val="true"/>
        <sz val="10"/>
        <color rgb="FF595959"/>
        <rFont val="Noto Sans CJK SC"/>
        <family val="2"/>
      </rPr>
      <t xml:space="preserve">一季报</t>
    </r>
    <r>
      <rPr>
        <i val="true"/>
        <sz val="10"/>
        <color rgb="FF595959"/>
        <rFont val="Arial"/>
        <family val="0"/>
        <charset val="1"/>
      </rPr>
      <t xml:space="preserve">(2026-04-24) </t>
    </r>
    <r>
      <rPr>
        <i val="true"/>
        <sz val="10"/>
        <color rgb="FF595959"/>
        <rFont val="Noto Sans CJK SC"/>
        <family val="2"/>
      </rPr>
      <t xml:space="preserve">一</t>
    </r>
    <r>
      <rPr>
        <i val="true"/>
        <sz val="10"/>
        <color rgb="FF595959"/>
        <rFont val="Arial"/>
        <family val="0"/>
        <charset val="1"/>
      </rPr>
      <t xml:space="preserve">(</t>
    </r>
    <r>
      <rPr>
        <i val="true"/>
        <sz val="10"/>
        <color rgb="FF595959"/>
        <rFont val="Noto Sans CJK SC"/>
        <family val="2"/>
      </rPr>
      <t xml:space="preserve">一</t>
    </r>
    <r>
      <rPr>
        <i val="true"/>
        <sz val="10"/>
        <color rgb="FF595959"/>
        <rFont val="Arial"/>
        <family val="0"/>
        <charset val="1"/>
      </rPr>
      <t xml:space="preserve">)</t>
    </r>
  </si>
  <si>
    <t xml:space="preserve">资产总额（期末）</t>
  </si>
  <si>
    <t xml:space="preserve">归属于上市公司股东的净资产（期末）</t>
  </si>
  <si>
    <t xml:space="preserve">每股收益与净资产收益率</t>
  </si>
  <si>
    <r>
      <rPr>
        <i val="true"/>
        <sz val="10"/>
        <color rgb="FF595959"/>
        <rFont val="Noto Sans CJK SC"/>
        <family val="2"/>
      </rPr>
      <t xml:space="preserve">单位：元</t>
    </r>
    <r>
      <rPr>
        <i val="true"/>
        <sz val="10"/>
        <color rgb="FF595959"/>
        <rFont val="Arial"/>
        <family val="0"/>
        <charset val="1"/>
      </rPr>
      <t xml:space="preserve">/</t>
    </r>
    <r>
      <rPr>
        <i val="true"/>
        <sz val="10"/>
        <color rgb="FF595959"/>
        <rFont val="Noto Sans CJK SC"/>
        <family val="2"/>
      </rPr>
      <t xml:space="preserve">股 </t>
    </r>
    <r>
      <rPr>
        <i val="true"/>
        <sz val="10"/>
        <color rgb="FF595959"/>
        <rFont val="Arial"/>
        <family val="0"/>
        <charset val="1"/>
      </rPr>
      <t xml:space="preserve">(EPS rows); % (ROE row)</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(2026-03-28)/FY2024</t>
    </r>
    <r>
      <rPr>
        <i val="true"/>
        <sz val="10"/>
        <color rgb="FF595959"/>
        <rFont val="Noto Sans CJK SC"/>
        <family val="2"/>
      </rPr>
      <t xml:space="preserve">年报</t>
    </r>
    <r>
      <rPr>
        <i val="true"/>
        <sz val="10"/>
        <color rgb="FF595959"/>
        <rFont val="Arial"/>
        <family val="0"/>
        <charset val="1"/>
      </rPr>
      <t xml:space="preserve">(2025-04-24)/FY2023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第二节五</t>
    </r>
    <r>
      <rPr>
        <i val="true"/>
        <sz val="10"/>
        <color rgb="FF595959"/>
        <rFont val="Arial"/>
        <family val="0"/>
        <charset val="1"/>
      </rPr>
      <t xml:space="preserve">; 2025</t>
    </r>
    <r>
      <rPr>
        <i val="true"/>
        <sz val="10"/>
        <color rgb="FF595959"/>
        <rFont val="Noto Sans CJK SC"/>
        <family val="2"/>
      </rPr>
      <t xml:space="preserve">半年报</t>
    </r>
    <r>
      <rPr>
        <i val="true"/>
        <sz val="10"/>
        <color rgb="FF595959"/>
        <rFont val="Arial"/>
        <family val="0"/>
        <charset val="1"/>
      </rPr>
      <t xml:space="preserve">(2025-08-29)/2026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第二节四</t>
    </r>
    <r>
      <rPr>
        <i val="true"/>
        <sz val="10"/>
        <color rgb="FF595959"/>
        <rFont val="Arial"/>
        <family val="0"/>
        <charset val="1"/>
      </rPr>
      <t xml:space="preserve">; 2026</t>
    </r>
    <r>
      <rPr>
        <i val="true"/>
        <sz val="10"/>
        <color rgb="FF595959"/>
        <rFont val="Noto Sans CJK SC"/>
        <family val="2"/>
      </rPr>
      <t xml:space="preserve">一季报</t>
    </r>
    <r>
      <rPr>
        <i val="true"/>
        <sz val="10"/>
        <color rgb="FF595959"/>
        <rFont val="Arial"/>
        <family val="0"/>
        <charset val="1"/>
      </rPr>
      <t xml:space="preserve">(2026-04-24)</t>
    </r>
  </si>
  <si>
    <r>
      <rPr>
        <sz val="10"/>
        <color rgb="FF000000"/>
        <rFont val="Noto Sans CJK SC"/>
        <family val="2"/>
      </rPr>
      <t xml:space="preserve">基本每股收益（元</t>
    </r>
    <r>
      <rPr>
        <sz val="10"/>
        <color rgb="FF000000"/>
        <rFont val="Arial"/>
        <family val="0"/>
        <charset val="1"/>
      </rPr>
      <t xml:space="preserve">/</t>
    </r>
    <r>
      <rPr>
        <sz val="10"/>
        <color rgb="FF000000"/>
        <rFont val="Noto Sans CJK SC"/>
        <family val="2"/>
      </rPr>
      <t xml:space="preserve">股）</t>
    </r>
  </si>
  <si>
    <r>
      <rPr>
        <sz val="10"/>
        <color rgb="FF000000"/>
        <rFont val="Noto Sans CJK SC"/>
        <family val="2"/>
      </rPr>
      <t xml:space="preserve">稀释每股收益（元</t>
    </r>
    <r>
      <rPr>
        <sz val="10"/>
        <color rgb="FF000000"/>
        <rFont val="Arial"/>
        <family val="0"/>
        <charset val="1"/>
      </rPr>
      <t xml:space="preserve">/</t>
    </r>
    <r>
      <rPr>
        <sz val="10"/>
        <color rgb="FF000000"/>
        <rFont val="Noto Sans CJK SC"/>
        <family val="2"/>
      </rPr>
      <t xml:space="preserve">股）</t>
    </r>
  </si>
  <si>
    <r>
      <rPr>
        <sz val="10"/>
        <color rgb="FF000000"/>
        <rFont val="Noto Sans CJK SC"/>
        <family val="2"/>
      </rPr>
      <t xml:space="preserve">加权平均净资产收益率（</t>
    </r>
    <r>
      <rPr>
        <sz val="10"/>
        <color rgb="FF000000"/>
        <rFont val="Arial"/>
        <family val="0"/>
        <charset val="1"/>
      </rPr>
      <t xml:space="preserve">%</t>
    </r>
    <r>
      <rPr>
        <sz val="10"/>
        <color rgb="FF000000"/>
        <rFont val="Noto Sans CJK SC"/>
        <family val="2"/>
      </rPr>
      <t xml:space="preserve">）</t>
    </r>
  </si>
  <si>
    <r>
      <rPr>
        <sz val="10"/>
        <color rgb="FF000000"/>
        <rFont val="Noto Sans CJK SC"/>
        <family val="2"/>
      </rPr>
      <t xml:space="preserve">用最新股本计算的全面摊薄每股收益（元</t>
    </r>
    <r>
      <rPr>
        <sz val="10"/>
        <color rgb="FF000000"/>
        <rFont val="Arial"/>
        <family val="0"/>
        <charset val="1"/>
      </rPr>
      <t xml:space="preserve">/</t>
    </r>
    <r>
      <rPr>
        <sz val="10"/>
        <color rgb="FF000000"/>
        <rFont val="Noto Sans CJK SC"/>
        <family val="2"/>
      </rPr>
      <t xml:space="preserve">股）</t>
    </r>
  </si>
  <si>
    <t xml:space="preserve">分季度主要财务指标</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</si>
  <si>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(2024-04-27)/FY2024</t>
    </r>
    <r>
      <rPr>
        <i val="true"/>
        <sz val="10"/>
        <color rgb="FF595959"/>
        <rFont val="Noto Sans CJK SC"/>
        <family val="2"/>
      </rPr>
      <t xml:space="preserve">年报</t>
    </r>
    <r>
      <rPr>
        <i val="true"/>
        <sz val="10"/>
        <color rgb="FF595959"/>
        <rFont val="Arial"/>
        <family val="0"/>
        <charset val="1"/>
      </rPr>
      <t xml:space="preserve">(2025-04-24)/FY2025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第二节六</t>
    </r>
    <r>
      <rPr>
        <i val="true"/>
        <sz val="10"/>
        <color rgb="FF595959"/>
        <rFont val="Arial"/>
        <family val="0"/>
        <charset val="1"/>
      </rPr>
      <t xml:space="preserve">; 2026Q1 from 2026</t>
    </r>
    <r>
      <rPr>
        <i val="true"/>
        <sz val="10"/>
        <color rgb="FF595959"/>
        <rFont val="Noto Sans CJK SC"/>
        <family val="2"/>
      </rPr>
      <t xml:space="preserve">一季报</t>
    </r>
    <r>
      <rPr>
        <i val="true"/>
        <sz val="10"/>
        <color rgb="FF595959"/>
        <rFont val="Arial"/>
        <family val="0"/>
        <charset val="1"/>
      </rPr>
      <t xml:space="preserve">(2026-04-24)</t>
    </r>
  </si>
  <si>
    <r>
      <rPr>
        <b val="true"/>
        <sz val="10"/>
        <color rgb="FFFFFFFF"/>
        <rFont val="Arial"/>
        <family val="0"/>
        <charset val="1"/>
      </rPr>
      <t xml:space="preserve">2026Q2(</t>
    </r>
    <r>
      <rPr>
        <b val="true"/>
        <sz val="10"/>
        <color rgb="FFFFFFFF"/>
        <rFont val="Noto Sans CJK SC"/>
        <family val="2"/>
      </rPr>
      <t xml:space="preserve">推算</t>
    </r>
    <r>
      <rPr>
        <b val="true"/>
        <sz val="10"/>
        <color rgb="FFFFFFFF"/>
        <rFont val="Arial"/>
        <family val="0"/>
        <charset val="1"/>
      </rPr>
      <t xml:space="preserve">=2026H1-2026Q1)</t>
    </r>
  </si>
  <si>
    <t xml:space="preserve">季度报告主要会计数据（合并）</t>
  </si>
  <si>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t>
    </r>
    <r>
      <rPr>
        <i val="true"/>
        <sz val="10"/>
        <color rgb="FF595959"/>
        <rFont val="Noto Sans CJK SC"/>
        <family val="2"/>
      </rPr>
      <t xml:space="preserve">元</t>
    </r>
    <r>
      <rPr>
        <i val="true"/>
        <sz val="10"/>
        <color rgb="FF595959"/>
        <rFont val="Arial"/>
        <family val="0"/>
        <charset val="1"/>
      </rPr>
      <t xml:space="preserve">/</t>
    </r>
    <r>
      <rPr>
        <i val="true"/>
        <sz val="10"/>
        <color rgb="FF595959"/>
        <rFont val="Noto Sans CJK SC"/>
        <family val="2"/>
      </rPr>
      <t xml:space="preserve">股</t>
    </r>
    <r>
      <rPr>
        <i val="true"/>
        <sz val="10"/>
        <color rgb="FF595959"/>
        <rFont val="Arial"/>
        <family val="0"/>
        <charset val="1"/>
      </rPr>
      <t xml:space="preserve">; %</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一季报</t>
    </r>
    <r>
      <rPr>
        <i val="true"/>
        <sz val="10"/>
        <color rgb="FF595959"/>
        <rFont val="Arial"/>
        <family val="0"/>
        <charset val="1"/>
      </rPr>
      <t xml:space="preserve">(2025-04-29) </t>
    </r>
    <r>
      <rPr>
        <i val="true"/>
        <sz val="10"/>
        <color rgb="FF595959"/>
        <rFont val="Noto Sans CJK SC"/>
        <family val="2"/>
      </rPr>
      <t xml:space="preserve">一</t>
    </r>
    <r>
      <rPr>
        <i val="true"/>
        <sz val="10"/>
        <color rgb="FF595959"/>
        <rFont val="Arial"/>
        <family val="0"/>
        <charset val="1"/>
      </rPr>
      <t xml:space="preserve">(</t>
    </r>
    <r>
      <rPr>
        <i val="true"/>
        <sz val="10"/>
        <color rgb="FF595959"/>
        <rFont val="Noto Sans CJK SC"/>
        <family val="2"/>
      </rPr>
      <t xml:space="preserve">一</t>
    </r>
    <r>
      <rPr>
        <i val="true"/>
        <sz val="10"/>
        <color rgb="FF595959"/>
        <rFont val="Arial"/>
        <family val="0"/>
        <charset val="1"/>
      </rPr>
      <t xml:space="preserve">); 2025</t>
    </r>
    <r>
      <rPr>
        <i val="true"/>
        <sz val="10"/>
        <color rgb="FF595959"/>
        <rFont val="Noto Sans CJK SC"/>
        <family val="2"/>
      </rPr>
      <t xml:space="preserve">三季报</t>
    </r>
    <r>
      <rPr>
        <i val="true"/>
        <sz val="10"/>
        <color rgb="FF595959"/>
        <rFont val="Arial"/>
        <family val="0"/>
        <charset val="1"/>
      </rPr>
      <t xml:space="preserve">(2025-10-30) </t>
    </r>
    <r>
      <rPr>
        <i val="true"/>
        <sz val="10"/>
        <color rgb="FF595959"/>
        <rFont val="Noto Sans CJK SC"/>
        <family val="2"/>
      </rPr>
      <t xml:space="preserve">一</t>
    </r>
    <r>
      <rPr>
        <i val="true"/>
        <sz val="10"/>
        <color rgb="FF595959"/>
        <rFont val="Arial"/>
        <family val="0"/>
        <charset val="1"/>
      </rPr>
      <t xml:space="preserve">(</t>
    </r>
    <r>
      <rPr>
        <i val="true"/>
        <sz val="10"/>
        <color rgb="FF595959"/>
        <rFont val="Noto Sans CJK SC"/>
        <family val="2"/>
      </rPr>
      <t xml:space="preserve">一</t>
    </r>
    <r>
      <rPr>
        <i val="true"/>
        <sz val="10"/>
        <color rgb="FF595959"/>
        <rFont val="Arial"/>
        <family val="0"/>
        <charset val="1"/>
      </rPr>
      <t xml:space="preserve">); 2026</t>
    </r>
    <r>
      <rPr>
        <i val="true"/>
        <sz val="10"/>
        <color rgb="FF595959"/>
        <rFont val="Noto Sans CJK SC"/>
        <family val="2"/>
      </rPr>
      <t xml:space="preserve">一季报</t>
    </r>
    <r>
      <rPr>
        <i val="true"/>
        <sz val="10"/>
        <color rgb="FF595959"/>
        <rFont val="Arial"/>
        <family val="0"/>
        <charset val="1"/>
      </rPr>
      <t xml:space="preserve">(2026-04-24) </t>
    </r>
    <r>
      <rPr>
        <i val="true"/>
        <sz val="10"/>
        <color rgb="FF595959"/>
        <rFont val="Noto Sans CJK SC"/>
        <family val="2"/>
      </rPr>
      <t xml:space="preserve">一</t>
    </r>
    <r>
      <rPr>
        <i val="true"/>
        <sz val="10"/>
        <color rgb="FF595959"/>
        <rFont val="Arial"/>
        <family val="0"/>
        <charset val="1"/>
      </rPr>
      <t xml:space="preserve">(</t>
    </r>
    <r>
      <rPr>
        <i val="true"/>
        <sz val="10"/>
        <color rgb="FF595959"/>
        <rFont val="Noto Sans CJK SC"/>
        <family val="2"/>
      </rPr>
      <t xml:space="preserve">一</t>
    </r>
    <r>
      <rPr>
        <i val="true"/>
        <sz val="10"/>
        <color rgb="FF595959"/>
        <rFont val="Arial"/>
        <family val="0"/>
        <charset val="1"/>
      </rPr>
      <t xml:space="preserve">)</t>
    </r>
  </si>
  <si>
    <r>
      <rPr>
        <b val="true"/>
        <sz val="10"/>
        <color rgb="FFFFFFFF"/>
        <rFont val="Arial"/>
        <family val="0"/>
        <charset val="1"/>
      </rPr>
      <t xml:space="preserve">2025Q3(</t>
    </r>
    <r>
      <rPr>
        <b val="true"/>
        <sz val="10"/>
        <color rgb="FFFFFFFF"/>
        <rFont val="Noto Sans CJK SC"/>
        <family val="2"/>
      </rPr>
      <t xml:space="preserve">单季</t>
    </r>
    <r>
      <rPr>
        <b val="true"/>
        <sz val="10"/>
        <color rgb="FFFFFFFF"/>
        <rFont val="Arial"/>
        <family val="0"/>
        <charset val="1"/>
      </rPr>
      <t xml:space="preserve">)</t>
    </r>
  </si>
  <si>
    <t xml:space="preserve">2025Q1-Q3</t>
  </si>
  <si>
    <r>
      <rPr>
        <sz val="10"/>
        <color rgb="FF000000"/>
        <rFont val="Noto Sans CJK SC"/>
        <family val="2"/>
      </rPr>
      <t xml:space="preserve">加权平均净资产收益率</t>
    </r>
    <r>
      <rPr>
        <sz val="10"/>
        <color rgb="FF000000"/>
        <rFont val="Arial"/>
        <family val="0"/>
        <charset val="1"/>
      </rPr>
      <t xml:space="preserve">%</t>
    </r>
  </si>
  <si>
    <t xml:space="preserve">总资产（期末）</t>
  </si>
  <si>
    <t xml:space="preserve">归属于上市公司股东的所有者权益（期末）</t>
  </si>
  <si>
    <r>
      <rPr>
        <b val="true"/>
        <sz val="10"/>
        <color rgb="FF1F3864"/>
        <rFont val="Noto Sans CJK SC"/>
        <family val="2"/>
      </rPr>
      <t xml:space="preserve">营业收入分产品（</t>
    </r>
    <r>
      <rPr>
        <b val="true"/>
        <sz val="10"/>
        <color rgb="FF1F3864"/>
        <rFont val="Arial"/>
        <family val="0"/>
        <charset val="1"/>
      </rPr>
      <t xml:space="preserve">FY2025</t>
    </r>
    <r>
      <rPr>
        <b val="true"/>
        <sz val="10"/>
        <color rgb="FF1F3864"/>
        <rFont val="Noto Sans CJK SC"/>
        <family val="2"/>
      </rPr>
      <t xml:space="preserve">新口径）</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</si>
  <si>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YoY in %</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第三节四</t>
    </r>
    <r>
      <rPr>
        <i val="true"/>
        <sz val="10"/>
        <color rgb="FF595959"/>
        <rFont val="Arial"/>
        <family val="0"/>
        <charset val="1"/>
      </rPr>
      <t xml:space="preserve">.2(1)</t>
    </r>
  </si>
  <si>
    <r>
      <rPr>
        <b val="true"/>
        <sz val="10"/>
        <color rgb="FFFFFFFF"/>
        <rFont val="Arial"/>
        <family val="0"/>
        <charset val="1"/>
      </rPr>
      <t xml:space="preserve">FY2025</t>
    </r>
    <r>
      <rPr>
        <b val="true"/>
        <sz val="10"/>
        <color rgb="FFFFFFFF"/>
        <rFont val="Noto Sans CJK SC"/>
        <family val="2"/>
      </rPr>
      <t xml:space="preserve">同比增减</t>
    </r>
    <r>
      <rPr>
        <b val="true"/>
        <sz val="10"/>
        <color rgb="FFFFFFFF"/>
        <rFont val="Arial"/>
        <family val="0"/>
        <charset val="1"/>
      </rPr>
      <t xml:space="preserve">%</t>
    </r>
  </si>
  <si>
    <r>
      <rPr>
        <b val="true"/>
        <sz val="10"/>
        <color rgb="FFFFFFFF"/>
        <rFont val="Arial"/>
        <family val="0"/>
        <charset val="1"/>
      </rPr>
      <t xml:space="preserve">FY2024</t>
    </r>
    <r>
      <rPr>
        <b val="true"/>
        <sz val="10"/>
        <color rgb="FFFFFFFF"/>
        <rFont val="Noto Sans CJK SC"/>
        <family val="2"/>
      </rPr>
      <t xml:space="preserve">占比</t>
    </r>
    <r>
      <rPr>
        <b val="true"/>
        <sz val="10"/>
        <color rgb="FFFFFFFF"/>
        <rFont val="Arial"/>
        <family val="0"/>
        <charset val="1"/>
      </rPr>
      <t xml:space="preserve">%</t>
    </r>
  </si>
  <si>
    <r>
      <rPr>
        <b val="true"/>
        <sz val="10"/>
        <color rgb="FFFFFFFF"/>
        <rFont val="Arial"/>
        <family val="0"/>
        <charset val="1"/>
      </rPr>
      <t xml:space="preserve">FY2025</t>
    </r>
    <r>
      <rPr>
        <b val="true"/>
        <sz val="10"/>
        <color rgb="FFFFFFFF"/>
        <rFont val="Noto Sans CJK SC"/>
        <family val="2"/>
      </rPr>
      <t xml:space="preserve">占比</t>
    </r>
    <r>
      <rPr>
        <b val="true"/>
        <sz val="10"/>
        <color rgb="FFFFFFFF"/>
        <rFont val="Arial"/>
        <family val="0"/>
        <charset val="1"/>
      </rPr>
      <t xml:space="preserve">%</t>
    </r>
  </si>
  <si>
    <t xml:space="preserve">电子元件</t>
  </si>
  <si>
    <t xml:space="preserve">电子及陶瓷材料</t>
  </si>
  <si>
    <t xml:space="preserve">通信器件</t>
  </si>
  <si>
    <t xml:space="preserve">设备组件</t>
  </si>
  <si>
    <t xml:space="preserve">其他（主营）</t>
  </si>
  <si>
    <t xml:space="preserve">其他业务</t>
  </si>
  <si>
    <t xml:space="preserve">营业收入合计（工业）</t>
  </si>
  <si>
    <r>
      <rPr>
        <b val="true"/>
        <sz val="10"/>
        <color rgb="FF1F3864"/>
        <rFont val="Noto Sans CJK SC"/>
        <family val="2"/>
      </rPr>
      <t xml:space="preserve">占营收</t>
    </r>
    <r>
      <rPr>
        <b val="true"/>
        <sz val="10"/>
        <color rgb="FF1F3864"/>
        <rFont val="Arial"/>
        <family val="0"/>
        <charset val="1"/>
      </rPr>
      <t xml:space="preserve">10%</t>
    </r>
    <r>
      <rPr>
        <b val="true"/>
        <sz val="10"/>
        <color rgb="FF1F3864"/>
        <rFont val="Noto Sans CJK SC"/>
        <family val="2"/>
      </rPr>
      <t xml:space="preserve">以上产品的收入、成本、毛利率（</t>
    </r>
    <r>
      <rPr>
        <b val="true"/>
        <sz val="10"/>
        <color rgb="FF1F3864"/>
        <rFont val="Arial"/>
        <family val="0"/>
        <charset val="1"/>
      </rPr>
      <t xml:space="preserve">FY2025</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</si>
  <si>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ratio columns</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第三节四</t>
    </r>
    <r>
      <rPr>
        <i val="true"/>
        <sz val="10"/>
        <color rgb="FF595959"/>
        <rFont val="Arial"/>
        <family val="0"/>
        <charset val="1"/>
      </rPr>
      <t xml:space="preserve">.2(2)</t>
    </r>
  </si>
  <si>
    <r>
      <rPr>
        <b val="true"/>
        <sz val="10"/>
        <color rgb="FFFFFFFF"/>
        <rFont val="Noto Sans CJK SC"/>
        <family val="2"/>
      </rPr>
      <t xml:space="preserve">毛利率</t>
    </r>
    <r>
      <rPr>
        <b val="true"/>
        <sz val="10"/>
        <color rgb="FFFFFFFF"/>
        <rFont val="Arial"/>
        <family val="0"/>
        <charset val="1"/>
      </rPr>
      <t xml:space="preserve">%</t>
    </r>
  </si>
  <si>
    <r>
      <rPr>
        <b val="true"/>
        <sz val="10"/>
        <color rgb="FFFFFFFF"/>
        <rFont val="Noto Sans CJK SC"/>
        <family val="2"/>
      </rPr>
      <t xml:space="preserve">营业收入同比</t>
    </r>
    <r>
      <rPr>
        <b val="true"/>
        <sz val="10"/>
        <color rgb="FFFFFFFF"/>
        <rFont val="Arial"/>
        <family val="0"/>
        <charset val="1"/>
      </rPr>
      <t xml:space="preserve">%</t>
    </r>
  </si>
  <si>
    <r>
      <rPr>
        <b val="true"/>
        <sz val="10"/>
        <color rgb="FFFFFFFF"/>
        <rFont val="Noto Sans CJK SC"/>
        <family val="2"/>
      </rPr>
      <t xml:space="preserve">营业成本同比</t>
    </r>
    <r>
      <rPr>
        <b val="true"/>
        <sz val="10"/>
        <color rgb="FFFFFFFF"/>
        <rFont val="Arial"/>
        <family val="0"/>
        <charset val="1"/>
      </rPr>
      <t xml:space="preserve">%</t>
    </r>
  </si>
  <si>
    <r>
      <rPr>
        <b val="true"/>
        <sz val="10"/>
        <color rgb="FFFFFFFF"/>
        <rFont val="Noto Sans CJK SC"/>
        <family val="2"/>
      </rPr>
      <t xml:space="preserve">毛利率同比变动</t>
    </r>
    <r>
      <rPr>
        <b val="true"/>
        <sz val="10"/>
        <color rgb="FFFFFFFF"/>
        <rFont val="Arial"/>
        <family val="0"/>
        <charset val="1"/>
      </rPr>
      <t xml:space="preserve">(</t>
    </r>
    <r>
      <rPr>
        <b val="true"/>
        <sz val="10"/>
        <color rgb="FFFFFFFF"/>
        <rFont val="Noto Sans CJK SC"/>
        <family val="2"/>
      </rPr>
      <t xml:space="preserve">百分点</t>
    </r>
    <r>
      <rPr>
        <b val="true"/>
        <sz val="10"/>
        <color rgb="FFFFFFFF"/>
        <rFont val="Arial"/>
        <family val="0"/>
        <charset val="1"/>
      </rPr>
      <t xml:space="preserve">)</t>
    </r>
  </si>
  <si>
    <t xml:space="preserve">工业（合计）</t>
  </si>
  <si>
    <r>
      <rPr>
        <b val="true"/>
        <sz val="10"/>
        <color rgb="FF1F3864"/>
        <rFont val="Noto Sans CJK SC"/>
        <family val="2"/>
      </rPr>
      <t xml:space="preserve">旧口径分产品</t>
    </r>
    <r>
      <rPr>
        <b val="true"/>
        <sz val="10"/>
        <color rgb="FF1F3864"/>
        <rFont val="Arial"/>
        <family val="0"/>
        <charset val="1"/>
      </rPr>
      <t xml:space="preserve">/</t>
    </r>
    <r>
      <rPr>
        <b val="true"/>
        <sz val="10"/>
        <color rgb="FF1F3864"/>
        <rFont val="Noto Sans CJK SC"/>
        <family val="2"/>
      </rPr>
      <t xml:space="preserve">地区</t>
    </r>
    <r>
      <rPr>
        <b val="true"/>
        <sz val="10"/>
        <color rgb="FF1F3864"/>
        <rFont val="Arial"/>
        <family val="0"/>
        <charset val="1"/>
      </rPr>
      <t xml:space="preserve">/</t>
    </r>
    <r>
      <rPr>
        <b val="true"/>
        <sz val="10"/>
        <color rgb="FF1F3864"/>
        <rFont val="Noto Sans CJK SC"/>
        <family val="2"/>
      </rPr>
      <t xml:space="preserve">模式收入与成本</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</si>
  <si>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t>
    </r>
    <r>
      <rPr>
        <i val="true"/>
        <sz val="10"/>
        <color rgb="FF595959"/>
        <rFont val="Noto Sans CJK SC"/>
        <family val="2"/>
      </rPr>
      <t xml:space="preserve">毛利率）；来源：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第三节四</t>
    </r>
    <r>
      <rPr>
        <i val="true"/>
        <sz val="10"/>
        <color rgb="FF595959"/>
        <rFont val="Arial"/>
        <family val="0"/>
        <charset val="1"/>
      </rPr>
      <t xml:space="preserve">.2(1)(2); 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第三节四</t>
    </r>
    <r>
      <rPr>
        <i val="true"/>
        <sz val="10"/>
        <color rgb="FF595959"/>
        <rFont val="Arial"/>
        <family val="0"/>
        <charset val="1"/>
      </rPr>
      <t xml:space="preserve">.2(1)(2);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第三节三</t>
    </r>
    <r>
      <rPr>
        <i val="true"/>
        <sz val="10"/>
        <color rgb="FF595959"/>
        <rFont val="Arial"/>
        <family val="0"/>
        <charset val="1"/>
      </rPr>
      <t xml:space="preserve">;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第三节三</t>
    </r>
  </si>
  <si>
    <r>
      <rPr>
        <b val="true"/>
        <sz val="10"/>
        <color rgb="FFFFFFFF"/>
        <rFont val="Arial"/>
        <family val="0"/>
        <charset val="1"/>
      </rPr>
      <t xml:space="preserve">FY2022</t>
    </r>
    <r>
      <rPr>
        <b val="true"/>
        <sz val="10"/>
        <color rgb="FFFFFFFF"/>
        <rFont val="Noto Sans CJK SC"/>
        <family val="2"/>
      </rPr>
      <t xml:space="preserve">收入</t>
    </r>
  </si>
  <si>
    <r>
      <rPr>
        <b val="true"/>
        <sz val="10"/>
        <color rgb="FFFFFFFF"/>
        <rFont val="Arial"/>
        <family val="0"/>
        <charset val="1"/>
      </rPr>
      <t xml:space="preserve">FY2023</t>
    </r>
    <r>
      <rPr>
        <b val="true"/>
        <sz val="10"/>
        <color rgb="FFFFFFFF"/>
        <rFont val="Noto Sans CJK SC"/>
        <family val="2"/>
      </rPr>
      <t xml:space="preserve">收入</t>
    </r>
  </si>
  <si>
    <r>
      <rPr>
        <b val="true"/>
        <sz val="10"/>
        <color rgb="FFFFFFFF"/>
        <rFont val="Arial"/>
        <family val="0"/>
        <charset val="1"/>
      </rPr>
      <t xml:space="preserve">FY2023</t>
    </r>
    <r>
      <rPr>
        <b val="true"/>
        <sz val="10"/>
        <color rgb="FFFFFFFF"/>
        <rFont val="Noto Sans CJK SC"/>
        <family val="2"/>
      </rPr>
      <t xml:space="preserve">成本</t>
    </r>
  </si>
  <si>
    <r>
      <rPr>
        <b val="true"/>
        <sz val="10"/>
        <color rgb="FFFFFFFF"/>
        <rFont val="Arial"/>
        <family val="0"/>
        <charset val="1"/>
      </rPr>
      <t xml:space="preserve">FY2023</t>
    </r>
    <r>
      <rPr>
        <b val="true"/>
        <sz val="10"/>
        <color rgb="FFFFFFFF"/>
        <rFont val="Noto Sans CJK SC"/>
        <family val="2"/>
      </rPr>
      <t xml:space="preserve">毛利率</t>
    </r>
    <r>
      <rPr>
        <b val="true"/>
        <sz val="10"/>
        <color rgb="FFFFFFFF"/>
        <rFont val="Arial"/>
        <family val="0"/>
        <charset val="1"/>
      </rPr>
      <t xml:space="preserve">%</t>
    </r>
  </si>
  <si>
    <r>
      <rPr>
        <b val="true"/>
        <sz val="10"/>
        <color rgb="FFFFFFFF"/>
        <rFont val="Arial"/>
        <family val="0"/>
        <charset val="1"/>
      </rPr>
      <t xml:space="preserve">FY2024</t>
    </r>
    <r>
      <rPr>
        <b val="true"/>
        <sz val="10"/>
        <color rgb="FFFFFFFF"/>
        <rFont val="Noto Sans CJK SC"/>
        <family val="2"/>
      </rPr>
      <t xml:space="preserve">收入</t>
    </r>
  </si>
  <si>
    <r>
      <rPr>
        <b val="true"/>
        <sz val="10"/>
        <color rgb="FFFFFFFF"/>
        <rFont val="Arial"/>
        <family val="0"/>
        <charset val="1"/>
      </rPr>
      <t xml:space="preserve">FY2024</t>
    </r>
    <r>
      <rPr>
        <b val="true"/>
        <sz val="10"/>
        <color rgb="FFFFFFFF"/>
        <rFont val="Noto Sans CJK SC"/>
        <family val="2"/>
      </rPr>
      <t xml:space="preserve">成本</t>
    </r>
  </si>
  <si>
    <r>
      <rPr>
        <b val="true"/>
        <sz val="10"/>
        <color rgb="FFFFFFFF"/>
        <rFont val="Arial"/>
        <family val="0"/>
        <charset val="1"/>
      </rPr>
      <t xml:space="preserve">FY2024</t>
    </r>
    <r>
      <rPr>
        <b val="true"/>
        <sz val="10"/>
        <color rgb="FFFFFFFF"/>
        <rFont val="Noto Sans CJK SC"/>
        <family val="2"/>
      </rPr>
      <t xml:space="preserve">毛利率</t>
    </r>
    <r>
      <rPr>
        <b val="true"/>
        <sz val="10"/>
        <color rgb="FFFFFFFF"/>
        <rFont val="Arial"/>
        <family val="0"/>
        <charset val="1"/>
      </rPr>
      <t xml:space="preserve">%</t>
    </r>
  </si>
  <si>
    <r>
      <rPr>
        <b val="true"/>
        <sz val="10"/>
        <color rgb="FFFFFFFF"/>
        <rFont val="Arial"/>
        <family val="0"/>
        <charset val="1"/>
      </rPr>
      <t xml:space="preserve">2025H1</t>
    </r>
    <r>
      <rPr>
        <b val="true"/>
        <sz val="10"/>
        <color rgb="FFFFFFFF"/>
        <rFont val="Noto Sans CJK SC"/>
        <family val="2"/>
      </rPr>
      <t xml:space="preserve">收入</t>
    </r>
  </si>
  <si>
    <r>
      <rPr>
        <b val="true"/>
        <sz val="10"/>
        <color rgb="FFFFFFFF"/>
        <rFont val="Arial"/>
        <family val="0"/>
        <charset val="1"/>
      </rPr>
      <t xml:space="preserve">2025H1</t>
    </r>
    <r>
      <rPr>
        <b val="true"/>
        <sz val="10"/>
        <color rgb="FFFFFFFF"/>
        <rFont val="Noto Sans CJK SC"/>
        <family val="2"/>
      </rPr>
      <t xml:space="preserve">成本</t>
    </r>
  </si>
  <si>
    <r>
      <rPr>
        <b val="true"/>
        <sz val="10"/>
        <color rgb="FFFFFFFF"/>
        <rFont val="Arial"/>
        <family val="0"/>
        <charset val="1"/>
      </rPr>
      <t xml:space="preserve">2025H1</t>
    </r>
    <r>
      <rPr>
        <b val="true"/>
        <sz val="10"/>
        <color rgb="FFFFFFFF"/>
        <rFont val="Noto Sans CJK SC"/>
        <family val="2"/>
      </rPr>
      <t xml:space="preserve">毛利率</t>
    </r>
    <r>
      <rPr>
        <b val="true"/>
        <sz val="10"/>
        <color rgb="FFFFFFFF"/>
        <rFont val="Arial"/>
        <family val="0"/>
        <charset val="1"/>
      </rPr>
      <t xml:space="preserve">%</t>
    </r>
  </si>
  <si>
    <r>
      <rPr>
        <b val="true"/>
        <sz val="10"/>
        <color rgb="FFFFFFFF"/>
        <rFont val="Arial"/>
        <family val="0"/>
        <charset val="1"/>
      </rPr>
      <t xml:space="preserve">2026H1</t>
    </r>
    <r>
      <rPr>
        <b val="true"/>
        <sz val="10"/>
        <color rgb="FFFFFFFF"/>
        <rFont val="Noto Sans CJK SC"/>
        <family val="2"/>
      </rPr>
      <t xml:space="preserve">收入</t>
    </r>
  </si>
  <si>
    <r>
      <rPr>
        <b val="true"/>
        <sz val="10"/>
        <color rgb="FFFFFFFF"/>
        <rFont val="Arial"/>
        <family val="0"/>
        <charset val="1"/>
      </rPr>
      <t xml:space="preserve">2026H1</t>
    </r>
    <r>
      <rPr>
        <b val="true"/>
        <sz val="10"/>
        <color rgb="FFFFFFFF"/>
        <rFont val="Noto Sans CJK SC"/>
        <family val="2"/>
      </rPr>
      <t xml:space="preserve">成本</t>
    </r>
  </si>
  <si>
    <r>
      <rPr>
        <b val="true"/>
        <sz val="10"/>
        <color rgb="FFFFFFFF"/>
        <rFont val="Arial"/>
        <family val="0"/>
        <charset val="1"/>
      </rPr>
      <t xml:space="preserve">2026H1</t>
    </r>
    <r>
      <rPr>
        <b val="true"/>
        <sz val="10"/>
        <color rgb="FFFFFFFF"/>
        <rFont val="Noto Sans CJK SC"/>
        <family val="2"/>
      </rPr>
      <t xml:space="preserve">毛利率</t>
    </r>
    <r>
      <rPr>
        <b val="true"/>
        <sz val="10"/>
        <color rgb="FFFFFFFF"/>
        <rFont val="Arial"/>
        <family val="0"/>
        <charset val="1"/>
      </rPr>
      <t xml:space="preserve">%</t>
    </r>
  </si>
  <si>
    <r>
      <rPr>
        <sz val="10"/>
        <color rgb="FF000000"/>
        <rFont val="Noto Sans CJK SC"/>
        <family val="2"/>
      </rPr>
      <t xml:space="preserve">工业合计</t>
    </r>
    <r>
      <rPr>
        <sz val="10"/>
        <color rgb="FF000000"/>
        <rFont val="Arial"/>
        <family val="0"/>
        <charset val="1"/>
      </rPr>
      <t xml:space="preserve">/</t>
    </r>
    <r>
      <rPr>
        <sz val="10"/>
        <color rgb="FF000000"/>
        <rFont val="Noto Sans CJK SC"/>
        <family val="2"/>
      </rPr>
      <t xml:space="preserve">营业收入与营业成本（</t>
    </r>
    <r>
      <rPr>
        <sz val="10"/>
        <color rgb="FF000000"/>
        <rFont val="Arial"/>
        <family val="0"/>
        <charset val="1"/>
      </rPr>
      <t xml:space="preserve">H1</t>
    </r>
    <r>
      <rPr>
        <sz val="10"/>
        <color rgb="FF000000"/>
        <rFont val="Noto Sans CJK SC"/>
        <family val="2"/>
      </rPr>
      <t xml:space="preserve">成本取自主要财务数据同比变动表，毛利率为推算）</t>
    </r>
  </si>
  <si>
    <r>
      <rPr>
        <sz val="10"/>
        <color rgb="FF000000"/>
        <rFont val="Noto Sans CJK SC"/>
        <family val="2"/>
      </rPr>
      <t xml:space="preserve">电子元件及材料</t>
    </r>
    <r>
      <rPr>
        <sz val="10"/>
        <color rgb="FF000000"/>
        <rFont val="Arial"/>
        <family val="0"/>
        <charset val="1"/>
      </rPr>
      <t xml:space="preserve">(FY2023</t>
    </r>
    <r>
      <rPr>
        <sz val="10"/>
        <color rgb="FF000000"/>
        <rFont val="Noto Sans CJK SC"/>
        <family val="2"/>
      </rPr>
      <t xml:space="preserve">口径</t>
    </r>
    <r>
      <rPr>
        <sz val="10"/>
        <color rgb="FF000000"/>
        <rFont val="Arial"/>
        <family val="0"/>
        <charset val="1"/>
      </rPr>
      <t xml:space="preserve">)</t>
    </r>
  </si>
  <si>
    <r>
      <rPr>
        <sz val="10"/>
        <color rgb="FF000000"/>
        <rFont val="Noto Sans CJK SC"/>
        <family val="2"/>
      </rPr>
      <t xml:space="preserve">通信部件</t>
    </r>
    <r>
      <rPr>
        <sz val="10"/>
        <color rgb="FF000000"/>
        <rFont val="Arial"/>
        <family val="0"/>
        <charset val="1"/>
      </rPr>
      <t xml:space="preserve">(FY2023</t>
    </r>
    <r>
      <rPr>
        <sz val="10"/>
        <color rgb="FF000000"/>
        <rFont val="Noto Sans CJK SC"/>
        <family val="2"/>
      </rPr>
      <t xml:space="preserve">口径</t>
    </r>
    <r>
      <rPr>
        <sz val="10"/>
        <color rgb="FF000000"/>
        <rFont val="Arial"/>
        <family val="0"/>
        <charset val="1"/>
      </rPr>
      <t xml:space="preserve">)</t>
    </r>
  </si>
  <si>
    <r>
      <rPr>
        <sz val="10"/>
        <color rgb="FF000000"/>
        <rFont val="Noto Sans CJK SC"/>
        <family val="2"/>
      </rPr>
      <t xml:space="preserve">压缩机部件</t>
    </r>
    <r>
      <rPr>
        <sz val="10"/>
        <color rgb="FF000000"/>
        <rFont val="Arial"/>
        <family val="0"/>
        <charset val="1"/>
      </rPr>
      <t xml:space="preserve">(FY2023</t>
    </r>
    <r>
      <rPr>
        <sz val="10"/>
        <color rgb="FF000000"/>
        <rFont val="Noto Sans CJK SC"/>
        <family val="2"/>
      </rPr>
      <t xml:space="preserve">口径</t>
    </r>
    <r>
      <rPr>
        <sz val="10"/>
        <color rgb="FF000000"/>
        <rFont val="Arial"/>
        <family val="0"/>
        <charset val="1"/>
      </rPr>
      <t xml:space="preserve">)</t>
    </r>
  </si>
  <si>
    <r>
      <rPr>
        <sz val="10"/>
        <color rgb="FF000000"/>
        <rFont val="Noto Sans CJK SC"/>
        <family val="2"/>
      </rPr>
      <t xml:space="preserve">其他</t>
    </r>
    <r>
      <rPr>
        <sz val="10"/>
        <color rgb="FF000000"/>
        <rFont val="Arial"/>
        <family val="0"/>
        <charset val="1"/>
      </rPr>
      <t xml:space="preserve">(FY2023</t>
    </r>
    <r>
      <rPr>
        <sz val="10"/>
        <color rgb="FF000000"/>
        <rFont val="Noto Sans CJK SC"/>
        <family val="2"/>
      </rPr>
      <t xml:space="preserve">口径</t>
    </r>
    <r>
      <rPr>
        <sz val="10"/>
        <color rgb="FF000000"/>
        <rFont val="Arial"/>
        <family val="0"/>
        <charset val="1"/>
      </rPr>
      <t xml:space="preserve">)</t>
    </r>
  </si>
  <si>
    <r>
      <rPr>
        <sz val="10"/>
        <color rgb="FF000000"/>
        <rFont val="Noto Sans CJK SC"/>
        <family val="2"/>
      </rPr>
      <t xml:space="preserve">电子、通信元件及材料</t>
    </r>
    <r>
      <rPr>
        <sz val="10"/>
        <color rgb="FF000000"/>
        <rFont val="Arial"/>
        <family val="0"/>
        <charset val="1"/>
      </rPr>
      <t xml:space="preserve">(FY2024/H1</t>
    </r>
    <r>
      <rPr>
        <sz val="10"/>
        <color rgb="FF000000"/>
        <rFont val="Noto Sans CJK SC"/>
        <family val="2"/>
      </rPr>
      <t xml:space="preserve">口径</t>
    </r>
    <r>
      <rPr>
        <sz val="10"/>
        <color rgb="FF000000"/>
        <rFont val="Arial"/>
        <family val="0"/>
        <charset val="1"/>
      </rPr>
      <t xml:space="preserve">)</t>
    </r>
  </si>
  <si>
    <r>
      <rPr>
        <sz val="10"/>
        <color rgb="FF000000"/>
        <rFont val="Noto Sans CJK SC"/>
        <family val="2"/>
      </rPr>
      <t xml:space="preserve">其他</t>
    </r>
    <r>
      <rPr>
        <sz val="10"/>
        <color rgb="FF000000"/>
        <rFont val="Arial"/>
        <family val="0"/>
        <charset val="1"/>
      </rPr>
      <t xml:space="preserve">(FY2024</t>
    </r>
    <r>
      <rPr>
        <sz val="10"/>
        <color rgb="FF000000"/>
        <rFont val="Noto Sans CJK SC"/>
        <family val="2"/>
      </rPr>
      <t xml:space="preserve">口径</t>
    </r>
    <r>
      <rPr>
        <sz val="10"/>
        <color rgb="FF000000"/>
        <rFont val="Arial"/>
        <family val="0"/>
        <charset val="1"/>
      </rPr>
      <t xml:space="preserve">)</t>
    </r>
  </si>
  <si>
    <t xml:space="preserve">境内</t>
  </si>
  <si>
    <t xml:space="preserve">境外</t>
  </si>
  <si>
    <t xml:space="preserve">直销</t>
  </si>
  <si>
    <t xml:space="preserve">分销</t>
  </si>
  <si>
    <r>
      <rPr>
        <sz val="10"/>
        <color rgb="FF000000"/>
        <rFont val="Noto Sans CJK SC"/>
        <family val="2"/>
      </rPr>
      <t xml:space="preserve">其他（</t>
    </r>
    <r>
      <rPr>
        <sz val="10"/>
        <color rgb="FF000000"/>
        <rFont val="Arial"/>
        <family val="0"/>
        <charset val="1"/>
      </rPr>
      <t xml:space="preserve">2026H1</t>
    </r>
    <r>
      <rPr>
        <sz val="10"/>
        <color rgb="FF000000"/>
        <rFont val="Noto Sans CJK SC"/>
        <family val="2"/>
      </rPr>
      <t xml:space="preserve">口径，推算</t>
    </r>
    <r>
      <rPr>
        <sz val="10"/>
        <color rgb="FF000000"/>
        <rFont val="Arial"/>
        <family val="0"/>
        <charset val="1"/>
      </rPr>
      <t xml:space="preserve">=</t>
    </r>
    <r>
      <rPr>
        <sz val="10"/>
        <color rgb="FF000000"/>
        <rFont val="Noto Sans CJK SC"/>
        <family val="2"/>
      </rPr>
      <t xml:space="preserve">营收</t>
    </r>
    <r>
      <rPr>
        <sz val="10"/>
        <color rgb="FF000000"/>
        <rFont val="Arial"/>
        <family val="0"/>
        <charset val="1"/>
      </rPr>
      <t xml:space="preserve">-</t>
    </r>
    <r>
      <rPr>
        <sz val="10"/>
        <color rgb="FF000000"/>
        <rFont val="Noto Sans CJK SC"/>
        <family val="2"/>
      </rPr>
      <t xml:space="preserve">电子、通信元件及材料）</t>
    </r>
  </si>
  <si>
    <r>
      <rPr>
        <b val="true"/>
        <sz val="10"/>
        <color rgb="FF1F3864"/>
        <rFont val="Noto Sans CJK SC"/>
        <family val="2"/>
      </rPr>
      <t xml:space="preserve">占比</t>
    </r>
    <r>
      <rPr>
        <b val="true"/>
        <sz val="10"/>
        <color rgb="FF1F3864"/>
        <rFont val="Arial"/>
        <family val="0"/>
        <charset val="1"/>
      </rPr>
      <t xml:space="preserve">10%</t>
    </r>
    <r>
      <rPr>
        <b val="true"/>
        <sz val="10"/>
        <color rgb="FF1F3864"/>
        <rFont val="Noto Sans CJK SC"/>
        <family val="2"/>
      </rPr>
      <t xml:space="preserve">以上产品（电子、通信元件及材料）披露的同比变动及隐含上期数</t>
    </r>
  </si>
  <si>
    <r>
      <rPr>
        <i val="true"/>
        <sz val="10"/>
        <color rgb="FF595959"/>
        <rFont val="Noto Sans CJK SC"/>
        <family val="2"/>
      </rPr>
      <t xml:space="preserve">单位：</t>
    </r>
    <r>
      <rPr>
        <i val="true"/>
        <sz val="10"/>
        <color rgb="FF595959"/>
        <rFont val="Arial"/>
        <family val="0"/>
        <charset val="1"/>
      </rPr>
      <t xml:space="preserve">% / </t>
    </r>
    <r>
      <rPr>
        <i val="true"/>
        <sz val="10"/>
        <color rgb="FF595959"/>
        <rFont val="Noto Sans CJK SC"/>
        <family val="2"/>
      </rPr>
      <t xml:space="preserve">百分点 </t>
    </r>
    <r>
      <rPr>
        <i val="true"/>
        <sz val="10"/>
        <color rgb="FF595959"/>
        <rFont val="Arial"/>
        <family val="0"/>
        <charset val="1"/>
      </rPr>
      <t xml:space="preserve">/ </t>
    </r>
    <r>
      <rPr>
        <i val="true"/>
        <sz val="10"/>
        <color rgb="FF595959"/>
        <rFont val="Noto Sans CJK SC"/>
        <family val="2"/>
      </rPr>
      <t xml:space="preserve">元（隐含值为推算）；来源：</t>
    </r>
    <r>
      <rPr>
        <i val="true"/>
        <sz val="10"/>
        <color rgb="FF595959"/>
        <rFont val="Arial"/>
        <family val="0"/>
        <charset val="1"/>
      </rPr>
      <t xml:space="preserve">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第三节四</t>
    </r>
    <r>
      <rPr>
        <i val="true"/>
        <sz val="10"/>
        <color rgb="FF595959"/>
        <rFont val="Arial"/>
        <family val="0"/>
        <charset val="1"/>
      </rPr>
      <t xml:space="preserve">.2(2);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第三节三</t>
    </r>
    <r>
      <rPr>
        <i val="true"/>
        <sz val="10"/>
        <color rgb="FF595959"/>
        <rFont val="Arial"/>
        <family val="0"/>
        <charset val="1"/>
      </rPr>
      <t xml:space="preserve">;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第三节三</t>
    </r>
  </si>
  <si>
    <r>
      <rPr>
        <b val="true"/>
        <sz val="10"/>
        <color rgb="FFFFFFFF"/>
        <rFont val="Arial"/>
        <family val="0"/>
        <charset val="1"/>
      </rPr>
      <t xml:space="preserve">FY2024(</t>
    </r>
    <r>
      <rPr>
        <b val="true"/>
        <sz val="10"/>
        <color rgb="FFFFFFFF"/>
        <rFont val="Noto Sans CJK SC"/>
        <family val="2"/>
      </rPr>
      <t xml:space="preserve">对</t>
    </r>
    <r>
      <rPr>
        <b val="true"/>
        <sz val="10"/>
        <color rgb="FFFFFFFF"/>
        <rFont val="Arial"/>
        <family val="0"/>
        <charset val="1"/>
      </rPr>
      <t xml:space="preserve">FY2023)</t>
    </r>
  </si>
  <si>
    <r>
      <rPr>
        <b val="true"/>
        <sz val="10"/>
        <color rgb="FFFFFFFF"/>
        <rFont val="Arial"/>
        <family val="0"/>
        <charset val="1"/>
      </rPr>
      <t xml:space="preserve">2025H1(</t>
    </r>
    <r>
      <rPr>
        <b val="true"/>
        <sz val="10"/>
        <color rgb="FFFFFFFF"/>
        <rFont val="Noto Sans CJK SC"/>
        <family val="2"/>
      </rPr>
      <t xml:space="preserve">对</t>
    </r>
    <r>
      <rPr>
        <b val="true"/>
        <sz val="10"/>
        <color rgb="FFFFFFFF"/>
        <rFont val="Arial"/>
        <family val="0"/>
        <charset val="1"/>
      </rPr>
      <t xml:space="preserve">2024H1)</t>
    </r>
  </si>
  <si>
    <r>
      <rPr>
        <b val="true"/>
        <sz val="10"/>
        <color rgb="FFFFFFFF"/>
        <rFont val="Arial"/>
        <family val="0"/>
        <charset val="1"/>
      </rPr>
      <t xml:space="preserve">2026H1(</t>
    </r>
    <r>
      <rPr>
        <b val="true"/>
        <sz val="10"/>
        <color rgb="FFFFFFFF"/>
        <rFont val="Noto Sans CJK SC"/>
        <family val="2"/>
      </rPr>
      <t xml:space="preserve">对</t>
    </r>
    <r>
      <rPr>
        <b val="true"/>
        <sz val="10"/>
        <color rgb="FFFFFFFF"/>
        <rFont val="Arial"/>
        <family val="0"/>
        <charset val="1"/>
      </rPr>
      <t xml:space="preserve">2025H1)</t>
    </r>
  </si>
  <si>
    <r>
      <rPr>
        <sz val="10"/>
        <color rgb="FF000000"/>
        <rFont val="Noto Sans CJK SC"/>
        <family val="2"/>
      </rPr>
      <t xml:space="preserve">营业收入同比增减</t>
    </r>
    <r>
      <rPr>
        <sz val="10"/>
        <color rgb="FF000000"/>
        <rFont val="Arial"/>
        <family val="0"/>
        <charset val="1"/>
      </rPr>
      <t xml:space="preserve">%</t>
    </r>
    <r>
      <rPr>
        <sz val="10"/>
        <color rgb="FF000000"/>
        <rFont val="Noto Sans CJK SC"/>
        <family val="2"/>
      </rPr>
      <t xml:space="preserve">（披露）</t>
    </r>
  </si>
  <si>
    <r>
      <rPr>
        <sz val="10"/>
        <color rgb="FF000000"/>
        <rFont val="Noto Sans CJK SC"/>
        <family val="2"/>
      </rPr>
      <t xml:space="preserve">营业成本同比增减</t>
    </r>
    <r>
      <rPr>
        <sz val="10"/>
        <color rgb="FF000000"/>
        <rFont val="Arial"/>
        <family val="0"/>
        <charset val="1"/>
      </rPr>
      <t xml:space="preserve">%</t>
    </r>
    <r>
      <rPr>
        <sz val="10"/>
        <color rgb="FF000000"/>
        <rFont val="Noto Sans CJK SC"/>
        <family val="2"/>
      </rPr>
      <t xml:space="preserve">（披露）</t>
    </r>
  </si>
  <si>
    <t xml:space="preserve">毛利率同比增减（百分点，披露）</t>
  </si>
  <si>
    <r>
      <rPr>
        <sz val="10"/>
        <color rgb="FF000000"/>
        <rFont val="Noto Sans CJK SC"/>
        <family val="2"/>
      </rPr>
      <t xml:space="preserve">隐含上期营业收入（推算</t>
    </r>
    <r>
      <rPr>
        <sz val="10"/>
        <color rgb="FF000000"/>
        <rFont val="Arial"/>
        <family val="0"/>
        <charset val="1"/>
      </rPr>
      <t xml:space="preserve">=</t>
    </r>
    <r>
      <rPr>
        <sz val="10"/>
        <color rgb="FF000000"/>
        <rFont val="Noto Sans CJK SC"/>
        <family val="2"/>
      </rPr>
      <t xml:space="preserve">本期</t>
    </r>
    <r>
      <rPr>
        <sz val="10"/>
        <color rgb="FF000000"/>
        <rFont val="Arial"/>
        <family val="0"/>
        <charset val="1"/>
      </rPr>
      <t xml:space="preserve">/(1+</t>
    </r>
    <r>
      <rPr>
        <sz val="10"/>
        <color rgb="FF000000"/>
        <rFont val="Noto Sans CJK SC"/>
        <family val="2"/>
      </rPr>
      <t xml:space="preserve">增幅</t>
    </r>
    <r>
      <rPr>
        <sz val="10"/>
        <color rgb="FF000000"/>
        <rFont val="Arial"/>
        <family val="0"/>
        <charset val="1"/>
      </rPr>
      <t xml:space="preserve">)</t>
    </r>
    <r>
      <rPr>
        <sz val="10"/>
        <color rgb="FF000000"/>
        <rFont val="Noto Sans CJK SC"/>
        <family val="2"/>
      </rPr>
      <t xml:space="preserve">）</t>
    </r>
  </si>
  <si>
    <r>
      <rPr>
        <sz val="10"/>
        <color rgb="FF000000"/>
        <rFont val="Noto Sans CJK SC"/>
        <family val="2"/>
      </rPr>
      <t xml:space="preserve">隐含上期营业成本（推算</t>
    </r>
    <r>
      <rPr>
        <sz val="10"/>
        <color rgb="FF000000"/>
        <rFont val="Arial"/>
        <family val="0"/>
        <charset val="1"/>
      </rPr>
      <t xml:space="preserve">=</t>
    </r>
    <r>
      <rPr>
        <sz val="10"/>
        <color rgb="FF000000"/>
        <rFont val="Noto Sans CJK SC"/>
        <family val="2"/>
      </rPr>
      <t xml:space="preserve">本期</t>
    </r>
    <r>
      <rPr>
        <sz val="10"/>
        <color rgb="FF000000"/>
        <rFont val="Arial"/>
        <family val="0"/>
        <charset val="1"/>
      </rPr>
      <t xml:space="preserve">/(1+</t>
    </r>
    <r>
      <rPr>
        <sz val="10"/>
        <color rgb="FF000000"/>
        <rFont val="Noto Sans CJK SC"/>
        <family val="2"/>
      </rPr>
      <t xml:space="preserve">增幅</t>
    </r>
    <r>
      <rPr>
        <sz val="10"/>
        <color rgb="FF000000"/>
        <rFont val="Arial"/>
        <family val="0"/>
        <charset val="1"/>
      </rPr>
      <t xml:space="preserve">)</t>
    </r>
    <r>
      <rPr>
        <sz val="10"/>
        <color rgb="FF000000"/>
        <rFont val="Noto Sans CJK SC"/>
        <family val="2"/>
      </rPr>
      <t xml:space="preserve">）</t>
    </r>
  </si>
  <si>
    <r>
      <rPr>
        <sz val="10"/>
        <color rgb="FF000000"/>
        <rFont val="Noto Sans CJK SC"/>
        <family val="2"/>
      </rPr>
      <t xml:space="preserve">隐含上期毛利率</t>
    </r>
    <r>
      <rPr>
        <sz val="10"/>
        <color rgb="FF000000"/>
        <rFont val="Arial"/>
        <family val="0"/>
        <charset val="1"/>
      </rPr>
      <t xml:space="preserve">%</t>
    </r>
    <r>
      <rPr>
        <sz val="10"/>
        <color rgb="FF000000"/>
        <rFont val="Noto Sans CJK SC"/>
        <family val="2"/>
      </rPr>
      <t xml:space="preserve">（推算</t>
    </r>
    <r>
      <rPr>
        <sz val="10"/>
        <color rgb="FF000000"/>
        <rFont val="Arial"/>
        <family val="0"/>
        <charset val="1"/>
      </rPr>
      <t xml:space="preserve">=</t>
    </r>
    <r>
      <rPr>
        <sz val="10"/>
        <color rgb="FF000000"/>
        <rFont val="Noto Sans CJK SC"/>
        <family val="2"/>
      </rPr>
      <t xml:space="preserve">本期</t>
    </r>
    <r>
      <rPr>
        <sz val="10"/>
        <color rgb="FF000000"/>
        <rFont val="Arial"/>
        <family val="0"/>
        <charset val="1"/>
      </rPr>
      <t xml:space="preserve">-</t>
    </r>
    <r>
      <rPr>
        <sz val="10"/>
        <color rgb="FF000000"/>
        <rFont val="Noto Sans CJK SC"/>
        <family val="2"/>
      </rPr>
      <t xml:space="preserve">变动）</t>
    </r>
  </si>
  <si>
    <t xml:space="preserve">产销存量（工业，全部产品合计）</t>
  </si>
  <si>
    <r>
      <rPr>
        <i val="true"/>
        <sz val="10"/>
        <color rgb="FF595959"/>
        <rFont val="Noto Sans CJK SC"/>
        <family val="2"/>
      </rPr>
      <t xml:space="preserve">单位：万只</t>
    </r>
    <r>
      <rPr>
        <i val="true"/>
        <sz val="10"/>
        <color rgb="FF595959"/>
        <rFont val="Arial"/>
        <family val="0"/>
        <charset val="1"/>
      </rPr>
      <t xml:space="preserve">/</t>
    </r>
    <r>
      <rPr>
        <i val="true"/>
        <sz val="10"/>
        <color rgb="FF595959"/>
        <rFont val="Noto Sans CJK SC"/>
        <family val="2"/>
      </rPr>
      <t xml:space="preserve">万片；来源：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(2024-04-27)/FY2024</t>
    </r>
    <r>
      <rPr>
        <i val="true"/>
        <sz val="10"/>
        <color rgb="FF595959"/>
        <rFont val="Noto Sans CJK SC"/>
        <family val="2"/>
      </rPr>
      <t xml:space="preserve">年报</t>
    </r>
    <r>
      <rPr>
        <i val="true"/>
        <sz val="10"/>
        <color rgb="FF595959"/>
        <rFont val="Arial"/>
        <family val="0"/>
        <charset val="1"/>
      </rPr>
      <t xml:space="preserve">(2025-04-24)/FY2025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第三节四</t>
    </r>
    <r>
      <rPr>
        <i val="true"/>
        <sz val="10"/>
        <color rgb="FF595959"/>
        <rFont val="Arial"/>
        <family val="0"/>
        <charset val="1"/>
      </rPr>
      <t xml:space="preserve">.2(3)</t>
    </r>
  </si>
  <si>
    <t xml:space="preserve">库存量（期末）</t>
  </si>
  <si>
    <r>
      <rPr>
        <b val="true"/>
        <sz val="10"/>
        <color rgb="FF1F3864"/>
        <rFont val="Noto Sans CJK SC"/>
        <family val="2"/>
      </rPr>
      <t xml:space="preserve">重要在建工程项目本期变动（</t>
    </r>
    <r>
      <rPr>
        <b val="true"/>
        <sz val="10"/>
        <color rgb="FF1F3864"/>
        <rFont val="Arial"/>
        <family val="0"/>
        <charset val="1"/>
      </rPr>
      <t xml:space="preserve">FY2025</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</si>
  <si>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last two columns</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第八节七</t>
    </r>
    <r>
      <rPr>
        <i val="true"/>
        <sz val="10"/>
        <color rgb="FF595959"/>
        <rFont val="Arial"/>
        <family val="0"/>
        <charset val="1"/>
      </rPr>
      <t xml:space="preserve">.13(2) (PDF p.122, confirmed with pdftotext -raw)</t>
    </r>
  </si>
  <si>
    <t xml:space="preserve">本期转入固定资产</t>
  </si>
  <si>
    <t xml:space="preserve">本期其他减少</t>
  </si>
  <si>
    <r>
      <rPr>
        <b val="true"/>
        <sz val="10"/>
        <color rgb="FFFFFFFF"/>
        <rFont val="Noto Sans CJK SC"/>
        <family val="2"/>
      </rPr>
      <t xml:space="preserve">工程累计投入占预算比例</t>
    </r>
    <r>
      <rPr>
        <b val="true"/>
        <sz val="10"/>
        <color rgb="FFFFFFFF"/>
        <rFont val="Arial"/>
        <family val="0"/>
        <charset val="1"/>
      </rPr>
      <t xml:space="preserve">%</t>
    </r>
  </si>
  <si>
    <r>
      <rPr>
        <b val="true"/>
        <sz val="10"/>
        <color rgb="FFFFFFFF"/>
        <rFont val="Noto Sans CJK SC"/>
        <family val="2"/>
      </rPr>
      <t xml:space="preserve">工程进度</t>
    </r>
    <r>
      <rPr>
        <b val="true"/>
        <sz val="10"/>
        <color rgb="FFFFFFFF"/>
        <rFont val="Arial"/>
        <family val="0"/>
        <charset val="1"/>
      </rPr>
      <t xml:space="preserve">%</t>
    </r>
  </si>
  <si>
    <t xml:space="preserve">苏州三环科技有限公司华东区总部项目（自有资金）</t>
  </si>
  <si>
    <t xml:space="preserve">德阳新厂区扩建工程（自有资金、募集资金）</t>
  </si>
  <si>
    <r>
      <rPr>
        <sz val="10"/>
        <color rgb="FF000000"/>
        <rFont val="Arial"/>
        <family val="0"/>
        <charset val="1"/>
      </rPr>
      <t xml:space="preserve">Glory Winner(Thailand)Co.,Ltd.</t>
    </r>
    <r>
      <rPr>
        <sz val="10"/>
        <color rgb="FF000000"/>
        <rFont val="Noto Sans CJK SC"/>
        <family val="2"/>
      </rPr>
      <t xml:space="preserve">新厂区工程（自有资金）</t>
    </r>
  </si>
  <si>
    <r>
      <rPr>
        <b val="true"/>
        <sz val="10"/>
        <color rgb="FF1F3864"/>
        <rFont val="Noto Sans CJK SC"/>
        <family val="2"/>
      </rPr>
      <t xml:space="preserve">重要在建工程项目本期变动（</t>
    </r>
    <r>
      <rPr>
        <b val="true"/>
        <sz val="10"/>
        <color rgb="FF1F3864"/>
        <rFont val="Arial"/>
        <family val="0"/>
        <charset val="1"/>
      </rPr>
      <t xml:space="preserve">FY2024</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</si>
  <si>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last two columns</t>
    </r>
    <r>
      <rPr>
        <i val="true"/>
        <sz val="10"/>
        <color rgb="FF595959"/>
        <rFont val="Noto Sans CJK SC"/>
        <family val="2"/>
      </rPr>
      <t xml:space="preserve">）；来源：</t>
    </r>
    <r>
      <rPr>
        <i val="true"/>
        <sz val="10"/>
        <color rgb="FF595959"/>
        <rFont val="Arial"/>
        <family val="0"/>
        <charset val="1"/>
      </rPr>
      <t xml:space="preserve">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第十节七 在建工程</t>
    </r>
    <r>
      <rPr>
        <i val="true"/>
        <sz val="10"/>
        <color rgb="FF595959"/>
        <rFont val="Arial"/>
        <family val="0"/>
        <charset val="1"/>
      </rPr>
      <t xml:space="preserve">(2) (PDF p.141-142, pdftotext -raw)</t>
    </r>
  </si>
  <si>
    <t xml:space="preserve">成都三环研究院（自有资金）</t>
  </si>
  <si>
    <t xml:space="preserve">德阳新厂区工程（自有资金）</t>
  </si>
  <si>
    <t xml:space="preserve">德阳新厂区扩建工程（募集资金、自有资金）</t>
  </si>
  <si>
    <r>
      <rPr>
        <b val="true"/>
        <sz val="10"/>
        <color rgb="FF1F3864"/>
        <rFont val="Noto Sans CJK SC"/>
        <family val="2"/>
      </rPr>
      <t xml:space="preserve">重要在建工程项目本期变动（</t>
    </r>
    <r>
      <rPr>
        <b val="true"/>
        <sz val="10"/>
        <color rgb="FF1F3864"/>
        <rFont val="Arial"/>
        <family val="0"/>
        <charset val="1"/>
      </rPr>
      <t xml:space="preserve">2025H1</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</si>
  <si>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last two columns</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财务报告附注 在建工程</t>
    </r>
    <r>
      <rPr>
        <i val="true"/>
        <sz val="10"/>
        <color rgb="FF595959"/>
        <rFont val="Arial"/>
        <family val="0"/>
        <charset val="1"/>
      </rPr>
      <t xml:space="preserve">(2) (PDF p.85-86, pdftotext -raw)</t>
    </r>
  </si>
  <si>
    <r>
      <rPr>
        <b val="true"/>
        <sz val="10"/>
        <color rgb="FF1F3864"/>
        <rFont val="Noto Sans CJK SC"/>
        <family val="2"/>
      </rPr>
      <t xml:space="preserve">重要在建工程项目本期变动（</t>
    </r>
    <r>
      <rPr>
        <b val="true"/>
        <sz val="10"/>
        <color rgb="FF1F3864"/>
        <rFont val="Arial"/>
        <family val="0"/>
        <charset val="1"/>
      </rPr>
      <t xml:space="preserve">2026H1</t>
    </r>
    <r>
      <rPr>
        <b val="true"/>
        <sz val="10"/>
        <color rgb="FF1F3864"/>
        <rFont val="Noto Sans CJK SC"/>
        <family val="2"/>
      </rPr>
      <t xml:space="preserve">）</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</si>
  <si>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last two columns</t>
    </r>
    <r>
      <rPr>
        <i val="true"/>
        <sz val="10"/>
        <color rgb="FF595959"/>
        <rFont val="Noto Sans CJK SC"/>
        <family val="2"/>
      </rPr>
      <t xml:space="preserve">）；来源：</t>
    </r>
    <r>
      <rPr>
        <i val="true"/>
        <sz val="10"/>
        <color rgb="FF595959"/>
        <rFont val="Arial"/>
        <family val="0"/>
        <charset val="1"/>
      </rPr>
      <t xml:space="preserve">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第八节七</t>
    </r>
    <r>
      <rPr>
        <i val="true"/>
        <sz val="10"/>
        <color rgb="FF595959"/>
        <rFont val="Arial"/>
        <family val="0"/>
        <charset val="1"/>
      </rPr>
      <t xml:space="preserve">.13(2)</t>
    </r>
  </si>
  <si>
    <r>
      <rPr>
        <sz val="10"/>
        <color rgb="FF000000"/>
        <rFont val="Noto Sans CJK SC"/>
        <family val="2"/>
      </rPr>
      <t xml:space="preserve">新厂区建设工程（募集资金、自有资金；实施主体未披露，推断为德阳新厂区扩建工程续建</t>
    </r>
    <r>
      <rPr>
        <sz val="10"/>
        <color rgb="FF000000"/>
        <rFont val="Arial"/>
        <family val="0"/>
        <charset val="1"/>
      </rPr>
      <t xml:space="preserve">/</t>
    </r>
    <r>
      <rPr>
        <sz val="10"/>
        <color rgb="FF000000"/>
        <rFont val="Noto Sans CJK SC"/>
        <family val="2"/>
      </rPr>
      <t xml:space="preserve">扩预算）</t>
    </r>
  </si>
  <si>
    <t xml:space="preserve">在建工程按类别（期末账面价值，无减值）</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</si>
  <si>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第八节七</t>
    </r>
    <r>
      <rPr>
        <i val="true"/>
        <sz val="10"/>
        <color rgb="FF595959"/>
        <rFont val="Arial"/>
        <family val="0"/>
        <charset val="1"/>
      </rPr>
      <t xml:space="preserve">.13(1);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第八节七</t>
    </r>
    <r>
      <rPr>
        <i val="true"/>
        <sz val="10"/>
        <color rgb="FF595959"/>
        <rFont val="Arial"/>
        <family val="0"/>
        <charset val="1"/>
      </rPr>
      <t xml:space="preserve">.13(1)</t>
    </r>
  </si>
  <si>
    <r>
      <rPr>
        <b val="true"/>
        <sz val="10"/>
        <color rgb="FF1F3864"/>
        <rFont val="Arial"/>
        <family val="0"/>
        <charset val="1"/>
      </rPr>
      <t xml:space="preserve">2021</t>
    </r>
    <r>
      <rPr>
        <b val="true"/>
        <sz val="10"/>
        <color rgb="FF1F3864"/>
        <rFont val="Noto Sans CJK SC"/>
        <family val="2"/>
      </rPr>
      <t xml:space="preserve">年向特定对象发行股票募集资金使用（截至期末）</t>
    </r>
  </si>
  <si>
    <r>
      <rPr>
        <i val="true"/>
        <sz val="10"/>
        <color rgb="FF595959"/>
        <rFont val="Noto Sans CJK SC"/>
        <family val="2"/>
      </rPr>
      <t xml:space="preserve">单位：百万元（原表单位万元；比例、单价、股数、人数等非金额行列保持原值；原单位说明：万元</t>
    </r>
    <r>
      <rPr>
        <i val="true"/>
        <sz val="10"/>
        <color rgb="FF595959"/>
        <rFont val="Arial"/>
        <family val="0"/>
        <charset val="1"/>
      </rPr>
      <t xml:space="preserve">; % for ratio rows</t>
    </r>
    <r>
      <rPr>
        <i val="true"/>
        <sz val="10"/>
        <color rgb="FF595959"/>
        <rFont val="Noto Sans CJK SC"/>
        <family val="2"/>
      </rPr>
      <t xml:space="preserve">）；来源：</t>
    </r>
    <r>
      <rPr>
        <i val="true"/>
        <sz val="10"/>
        <color rgb="FF595959"/>
        <rFont val="Arial"/>
        <family val="0"/>
        <charset val="1"/>
      </rPr>
      <t xml:space="preserve">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第三节 募集资金使用情况</t>
    </r>
    <r>
      <rPr>
        <i val="true"/>
        <sz val="10"/>
        <color rgb="FF595959"/>
        <rFont val="Arial"/>
        <family val="0"/>
        <charset val="1"/>
      </rPr>
      <t xml:space="preserve">; 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第五节十六</t>
    </r>
    <r>
      <rPr>
        <i val="true"/>
        <sz val="10"/>
        <color rgb="FF595959"/>
        <rFont val="Arial"/>
        <family val="0"/>
        <charset val="1"/>
      </rPr>
      <t xml:space="preserve">;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第三节六</t>
    </r>
    <r>
      <rPr>
        <i val="true"/>
        <sz val="10"/>
        <color rgb="FF595959"/>
        <rFont val="Arial"/>
        <family val="0"/>
        <charset val="1"/>
      </rPr>
      <t xml:space="preserve">.5</t>
    </r>
  </si>
  <si>
    <t xml:space="preserve">本期已使用募集资金总额</t>
  </si>
  <si>
    <t xml:space="preserve">已累计使用募集资金总额</t>
  </si>
  <si>
    <r>
      <rPr>
        <sz val="10"/>
        <color rgb="FF000000"/>
        <rFont val="Noto Sans CJK SC"/>
        <family val="2"/>
      </rPr>
      <t xml:space="preserve">累计使用比例</t>
    </r>
    <r>
      <rPr>
        <sz val="10"/>
        <color rgb="FF000000"/>
        <rFont val="Arial"/>
        <family val="0"/>
        <charset val="1"/>
      </rPr>
      <t xml:space="preserve">%</t>
    </r>
  </si>
  <si>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r>
      <rPr>
        <sz val="10"/>
        <color rgb="FF000000"/>
        <rFont val="Arial"/>
        <family val="0"/>
        <charset val="1"/>
      </rPr>
      <t xml:space="preserve">-</t>
    </r>
    <r>
      <rPr>
        <sz val="10"/>
        <color rgb="FF000000"/>
        <rFont val="Noto Sans CJK SC"/>
        <family val="2"/>
      </rPr>
      <t xml:space="preserve">承诺投资总额</t>
    </r>
  </si>
  <si>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r>
      <rPr>
        <sz val="10"/>
        <color rgb="FF000000"/>
        <rFont val="Arial"/>
        <family val="0"/>
        <charset val="1"/>
      </rPr>
      <t xml:space="preserve">-</t>
    </r>
    <r>
      <rPr>
        <sz val="10"/>
        <color rgb="FF000000"/>
        <rFont val="Noto Sans CJK SC"/>
        <family val="2"/>
      </rPr>
      <t xml:space="preserve">调整后投资总额</t>
    </r>
  </si>
  <si>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r>
      <rPr>
        <sz val="10"/>
        <color rgb="FF000000"/>
        <rFont val="Arial"/>
        <family val="0"/>
        <charset val="1"/>
      </rPr>
      <t xml:space="preserve">-</t>
    </r>
    <r>
      <rPr>
        <sz val="10"/>
        <color rgb="FF000000"/>
        <rFont val="Noto Sans CJK SC"/>
        <family val="2"/>
      </rPr>
      <t xml:space="preserve">本期投入</t>
    </r>
  </si>
  <si>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r>
      <rPr>
        <sz val="10"/>
        <color rgb="FF000000"/>
        <rFont val="Arial"/>
        <family val="0"/>
        <charset val="1"/>
      </rPr>
      <t xml:space="preserve">-</t>
    </r>
    <r>
      <rPr>
        <sz val="10"/>
        <color rgb="FF000000"/>
        <rFont val="Noto Sans CJK SC"/>
        <family val="2"/>
      </rPr>
      <t xml:space="preserve">累计投入</t>
    </r>
  </si>
  <si>
    <r>
      <rPr>
        <sz val="10"/>
        <color rgb="FF000000"/>
        <rFont val="Noto Sans CJK SC"/>
        <family val="2"/>
      </rPr>
      <t xml:space="preserve">高容量系列</t>
    </r>
    <r>
      <rPr>
        <sz val="10"/>
        <color rgb="FF000000"/>
        <rFont val="Arial"/>
        <family val="0"/>
        <charset val="1"/>
      </rPr>
      <t xml:space="preserve">MLCC</t>
    </r>
    <r>
      <rPr>
        <sz val="10"/>
        <color rgb="FF000000"/>
        <rFont val="Noto Sans CJK SC"/>
        <family val="2"/>
      </rPr>
      <t xml:space="preserve">扩产项目</t>
    </r>
    <r>
      <rPr>
        <sz val="10"/>
        <color rgb="FF000000"/>
        <rFont val="Arial"/>
        <family val="0"/>
        <charset val="1"/>
      </rPr>
      <t xml:space="preserve">-</t>
    </r>
    <r>
      <rPr>
        <sz val="10"/>
        <color rgb="FF000000"/>
        <rFont val="Noto Sans CJK SC"/>
        <family val="2"/>
      </rPr>
      <t xml:space="preserve">投资进度</t>
    </r>
    <r>
      <rPr>
        <sz val="10"/>
        <color rgb="FF000000"/>
        <rFont val="Arial"/>
        <family val="0"/>
        <charset val="1"/>
      </rPr>
      <t xml:space="preserve">%</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</si>
  <si>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承诺</t>
    </r>
    <r>
      <rPr>
        <sz val="10"/>
        <color rgb="FF000000"/>
        <rFont val="Arial"/>
        <family val="0"/>
        <charset val="1"/>
      </rPr>
      <t xml:space="preserve">/</t>
    </r>
    <r>
      <rPr>
        <sz val="10"/>
        <color rgb="FF000000"/>
        <rFont val="Noto Sans CJK SC"/>
        <family val="2"/>
      </rPr>
      <t xml:space="preserve">调整后投资总额</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</si>
  <si>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累计投入</t>
    </r>
  </si>
  <si>
    <r>
      <rPr>
        <sz val="10"/>
        <color rgb="FF000000"/>
        <rFont val="Noto Sans CJK SC"/>
        <family val="2"/>
      </rPr>
      <t xml:space="preserve">深圳三环研发基地建设项目</t>
    </r>
    <r>
      <rPr>
        <sz val="10"/>
        <color rgb="FF000000"/>
        <rFont val="Arial"/>
        <family val="0"/>
        <charset val="1"/>
      </rPr>
      <t xml:space="preserve">-</t>
    </r>
    <r>
      <rPr>
        <sz val="10"/>
        <color rgb="FF000000"/>
        <rFont val="Noto Sans CJK SC"/>
        <family val="2"/>
      </rPr>
      <t xml:space="preserve">投资进度</t>
    </r>
    <r>
      <rPr>
        <sz val="10"/>
        <color rgb="FF000000"/>
        <rFont val="Arial"/>
        <family val="0"/>
        <charset val="1"/>
      </rPr>
      <t xml:space="preserve">%</t>
    </r>
  </si>
  <si>
    <r>
      <rPr>
        <b val="true"/>
        <sz val="10"/>
        <color rgb="FF1F3864"/>
        <rFont val="Noto Sans CJK SC"/>
        <family val="2"/>
      </rPr>
      <t xml:space="preserve">子公司构成（</t>
    </r>
    <r>
      <rPr>
        <b val="true"/>
        <sz val="10"/>
        <color rgb="FF1F3864"/>
        <rFont val="Arial"/>
        <family val="0"/>
        <charset val="1"/>
      </rPr>
      <t xml:space="preserve">2026H1</t>
    </r>
    <r>
      <rPr>
        <b val="true"/>
        <sz val="10"/>
        <color rgb="FF1F3864"/>
        <rFont val="Noto Sans CJK SC"/>
        <family val="2"/>
      </rPr>
      <t xml:space="preserve">）及母公司对子公司投资成本</t>
    </r>
  </si>
  <si>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for capital/investment columns; % for holding columns</t>
    </r>
    <r>
      <rPr>
        <i val="true"/>
        <sz val="10"/>
        <color rgb="FF595959"/>
        <rFont val="Noto Sans CJK SC"/>
        <family val="2"/>
      </rPr>
      <t xml:space="preserve">）；来源：</t>
    </r>
    <r>
      <rPr>
        <i val="true"/>
        <sz val="10"/>
        <color rgb="FF595959"/>
        <rFont val="Arial"/>
        <family val="0"/>
        <charset val="1"/>
      </rPr>
      <t xml:space="preserve">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第八节十</t>
    </r>
    <r>
      <rPr>
        <i val="true"/>
        <sz val="10"/>
        <color rgb="FF595959"/>
        <rFont val="Arial"/>
        <family val="0"/>
        <charset val="1"/>
      </rPr>
      <t xml:space="preserve">.1(1) </t>
    </r>
    <r>
      <rPr>
        <i val="true"/>
        <sz val="10"/>
        <color rgb="FF595959"/>
        <rFont val="Noto Sans CJK SC"/>
        <family val="2"/>
      </rPr>
      <t xml:space="preserve">企业集团的构成</t>
    </r>
    <r>
      <rPr>
        <i val="true"/>
        <sz val="10"/>
        <color rgb="FF595959"/>
        <rFont val="Arial"/>
        <family val="0"/>
        <charset val="1"/>
      </rPr>
      <t xml:space="preserve">; 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第八节十</t>
    </r>
    <r>
      <rPr>
        <i val="true"/>
        <sz val="10"/>
        <color rgb="FF595959"/>
        <rFont val="Arial"/>
        <family val="0"/>
        <charset val="1"/>
      </rPr>
      <t xml:space="preserve">.1(1); </t>
    </r>
    <r>
      <rPr>
        <i val="true"/>
        <sz val="10"/>
        <color rgb="FF595959"/>
        <rFont val="Noto Sans CJK SC"/>
        <family val="2"/>
      </rPr>
      <t xml:space="preserve">母公司对子公司投资</t>
    </r>
    <r>
      <rPr>
        <i val="true"/>
        <sz val="10"/>
        <color rgb="FF595959"/>
        <rFont val="Arial"/>
        <family val="0"/>
        <charset val="1"/>
      </rPr>
      <t xml:space="preserve">: 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第八节十八</t>
    </r>
    <r>
      <rPr>
        <i val="true"/>
        <sz val="10"/>
        <color rgb="FF595959"/>
        <rFont val="Arial"/>
        <family val="0"/>
        <charset val="1"/>
      </rPr>
      <t xml:space="preserve">.3(1) (PDF p.157-158) and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母公司附注</t>
    </r>
    <r>
      <rPr>
        <i val="true"/>
        <sz val="10"/>
        <color rgb="FF595959"/>
        <rFont val="Arial"/>
        <family val="0"/>
        <charset val="1"/>
      </rPr>
      <t xml:space="preserve">3(1) (PDF p.120)</t>
    </r>
  </si>
  <si>
    <r>
      <rPr>
        <b val="true"/>
        <sz val="10"/>
        <color rgb="FFFFFFFF"/>
        <rFont val="Noto Sans CJK SC"/>
        <family val="2"/>
      </rPr>
      <t xml:space="preserve">注册资本</t>
    </r>
    <r>
      <rPr>
        <b val="true"/>
        <sz val="10"/>
        <color rgb="FFFFFFFF"/>
        <rFont val="Arial"/>
        <family val="0"/>
        <charset val="1"/>
      </rPr>
      <t xml:space="preserve">(</t>
    </r>
    <r>
      <rPr>
        <b val="true"/>
        <sz val="10"/>
        <color rgb="FFFFFFFF"/>
        <rFont val="Noto Sans CJK SC"/>
        <family val="2"/>
      </rPr>
      <t xml:space="preserve">元</t>
    </r>
    <r>
      <rPr>
        <b val="true"/>
        <sz val="10"/>
        <color rgb="FFFFFFFF"/>
        <rFont val="Arial"/>
        <family val="0"/>
        <charset val="1"/>
      </rPr>
      <t xml:space="preserve">,2026H1</t>
    </r>
    <r>
      <rPr>
        <b val="true"/>
        <sz val="10"/>
        <color rgb="FFFFFFFF"/>
        <rFont val="Noto Sans CJK SC"/>
        <family val="2"/>
      </rPr>
      <t xml:space="preserve">表</t>
    </r>
    <r>
      <rPr>
        <b val="true"/>
        <sz val="10"/>
        <color rgb="FFFFFFFF"/>
        <rFont val="Arial"/>
        <family val="0"/>
        <charset val="1"/>
      </rPr>
      <t xml:space="preserve">)</t>
    </r>
  </si>
  <si>
    <r>
      <rPr>
        <b val="true"/>
        <sz val="10"/>
        <color rgb="FFFFFFFF"/>
        <rFont val="Noto Sans CJK SC"/>
        <family val="2"/>
      </rPr>
      <t xml:space="preserve">直接持股</t>
    </r>
    <r>
      <rPr>
        <b val="true"/>
        <sz val="10"/>
        <color rgb="FFFFFFFF"/>
        <rFont val="Arial"/>
        <family val="0"/>
        <charset val="1"/>
      </rPr>
      <t xml:space="preserve">%</t>
    </r>
  </si>
  <si>
    <r>
      <rPr>
        <b val="true"/>
        <sz val="10"/>
        <color rgb="FFFFFFFF"/>
        <rFont val="Noto Sans CJK SC"/>
        <family val="2"/>
      </rPr>
      <t xml:space="preserve">间接持股</t>
    </r>
    <r>
      <rPr>
        <b val="true"/>
        <sz val="10"/>
        <color rgb="FFFFFFFF"/>
        <rFont val="Arial"/>
        <family val="0"/>
        <charset val="1"/>
      </rPr>
      <t xml:space="preserve">%</t>
    </r>
  </si>
  <si>
    <r>
      <rPr>
        <b val="true"/>
        <sz val="10"/>
        <color rgb="FFFFFFFF"/>
        <rFont val="Noto Sans CJK SC"/>
        <family val="2"/>
      </rPr>
      <t xml:space="preserve">母公司长期股权投资</t>
    </r>
    <r>
      <rPr>
        <b val="true"/>
        <sz val="10"/>
        <color rgb="FFFFFFFF"/>
        <rFont val="Arial"/>
        <family val="0"/>
        <charset val="1"/>
      </rPr>
      <t xml:space="preserve">FY2024</t>
    </r>
    <r>
      <rPr>
        <b val="true"/>
        <sz val="10"/>
        <color rgb="FFFFFFFF"/>
        <rFont val="Noto Sans CJK SC"/>
        <family val="2"/>
      </rPr>
      <t xml:space="preserve">末</t>
    </r>
    <r>
      <rPr>
        <b val="true"/>
        <sz val="10"/>
        <color rgb="FFFFFFFF"/>
        <rFont val="Arial"/>
        <family val="0"/>
        <charset val="1"/>
      </rPr>
      <t xml:space="preserve">(</t>
    </r>
    <r>
      <rPr>
        <b val="true"/>
        <sz val="10"/>
        <color rgb="FFFFFFFF"/>
        <rFont val="Noto Sans CJK SC"/>
        <family val="2"/>
      </rPr>
      <t xml:space="preserve">元</t>
    </r>
    <r>
      <rPr>
        <b val="true"/>
        <sz val="10"/>
        <color rgb="FFFFFFFF"/>
        <rFont val="Arial"/>
        <family val="0"/>
        <charset val="1"/>
      </rPr>
      <t xml:space="preserve">)</t>
    </r>
  </si>
  <si>
    <r>
      <rPr>
        <b val="true"/>
        <sz val="10"/>
        <color rgb="FFFFFFFF"/>
        <rFont val="Noto Sans CJK SC"/>
        <family val="2"/>
      </rPr>
      <t xml:space="preserve">母公司长期股权投资</t>
    </r>
    <r>
      <rPr>
        <b val="true"/>
        <sz val="10"/>
        <color rgb="FFFFFFFF"/>
        <rFont val="Arial"/>
        <family val="0"/>
        <charset val="1"/>
      </rPr>
      <t xml:space="preserve">FY2025</t>
    </r>
    <r>
      <rPr>
        <b val="true"/>
        <sz val="10"/>
        <color rgb="FFFFFFFF"/>
        <rFont val="Noto Sans CJK SC"/>
        <family val="2"/>
      </rPr>
      <t xml:space="preserve">末</t>
    </r>
    <r>
      <rPr>
        <b val="true"/>
        <sz val="10"/>
        <color rgb="FFFFFFFF"/>
        <rFont val="Arial"/>
        <family val="0"/>
        <charset val="1"/>
      </rPr>
      <t xml:space="preserve">(</t>
    </r>
    <r>
      <rPr>
        <b val="true"/>
        <sz val="10"/>
        <color rgb="FFFFFFFF"/>
        <rFont val="Noto Sans CJK SC"/>
        <family val="2"/>
      </rPr>
      <t xml:space="preserve">元</t>
    </r>
    <r>
      <rPr>
        <b val="true"/>
        <sz val="10"/>
        <color rgb="FFFFFFFF"/>
        <rFont val="Arial"/>
        <family val="0"/>
        <charset val="1"/>
      </rPr>
      <t xml:space="preserve">)</t>
    </r>
  </si>
  <si>
    <r>
      <rPr>
        <b val="true"/>
        <sz val="10"/>
        <color rgb="FFFFFFFF"/>
        <rFont val="Noto Sans CJK SC"/>
        <family val="2"/>
      </rPr>
      <t xml:space="preserve">母公司长期股权投资</t>
    </r>
    <r>
      <rPr>
        <b val="true"/>
        <sz val="10"/>
        <color rgb="FFFFFFFF"/>
        <rFont val="Arial"/>
        <family val="0"/>
        <charset val="1"/>
      </rPr>
      <t xml:space="preserve">2026H1</t>
    </r>
    <r>
      <rPr>
        <b val="true"/>
        <sz val="10"/>
        <color rgb="FFFFFFFF"/>
        <rFont val="Noto Sans CJK SC"/>
        <family val="2"/>
      </rPr>
      <t xml:space="preserve">末</t>
    </r>
    <r>
      <rPr>
        <b val="true"/>
        <sz val="10"/>
        <color rgb="FFFFFFFF"/>
        <rFont val="Arial"/>
        <family val="0"/>
        <charset val="1"/>
      </rPr>
      <t xml:space="preserve">(</t>
    </r>
    <r>
      <rPr>
        <b val="true"/>
        <sz val="10"/>
        <color rgb="FFFFFFFF"/>
        <rFont val="Noto Sans CJK SC"/>
        <family val="2"/>
      </rPr>
      <t xml:space="preserve">元</t>
    </r>
    <r>
      <rPr>
        <b val="true"/>
        <sz val="10"/>
        <color rgb="FFFFFFFF"/>
        <rFont val="Arial"/>
        <family val="0"/>
        <charset val="1"/>
      </rPr>
      <t xml:space="preserve">)</t>
    </r>
  </si>
  <si>
    <r>
      <rPr>
        <sz val="10"/>
        <color rgb="FF000000"/>
        <rFont val="Noto Sans CJK SC"/>
        <family val="2"/>
      </rPr>
      <t xml:space="preserve">深圳三环科技有限公司 </t>
    </r>
    <r>
      <rPr>
        <sz val="10"/>
        <color rgb="FF000000"/>
        <rFont val="Arial"/>
        <family val="0"/>
        <charset val="1"/>
      </rPr>
      <t xml:space="preserve">| </t>
    </r>
    <r>
      <rPr>
        <sz val="10"/>
        <color rgb="FF000000"/>
        <rFont val="Noto Sans CJK SC"/>
        <family val="2"/>
      </rPr>
      <t xml:space="preserve">深圳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</si>
  <si>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香港三环电子有限公司 </t>
    </r>
    <r>
      <rPr>
        <sz val="10"/>
        <color rgb="FF000000"/>
        <rFont val="Arial"/>
        <family val="0"/>
        <charset val="1"/>
      </rPr>
      <t xml:space="preserve">| </t>
    </r>
    <r>
      <rPr>
        <sz val="10"/>
        <color rgb="FF000000"/>
        <rFont val="Noto Sans CJK SC"/>
        <family val="2"/>
      </rPr>
      <t xml:space="preserve">香港 </t>
    </r>
    <r>
      <rPr>
        <sz val="10"/>
        <color rgb="FF000000"/>
        <rFont val="Arial"/>
        <family val="0"/>
        <charset val="1"/>
      </rPr>
      <t xml:space="preserve">| </t>
    </r>
    <r>
      <rPr>
        <sz val="10"/>
        <color rgb="FF000000"/>
        <rFont val="Noto Sans CJK SC"/>
        <family val="2"/>
      </rPr>
      <t xml:space="preserve">贸易</t>
    </r>
  </si>
  <si>
    <r>
      <rPr>
        <sz val="10"/>
        <color rgb="FF000000"/>
        <rFont val="Noto Sans CJK SC"/>
        <family val="2"/>
      </rPr>
      <t xml:space="preserve">南充三环电子有限公司 </t>
    </r>
    <r>
      <rPr>
        <sz val="10"/>
        <color rgb="FF000000"/>
        <rFont val="Arial"/>
        <family val="0"/>
        <charset val="1"/>
      </rPr>
      <t xml:space="preserve">| </t>
    </r>
    <r>
      <rPr>
        <sz val="10"/>
        <color rgb="FF000000"/>
        <rFont val="Noto Sans CJK SC"/>
        <family val="2"/>
      </rPr>
      <t xml:space="preserve">南充 </t>
    </r>
    <r>
      <rPr>
        <sz val="10"/>
        <color rgb="FF000000"/>
        <rFont val="Arial"/>
        <family val="0"/>
        <charset val="1"/>
      </rPr>
      <t xml:space="preserve">| </t>
    </r>
    <r>
      <rPr>
        <sz val="10"/>
        <color rgb="FF000000"/>
        <rFont val="Noto Sans CJK SC"/>
        <family val="2"/>
      </rPr>
      <t xml:space="preserve">生产销售</t>
    </r>
  </si>
  <si>
    <r>
      <rPr>
        <sz val="10"/>
        <color rgb="FF000000"/>
        <rFont val="Arial"/>
        <family val="0"/>
        <charset val="1"/>
      </rPr>
      <t xml:space="preserve">Frontier Coöperatief U.A. | </t>
    </r>
    <r>
      <rPr>
        <sz val="10"/>
        <color rgb="FF000000"/>
        <rFont val="Noto Sans CJK SC"/>
        <family val="2"/>
      </rPr>
      <t xml:space="preserve">荷兰 </t>
    </r>
    <r>
      <rPr>
        <sz val="10"/>
        <color rgb="FF000000"/>
        <rFont val="Arial"/>
        <family val="0"/>
        <charset val="1"/>
      </rPr>
      <t xml:space="preserve">| </t>
    </r>
    <r>
      <rPr>
        <sz val="10"/>
        <color rgb="FF000000"/>
        <rFont val="Noto Sans CJK SC"/>
        <family val="2"/>
      </rPr>
      <t xml:space="preserve">投资控股</t>
    </r>
  </si>
  <si>
    <r>
      <rPr>
        <sz val="10"/>
        <color rgb="FF000000"/>
        <rFont val="Arial"/>
        <family val="0"/>
        <charset val="1"/>
      </rPr>
      <t xml:space="preserve">Singularity Management GmbH | </t>
    </r>
    <r>
      <rPr>
        <sz val="10"/>
        <color rgb="FF000000"/>
        <rFont val="Noto Sans CJK SC"/>
        <family val="2"/>
      </rPr>
      <t xml:space="preserve">德国 </t>
    </r>
    <r>
      <rPr>
        <sz val="10"/>
        <color rgb="FF000000"/>
        <rFont val="Arial"/>
        <family val="0"/>
        <charset val="1"/>
      </rPr>
      <t xml:space="preserve">| </t>
    </r>
    <r>
      <rPr>
        <sz val="10"/>
        <color rgb="FF000000"/>
        <rFont val="Noto Sans CJK SC"/>
        <family val="2"/>
      </rPr>
      <t xml:space="preserve">资产管理</t>
    </r>
    <r>
      <rPr>
        <sz val="10"/>
        <color rgb="FF000000"/>
        <rFont val="Arial"/>
        <family val="0"/>
        <charset val="1"/>
      </rPr>
      <t xml:space="preserve">(</t>
    </r>
    <r>
      <rPr>
        <sz val="10"/>
        <color rgb="FF000000"/>
        <rFont val="Noto Sans CJK SC"/>
        <family val="2"/>
      </rPr>
      <t xml:space="preserve">购买</t>
    </r>
    <r>
      <rPr>
        <sz val="10"/>
        <color rgb="FF000000"/>
        <rFont val="Arial"/>
        <family val="0"/>
        <charset val="1"/>
      </rPr>
      <t xml:space="preserve">)</t>
    </r>
  </si>
  <si>
    <r>
      <rPr>
        <sz val="10"/>
        <color rgb="FF000000"/>
        <rFont val="Arial"/>
        <family val="0"/>
        <charset val="1"/>
      </rPr>
      <t xml:space="preserve">Dynamics Administration GmbH &amp; Co.KG | </t>
    </r>
    <r>
      <rPr>
        <sz val="10"/>
        <color rgb="FF000000"/>
        <rFont val="Noto Sans CJK SC"/>
        <family val="2"/>
      </rPr>
      <t xml:space="preserve">德国 </t>
    </r>
    <r>
      <rPr>
        <sz val="10"/>
        <color rgb="FF000000"/>
        <rFont val="Arial"/>
        <family val="0"/>
        <charset val="1"/>
      </rPr>
      <t xml:space="preserve">| </t>
    </r>
    <r>
      <rPr>
        <sz val="10"/>
        <color rgb="FF000000"/>
        <rFont val="Noto Sans CJK SC"/>
        <family val="2"/>
      </rPr>
      <t xml:space="preserve">资产管理</t>
    </r>
  </si>
  <si>
    <r>
      <rPr>
        <sz val="10"/>
        <color rgb="FF000000"/>
        <rFont val="Arial"/>
        <family val="0"/>
        <charset val="1"/>
      </rPr>
      <t xml:space="preserve">Vermes Microdispensing GmbH | </t>
    </r>
    <r>
      <rPr>
        <sz val="10"/>
        <color rgb="FF000000"/>
        <rFont val="Noto Sans CJK SC"/>
        <family val="2"/>
      </rPr>
      <t xml:space="preserve">德国 </t>
    </r>
    <r>
      <rPr>
        <sz val="10"/>
        <color rgb="FF000000"/>
        <rFont val="Arial"/>
        <family val="0"/>
        <charset val="1"/>
      </rPr>
      <t xml:space="preserve">| </t>
    </r>
    <r>
      <rPr>
        <sz val="10"/>
        <color rgb="FF000000"/>
        <rFont val="Noto Sans CJK SC"/>
        <family val="2"/>
      </rPr>
      <t xml:space="preserve">生产销售、维修</t>
    </r>
    <r>
      <rPr>
        <sz val="10"/>
        <color rgb="FF000000"/>
        <rFont val="Arial"/>
        <family val="0"/>
        <charset val="1"/>
      </rPr>
      <t xml:space="preserve">(</t>
    </r>
    <r>
      <rPr>
        <sz val="10"/>
        <color rgb="FF000000"/>
        <rFont val="Noto Sans CJK SC"/>
        <family val="2"/>
      </rPr>
      <t xml:space="preserve">购买</t>
    </r>
    <r>
      <rPr>
        <sz val="10"/>
        <color rgb="FF000000"/>
        <rFont val="Arial"/>
        <family val="0"/>
        <charset val="1"/>
      </rPr>
      <t xml:space="preserve">)</t>
    </r>
  </si>
  <si>
    <r>
      <rPr>
        <sz val="10"/>
        <color rgb="FF000000"/>
        <rFont val="Noto Sans CJK SC"/>
        <family val="2"/>
      </rPr>
      <t xml:space="preserve">微密斯点胶科技（厦门）有限公司 </t>
    </r>
    <r>
      <rPr>
        <sz val="10"/>
        <color rgb="FF000000"/>
        <rFont val="Arial"/>
        <family val="0"/>
        <charset val="1"/>
      </rPr>
      <t xml:space="preserve">| </t>
    </r>
    <r>
      <rPr>
        <sz val="10"/>
        <color rgb="FF000000"/>
        <rFont val="Noto Sans CJK SC"/>
        <family val="2"/>
      </rPr>
      <t xml:space="preserve">厦门 </t>
    </r>
    <r>
      <rPr>
        <sz val="10"/>
        <color rgb="FF000000"/>
        <rFont val="Arial"/>
        <family val="0"/>
        <charset val="1"/>
      </rPr>
      <t xml:space="preserve">| </t>
    </r>
    <r>
      <rPr>
        <sz val="10"/>
        <color rgb="FF000000"/>
        <rFont val="Noto Sans CJK SC"/>
        <family val="2"/>
      </rPr>
      <t xml:space="preserve">生产销售、维修</t>
    </r>
    <r>
      <rPr>
        <sz val="10"/>
        <color rgb="FF000000"/>
        <rFont val="Arial"/>
        <family val="0"/>
        <charset val="1"/>
      </rPr>
      <t xml:space="preserve">(</t>
    </r>
    <r>
      <rPr>
        <sz val="10"/>
        <color rgb="FF000000"/>
        <rFont val="Noto Sans CJK SC"/>
        <family val="2"/>
      </rPr>
      <t xml:space="preserve">购买</t>
    </r>
    <r>
      <rPr>
        <sz val="10"/>
        <color rgb="FF000000"/>
        <rFont val="Arial"/>
        <family val="0"/>
        <charset val="1"/>
      </rPr>
      <t xml:space="preserve">)</t>
    </r>
  </si>
  <si>
    <r>
      <rPr>
        <sz val="10"/>
        <color rgb="FF000000"/>
        <rFont val="Arial"/>
        <family val="0"/>
        <charset val="1"/>
      </rPr>
      <t xml:space="preserve">Vermes Microdispensing(M)SDN.BHD. | </t>
    </r>
    <r>
      <rPr>
        <sz val="10"/>
        <color rgb="FF000000"/>
        <rFont val="Noto Sans CJK SC"/>
        <family val="2"/>
      </rPr>
      <t xml:space="preserve">马来西亚 </t>
    </r>
    <r>
      <rPr>
        <sz val="10"/>
        <color rgb="FF000000"/>
        <rFont val="Arial"/>
        <family val="0"/>
        <charset val="1"/>
      </rPr>
      <t xml:space="preserve">| </t>
    </r>
    <r>
      <rPr>
        <sz val="10"/>
        <color rgb="FF000000"/>
        <rFont val="Noto Sans CJK SC"/>
        <family val="2"/>
      </rPr>
      <t xml:space="preserve">维修</t>
    </r>
  </si>
  <si>
    <r>
      <rPr>
        <sz val="10"/>
        <color rgb="FF000000"/>
        <rFont val="Arial"/>
        <family val="0"/>
        <charset val="1"/>
      </rPr>
      <t xml:space="preserve">Vermes Microdispensing America Inc. | </t>
    </r>
    <r>
      <rPr>
        <sz val="10"/>
        <color rgb="FF000000"/>
        <rFont val="Noto Sans CJK SC"/>
        <family val="2"/>
      </rPr>
      <t xml:space="preserve">美国 </t>
    </r>
    <r>
      <rPr>
        <sz val="10"/>
        <color rgb="FF000000"/>
        <rFont val="Arial"/>
        <family val="0"/>
        <charset val="1"/>
      </rPr>
      <t xml:space="preserve">| </t>
    </r>
    <r>
      <rPr>
        <sz val="10"/>
        <color rgb="FF000000"/>
        <rFont val="Noto Sans CJK SC"/>
        <family val="2"/>
      </rPr>
      <t xml:space="preserve">销售</t>
    </r>
  </si>
  <si>
    <r>
      <rPr>
        <sz val="10"/>
        <color rgb="FF000000"/>
        <rFont val="Arial"/>
        <family val="0"/>
        <charset val="1"/>
      </rPr>
      <t xml:space="preserve">Vermes Microdispensing Ltd. | </t>
    </r>
    <r>
      <rPr>
        <sz val="10"/>
        <color rgb="FF000000"/>
        <rFont val="Noto Sans CJK SC"/>
        <family val="2"/>
      </rPr>
      <t xml:space="preserve">韩国 </t>
    </r>
    <r>
      <rPr>
        <sz val="10"/>
        <color rgb="FF000000"/>
        <rFont val="Arial"/>
        <family val="0"/>
        <charset val="1"/>
      </rPr>
      <t xml:space="preserve">| </t>
    </r>
    <r>
      <rPr>
        <sz val="10"/>
        <color rgb="FF000000"/>
        <rFont val="Noto Sans CJK SC"/>
        <family val="2"/>
      </rPr>
      <t xml:space="preserve">销售</t>
    </r>
  </si>
  <si>
    <r>
      <rPr>
        <sz val="10"/>
        <color rgb="FF000000"/>
        <rFont val="Arial"/>
        <family val="0"/>
        <charset val="1"/>
      </rPr>
      <t xml:space="preserve">Vermes Microdispensing India Pvt.Ltd. | </t>
    </r>
    <r>
      <rPr>
        <sz val="10"/>
        <color rgb="FF000000"/>
        <rFont val="Noto Sans CJK SC"/>
        <family val="2"/>
      </rPr>
      <t xml:space="preserve">印度 </t>
    </r>
    <r>
      <rPr>
        <sz val="10"/>
        <color rgb="FF000000"/>
        <rFont val="Arial"/>
        <family val="0"/>
        <charset val="1"/>
      </rPr>
      <t xml:space="preserve">| </t>
    </r>
    <r>
      <rPr>
        <sz val="10"/>
        <color rgb="FF000000"/>
        <rFont val="Noto Sans CJK SC"/>
        <family val="2"/>
      </rPr>
      <t xml:space="preserve">销售</t>
    </r>
  </si>
  <si>
    <r>
      <rPr>
        <sz val="10"/>
        <color rgb="FF000000"/>
        <rFont val="Arial"/>
        <family val="0"/>
        <charset val="1"/>
      </rPr>
      <t xml:space="preserve">Glory Winner(Thailand)Co.,Ltd. | </t>
    </r>
    <r>
      <rPr>
        <sz val="10"/>
        <color rgb="FF000000"/>
        <rFont val="Noto Sans CJK SC"/>
        <family val="2"/>
      </rPr>
      <t xml:space="preserve">泰国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</si>
  <si>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潮州微密斯科技有限公司 </t>
    </r>
    <r>
      <rPr>
        <sz val="10"/>
        <color rgb="FF000000"/>
        <rFont val="Arial"/>
        <family val="0"/>
        <charset val="1"/>
      </rPr>
      <t xml:space="preserve">| </t>
    </r>
    <r>
      <rPr>
        <sz val="10"/>
        <color rgb="FF000000"/>
        <rFont val="Noto Sans CJK SC"/>
        <family val="2"/>
      </rPr>
      <t xml:space="preserve">潮州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</si>
  <si>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广东省先进陶瓷材料科技有限公司 </t>
    </r>
    <r>
      <rPr>
        <sz val="10"/>
        <color rgb="FF000000"/>
        <rFont val="Arial"/>
        <family val="0"/>
        <charset val="1"/>
      </rPr>
      <t xml:space="preserve">| </t>
    </r>
    <r>
      <rPr>
        <sz val="10"/>
        <color rgb="FF000000"/>
        <rFont val="Noto Sans CJK SC"/>
        <family val="2"/>
      </rPr>
      <t xml:space="preserve">潮州 </t>
    </r>
    <r>
      <rPr>
        <sz val="10"/>
        <color rgb="FF000000"/>
        <rFont val="Arial"/>
        <family val="0"/>
        <charset val="1"/>
      </rPr>
      <t xml:space="preserve">| </t>
    </r>
    <r>
      <rPr>
        <sz val="10"/>
        <color rgb="FF000000"/>
        <rFont val="Noto Sans CJK SC"/>
        <family val="2"/>
      </rPr>
      <t xml:space="preserve">技术服务</t>
    </r>
  </si>
  <si>
    <r>
      <rPr>
        <sz val="10"/>
        <color rgb="FF000000"/>
        <rFont val="Noto Sans CJK SC"/>
        <family val="2"/>
      </rPr>
      <t xml:space="preserve">德阳三环科技有限公司 </t>
    </r>
    <r>
      <rPr>
        <sz val="10"/>
        <color rgb="FF000000"/>
        <rFont val="Arial"/>
        <family val="0"/>
        <charset val="1"/>
      </rPr>
      <t xml:space="preserve">| </t>
    </r>
    <r>
      <rPr>
        <sz val="10"/>
        <color rgb="FF000000"/>
        <rFont val="Noto Sans CJK SC"/>
        <family val="2"/>
      </rPr>
      <t xml:space="preserve">德阳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</si>
  <si>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武汉三寰贸易有限公司 </t>
    </r>
    <r>
      <rPr>
        <sz val="10"/>
        <color rgb="FF000000"/>
        <rFont val="Arial"/>
        <family val="0"/>
        <charset val="1"/>
      </rPr>
      <t xml:space="preserve">| </t>
    </r>
    <r>
      <rPr>
        <sz val="10"/>
        <color rgb="FF000000"/>
        <rFont val="Noto Sans CJK SC"/>
        <family val="2"/>
      </rPr>
      <t xml:space="preserve">武汉 </t>
    </r>
    <r>
      <rPr>
        <sz val="10"/>
        <color rgb="FF000000"/>
        <rFont val="Arial"/>
        <family val="0"/>
        <charset val="1"/>
      </rPr>
      <t xml:space="preserve">| </t>
    </r>
    <r>
      <rPr>
        <sz val="10"/>
        <color rgb="FF000000"/>
        <rFont val="Noto Sans CJK SC"/>
        <family val="2"/>
      </rPr>
      <t xml:space="preserve">服务</t>
    </r>
  </si>
  <si>
    <r>
      <rPr>
        <sz val="10"/>
        <color rgb="FF000000"/>
        <rFont val="Noto Sans CJK SC"/>
        <family val="2"/>
      </rPr>
      <t xml:space="preserve">成都三环科技有限公司 </t>
    </r>
    <r>
      <rPr>
        <sz val="10"/>
        <color rgb="FF000000"/>
        <rFont val="Arial"/>
        <family val="0"/>
        <charset val="1"/>
      </rPr>
      <t xml:space="preserve">| </t>
    </r>
    <r>
      <rPr>
        <sz val="10"/>
        <color rgb="FF000000"/>
        <rFont val="Noto Sans CJK SC"/>
        <family val="2"/>
      </rPr>
      <t xml:space="preserve">成都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</si>
  <si>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苏州三环科技有限公司 </t>
    </r>
    <r>
      <rPr>
        <sz val="10"/>
        <color rgb="FF000000"/>
        <rFont val="Arial"/>
        <family val="0"/>
        <charset val="1"/>
      </rPr>
      <t xml:space="preserve">| </t>
    </r>
    <r>
      <rPr>
        <sz val="10"/>
        <color rgb="FF000000"/>
        <rFont val="Noto Sans CJK SC"/>
        <family val="2"/>
      </rPr>
      <t xml:space="preserve">苏州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</si>
  <si>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潮州三环生物新材料有限公司 </t>
    </r>
    <r>
      <rPr>
        <sz val="10"/>
        <color rgb="FF000000"/>
        <rFont val="Arial"/>
        <family val="0"/>
        <charset val="1"/>
      </rPr>
      <t xml:space="preserve">| </t>
    </r>
    <r>
      <rPr>
        <sz val="10"/>
        <color rgb="FF000000"/>
        <rFont val="Noto Sans CJK SC"/>
        <family val="2"/>
      </rPr>
      <t xml:space="preserve">潮州 </t>
    </r>
    <r>
      <rPr>
        <sz val="10"/>
        <color rgb="FF000000"/>
        <rFont val="Arial"/>
        <family val="0"/>
        <charset val="1"/>
      </rPr>
      <t xml:space="preserve">| </t>
    </r>
    <r>
      <rPr>
        <sz val="10"/>
        <color rgb="FF000000"/>
        <rFont val="Noto Sans CJK SC"/>
        <family val="2"/>
      </rPr>
      <t xml:space="preserve">生产销售</t>
    </r>
  </si>
  <si>
    <r>
      <rPr>
        <sz val="10"/>
        <color rgb="FF000000"/>
        <rFont val="Noto Sans CJK SC"/>
        <family val="2"/>
      </rPr>
      <t xml:space="preserve">深圳三环新能源有限公司 </t>
    </r>
    <r>
      <rPr>
        <sz val="10"/>
        <color rgb="FF000000"/>
        <rFont val="Arial"/>
        <family val="0"/>
        <charset val="1"/>
      </rPr>
      <t xml:space="preserve">| </t>
    </r>
    <r>
      <rPr>
        <sz val="10"/>
        <color rgb="FF000000"/>
        <rFont val="Noto Sans CJK SC"/>
        <family val="2"/>
      </rPr>
      <t xml:space="preserve">深圳 </t>
    </r>
    <r>
      <rPr>
        <sz val="10"/>
        <color rgb="FF000000"/>
        <rFont val="Arial"/>
        <family val="0"/>
        <charset val="1"/>
      </rPr>
      <t xml:space="preserve">| </t>
    </r>
    <r>
      <rPr>
        <sz val="10"/>
        <color rgb="FF000000"/>
        <rFont val="Noto Sans CJK SC"/>
        <family val="2"/>
      </rPr>
      <t xml:space="preserve">生产销售</t>
    </r>
    <r>
      <rPr>
        <sz val="10"/>
        <color rgb="FF000000"/>
        <rFont val="Arial"/>
        <family val="0"/>
        <charset val="1"/>
      </rPr>
      <t xml:space="preserve">(FY2025</t>
    </r>
    <r>
      <rPr>
        <sz val="10"/>
        <color rgb="FF000000"/>
        <rFont val="Noto Sans CJK SC"/>
        <family val="2"/>
      </rPr>
      <t xml:space="preserve">表为销售</t>
    </r>
    <r>
      <rPr>
        <sz val="10"/>
        <color rgb="FF000000"/>
        <rFont val="Arial"/>
        <family val="0"/>
        <charset val="1"/>
      </rPr>
      <t xml:space="preserve">)</t>
    </r>
  </si>
  <si>
    <r>
      <rPr>
        <sz val="10"/>
        <color rgb="FF000000"/>
        <rFont val="Noto Sans CJK SC"/>
        <family val="2"/>
      </rPr>
      <t xml:space="preserve">潮州三环环保科技有限责任公司 </t>
    </r>
    <r>
      <rPr>
        <sz val="10"/>
        <color rgb="FF000000"/>
        <rFont val="Arial"/>
        <family val="0"/>
        <charset val="1"/>
      </rPr>
      <t xml:space="preserve">| </t>
    </r>
    <r>
      <rPr>
        <sz val="10"/>
        <color rgb="FF000000"/>
        <rFont val="Noto Sans CJK SC"/>
        <family val="2"/>
      </rPr>
      <t xml:space="preserve">潮州 </t>
    </r>
    <r>
      <rPr>
        <sz val="10"/>
        <color rgb="FF000000"/>
        <rFont val="Arial"/>
        <family val="0"/>
        <charset val="1"/>
      </rPr>
      <t xml:space="preserve">| </t>
    </r>
    <r>
      <rPr>
        <sz val="10"/>
        <color rgb="FF000000"/>
        <rFont val="Noto Sans CJK SC"/>
        <family val="2"/>
      </rPr>
      <t xml:space="preserve">生产销售 </t>
    </r>
    <r>
      <rPr>
        <sz val="10"/>
        <color rgb="FF000000"/>
        <rFont val="Arial"/>
        <family val="0"/>
        <charset val="1"/>
      </rPr>
      <t xml:space="preserve">(2025-09-15</t>
    </r>
    <r>
      <rPr>
        <sz val="10"/>
        <color rgb="FF000000"/>
        <rFont val="Noto Sans CJK SC"/>
        <family val="2"/>
      </rPr>
      <t xml:space="preserve">设立</t>
    </r>
    <r>
      <rPr>
        <sz val="10"/>
        <color rgb="FF000000"/>
        <rFont val="Arial"/>
        <family val="0"/>
        <charset val="1"/>
      </rPr>
      <t xml:space="preserve">)</t>
    </r>
  </si>
  <si>
    <r>
      <rPr>
        <sz val="10"/>
        <color rgb="FF000000"/>
        <rFont val="Noto Sans CJK SC"/>
        <family val="2"/>
      </rPr>
      <t xml:space="preserve">红河三环科技有限公司 </t>
    </r>
    <r>
      <rPr>
        <sz val="10"/>
        <color rgb="FF000000"/>
        <rFont val="Arial"/>
        <family val="0"/>
        <charset val="1"/>
      </rPr>
      <t xml:space="preserve">| </t>
    </r>
    <r>
      <rPr>
        <sz val="10"/>
        <color rgb="FF000000"/>
        <rFont val="Noto Sans CJK SC"/>
        <family val="2"/>
      </rPr>
      <t xml:space="preserve">红河</t>
    </r>
    <r>
      <rPr>
        <sz val="10"/>
        <color rgb="FF000000"/>
        <rFont val="Arial"/>
        <family val="0"/>
        <charset val="1"/>
      </rPr>
      <t xml:space="preserve">(</t>
    </r>
    <r>
      <rPr>
        <sz val="10"/>
        <color rgb="FF000000"/>
        <rFont val="Noto Sans CJK SC"/>
        <family val="2"/>
      </rPr>
      <t xml:space="preserve">云南</t>
    </r>
    <r>
      <rPr>
        <sz val="10"/>
        <color rgb="FF000000"/>
        <rFont val="Arial"/>
        <family val="0"/>
        <charset val="1"/>
      </rPr>
      <t xml:space="preserve">) | </t>
    </r>
    <r>
      <rPr>
        <sz val="10"/>
        <color rgb="FF000000"/>
        <rFont val="Noto Sans CJK SC"/>
        <family val="2"/>
      </rPr>
      <t xml:space="preserve">生产销售 </t>
    </r>
    <r>
      <rPr>
        <sz val="10"/>
        <color rgb="FF000000"/>
        <rFont val="Arial"/>
        <family val="0"/>
        <charset val="1"/>
      </rPr>
      <t xml:space="preserve">(2026-03-26</t>
    </r>
    <r>
      <rPr>
        <sz val="10"/>
        <color rgb="FF000000"/>
        <rFont val="Noto Sans CJK SC"/>
        <family val="2"/>
      </rPr>
      <t xml:space="preserve">设立</t>
    </r>
    <r>
      <rPr>
        <sz val="10"/>
        <color rgb="FF000000"/>
        <rFont val="Arial"/>
        <family val="0"/>
        <charset val="1"/>
      </rPr>
      <t xml:space="preserve">)</t>
    </r>
  </si>
  <si>
    <r>
      <rPr>
        <sz val="10"/>
        <color rgb="FF000000"/>
        <rFont val="Noto Sans CJK SC"/>
        <family val="2"/>
      </rPr>
      <t xml:space="preserve">德阳光胜贸易有限公司 </t>
    </r>
    <r>
      <rPr>
        <sz val="10"/>
        <color rgb="FF000000"/>
        <rFont val="Arial"/>
        <family val="0"/>
        <charset val="1"/>
      </rPr>
      <t xml:space="preserve">| </t>
    </r>
    <r>
      <rPr>
        <sz val="10"/>
        <color rgb="FF000000"/>
        <rFont val="Noto Sans CJK SC"/>
        <family val="2"/>
      </rPr>
      <t xml:space="preserve">德阳 </t>
    </r>
    <r>
      <rPr>
        <sz val="10"/>
        <color rgb="FF000000"/>
        <rFont val="Arial"/>
        <family val="0"/>
        <charset val="1"/>
      </rPr>
      <t xml:space="preserve">| </t>
    </r>
    <r>
      <rPr>
        <sz val="10"/>
        <color rgb="FF000000"/>
        <rFont val="Noto Sans CJK SC"/>
        <family val="2"/>
      </rPr>
      <t xml:space="preserve">销售 </t>
    </r>
    <r>
      <rPr>
        <sz val="10"/>
        <color rgb="FF000000"/>
        <rFont val="Arial"/>
        <family val="0"/>
        <charset val="1"/>
      </rPr>
      <t xml:space="preserve">(FY2025</t>
    </r>
    <r>
      <rPr>
        <sz val="10"/>
        <color rgb="FF000000"/>
        <rFont val="Noto Sans CJK SC"/>
        <family val="2"/>
      </rPr>
      <t xml:space="preserve">表注册资本</t>
    </r>
    <r>
      <rPr>
        <sz val="10"/>
        <color rgb="FF000000"/>
        <rFont val="Arial"/>
        <family val="0"/>
        <charset val="1"/>
      </rPr>
      <t xml:space="preserve">1,000,000.00</t>
    </r>
    <r>
      <rPr>
        <sz val="10"/>
        <color rgb="FF000000"/>
        <rFont val="Noto Sans CJK SC"/>
        <family val="2"/>
      </rPr>
      <t xml:space="preserve">，</t>
    </r>
    <r>
      <rPr>
        <sz val="10"/>
        <color rgb="FF000000"/>
        <rFont val="Arial"/>
        <family val="0"/>
        <charset val="1"/>
      </rPr>
      <t xml:space="preserve">100%</t>
    </r>
    <r>
      <rPr>
        <sz val="10"/>
        <color rgb="FF000000"/>
        <rFont val="Noto Sans CJK SC"/>
        <family val="2"/>
      </rPr>
      <t xml:space="preserve">直接；</t>
    </r>
    <r>
      <rPr>
        <sz val="10"/>
        <color rgb="FF000000"/>
        <rFont val="Arial"/>
        <family val="0"/>
        <charset val="1"/>
      </rPr>
      <t xml:space="preserve">2025-08-07</t>
    </r>
    <r>
      <rPr>
        <sz val="10"/>
        <color rgb="FF000000"/>
        <rFont val="Noto Sans CJK SC"/>
        <family val="2"/>
      </rPr>
      <t xml:space="preserve">注销，不在</t>
    </r>
    <r>
      <rPr>
        <sz val="10"/>
        <color rgb="FF000000"/>
        <rFont val="Arial"/>
        <family val="0"/>
        <charset val="1"/>
      </rPr>
      <t xml:space="preserve">2026H1</t>
    </r>
    <r>
      <rPr>
        <sz val="10"/>
        <color rgb="FF000000"/>
        <rFont val="Noto Sans CJK SC"/>
        <family val="2"/>
      </rPr>
      <t xml:space="preserve">表</t>
    </r>
    <r>
      <rPr>
        <sz val="10"/>
        <color rgb="FF000000"/>
        <rFont val="Arial"/>
        <family val="0"/>
        <charset val="1"/>
      </rPr>
      <t xml:space="preserve">)</t>
    </r>
  </si>
  <si>
    <t xml:space="preserve">合计（母公司对子公司投资）</t>
  </si>
  <si>
    <t xml:space="preserve">母公司报表关键数（用于推算子公司贡献，未做抵销）</t>
  </si>
  <si>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 母公司利润表</t>
    </r>
    <r>
      <rPr>
        <i val="true"/>
        <sz val="10"/>
        <color rgb="FF595959"/>
        <rFont val="Arial"/>
        <family val="0"/>
        <charset val="1"/>
      </rPr>
      <t xml:space="preserve">/</t>
    </r>
    <r>
      <rPr>
        <i val="true"/>
        <sz val="10"/>
        <color rgb="FF595959"/>
        <rFont val="Noto Sans CJK SC"/>
        <family val="2"/>
      </rPr>
      <t xml:space="preserve">资产负债表 </t>
    </r>
    <r>
      <rPr>
        <i val="true"/>
        <sz val="10"/>
        <color rgb="FF595959"/>
        <rFont val="Arial"/>
        <family val="0"/>
        <charset val="1"/>
      </rPr>
      <t xml:space="preserve">and </t>
    </r>
    <r>
      <rPr>
        <i val="true"/>
        <sz val="10"/>
        <color rgb="FF595959"/>
        <rFont val="Noto Sans CJK SC"/>
        <family val="2"/>
      </rPr>
      <t xml:space="preserve">附注十八</t>
    </r>
    <r>
      <rPr>
        <i val="true"/>
        <sz val="10"/>
        <color rgb="FF595959"/>
        <rFont val="Arial"/>
        <family val="0"/>
        <charset val="1"/>
      </rPr>
      <t xml:space="preserve">.4;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母公司利润表</t>
    </r>
    <r>
      <rPr>
        <i val="true"/>
        <sz val="10"/>
        <color rgb="FF595959"/>
        <rFont val="Arial"/>
        <family val="0"/>
        <charset val="1"/>
      </rPr>
      <t xml:space="preserve">/</t>
    </r>
    <r>
      <rPr>
        <i val="true"/>
        <sz val="10"/>
        <color rgb="FF595959"/>
        <rFont val="Noto Sans CJK SC"/>
        <family val="2"/>
      </rPr>
      <t xml:space="preserve">资产负债表</t>
    </r>
    <r>
      <rPr>
        <i val="true"/>
        <sz val="10"/>
        <color rgb="FF595959"/>
        <rFont val="Arial"/>
        <family val="0"/>
        <charset val="1"/>
      </rPr>
      <t xml:space="preserve">;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母公司利润表</t>
    </r>
    <r>
      <rPr>
        <i val="true"/>
        <sz val="10"/>
        <color rgb="FF595959"/>
        <rFont val="Arial"/>
        <family val="0"/>
        <charset val="1"/>
      </rPr>
      <t xml:space="preserve">/</t>
    </r>
    <r>
      <rPr>
        <i val="true"/>
        <sz val="10"/>
        <color rgb="FF595959"/>
        <rFont val="Noto Sans CJK SC"/>
        <family val="2"/>
      </rPr>
      <t xml:space="preserve">资产负债表 </t>
    </r>
    <r>
      <rPr>
        <i val="true"/>
        <sz val="10"/>
        <color rgb="FF595959"/>
        <rFont val="Arial"/>
        <family val="0"/>
        <charset val="1"/>
      </rPr>
      <t xml:space="preserve">and </t>
    </r>
    <r>
      <rPr>
        <i val="true"/>
        <sz val="10"/>
        <color rgb="FF595959"/>
        <rFont val="Noto Sans CJK SC"/>
        <family val="2"/>
      </rPr>
      <t xml:space="preserve">母公司附注 营业收入和营业成本 </t>
    </r>
    <r>
      <rPr>
        <i val="true"/>
        <sz val="10"/>
        <color rgb="FF595959"/>
        <rFont val="Arial"/>
        <family val="0"/>
        <charset val="1"/>
      </rPr>
      <t xml:space="preserve">/ </t>
    </r>
    <r>
      <rPr>
        <i val="true"/>
        <sz val="10"/>
        <color rgb="FF595959"/>
        <rFont val="Noto Sans CJK SC"/>
        <family val="2"/>
      </rPr>
      <t xml:space="preserve">对子公司投资 </t>
    </r>
    <r>
      <rPr>
        <i val="true"/>
        <sz val="10"/>
        <color rgb="FF595959"/>
        <rFont val="Arial"/>
        <family val="0"/>
        <charset val="1"/>
      </rPr>
      <t xml:space="preserve">(PDF p.131)</t>
    </r>
  </si>
  <si>
    <t xml:space="preserve">母公司营业收入</t>
  </si>
  <si>
    <t xml:space="preserve">  其中：主营业务收入</t>
  </si>
  <si>
    <t xml:space="preserve">  其中：其他业务收入</t>
  </si>
  <si>
    <t xml:space="preserve">母公司营业成本</t>
  </si>
  <si>
    <t xml:space="preserve">  其中：主营业务成本</t>
  </si>
  <si>
    <t xml:space="preserve">  其中：其他业务成本</t>
  </si>
  <si>
    <t xml:space="preserve">母公司研发费用</t>
  </si>
  <si>
    <t xml:space="preserve">母公司营业利润</t>
  </si>
  <si>
    <t xml:space="preserve">母公司利润总额</t>
  </si>
  <si>
    <t xml:space="preserve">母公司所得税费用</t>
  </si>
  <si>
    <t xml:space="preserve">母公司净利润</t>
  </si>
  <si>
    <t xml:space="preserve">母公司资产总计（期末）</t>
  </si>
  <si>
    <t xml:space="preserve">母公司所有者权益合计（期末）</t>
  </si>
  <si>
    <t xml:space="preserve">母公司长期股权投资（期末）</t>
  </si>
  <si>
    <r>
      <rPr>
        <sz val="10"/>
        <color rgb="FF000000"/>
        <rFont val="Noto Sans CJK SC"/>
        <family val="2"/>
      </rPr>
      <t xml:space="preserve">推算：合并营业收入</t>
    </r>
    <r>
      <rPr>
        <sz val="10"/>
        <color rgb="FF000000"/>
        <rFont val="Arial"/>
        <family val="0"/>
        <charset val="1"/>
      </rPr>
      <t xml:space="preserve">-</t>
    </r>
    <r>
      <rPr>
        <sz val="10"/>
        <color rgb="FF000000"/>
        <rFont val="Noto Sans CJK SC"/>
        <family val="2"/>
      </rPr>
      <t xml:space="preserve">母公司营业收入（未抵销内部交易，仅参考）</t>
    </r>
  </si>
  <si>
    <r>
      <rPr>
        <sz val="10"/>
        <color rgb="FF000000"/>
        <rFont val="Noto Sans CJK SC"/>
        <family val="2"/>
      </rPr>
      <t xml:space="preserve">推算：归母净利润</t>
    </r>
    <r>
      <rPr>
        <sz val="10"/>
        <color rgb="FF000000"/>
        <rFont val="Arial"/>
        <family val="0"/>
        <charset val="1"/>
      </rPr>
      <t xml:space="preserve">-</t>
    </r>
    <r>
      <rPr>
        <sz val="10"/>
        <color rgb="FF000000"/>
        <rFont val="Noto Sans CJK SC"/>
        <family val="2"/>
      </rPr>
      <t xml:space="preserve">母公司净利润（未抵销，仅参考）</t>
    </r>
  </si>
  <si>
    <t xml:space="preserve">股本结构与股东户数</t>
  </si>
  <si>
    <r>
      <rPr>
        <i val="true"/>
        <sz val="10"/>
        <color rgb="FF595959"/>
        <rFont val="Noto Sans CJK SC"/>
        <family val="2"/>
      </rPr>
      <t xml:space="preserve">单位：股 </t>
    </r>
    <r>
      <rPr>
        <i val="true"/>
        <sz val="10"/>
        <color rgb="FF595959"/>
        <rFont val="Arial"/>
        <family val="0"/>
        <charset val="1"/>
      </rPr>
      <t xml:space="preserve">(share rows); </t>
    </r>
    <r>
      <rPr>
        <i val="true"/>
        <sz val="10"/>
        <color rgb="FF595959"/>
        <rFont val="Noto Sans CJK SC"/>
        <family val="2"/>
      </rPr>
      <t xml:space="preserve">户 </t>
    </r>
    <r>
      <rPr>
        <i val="true"/>
        <sz val="10"/>
        <color rgb="FF595959"/>
        <rFont val="Arial"/>
        <family val="0"/>
        <charset val="1"/>
      </rPr>
      <t xml:space="preserve">(holder rows)</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第六节一</t>
    </r>
    <r>
      <rPr>
        <i val="true"/>
        <sz val="10"/>
        <color rgb="FF595959"/>
        <rFont val="Arial"/>
        <family val="0"/>
        <charset val="1"/>
      </rPr>
      <t xml:space="preserve">.1/</t>
    </r>
    <r>
      <rPr>
        <i val="true"/>
        <sz val="10"/>
        <color rgb="FF595959"/>
        <rFont val="Noto Sans CJK SC"/>
        <family val="2"/>
      </rPr>
      <t xml:space="preserve">三</t>
    </r>
    <r>
      <rPr>
        <i val="true"/>
        <sz val="10"/>
        <color rgb="FF595959"/>
        <rFont val="Arial"/>
        <family val="0"/>
        <charset val="1"/>
      </rPr>
      <t xml:space="preserve">.1;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第六节一</t>
    </r>
    <r>
      <rPr>
        <i val="true"/>
        <sz val="10"/>
        <color rgb="FF595959"/>
        <rFont val="Arial"/>
        <family val="0"/>
        <charset val="1"/>
      </rPr>
      <t xml:space="preserve">.1/</t>
    </r>
    <r>
      <rPr>
        <i val="true"/>
        <sz val="10"/>
        <color rgb="FF595959"/>
        <rFont val="Noto Sans CJK SC"/>
        <family val="2"/>
      </rPr>
      <t xml:space="preserve">三</t>
    </r>
    <r>
      <rPr>
        <i val="true"/>
        <sz val="10"/>
        <color rgb="FF595959"/>
        <rFont val="Arial"/>
        <family val="0"/>
        <charset val="1"/>
      </rPr>
      <t xml:space="preserve">; 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第六节三</t>
    </r>
    <r>
      <rPr>
        <i val="true"/>
        <sz val="10"/>
        <color rgb="FF595959"/>
        <rFont val="Arial"/>
        <family val="0"/>
        <charset val="1"/>
      </rPr>
      <t xml:space="preserve">.1;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第六节三</t>
    </r>
  </si>
  <si>
    <r>
      <rPr>
        <b val="true"/>
        <sz val="10"/>
        <color rgb="FFFFFFFF"/>
        <rFont val="Arial"/>
        <family val="0"/>
        <charset val="1"/>
      </rPr>
      <t xml:space="preserve">2026-08-10</t>
    </r>
    <r>
      <rPr>
        <b val="true"/>
        <sz val="10"/>
        <color rgb="FFFFFFFF"/>
        <rFont val="Noto Sans CJK SC"/>
        <family val="2"/>
      </rPr>
      <t xml:space="preserve">后（推算：</t>
    </r>
    <r>
      <rPr>
        <b val="true"/>
        <sz val="10"/>
        <color rgb="FFFFFFFF"/>
        <rFont val="Arial"/>
        <family val="0"/>
        <charset val="1"/>
      </rPr>
      <t xml:space="preserve">A+H</t>
    </r>
    <r>
      <rPr>
        <b val="true"/>
        <sz val="10"/>
        <color rgb="FFFFFFFF"/>
        <rFont val="Noto Sans CJK SC"/>
        <family val="2"/>
      </rPr>
      <t xml:space="preserve">）</t>
    </r>
  </si>
  <si>
    <t xml:space="preserve">有限售条件股份（境内自然人，高管锁定股）</t>
  </si>
  <si>
    <t xml:space="preserve">无限售条件股份（人民币普通股）</t>
  </si>
  <si>
    <t xml:space="preserve">股份总数</t>
  </si>
  <si>
    <t xml:space="preserve">回购专用证券账户股份</t>
  </si>
  <si>
    <t xml:space="preserve">报告期末普通股股东总数（户）</t>
  </si>
  <si>
    <t xml:space="preserve">年报披露日前上一月末普通股股东总数（户）</t>
  </si>
  <si>
    <r>
      <rPr>
        <sz val="10"/>
        <color rgb="FF000000"/>
        <rFont val="Noto Sans CJK SC"/>
        <family val="2"/>
      </rPr>
      <t xml:space="preserve">其中：境外上市外资股（</t>
    </r>
    <r>
      <rPr>
        <sz val="10"/>
        <color rgb="FF000000"/>
        <rFont val="Arial"/>
        <family val="0"/>
        <charset val="1"/>
      </rPr>
      <t xml:space="preserve">H</t>
    </r>
    <r>
      <rPr>
        <sz val="10"/>
        <color rgb="FF000000"/>
        <rFont val="Noto Sans CJK SC"/>
        <family val="2"/>
      </rPr>
      <t xml:space="preserve">股）</t>
    </r>
  </si>
  <si>
    <t xml:space="preserve">前十名股东持股</t>
  </si>
  <si>
    <r>
      <rPr>
        <i val="true"/>
        <sz val="10"/>
        <color rgb="FF595959"/>
        <rFont val="Noto Sans CJK SC"/>
        <family val="2"/>
      </rPr>
      <t xml:space="preserve">单位：股 </t>
    </r>
    <r>
      <rPr>
        <i val="true"/>
        <sz val="10"/>
        <color rgb="FF595959"/>
        <rFont val="Arial"/>
        <family val="0"/>
        <charset val="1"/>
      </rPr>
      <t xml:space="preserve">(holding/change); % (ratio)</t>
    </r>
    <r>
      <rPr>
        <i val="true"/>
        <sz val="10"/>
        <color rgb="FF595959"/>
        <rFont val="Noto Sans CJK SC"/>
        <family val="2"/>
      </rPr>
      <t xml:space="preserve">；来源：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第六节三</t>
    </r>
    <r>
      <rPr>
        <i val="true"/>
        <sz val="10"/>
        <color rgb="FF595959"/>
        <rFont val="Arial"/>
        <family val="0"/>
        <charset val="1"/>
      </rPr>
      <t xml:space="preserve">.1 (PDF p.57-58 via pdftotext -raw);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第六节三 </t>
    </r>
    <r>
      <rPr>
        <i val="true"/>
        <sz val="10"/>
        <color rgb="FF595959"/>
        <rFont val="Arial"/>
        <family val="0"/>
        <charset val="1"/>
      </rPr>
      <t xml:space="preserve">(PDF p.29-30)</t>
    </r>
  </si>
  <si>
    <r>
      <rPr>
        <b val="true"/>
        <sz val="10"/>
        <color rgb="FFFFFFFF"/>
        <rFont val="Arial"/>
        <family val="0"/>
        <charset val="1"/>
      </rPr>
      <t xml:space="preserve">FY2025</t>
    </r>
    <r>
      <rPr>
        <b val="true"/>
        <sz val="10"/>
        <color rgb="FFFFFFFF"/>
        <rFont val="Noto Sans CJK SC"/>
        <family val="2"/>
      </rPr>
      <t xml:space="preserve">末持股</t>
    </r>
  </si>
  <si>
    <r>
      <rPr>
        <b val="true"/>
        <sz val="10"/>
        <color rgb="FFFFFFFF"/>
        <rFont val="Arial"/>
        <family val="0"/>
        <charset val="1"/>
      </rPr>
      <t xml:space="preserve">FY2025</t>
    </r>
    <r>
      <rPr>
        <b val="true"/>
        <sz val="10"/>
        <color rgb="FFFFFFFF"/>
        <rFont val="Noto Sans CJK SC"/>
        <family val="2"/>
      </rPr>
      <t xml:space="preserve">持股比例</t>
    </r>
    <r>
      <rPr>
        <b val="true"/>
        <sz val="10"/>
        <color rgb="FFFFFFFF"/>
        <rFont val="Arial"/>
        <family val="0"/>
        <charset val="1"/>
      </rPr>
      <t xml:space="preserve">%</t>
    </r>
  </si>
  <si>
    <r>
      <rPr>
        <b val="true"/>
        <sz val="10"/>
        <color rgb="FFFFFFFF"/>
        <rFont val="Arial"/>
        <family val="0"/>
        <charset val="1"/>
      </rPr>
      <t xml:space="preserve">FY2025</t>
    </r>
    <r>
      <rPr>
        <b val="true"/>
        <sz val="10"/>
        <color rgb="FFFFFFFF"/>
        <rFont val="Noto Sans CJK SC"/>
        <family val="2"/>
      </rPr>
      <t xml:space="preserve">报告期内增减</t>
    </r>
  </si>
  <si>
    <r>
      <rPr>
        <b val="true"/>
        <sz val="10"/>
        <color rgb="FFFFFFFF"/>
        <rFont val="Arial"/>
        <family val="0"/>
        <charset val="1"/>
      </rPr>
      <t xml:space="preserve">2026H1</t>
    </r>
    <r>
      <rPr>
        <b val="true"/>
        <sz val="10"/>
        <color rgb="FFFFFFFF"/>
        <rFont val="Noto Sans CJK SC"/>
        <family val="2"/>
      </rPr>
      <t xml:space="preserve">末持股</t>
    </r>
  </si>
  <si>
    <r>
      <rPr>
        <b val="true"/>
        <sz val="10"/>
        <color rgb="FFFFFFFF"/>
        <rFont val="Arial"/>
        <family val="0"/>
        <charset val="1"/>
      </rPr>
      <t xml:space="preserve">2026H1</t>
    </r>
    <r>
      <rPr>
        <b val="true"/>
        <sz val="10"/>
        <color rgb="FFFFFFFF"/>
        <rFont val="Noto Sans CJK SC"/>
        <family val="2"/>
      </rPr>
      <t xml:space="preserve">持股比例</t>
    </r>
    <r>
      <rPr>
        <b val="true"/>
        <sz val="10"/>
        <color rgb="FFFFFFFF"/>
        <rFont val="Arial"/>
        <family val="0"/>
        <charset val="1"/>
      </rPr>
      <t xml:space="preserve">%</t>
    </r>
  </si>
  <si>
    <r>
      <rPr>
        <b val="true"/>
        <sz val="10"/>
        <color rgb="FFFFFFFF"/>
        <rFont val="Arial"/>
        <family val="0"/>
        <charset val="1"/>
      </rPr>
      <t xml:space="preserve">2026H1</t>
    </r>
    <r>
      <rPr>
        <b val="true"/>
        <sz val="10"/>
        <color rgb="FFFFFFFF"/>
        <rFont val="Noto Sans CJK SC"/>
        <family val="2"/>
      </rPr>
      <t xml:space="preserve">报告期内增减</t>
    </r>
  </si>
  <si>
    <t xml:space="preserve">潮州市三江投资有限公司（控股股东，境内非国有法人）</t>
  </si>
  <si>
    <t xml:space="preserve">香港中央结算有限公司</t>
  </si>
  <si>
    <r>
      <rPr>
        <sz val="10"/>
        <color rgb="FF000000"/>
        <rFont val="Noto Sans CJK SC"/>
        <family val="2"/>
      </rPr>
      <t xml:space="preserve">张万镇（实际控制人；限售</t>
    </r>
    <r>
      <rPr>
        <sz val="10"/>
        <color rgb="FF000000"/>
        <rFont val="Arial"/>
        <family val="0"/>
        <charset val="1"/>
      </rPr>
      <t xml:space="preserve">40,194,000/</t>
    </r>
    <r>
      <rPr>
        <sz val="10"/>
        <color rgb="FF000000"/>
        <rFont val="Noto Sans CJK SC"/>
        <family val="2"/>
      </rPr>
      <t xml:space="preserve">无限售</t>
    </r>
    <r>
      <rPr>
        <sz val="10"/>
        <color rgb="FF000000"/>
        <rFont val="Arial"/>
        <family val="0"/>
        <charset val="1"/>
      </rPr>
      <t xml:space="preserve">13,398,000</t>
    </r>
    <r>
      <rPr>
        <sz val="10"/>
        <color rgb="FF000000"/>
        <rFont val="Noto Sans CJK SC"/>
        <family val="2"/>
      </rPr>
      <t xml:space="preserve">）</t>
    </r>
  </si>
  <si>
    <t xml:space="preserve">中国证券金融股份有限公司</t>
  </si>
  <si>
    <r>
      <rPr>
        <sz val="10"/>
        <color rgb="FF000000"/>
        <rFont val="Noto Sans CJK SC"/>
        <family val="2"/>
      </rPr>
      <t xml:space="preserve">工商银行－易方达创业板</t>
    </r>
    <r>
      <rPr>
        <sz val="10"/>
        <color rgb="FF000000"/>
        <rFont val="Arial"/>
        <family val="0"/>
        <charset val="1"/>
      </rPr>
      <t xml:space="preserve">ETF</t>
    </r>
  </si>
  <si>
    <r>
      <rPr>
        <sz val="10"/>
        <color rgb="FF000000"/>
        <rFont val="Noto Sans CJK SC"/>
        <family val="2"/>
      </rPr>
      <t xml:space="preserve">工商银行－华泰柏瑞沪深</t>
    </r>
    <r>
      <rPr>
        <sz val="10"/>
        <color rgb="FF000000"/>
        <rFont val="Arial"/>
        <family val="0"/>
        <charset val="1"/>
      </rPr>
      <t xml:space="preserve">300ETF</t>
    </r>
  </si>
  <si>
    <t xml:space="preserve">徐瑞英</t>
  </si>
  <si>
    <r>
      <rPr>
        <sz val="10"/>
        <color rgb="FF000000"/>
        <rFont val="Noto Sans CJK SC"/>
        <family val="2"/>
      </rPr>
      <t xml:space="preserve">建设银行－易方达沪深</t>
    </r>
    <r>
      <rPr>
        <sz val="10"/>
        <color rgb="FF000000"/>
        <rFont val="Arial"/>
        <family val="0"/>
        <charset val="1"/>
      </rPr>
      <t xml:space="preserve">300ETF</t>
    </r>
  </si>
  <si>
    <t xml:space="preserve">MORGAN STANLEY &amp; CO. INTERNATIONAL PLC.</t>
  </si>
  <si>
    <r>
      <rPr>
        <sz val="10"/>
        <color rgb="FF000000"/>
        <rFont val="Noto Sans CJK SC"/>
        <family val="2"/>
      </rPr>
      <t xml:space="preserve">工商银行－华夏沪深</t>
    </r>
    <r>
      <rPr>
        <sz val="10"/>
        <color rgb="FF000000"/>
        <rFont val="Arial"/>
        <family val="0"/>
        <charset val="1"/>
      </rPr>
      <t xml:space="preserve">300ETF</t>
    </r>
  </si>
  <si>
    <t xml:space="preserve">谢灿生</t>
  </si>
  <si>
    <t xml:space="preserve">工商银行－财通成长优选混合</t>
  </si>
  <si>
    <r>
      <rPr>
        <sz val="10"/>
        <color rgb="FF000000"/>
        <rFont val="Noto Sans CJK SC"/>
        <family val="2"/>
      </rPr>
      <t xml:space="preserve">易方达基金－社保基金</t>
    </r>
    <r>
      <rPr>
        <sz val="10"/>
        <color rgb="FF000000"/>
        <rFont val="Arial"/>
        <family val="0"/>
        <charset val="1"/>
      </rPr>
      <t xml:space="preserve">2106</t>
    </r>
    <r>
      <rPr>
        <sz val="10"/>
        <color rgb="FF000000"/>
        <rFont val="Noto Sans CJK SC"/>
        <family val="2"/>
      </rPr>
      <t xml:space="preserve">组合</t>
    </r>
  </si>
  <si>
    <t xml:space="preserve">魏敏</t>
  </si>
  <si>
    <t xml:space="preserve">徐淑婉</t>
  </si>
  <si>
    <t xml:space="preserve">建设银行－华商均衡成长混合</t>
  </si>
  <si>
    <t xml:space="preserve">分红与回购</t>
  </si>
  <si>
    <r>
      <rPr>
        <i val="true"/>
        <sz val="10"/>
        <color rgb="FF595959"/>
        <rFont val="Noto Sans CJK SC"/>
        <family val="2"/>
      </rPr>
      <t xml:space="preserve">单位：百万元（原表单位元；比例、单价、股数、人数等非金额行列保持原值；原单位说明：元 </t>
    </r>
    <r>
      <rPr>
        <i val="true"/>
        <sz val="10"/>
        <color rgb="FF595959"/>
        <rFont val="Arial"/>
        <family val="0"/>
        <charset val="1"/>
      </rPr>
      <t xml:space="preserve">unless noted</t>
    </r>
    <r>
      <rPr>
        <i val="true"/>
        <sz val="10"/>
        <color rgb="FF595959"/>
        <rFont val="Noto Sans CJK SC"/>
        <family val="2"/>
      </rPr>
      <t xml:space="preserve">）；来源：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第四节 利润分配</t>
    </r>
    <r>
      <rPr>
        <i val="true"/>
        <sz val="10"/>
        <color rgb="FF595959"/>
        <rFont val="Arial"/>
        <family val="0"/>
        <charset val="1"/>
      </rPr>
      <t xml:space="preserve">; FY2024</t>
    </r>
    <r>
      <rPr>
        <i val="true"/>
        <sz val="10"/>
        <color rgb="FF595959"/>
        <rFont val="Noto Sans CJK SC"/>
        <family val="2"/>
      </rPr>
      <t xml:space="preserve">年报</t>
    </r>
    <r>
      <rPr>
        <i val="true"/>
        <sz val="10"/>
        <color rgb="FF595959"/>
        <rFont val="Arial"/>
        <family val="0"/>
        <charset val="1"/>
      </rPr>
      <t xml:space="preserve">(2025-04-24) </t>
    </r>
    <r>
      <rPr>
        <i val="true"/>
        <sz val="10"/>
        <color rgb="FF595959"/>
        <rFont val="Noto Sans CJK SC"/>
        <family val="2"/>
      </rPr>
      <t xml:space="preserve">第四节 利润分配 </t>
    </r>
    <r>
      <rPr>
        <i val="true"/>
        <sz val="10"/>
        <color rgb="FF595959"/>
        <rFont val="Arial"/>
        <family val="0"/>
        <charset val="1"/>
      </rPr>
      <t xml:space="preserve">and </t>
    </r>
    <r>
      <rPr>
        <i val="true"/>
        <sz val="10"/>
        <color rgb="FF595959"/>
        <rFont val="Noto Sans CJK SC"/>
        <family val="2"/>
      </rPr>
      <t xml:space="preserve">质量回报双提升</t>
    </r>
    <r>
      <rPr>
        <i val="true"/>
        <sz val="10"/>
        <color rgb="FF595959"/>
        <rFont val="Arial"/>
        <family val="0"/>
        <charset val="1"/>
      </rPr>
      <t xml:space="preserve">; 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第四节十一 </t>
    </r>
    <r>
      <rPr>
        <i val="true"/>
        <sz val="10"/>
        <color rgb="FF595959"/>
        <rFont val="Arial"/>
        <family val="0"/>
        <charset val="1"/>
      </rPr>
      <t xml:space="preserve">and </t>
    </r>
    <r>
      <rPr>
        <i val="true"/>
        <sz val="10"/>
        <color rgb="FF595959"/>
        <rFont val="Noto Sans CJK SC"/>
        <family val="2"/>
      </rPr>
      <t xml:space="preserve">质量回报双提升</t>
    </r>
  </si>
  <si>
    <r>
      <rPr>
        <b val="true"/>
        <sz val="10"/>
        <color rgb="FFFFFFFF"/>
        <rFont val="Arial"/>
        <family val="0"/>
        <charset val="1"/>
      </rPr>
      <t xml:space="preserve">FY2023</t>
    </r>
    <r>
      <rPr>
        <b val="true"/>
        <sz val="10"/>
        <color rgb="FFFFFFFF"/>
        <rFont val="Noto Sans CJK SC"/>
        <family val="2"/>
      </rPr>
      <t xml:space="preserve">预案</t>
    </r>
    <r>
      <rPr>
        <b val="true"/>
        <sz val="10"/>
        <color rgb="FFFFFFFF"/>
        <rFont val="Arial"/>
        <family val="0"/>
        <charset val="1"/>
      </rPr>
      <t xml:space="preserve">(FY2023</t>
    </r>
    <r>
      <rPr>
        <b val="true"/>
        <sz val="10"/>
        <color rgb="FFFFFFFF"/>
        <rFont val="Noto Sans CJK SC"/>
        <family val="2"/>
      </rPr>
      <t xml:space="preserve">年报</t>
    </r>
    <r>
      <rPr>
        <b val="true"/>
        <sz val="10"/>
        <color rgb="FFFFFFFF"/>
        <rFont val="Arial"/>
        <family val="0"/>
        <charset val="1"/>
      </rPr>
      <t xml:space="preserve">)</t>
    </r>
  </si>
  <si>
    <r>
      <rPr>
        <b val="true"/>
        <sz val="10"/>
        <color rgb="FFFFFFFF"/>
        <rFont val="Arial"/>
        <family val="0"/>
        <charset val="1"/>
      </rPr>
      <t xml:space="preserve">FY2024</t>
    </r>
    <r>
      <rPr>
        <b val="true"/>
        <sz val="10"/>
        <color rgb="FFFFFFFF"/>
        <rFont val="Noto Sans CJK SC"/>
        <family val="2"/>
      </rPr>
      <t xml:space="preserve">预案</t>
    </r>
    <r>
      <rPr>
        <b val="true"/>
        <sz val="10"/>
        <color rgb="FFFFFFFF"/>
        <rFont val="Arial"/>
        <family val="0"/>
        <charset val="1"/>
      </rPr>
      <t xml:space="preserve">(FY2024</t>
    </r>
    <r>
      <rPr>
        <b val="true"/>
        <sz val="10"/>
        <color rgb="FFFFFFFF"/>
        <rFont val="Noto Sans CJK SC"/>
        <family val="2"/>
      </rPr>
      <t xml:space="preserve">年报</t>
    </r>
    <r>
      <rPr>
        <b val="true"/>
        <sz val="10"/>
        <color rgb="FFFFFFFF"/>
        <rFont val="Arial"/>
        <family val="0"/>
        <charset val="1"/>
      </rPr>
      <t xml:space="preserve">)</t>
    </r>
  </si>
  <si>
    <r>
      <rPr>
        <b val="true"/>
        <sz val="10"/>
        <color rgb="FFFFFFFF"/>
        <rFont val="Arial"/>
        <family val="0"/>
        <charset val="1"/>
      </rPr>
      <t xml:space="preserve">FY2024</t>
    </r>
    <r>
      <rPr>
        <b val="true"/>
        <sz val="10"/>
        <color rgb="FFFFFFFF"/>
        <rFont val="Noto Sans CJK SC"/>
        <family val="2"/>
      </rPr>
      <t xml:space="preserve">实施</t>
    </r>
    <r>
      <rPr>
        <b val="true"/>
        <sz val="10"/>
        <color rgb="FFFFFFFF"/>
        <rFont val="Arial"/>
        <family val="0"/>
        <charset val="1"/>
      </rPr>
      <t xml:space="preserve">(FY2025</t>
    </r>
    <r>
      <rPr>
        <b val="true"/>
        <sz val="10"/>
        <color rgb="FFFFFFFF"/>
        <rFont val="Noto Sans CJK SC"/>
        <family val="2"/>
      </rPr>
      <t xml:space="preserve">年报</t>
    </r>
    <r>
      <rPr>
        <b val="true"/>
        <sz val="10"/>
        <color rgb="FFFFFFFF"/>
        <rFont val="Arial"/>
        <family val="0"/>
        <charset val="1"/>
      </rPr>
      <t xml:space="preserve">)</t>
    </r>
  </si>
  <si>
    <r>
      <rPr>
        <b val="true"/>
        <sz val="10"/>
        <color rgb="FFFFFFFF"/>
        <rFont val="Arial"/>
        <family val="0"/>
        <charset val="1"/>
      </rPr>
      <t xml:space="preserve">FY2025</t>
    </r>
    <r>
      <rPr>
        <b val="true"/>
        <sz val="10"/>
        <color rgb="FFFFFFFF"/>
        <rFont val="Noto Sans CJK SC"/>
        <family val="2"/>
      </rPr>
      <t xml:space="preserve">预案</t>
    </r>
    <r>
      <rPr>
        <b val="true"/>
        <sz val="10"/>
        <color rgb="FFFFFFFF"/>
        <rFont val="Arial"/>
        <family val="0"/>
        <charset val="1"/>
      </rPr>
      <t xml:space="preserve">(FY2025</t>
    </r>
    <r>
      <rPr>
        <b val="true"/>
        <sz val="10"/>
        <color rgb="FFFFFFFF"/>
        <rFont val="Noto Sans CJK SC"/>
        <family val="2"/>
      </rPr>
      <t xml:space="preserve">年报</t>
    </r>
    <r>
      <rPr>
        <b val="true"/>
        <sz val="10"/>
        <color rgb="FFFFFFFF"/>
        <rFont val="Arial"/>
        <family val="0"/>
        <charset val="1"/>
      </rPr>
      <t xml:space="preserve">)</t>
    </r>
  </si>
  <si>
    <r>
      <rPr>
        <sz val="10"/>
        <color rgb="FF000000"/>
        <rFont val="Noto Sans CJK SC"/>
        <family val="2"/>
      </rPr>
      <t xml:space="preserve">每</t>
    </r>
    <r>
      <rPr>
        <sz val="10"/>
        <color rgb="FF000000"/>
        <rFont val="Arial"/>
        <family val="0"/>
        <charset val="1"/>
      </rPr>
      <t xml:space="preserve">10</t>
    </r>
    <r>
      <rPr>
        <sz val="10"/>
        <color rgb="FF000000"/>
        <rFont val="Noto Sans CJK SC"/>
        <family val="2"/>
      </rPr>
      <t xml:space="preserve">股派息（元，含税）</t>
    </r>
  </si>
  <si>
    <t xml:space="preserve">分配股本基数（股）</t>
  </si>
  <si>
    <t xml:space="preserve">现金分红金额</t>
  </si>
  <si>
    <t xml:space="preserve">以其他方式（回购）现金分红金额</t>
  </si>
  <si>
    <t xml:space="preserve">现金分红总额（含其他方式）</t>
  </si>
  <si>
    <t xml:space="preserve">母公司可分配利润</t>
  </si>
  <si>
    <t xml:space="preserve">上市以来累计现金分红（亿元，约数）</t>
  </si>
  <si>
    <t xml:space="preserve">员工构成</t>
  </si>
  <si>
    <r>
      <rPr>
        <i val="true"/>
        <sz val="10"/>
        <color rgb="FF595959"/>
        <rFont val="Noto Sans CJK SC"/>
        <family val="2"/>
      </rPr>
      <t xml:space="preserve">单位：人；来源：</t>
    </r>
    <r>
      <rPr>
        <i val="true"/>
        <sz val="10"/>
        <color rgb="FF595959"/>
        <rFont val="Arial"/>
        <family val="0"/>
        <charset val="1"/>
      </rPr>
      <t xml:space="preserve">FY2024</t>
    </r>
    <r>
      <rPr>
        <i val="true"/>
        <sz val="10"/>
        <color rgb="FF595959"/>
        <rFont val="Noto Sans CJK SC"/>
        <family val="2"/>
      </rPr>
      <t xml:space="preserve">年报</t>
    </r>
    <r>
      <rPr>
        <i val="true"/>
        <sz val="10"/>
        <color rgb="FF595959"/>
        <rFont val="Arial"/>
        <family val="0"/>
        <charset val="1"/>
      </rPr>
      <t xml:space="preserve">(2025-04-24)/FY2025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第四节 员工情况</t>
    </r>
    <r>
      <rPr>
        <i val="true"/>
        <sz val="10"/>
        <color rgb="FF595959"/>
        <rFont val="Arial"/>
        <family val="0"/>
        <charset val="1"/>
      </rPr>
      <t xml:space="preserve">; </t>
    </r>
    <r>
      <rPr>
        <i val="true"/>
        <sz val="10"/>
        <color rgb="FF595959"/>
        <rFont val="Noto Sans CJK SC"/>
        <family val="2"/>
      </rPr>
      <t xml:space="preserve">研发人员 </t>
    </r>
    <r>
      <rPr>
        <i val="true"/>
        <sz val="10"/>
        <color rgb="FF595959"/>
        <rFont val="Arial"/>
        <family val="0"/>
        <charset val="1"/>
      </rPr>
      <t xml:space="preserve">from </t>
    </r>
    <r>
      <rPr>
        <i val="true"/>
        <sz val="10"/>
        <color rgb="FF595959"/>
        <rFont val="Noto Sans CJK SC"/>
        <family val="2"/>
      </rPr>
      <t xml:space="preserve">第三节四</t>
    </r>
    <r>
      <rPr>
        <i val="true"/>
        <sz val="10"/>
        <color rgb="FF595959"/>
        <rFont val="Arial"/>
        <family val="0"/>
        <charset val="1"/>
      </rPr>
      <t xml:space="preserve">.4; 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第四节 员工情况 </t>
    </r>
    <r>
      <rPr>
        <i val="true"/>
        <sz val="10"/>
        <color rgb="FF595959"/>
        <rFont val="Arial"/>
        <family val="0"/>
        <charset val="1"/>
      </rPr>
      <t xml:space="preserve">(PDF raw text)</t>
    </r>
  </si>
  <si>
    <t xml:space="preserve">本科及以上</t>
  </si>
  <si>
    <t xml:space="preserve">大专及以下</t>
  </si>
  <si>
    <t xml:space="preserve">研发人员数量</t>
  </si>
  <si>
    <r>
      <rPr>
        <sz val="10"/>
        <color rgb="FF000000"/>
        <rFont val="Noto Sans CJK SC"/>
        <family val="2"/>
      </rPr>
      <t xml:space="preserve">研发人员数量占比</t>
    </r>
    <r>
      <rPr>
        <sz val="10"/>
        <color rgb="FF000000"/>
        <rFont val="Arial"/>
        <family val="0"/>
        <charset val="1"/>
      </rPr>
      <t xml:space="preserve">%</t>
    </r>
  </si>
  <si>
    <t xml:space="preserve">研发投入</t>
  </si>
  <si>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 for ratio</t>
    </r>
    <r>
      <rPr>
        <i val="true"/>
        <sz val="10"/>
        <color rgb="FF595959"/>
        <rFont val="Noto Sans CJK SC"/>
        <family val="2"/>
      </rPr>
      <t xml:space="preserve">）；来源：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 </t>
    </r>
    <r>
      <rPr>
        <i val="true"/>
        <sz val="10"/>
        <color rgb="FF595959"/>
        <rFont val="Noto Sans CJK SC"/>
        <family val="2"/>
      </rPr>
      <t xml:space="preserve">第三节四</t>
    </r>
    <r>
      <rPr>
        <i val="true"/>
        <sz val="10"/>
        <color rgb="FF595959"/>
        <rFont val="Arial"/>
        <family val="0"/>
        <charset val="1"/>
      </rPr>
      <t xml:space="preserve">.4 and </t>
    </r>
    <r>
      <rPr>
        <i val="true"/>
        <sz val="10"/>
        <color rgb="FF595959"/>
        <rFont val="Noto Sans CJK SC"/>
        <family val="2"/>
      </rPr>
      <t xml:space="preserve">第十节 研发支出</t>
    </r>
    <r>
      <rPr>
        <i val="true"/>
        <sz val="10"/>
        <color rgb="FF595959"/>
        <rFont val="Arial"/>
        <family val="0"/>
        <charset val="1"/>
      </rPr>
      <t xml:space="preserve">; 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第三节四</t>
    </r>
    <r>
      <rPr>
        <i val="true"/>
        <sz val="10"/>
        <color rgb="FF595959"/>
        <rFont val="Arial"/>
        <family val="0"/>
        <charset val="1"/>
      </rPr>
      <t xml:space="preserve">.4 and </t>
    </r>
    <r>
      <rPr>
        <i val="true"/>
        <sz val="10"/>
        <color rgb="FF595959"/>
        <rFont val="Noto Sans CJK SC"/>
        <family val="2"/>
      </rPr>
      <t xml:space="preserve">第八节八</t>
    </r>
    <r>
      <rPr>
        <i val="true"/>
        <sz val="10"/>
        <color rgb="FF595959"/>
        <rFont val="Arial"/>
        <family val="0"/>
        <charset val="1"/>
      </rPr>
      <t xml:space="preserve">; 2025</t>
    </r>
    <r>
      <rPr>
        <i val="true"/>
        <sz val="10"/>
        <color rgb="FF595959"/>
        <rFont val="Noto Sans CJK SC"/>
        <family val="2"/>
      </rPr>
      <t xml:space="preserve">半年报</t>
    </r>
    <r>
      <rPr>
        <i val="true"/>
        <sz val="10"/>
        <color rgb="FF595959"/>
        <rFont val="Arial"/>
        <family val="0"/>
        <charset val="1"/>
      </rPr>
      <t xml:space="preserve">(2025-08-29) </t>
    </r>
    <r>
      <rPr>
        <i val="true"/>
        <sz val="10"/>
        <color rgb="FF595959"/>
        <rFont val="Noto Sans CJK SC"/>
        <family val="2"/>
      </rPr>
      <t xml:space="preserve">研发支出附注</t>
    </r>
    <r>
      <rPr>
        <i val="true"/>
        <sz val="10"/>
        <color rgb="FF595959"/>
        <rFont val="Arial"/>
        <family val="0"/>
        <charset val="1"/>
      </rPr>
      <t xml:space="preserve">;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第八节八</t>
    </r>
  </si>
  <si>
    <r>
      <rPr>
        <sz val="10"/>
        <color rgb="FF000000"/>
        <rFont val="Noto Sans CJK SC"/>
        <family val="2"/>
      </rPr>
      <t xml:space="preserve">研发投入占营业收入比例</t>
    </r>
    <r>
      <rPr>
        <sz val="10"/>
        <color rgb="FF000000"/>
        <rFont val="Arial"/>
        <family val="0"/>
        <charset val="1"/>
      </rPr>
      <t xml:space="preserve">%</t>
    </r>
  </si>
  <si>
    <t xml:space="preserve">  人员人工费用</t>
  </si>
  <si>
    <t xml:space="preserve">  直接投入费用</t>
  </si>
  <si>
    <t xml:space="preserve">  折旧摊销费用</t>
  </si>
  <si>
    <t xml:space="preserve">  其他费用</t>
  </si>
  <si>
    <r>
      <rPr>
        <b val="true"/>
        <sz val="10"/>
        <color rgb="FF1F3864"/>
        <rFont val="Noto Sans CJK SC"/>
        <family val="2"/>
      </rPr>
      <t xml:space="preserve">前五名客户</t>
    </r>
    <r>
      <rPr>
        <b val="true"/>
        <sz val="10"/>
        <color rgb="FF1F3864"/>
        <rFont val="Arial"/>
        <family val="0"/>
        <charset val="1"/>
      </rPr>
      <t xml:space="preserve">/</t>
    </r>
    <r>
      <rPr>
        <b val="true"/>
        <sz val="10"/>
        <color rgb="FF1F3864"/>
        <rFont val="Noto Sans CJK SC"/>
        <family val="2"/>
      </rPr>
      <t xml:space="preserve">供应商集中度</t>
    </r>
  </si>
  <si>
    <r>
      <rPr>
        <i val="true"/>
        <sz val="10"/>
        <color rgb="FF595959"/>
        <rFont val="Noto Sans CJK SC"/>
        <family val="2"/>
      </rPr>
      <t xml:space="preserve">单位：百万元（原表单位元；比例、单价、股数、人数等非金额行列保持原值；原单位说明：元</t>
    </r>
    <r>
      <rPr>
        <i val="true"/>
        <sz val="10"/>
        <color rgb="FF595959"/>
        <rFont val="Arial"/>
        <family val="0"/>
        <charset val="1"/>
      </rPr>
      <t xml:space="preserve">; %</t>
    </r>
    <r>
      <rPr>
        <i val="true"/>
        <sz val="10"/>
        <color rgb="FF595959"/>
        <rFont val="Noto Sans CJK SC"/>
        <family val="2"/>
      </rPr>
      <t xml:space="preserve">）；来源：</t>
    </r>
    <r>
      <rPr>
        <i val="true"/>
        <sz val="10"/>
        <color rgb="FF595959"/>
        <rFont val="Arial"/>
        <family val="0"/>
        <charset val="1"/>
      </rPr>
      <t xml:space="preserve">FY2023</t>
    </r>
    <r>
      <rPr>
        <i val="true"/>
        <sz val="10"/>
        <color rgb="FF595959"/>
        <rFont val="Noto Sans CJK SC"/>
        <family val="2"/>
      </rPr>
      <t xml:space="preserve">年报</t>
    </r>
    <r>
      <rPr>
        <i val="true"/>
        <sz val="10"/>
        <color rgb="FF595959"/>
        <rFont val="Arial"/>
        <family val="0"/>
        <charset val="1"/>
      </rPr>
      <t xml:space="preserve">(2024-04-27)/FY2024</t>
    </r>
    <r>
      <rPr>
        <i val="true"/>
        <sz val="10"/>
        <color rgb="FF595959"/>
        <rFont val="Noto Sans CJK SC"/>
        <family val="2"/>
      </rPr>
      <t xml:space="preserve">年报</t>
    </r>
    <r>
      <rPr>
        <i val="true"/>
        <sz val="10"/>
        <color rgb="FF595959"/>
        <rFont val="Arial"/>
        <family val="0"/>
        <charset val="1"/>
      </rPr>
      <t xml:space="preserve">(2025-04-24)/FY2025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第三节四</t>
    </r>
    <r>
      <rPr>
        <i val="true"/>
        <sz val="10"/>
        <color rgb="FF595959"/>
        <rFont val="Arial"/>
        <family val="0"/>
        <charset val="1"/>
      </rPr>
      <t xml:space="preserve">.2(8)</t>
    </r>
  </si>
  <si>
    <t xml:space="preserve">前五名客户合计销售金额</t>
  </si>
  <si>
    <r>
      <rPr>
        <sz val="10"/>
        <color rgb="FF000000"/>
        <rFont val="Noto Sans CJK SC"/>
        <family val="2"/>
      </rPr>
      <t xml:space="preserve">前五名客户占年度销售总额比例</t>
    </r>
    <r>
      <rPr>
        <sz val="10"/>
        <color rgb="FF000000"/>
        <rFont val="Arial"/>
        <family val="0"/>
        <charset val="1"/>
      </rPr>
      <t xml:space="preserve">%</t>
    </r>
  </si>
  <si>
    <t xml:space="preserve">前五名供应商合计采购金额</t>
  </si>
  <si>
    <r>
      <rPr>
        <sz val="10"/>
        <color rgb="FF000000"/>
        <rFont val="Noto Sans CJK SC"/>
        <family val="2"/>
      </rPr>
      <t xml:space="preserve">前五名供应商占年度采购总额比例</t>
    </r>
    <r>
      <rPr>
        <sz val="10"/>
        <color rgb="FF000000"/>
        <rFont val="Arial"/>
        <family val="0"/>
        <charset val="1"/>
      </rPr>
      <t xml:space="preserve">%</t>
    </r>
  </si>
  <si>
    <r>
      <rPr>
        <b val="true"/>
        <sz val="10"/>
        <color rgb="FF1F3864"/>
        <rFont val="Noto Sans CJK SC"/>
        <family val="2"/>
      </rPr>
      <t xml:space="preserve">未办妥产权证书的固定资产（新建厂房</t>
    </r>
    <r>
      <rPr>
        <b val="true"/>
        <sz val="10"/>
        <color rgb="FF1F3864"/>
        <rFont val="Arial"/>
        <family val="0"/>
        <charset val="1"/>
      </rPr>
      <t xml:space="preserve">/</t>
    </r>
    <r>
      <rPr>
        <b val="true"/>
        <sz val="10"/>
        <color rgb="FF1F3864"/>
        <rFont val="Noto Sans CJK SC"/>
        <family val="2"/>
      </rPr>
      <t xml:space="preserve">研究院清单，反映产能与基地建设）</t>
    </r>
  </si>
  <si>
    <r>
      <rPr>
        <i val="true"/>
        <sz val="10"/>
        <color rgb="FF595959"/>
        <rFont val="Noto Sans CJK SC"/>
        <family val="2"/>
      </rPr>
      <t xml:space="preserve">单位：百万元（原表单位元；比例、单价、股数、人数等非金额行列保持原值；原单位说明：元）；来源：</t>
    </r>
    <r>
      <rPr>
        <i val="true"/>
        <sz val="10"/>
        <color rgb="FF595959"/>
        <rFont val="Arial"/>
        <family val="0"/>
        <charset val="1"/>
      </rPr>
      <t xml:space="preserve">FY2025</t>
    </r>
    <r>
      <rPr>
        <i val="true"/>
        <sz val="10"/>
        <color rgb="FF595959"/>
        <rFont val="Noto Sans CJK SC"/>
        <family val="2"/>
      </rPr>
      <t xml:space="preserve">年报</t>
    </r>
    <r>
      <rPr>
        <i val="true"/>
        <sz val="10"/>
        <color rgb="FF595959"/>
        <rFont val="Arial"/>
        <family val="0"/>
        <charset val="1"/>
      </rPr>
      <t xml:space="preserve">(2026-03-28) </t>
    </r>
    <r>
      <rPr>
        <i val="true"/>
        <sz val="10"/>
        <color rgb="FF595959"/>
        <rFont val="Noto Sans CJK SC"/>
        <family val="2"/>
      </rPr>
      <t xml:space="preserve">第八节七 固定资产</t>
    </r>
    <r>
      <rPr>
        <i val="true"/>
        <sz val="10"/>
        <color rgb="FF595959"/>
        <rFont val="Arial"/>
        <family val="0"/>
        <charset val="1"/>
      </rPr>
      <t xml:space="preserve">(3); 2026</t>
    </r>
    <r>
      <rPr>
        <i val="true"/>
        <sz val="10"/>
        <color rgb="FF595959"/>
        <rFont val="Noto Sans CJK SC"/>
        <family val="2"/>
      </rPr>
      <t xml:space="preserve">半年报</t>
    </r>
    <r>
      <rPr>
        <i val="true"/>
        <sz val="10"/>
        <color rgb="FF595959"/>
        <rFont val="Arial"/>
        <family val="0"/>
        <charset val="1"/>
      </rPr>
      <t xml:space="preserve">(2026-08-28) </t>
    </r>
    <r>
      <rPr>
        <i val="true"/>
        <sz val="10"/>
        <color rgb="FF595959"/>
        <rFont val="Noto Sans CJK SC"/>
        <family val="2"/>
      </rPr>
      <t xml:space="preserve">第八节七 固定资产</t>
    </r>
    <r>
      <rPr>
        <i val="true"/>
        <sz val="10"/>
        <color rgb="FF595959"/>
        <rFont val="Arial"/>
        <family val="0"/>
        <charset val="1"/>
      </rPr>
      <t xml:space="preserve">(3)</t>
    </r>
  </si>
  <si>
    <r>
      <rPr>
        <sz val="10"/>
        <color rgb="FF000000"/>
        <rFont val="Noto Sans CJK SC"/>
        <family val="2"/>
      </rPr>
      <t xml:space="preserve">研究院 </t>
    </r>
    <r>
      <rPr>
        <sz val="10"/>
        <color rgb="FF000000"/>
        <rFont val="Arial"/>
        <family val="0"/>
        <charset val="1"/>
      </rPr>
      <t xml:space="preserve">1#</t>
    </r>
    <r>
      <rPr>
        <sz val="10"/>
        <color rgb="FF000000"/>
        <rFont val="Noto Sans CJK SC"/>
        <family val="2"/>
      </rPr>
      <t xml:space="preserve">楼</t>
    </r>
  </si>
  <si>
    <r>
      <rPr>
        <sz val="10"/>
        <color rgb="FF000000"/>
        <rFont val="Noto Sans CJK SC"/>
        <family val="2"/>
      </rPr>
      <t xml:space="preserve">研究院 </t>
    </r>
    <r>
      <rPr>
        <sz val="10"/>
        <color rgb="FF000000"/>
        <rFont val="Arial"/>
        <family val="0"/>
        <charset val="1"/>
      </rPr>
      <t xml:space="preserve">3#</t>
    </r>
    <r>
      <rPr>
        <sz val="10"/>
        <color rgb="FF000000"/>
        <rFont val="Noto Sans CJK SC"/>
        <family val="2"/>
      </rPr>
      <t xml:space="preserve">楼</t>
    </r>
  </si>
  <si>
    <r>
      <rPr>
        <sz val="10"/>
        <color rgb="FF000000"/>
        <rFont val="Noto Sans CJK SC"/>
        <family val="2"/>
      </rPr>
      <t xml:space="preserve">研究院 </t>
    </r>
    <r>
      <rPr>
        <sz val="10"/>
        <color rgb="FF000000"/>
        <rFont val="Arial"/>
        <family val="0"/>
        <charset val="1"/>
      </rPr>
      <t xml:space="preserve">4#</t>
    </r>
    <r>
      <rPr>
        <sz val="10"/>
        <color rgb="FF000000"/>
        <rFont val="Noto Sans CJK SC"/>
        <family val="2"/>
      </rPr>
      <t xml:space="preserve">仓库</t>
    </r>
  </si>
  <si>
    <r>
      <rPr>
        <sz val="10"/>
        <color rgb="FF000000"/>
        <rFont val="Noto Sans CJK SC"/>
        <family val="2"/>
      </rPr>
      <t xml:space="preserve">研究院 </t>
    </r>
    <r>
      <rPr>
        <sz val="10"/>
        <color rgb="FF000000"/>
        <rFont val="Arial"/>
        <family val="0"/>
        <charset val="1"/>
      </rPr>
      <t xml:space="preserve">5#</t>
    </r>
    <r>
      <rPr>
        <sz val="10"/>
        <color rgb="FF000000"/>
        <rFont val="Noto Sans CJK SC"/>
        <family val="2"/>
      </rPr>
      <t xml:space="preserve">门卫室</t>
    </r>
  </si>
  <si>
    <r>
      <rPr>
        <sz val="10"/>
        <color rgb="FF000000"/>
        <rFont val="Noto Sans CJK SC"/>
        <family val="2"/>
      </rPr>
      <t xml:space="preserve">研究院（</t>
    </r>
    <r>
      <rPr>
        <sz val="10"/>
        <color rgb="FF000000"/>
        <rFont val="Arial"/>
        <family val="0"/>
        <charset val="1"/>
      </rPr>
      <t xml:space="preserve">2026H1</t>
    </r>
    <r>
      <rPr>
        <sz val="10"/>
        <color rgb="FF000000"/>
        <rFont val="Noto Sans CJK SC"/>
        <family val="2"/>
      </rPr>
      <t xml:space="preserve">合并列示）</t>
    </r>
  </si>
  <si>
    <r>
      <rPr>
        <sz val="10"/>
        <color rgb="FF000000"/>
        <rFont val="Noto Sans CJK SC"/>
        <family val="2"/>
      </rPr>
      <t xml:space="preserve">新地块 </t>
    </r>
    <r>
      <rPr>
        <sz val="10"/>
        <color rgb="FF000000"/>
        <rFont val="Arial"/>
        <family val="0"/>
        <charset val="1"/>
      </rPr>
      <t xml:space="preserve">2-4#</t>
    </r>
    <r>
      <rPr>
        <sz val="10"/>
        <color rgb="FF000000"/>
        <rFont val="Noto Sans CJK SC"/>
        <family val="2"/>
      </rPr>
      <t xml:space="preserve">厂房</t>
    </r>
  </si>
  <si>
    <r>
      <rPr>
        <sz val="10"/>
        <color rgb="FF000000"/>
        <rFont val="Arial"/>
        <family val="0"/>
        <charset val="1"/>
      </rPr>
      <t xml:space="preserve">16 </t>
    </r>
    <r>
      <rPr>
        <sz val="10"/>
        <color rgb="FF000000"/>
        <rFont val="Noto Sans CJK SC"/>
        <family val="2"/>
      </rPr>
      <t xml:space="preserve">号倒班宿舍</t>
    </r>
  </si>
  <si>
    <r>
      <rPr>
        <sz val="10"/>
        <color rgb="FF000000"/>
        <rFont val="Noto Sans CJK SC"/>
        <family val="2"/>
      </rPr>
      <t xml:space="preserve">新地块 </t>
    </r>
    <r>
      <rPr>
        <sz val="10"/>
        <color rgb="FF000000"/>
        <rFont val="Arial"/>
        <family val="0"/>
        <charset val="1"/>
      </rPr>
      <t xml:space="preserve">6#</t>
    </r>
    <r>
      <rPr>
        <sz val="10"/>
        <color rgb="FF000000"/>
        <rFont val="Noto Sans CJK SC"/>
        <family val="2"/>
      </rPr>
      <t xml:space="preserve">厂房</t>
    </r>
  </si>
  <si>
    <r>
      <rPr>
        <sz val="10"/>
        <color rgb="FF000000"/>
        <rFont val="Noto Sans CJK SC"/>
        <family val="2"/>
      </rPr>
      <t xml:space="preserve">基板厂区新建 </t>
    </r>
    <r>
      <rPr>
        <sz val="10"/>
        <color rgb="FF000000"/>
        <rFont val="Arial"/>
        <family val="0"/>
        <charset val="1"/>
      </rPr>
      <t xml:space="preserve">1#2#</t>
    </r>
    <r>
      <rPr>
        <sz val="10"/>
        <color rgb="FF000000"/>
        <rFont val="Noto Sans CJK SC"/>
        <family val="2"/>
      </rPr>
      <t xml:space="preserve">厂房</t>
    </r>
  </si>
  <si>
    <r>
      <rPr>
        <sz val="10"/>
        <color rgb="FF000000"/>
        <rFont val="Noto Sans CJK SC"/>
        <family val="2"/>
      </rPr>
      <t xml:space="preserve">新地块 </t>
    </r>
    <r>
      <rPr>
        <sz val="10"/>
        <color rgb="FF000000"/>
        <rFont val="Arial"/>
        <family val="0"/>
        <charset val="1"/>
      </rPr>
      <t xml:space="preserve">5#</t>
    </r>
    <r>
      <rPr>
        <sz val="10"/>
        <color rgb="FF000000"/>
        <rFont val="Noto Sans CJK SC"/>
        <family val="2"/>
      </rPr>
      <t xml:space="preserve">办公楼</t>
    </r>
  </si>
  <si>
    <r>
      <rPr>
        <sz val="10"/>
        <color rgb="FF000000"/>
        <rFont val="Noto Sans CJK SC"/>
        <family val="2"/>
      </rPr>
      <t xml:space="preserve">新地块 </t>
    </r>
    <r>
      <rPr>
        <sz val="10"/>
        <color rgb="FF000000"/>
        <rFont val="Arial"/>
        <family val="0"/>
        <charset val="1"/>
      </rPr>
      <t xml:space="preserve">7#</t>
    </r>
    <r>
      <rPr>
        <sz val="10"/>
        <color rgb="FF000000"/>
        <rFont val="Noto Sans CJK SC"/>
        <family val="2"/>
      </rPr>
      <t xml:space="preserve">厂房</t>
    </r>
  </si>
  <si>
    <r>
      <rPr>
        <sz val="10"/>
        <color rgb="FF000000"/>
        <rFont val="Arial"/>
        <family val="0"/>
        <charset val="1"/>
      </rPr>
      <t xml:space="preserve">15#</t>
    </r>
    <r>
      <rPr>
        <sz val="10"/>
        <color rgb="FF000000"/>
        <rFont val="Noto Sans CJK SC"/>
        <family val="2"/>
      </rPr>
      <t xml:space="preserve">倒班楼</t>
    </r>
  </si>
  <si>
    <r>
      <rPr>
        <sz val="10"/>
        <color rgb="FF000000"/>
        <rFont val="Noto Sans CJK SC"/>
        <family val="2"/>
      </rPr>
      <t xml:space="preserve">厂房及倒班楼（</t>
    </r>
    <r>
      <rPr>
        <sz val="10"/>
        <color rgb="FF000000"/>
        <rFont val="Arial"/>
        <family val="0"/>
        <charset val="1"/>
      </rPr>
      <t xml:space="preserve">2026H1</t>
    </r>
    <r>
      <rPr>
        <sz val="10"/>
        <color rgb="FF000000"/>
        <rFont val="Noto Sans CJK SC"/>
        <family val="2"/>
      </rPr>
      <t xml:space="preserve">合并列示）</t>
    </r>
  </si>
  <si>
    <r>
      <rPr>
        <sz val="10"/>
        <color rgb="FF000000"/>
        <rFont val="Noto Sans CJK SC"/>
        <family val="2"/>
      </rPr>
      <t xml:space="preserve">四厂区 </t>
    </r>
    <r>
      <rPr>
        <sz val="10"/>
        <color rgb="FF000000"/>
        <rFont val="Arial"/>
        <family val="0"/>
        <charset val="1"/>
      </rPr>
      <t xml:space="preserve">1#</t>
    </r>
    <r>
      <rPr>
        <sz val="10"/>
        <color rgb="FF000000"/>
        <rFont val="Noto Sans CJK SC"/>
        <family val="2"/>
      </rPr>
      <t xml:space="preserve">厂房</t>
    </r>
  </si>
  <si>
    <r>
      <rPr>
        <b val="true"/>
        <sz val="14"/>
        <color rgb="FF1F3864"/>
        <rFont val="Noto Sans CJK SC"/>
        <family val="2"/>
      </rPr>
      <t xml:space="preserve">产业链调研与公开信息要点（用于</t>
    </r>
    <r>
      <rPr>
        <b val="true"/>
        <sz val="14"/>
        <color rgb="FF1F3864"/>
        <rFont val="Arial"/>
        <family val="0"/>
        <charset val="1"/>
      </rPr>
      <t xml:space="preserve">SOFC</t>
    </r>
    <r>
      <rPr>
        <b val="true"/>
        <sz val="14"/>
        <color rgb="FF1F3864"/>
        <rFont val="Noto Sans CJK SC"/>
        <family val="2"/>
      </rPr>
      <t xml:space="preserve">子模型与需求假设）</t>
    </r>
  </si>
  <si>
    <r>
      <rPr>
        <i val="true"/>
        <sz val="10"/>
        <color rgb="FF595959"/>
        <rFont val="Noto Sans CJK SC"/>
        <family val="2"/>
      </rPr>
      <t xml:space="preserve">来源：</t>
    </r>
    <r>
      <rPr>
        <i val="true"/>
        <sz val="10"/>
        <color rgb="FF595959"/>
        <rFont val="Arial"/>
        <family val="0"/>
        <charset val="1"/>
      </rPr>
      <t xml:space="preserve">Third Bridge</t>
    </r>
    <r>
      <rPr>
        <i val="true"/>
        <sz val="10"/>
        <color rgb="FF595959"/>
        <rFont val="Noto Sans CJK SC"/>
        <family val="2"/>
      </rPr>
      <t xml:space="preserve">访谈纪要（</t>
    </r>
    <r>
      <rPr>
        <i val="true"/>
        <sz val="10"/>
        <color rgb="FF595959"/>
        <rFont val="Arial"/>
        <family val="0"/>
        <charset val="1"/>
      </rPr>
      <t xml:space="preserve">2026-04-03</t>
    </r>
    <r>
      <rPr>
        <i val="true"/>
        <sz val="10"/>
        <color rgb="FF595959"/>
        <rFont val="Noto Sans CJK SC"/>
        <family val="2"/>
      </rPr>
      <t xml:space="preserve">、</t>
    </r>
    <r>
      <rPr>
        <i val="true"/>
        <sz val="10"/>
        <color rgb="FF595959"/>
        <rFont val="Arial"/>
        <family val="0"/>
        <charset val="1"/>
      </rPr>
      <t xml:space="preserve">2026-06-11</t>
    </r>
    <r>
      <rPr>
        <i val="true"/>
        <sz val="10"/>
        <color rgb="FF595959"/>
        <rFont val="Noto Sans CJK SC"/>
        <family val="2"/>
      </rPr>
      <t xml:space="preserve">、</t>
    </r>
    <r>
      <rPr>
        <i val="true"/>
        <sz val="10"/>
        <color rgb="FF595959"/>
        <rFont val="Arial"/>
        <family val="0"/>
        <charset val="1"/>
      </rPr>
      <t xml:space="preserve">2026-07-22</t>
    </r>
    <r>
      <rPr>
        <i val="true"/>
        <sz val="10"/>
        <color rgb="FF595959"/>
        <rFont val="Noto Sans CJK SC"/>
        <family val="2"/>
      </rPr>
      <t xml:space="preserve">）及公开资料；访谈观点为专家个人判断，仅作假设参考。</t>
    </r>
  </si>
  <si>
    <t xml:space="preserve">日期</t>
  </si>
  <si>
    <t xml:space="preserve">来源</t>
  </si>
  <si>
    <t xml:space="preserve">要点</t>
  </si>
  <si>
    <t xml:space="preserve">模型中的用途</t>
  </si>
  <si>
    <t xml:space="preserve">2026-04-03</t>
  </si>
  <si>
    <r>
      <rPr>
        <sz val="10"/>
        <color rgb="FF000000"/>
        <rFont val="Arial"/>
        <family val="0"/>
        <charset val="1"/>
      </rPr>
      <t xml:space="preserve">Bloom</t>
    </r>
    <r>
      <rPr>
        <sz val="10"/>
        <color rgb="FF000000"/>
        <rFont val="Noto Sans CJK SC"/>
        <family val="2"/>
      </rPr>
      <t xml:space="preserve">前高级工程经理</t>
    </r>
  </si>
  <si>
    <r>
      <rPr>
        <sz val="10"/>
        <color rgb="FF000000"/>
        <rFont val="Arial"/>
        <family val="0"/>
        <charset val="1"/>
      </rPr>
      <t xml:space="preserve">Bloom</t>
    </r>
    <r>
      <rPr>
        <sz val="10"/>
        <color rgb="FF000000"/>
        <rFont val="Noto Sans CJK SC"/>
        <family val="2"/>
      </rPr>
      <t xml:space="preserve">对外产能指电池片与电堆层；其中约</t>
    </r>
    <r>
      <rPr>
        <sz val="10"/>
        <color rgb="FF000000"/>
        <rFont val="Arial"/>
        <family val="0"/>
        <charset val="1"/>
      </rPr>
      <t xml:space="preserve">25%-30%</t>
    </r>
    <r>
      <rPr>
        <sz val="10"/>
        <color rgb="FF000000"/>
        <rFont val="Noto Sans CJK SC"/>
        <family val="2"/>
      </rPr>
      <t xml:space="preserve">用于翻新与现场更换；</t>
    </r>
    <r>
      <rPr>
        <sz val="10"/>
        <color rgb="FF000000"/>
        <rFont val="Arial"/>
        <family val="0"/>
        <charset val="1"/>
      </rPr>
      <t xml:space="preserve">2026</t>
    </r>
    <r>
      <rPr>
        <sz val="10"/>
        <color rgb="FF000000"/>
        <rFont val="Noto Sans CJK SC"/>
        <family val="2"/>
      </rPr>
      <t xml:space="preserve">年底电池片与电堆产能约</t>
    </r>
    <r>
      <rPr>
        <sz val="10"/>
        <color rgb="FF000000"/>
        <rFont val="Arial"/>
        <family val="0"/>
        <charset val="1"/>
      </rPr>
      <t xml:space="preserve">2GW</t>
    </r>
    <r>
      <rPr>
        <sz val="10"/>
        <color rgb="FF000000"/>
        <rFont val="Noto Sans CJK SC"/>
        <family val="2"/>
      </rPr>
      <t xml:space="preserve">，收入端上限约</t>
    </r>
    <r>
      <rPr>
        <sz val="10"/>
        <color rgb="FF000000"/>
        <rFont val="Arial"/>
        <family val="0"/>
        <charset val="1"/>
      </rPr>
      <t xml:space="preserve">1.5GW</t>
    </r>
  </si>
  <si>
    <t xml:space="preserve">电池片层需求与验收量的换算</t>
  </si>
  <si>
    <r>
      <rPr>
        <sz val="10"/>
        <color rgb="FF000000"/>
        <rFont val="Arial"/>
        <family val="0"/>
        <charset val="1"/>
      </rPr>
      <t xml:space="preserve">2025</t>
    </r>
    <r>
      <rPr>
        <sz val="10"/>
        <color rgb="FF000000"/>
        <rFont val="Noto Sans CJK SC"/>
        <family val="2"/>
      </rPr>
      <t xml:space="preserve">年验收约</t>
    </r>
    <r>
      <rPr>
        <sz val="10"/>
        <color rgb="FF000000"/>
        <rFont val="Arial"/>
        <family val="0"/>
        <charset val="1"/>
      </rPr>
      <t xml:space="preserve">500MW</t>
    </r>
    <r>
      <rPr>
        <sz val="10"/>
        <color rgb="FF000000"/>
        <rFont val="Noto Sans CJK SC"/>
        <family val="2"/>
      </rPr>
      <t xml:space="preserve">，四季度产能折年约</t>
    </r>
    <r>
      <rPr>
        <sz val="10"/>
        <color rgb="FF000000"/>
        <rFont val="Arial"/>
        <family val="0"/>
        <charset val="1"/>
      </rPr>
      <t xml:space="preserve">800MW</t>
    </r>
    <r>
      <rPr>
        <sz val="10"/>
        <color rgb="FF000000"/>
        <rFont val="Noto Sans CJK SC"/>
        <family val="2"/>
      </rPr>
      <t xml:space="preserve">；</t>
    </r>
    <r>
      <rPr>
        <sz val="10"/>
        <color rgb="FF000000"/>
        <rFont val="Arial"/>
        <family val="0"/>
        <charset val="1"/>
      </rPr>
      <t xml:space="preserve">2026</t>
    </r>
    <r>
      <rPr>
        <sz val="10"/>
        <color rgb="FF000000"/>
        <rFont val="Noto Sans CJK SC"/>
        <family val="2"/>
      </rPr>
      <t xml:space="preserve">年实际验收约</t>
    </r>
    <r>
      <rPr>
        <sz val="10"/>
        <color rgb="FF000000"/>
        <rFont val="Arial"/>
        <family val="0"/>
        <charset val="1"/>
      </rPr>
      <t xml:space="preserve">1.25-1.5GW</t>
    </r>
    <r>
      <rPr>
        <sz val="10"/>
        <color rgb="FF000000"/>
        <rFont val="Noto Sans CJK SC"/>
        <family val="2"/>
      </rPr>
      <t xml:space="preserve">；</t>
    </r>
    <r>
      <rPr>
        <sz val="10"/>
        <color rgb="FF000000"/>
        <rFont val="Arial"/>
        <family val="0"/>
        <charset val="1"/>
      </rPr>
      <t xml:space="preserve">2027</t>
    </r>
    <r>
      <rPr>
        <sz val="10"/>
        <color rgb="FF000000"/>
        <rFont val="Noto Sans CJK SC"/>
        <family val="2"/>
      </rPr>
      <t xml:space="preserve">年底收入端产能</t>
    </r>
    <r>
      <rPr>
        <sz val="10"/>
        <color rgb="FF000000"/>
        <rFont val="Arial"/>
        <family val="0"/>
        <charset val="1"/>
      </rPr>
      <t xml:space="preserve">2.5-3GW</t>
    </r>
    <r>
      <rPr>
        <sz val="10"/>
        <color rgb="FF000000"/>
        <rFont val="Noto Sans CJK SC"/>
        <family val="2"/>
      </rPr>
      <t xml:space="preserve">；</t>
    </r>
    <r>
      <rPr>
        <sz val="10"/>
        <color rgb="FF000000"/>
        <rFont val="Arial"/>
        <family val="0"/>
        <charset val="1"/>
      </rPr>
      <t xml:space="preserve">2028-29</t>
    </r>
    <r>
      <rPr>
        <sz val="10"/>
        <color rgb="FF000000"/>
        <rFont val="Noto Sans CJK SC"/>
        <family val="2"/>
      </rPr>
      <t xml:space="preserve">年电堆产能目标约</t>
    </r>
    <r>
      <rPr>
        <sz val="10"/>
        <color rgb="FF000000"/>
        <rFont val="Arial"/>
        <family val="0"/>
        <charset val="1"/>
      </rPr>
      <t xml:space="preserve">5GW</t>
    </r>
  </si>
  <si>
    <r>
      <rPr>
        <sz val="10"/>
        <color rgb="FF000000"/>
        <rFont val="Arial"/>
        <family val="0"/>
        <charset val="1"/>
      </rPr>
      <t xml:space="preserve">Bloom</t>
    </r>
    <r>
      <rPr>
        <sz val="10"/>
        <color rgb="FF000000"/>
        <rFont val="Noto Sans CJK SC"/>
        <family val="2"/>
      </rPr>
      <t xml:space="preserve">电池片层需求（</t>
    </r>
    <r>
      <rPr>
        <sz val="10"/>
        <color rgb="FF000000"/>
        <rFont val="Arial"/>
        <family val="0"/>
        <charset val="1"/>
      </rPr>
      <t xml:space="preserve">GW</t>
    </r>
    <r>
      <rPr>
        <sz val="10"/>
        <color rgb="FF000000"/>
        <rFont val="Noto Sans CJK SC"/>
        <family val="2"/>
      </rPr>
      <t xml:space="preserve">）各情景</t>
    </r>
  </si>
  <si>
    <r>
      <rPr>
        <sz val="10"/>
        <color rgb="FF000000"/>
        <rFont val="Noto Sans CJK SC"/>
        <family val="2"/>
      </rPr>
      <t xml:space="preserve">约两年后推出新一代产品，单位产能对应更多</t>
    </r>
    <r>
      <rPr>
        <sz val="10"/>
        <color rgb="FF000000"/>
        <rFont val="Arial"/>
        <family val="0"/>
        <charset val="1"/>
      </rPr>
      <t xml:space="preserve">kW</t>
    </r>
    <r>
      <rPr>
        <sz val="10"/>
        <color rgb="FF000000"/>
        <rFont val="Noto Sans CJK SC"/>
        <family val="2"/>
      </rPr>
      <t xml:space="preserve">；未来两年首次面临电池片与电堆的制造约束</t>
    </r>
  </si>
  <si>
    <t xml:space="preserve">单片功率提升假设；份额下降时点</t>
  </si>
  <si>
    <r>
      <rPr>
        <sz val="10"/>
        <color rgb="FF000000"/>
        <rFont val="Noto Sans CJK SC"/>
        <family val="2"/>
      </rPr>
      <t xml:space="preserve">系统价格（含激励后）约</t>
    </r>
    <r>
      <rPr>
        <sz val="10"/>
        <color rgb="FF000000"/>
        <rFont val="Arial"/>
        <family val="0"/>
        <charset val="1"/>
      </rPr>
      <t xml:space="preserve">3,300-3,600</t>
    </r>
    <r>
      <rPr>
        <sz val="10"/>
        <color rgb="FF000000"/>
        <rFont val="Noto Sans CJK SC"/>
        <family val="2"/>
      </rPr>
      <t xml:space="preserve">美元</t>
    </r>
    <r>
      <rPr>
        <sz val="10"/>
        <color rgb="FF000000"/>
        <rFont val="Arial"/>
        <family val="0"/>
        <charset val="1"/>
      </rPr>
      <t xml:space="preserve">/kW</t>
    </r>
    <r>
      <rPr>
        <sz val="10"/>
        <color rgb="FF000000"/>
        <rFont val="Noto Sans CJK SC"/>
        <family val="2"/>
      </rPr>
      <t xml:space="preserve">；部分合约发货即确认验收，现场服务与特种焊接人手是验收瓶颈</t>
    </r>
  </si>
  <si>
    <t xml:space="preserve">采购与验收时差（库存）</t>
  </si>
  <si>
    <t xml:space="preserve">2026-06-11</t>
  </si>
  <si>
    <t xml:space="preserve">三环前业务拓展负责人</t>
  </si>
  <si>
    <r>
      <rPr>
        <sz val="10"/>
        <color rgb="FF000000"/>
        <rFont val="Noto Sans CJK SC"/>
        <family val="2"/>
      </rPr>
      <t xml:space="preserve">与</t>
    </r>
    <r>
      <rPr>
        <sz val="10"/>
        <color rgb="FF000000"/>
        <rFont val="Arial"/>
        <family val="0"/>
        <charset val="1"/>
      </rPr>
      <t xml:space="preserve">Bloom</t>
    </r>
    <r>
      <rPr>
        <sz val="10"/>
        <color rgb="FF000000"/>
        <rFont val="Noto Sans CJK SC"/>
        <family val="2"/>
      </rPr>
      <t xml:space="preserve">的隔膜片合作十几年，从氧化铝陶瓷开始；隔膜片市场体量小，三环利用富余产能改造设备切入；</t>
    </r>
    <r>
      <rPr>
        <sz val="10"/>
        <color rgb="FF000000"/>
        <rFont val="Arial"/>
        <family val="0"/>
        <charset val="1"/>
      </rPr>
      <t xml:space="preserve">CoorsTek</t>
    </r>
    <r>
      <rPr>
        <sz val="10"/>
        <color rgb="FF000000"/>
        <rFont val="Noto Sans CJK SC"/>
        <family val="2"/>
      </rPr>
      <t xml:space="preserve">具备制造能力，日本厂商成本不占优</t>
    </r>
  </si>
  <si>
    <t xml:space="preserve">二供进入节奏；第一大客户销售额口径</t>
  </si>
  <si>
    <r>
      <rPr>
        <sz val="10"/>
        <color rgb="FF000000"/>
        <rFont val="Noto Sans CJK SC"/>
        <family val="2"/>
      </rPr>
      <t xml:space="preserve">隔膜片对三环整体营收、利润贡献不大；三环同时自研</t>
    </r>
    <r>
      <rPr>
        <sz val="10"/>
        <color rgb="FF000000"/>
        <rFont val="Arial"/>
        <family val="0"/>
        <charset val="1"/>
      </rPr>
      <t xml:space="preserve">SOFC</t>
    </r>
    <r>
      <rPr>
        <sz val="10"/>
        <color rgb="FF000000"/>
        <rFont val="Noto Sans CJK SC"/>
        <family val="2"/>
      </rPr>
      <t xml:space="preserve">电堆，已出货</t>
    </r>
  </si>
  <si>
    <r>
      <rPr>
        <sz val="10"/>
        <color rgb="FF000000"/>
        <rFont val="Arial"/>
        <family val="0"/>
        <charset val="1"/>
      </rPr>
      <t xml:space="preserve">SOFC</t>
    </r>
    <r>
      <rPr>
        <sz val="10"/>
        <color rgb="FF000000"/>
        <rFont val="Noto Sans CJK SC"/>
        <family val="2"/>
      </rPr>
      <t xml:space="preserve">对利润贡献的交叉验证</t>
    </r>
  </si>
  <si>
    <r>
      <rPr>
        <sz val="10"/>
        <color rgb="FF000000"/>
        <rFont val="Noto Sans CJK SC"/>
        <family val="2"/>
      </rPr>
      <t xml:space="preserve">国内</t>
    </r>
    <r>
      <rPr>
        <sz val="10"/>
        <color rgb="FF000000"/>
        <rFont val="Arial"/>
        <family val="0"/>
        <charset val="1"/>
      </rPr>
      <t xml:space="preserve">MLCC</t>
    </r>
    <r>
      <rPr>
        <sz val="10"/>
        <color rgb="FF000000"/>
        <rFont val="Noto Sans CJK SC"/>
        <family val="2"/>
      </rPr>
      <t xml:space="preserve">涨价集中在高容产品，低容不涨；</t>
    </r>
    <r>
      <rPr>
        <sz val="10"/>
        <color rgb="FF000000"/>
        <rFont val="Arial"/>
        <family val="0"/>
        <charset val="1"/>
      </rPr>
      <t xml:space="preserve">AI</t>
    </r>
    <r>
      <rPr>
        <sz val="10"/>
        <color rgb="FF000000"/>
        <rFont val="Noto Sans CJK SC"/>
        <family val="2"/>
      </rPr>
      <t xml:space="preserve">服务器高端</t>
    </r>
    <r>
      <rPr>
        <sz val="10"/>
        <color rgb="FF000000"/>
        <rFont val="Arial"/>
        <family val="0"/>
        <charset val="1"/>
      </rPr>
      <t xml:space="preserve">MLCC</t>
    </r>
    <r>
      <rPr>
        <sz val="10"/>
        <color rgb="FF000000"/>
        <rFont val="Noto Sans CJK SC"/>
        <family val="2"/>
      </rPr>
      <t xml:space="preserve">使用部分稀土材料</t>
    </r>
  </si>
  <si>
    <t xml:space="preserve">电子元件量价拆分</t>
  </si>
  <si>
    <t xml:space="preserve">2026-07-22</t>
  </si>
  <si>
    <r>
      <rPr>
        <sz val="10"/>
        <color rgb="FF000000"/>
        <rFont val="Arial"/>
        <family val="0"/>
        <charset val="1"/>
      </rPr>
      <t xml:space="preserve">Bloom</t>
    </r>
    <r>
      <rPr>
        <sz val="10"/>
        <color rgb="FF000000"/>
        <rFont val="Noto Sans CJK SC"/>
        <family val="2"/>
      </rPr>
      <t xml:space="preserve">前国际业务高级管理人员</t>
    </r>
  </si>
  <si>
    <r>
      <rPr>
        <sz val="10"/>
        <color rgb="FF000000"/>
        <rFont val="Arial"/>
        <family val="0"/>
        <charset val="1"/>
      </rPr>
      <t xml:space="preserve">65kW</t>
    </r>
    <r>
      <rPr>
        <sz val="10"/>
        <color rgb="FF000000"/>
        <rFont val="Noto Sans CJK SC"/>
        <family val="2"/>
      </rPr>
      <t xml:space="preserve">约用</t>
    </r>
    <r>
      <rPr>
        <sz val="10"/>
        <color rgb="FF000000"/>
        <rFont val="Arial"/>
        <family val="0"/>
        <charset val="1"/>
      </rPr>
      <t xml:space="preserve">2,000</t>
    </r>
    <r>
      <rPr>
        <sz val="10"/>
        <color rgb="FF000000"/>
        <rFont val="Noto Sans CJK SC"/>
        <family val="2"/>
      </rPr>
      <t xml:space="preserve">片电池片（约</t>
    </r>
    <r>
      <rPr>
        <sz val="10"/>
        <color rgb="FF000000"/>
        <rFont val="Arial"/>
        <family val="0"/>
        <charset val="1"/>
      </rPr>
      <t xml:space="preserve">32.5W/</t>
    </r>
    <r>
      <rPr>
        <sz val="10"/>
        <color rgb="FF000000"/>
        <rFont val="Noto Sans CJK SC"/>
        <family val="2"/>
      </rPr>
      <t xml:space="preserve">片），</t>
    </r>
    <r>
      <rPr>
        <sz val="10"/>
        <color rgb="FF000000"/>
        <rFont val="Arial"/>
        <family val="0"/>
        <charset val="1"/>
      </rPr>
      <t xml:space="preserve">650kW</t>
    </r>
    <r>
      <rPr>
        <sz val="10"/>
        <color rgb="FF000000"/>
        <rFont val="Noto Sans CJK SC"/>
        <family val="2"/>
      </rPr>
      <t xml:space="preserve">约</t>
    </r>
    <r>
      <rPr>
        <sz val="10"/>
        <color rgb="FF000000"/>
        <rFont val="Arial"/>
        <family val="0"/>
        <charset val="1"/>
      </rPr>
      <t xml:space="preserve">2</t>
    </r>
    <r>
      <rPr>
        <sz val="10"/>
        <color rgb="FF000000"/>
        <rFont val="Noto Sans CJK SC"/>
        <family val="2"/>
      </rPr>
      <t xml:space="preserve">万片；瓶颈在电池片烧结速度，</t>
    </r>
    <r>
      <rPr>
        <sz val="10"/>
        <color rgb="FF000000"/>
        <rFont val="Arial"/>
        <family val="0"/>
        <charset val="1"/>
      </rPr>
      <t xml:space="preserve">Bloom</t>
    </r>
    <r>
      <rPr>
        <sz val="10"/>
        <color rgb="FF000000"/>
        <rFont val="Noto Sans CJK SC"/>
        <family val="2"/>
      </rPr>
      <t xml:space="preserve">已在找第二来源</t>
    </r>
  </si>
  <si>
    <t xml:space="preserve">单片功率口径；二供</t>
  </si>
  <si>
    <r>
      <rPr>
        <sz val="10"/>
        <color rgb="FF000000"/>
        <rFont val="Arial"/>
        <family val="0"/>
        <charset val="1"/>
      </rPr>
      <t xml:space="preserve">SOFC</t>
    </r>
    <r>
      <rPr>
        <sz val="10"/>
        <color rgb="FF000000"/>
        <rFont val="Noto Sans CJK SC"/>
        <family val="2"/>
      </rPr>
      <t xml:space="preserve">在北美大型数据中心发电中约占</t>
    </r>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2030</t>
    </r>
    <r>
      <rPr>
        <sz val="10"/>
        <color rgb="FF000000"/>
        <rFont val="Noto Sans CJK SC"/>
        <family val="2"/>
      </rPr>
      <t xml:space="preserve">年前后或升至约</t>
    </r>
    <r>
      <rPr>
        <sz val="10"/>
        <color rgb="FF000000"/>
        <rFont val="Arial"/>
        <family val="0"/>
        <charset val="1"/>
      </rPr>
      <t xml:space="preserve">20%</t>
    </r>
    <r>
      <rPr>
        <sz val="10"/>
        <color rgb="FF000000"/>
        <rFont val="Noto Sans CJK SC"/>
        <family val="2"/>
      </rPr>
      <t xml:space="preserve">；数据中心负载波动使反应器温度变化增多</t>
    </r>
  </si>
  <si>
    <r>
      <rPr>
        <sz val="10"/>
        <color rgb="FF000000"/>
        <rFont val="Arial"/>
        <family val="0"/>
        <charset val="1"/>
      </rPr>
      <t xml:space="preserve">Bloom</t>
    </r>
    <r>
      <rPr>
        <sz val="10"/>
        <color rgb="FF000000"/>
        <rFont val="Noto Sans CJK SC"/>
        <family val="2"/>
      </rPr>
      <t xml:space="preserve">需求上限；翻新需求</t>
    </r>
  </si>
  <si>
    <t xml:space="preserve">2026-07-28</t>
  </si>
  <si>
    <r>
      <rPr>
        <sz val="10"/>
        <color rgb="FF000000"/>
        <rFont val="Arial"/>
        <family val="0"/>
        <charset val="1"/>
      </rPr>
      <t xml:space="preserve">Bloom</t>
    </r>
    <r>
      <rPr>
        <sz val="10"/>
        <color rgb="FF000000"/>
        <rFont val="Noto Sans CJK SC"/>
        <family val="2"/>
      </rPr>
      <t xml:space="preserve">二季度业绩公告</t>
    </r>
  </si>
  <si>
    <r>
      <rPr>
        <sz val="10"/>
        <color rgb="FF000000"/>
        <rFont val="Noto Sans CJK SC"/>
        <family val="2"/>
      </rPr>
      <t xml:space="preserve">二季度收入</t>
    </r>
    <r>
      <rPr>
        <sz val="10"/>
        <color rgb="FF000000"/>
        <rFont val="Arial"/>
        <family val="0"/>
        <charset val="1"/>
      </rPr>
      <t xml:space="preserve">10.65</t>
    </r>
    <r>
      <rPr>
        <sz val="10"/>
        <color rgb="FF000000"/>
        <rFont val="Noto Sans CJK SC"/>
        <family val="2"/>
      </rPr>
      <t xml:space="preserve">亿美元，同比</t>
    </r>
    <r>
      <rPr>
        <sz val="10"/>
        <color rgb="FF000000"/>
        <rFont val="Arial"/>
        <family val="0"/>
        <charset val="1"/>
      </rPr>
      <t xml:space="preserve">+166%</t>
    </r>
    <r>
      <rPr>
        <sz val="10"/>
        <color rgb="FF000000"/>
        <rFont val="Noto Sans CJK SC"/>
        <family val="2"/>
      </rPr>
      <t xml:space="preserve">；</t>
    </r>
    <r>
      <rPr>
        <sz val="10"/>
        <color rgb="FF000000"/>
        <rFont val="Arial"/>
        <family val="0"/>
        <charset val="1"/>
      </rPr>
      <t xml:space="preserve">2026</t>
    </r>
    <r>
      <rPr>
        <sz val="10"/>
        <color rgb="FF000000"/>
        <rFont val="Noto Sans CJK SC"/>
        <family val="2"/>
      </rPr>
      <t xml:space="preserve">年收入指引上调至</t>
    </r>
    <r>
      <rPr>
        <sz val="10"/>
        <color rgb="FF000000"/>
        <rFont val="Arial"/>
        <family val="0"/>
        <charset val="1"/>
      </rPr>
      <t xml:space="preserve">39-42</t>
    </r>
    <r>
      <rPr>
        <sz val="10"/>
        <color rgb="FF000000"/>
        <rFont val="Noto Sans CJK SC"/>
        <family val="2"/>
      </rPr>
      <t xml:space="preserve">亿美元（中值同比约翻倍）</t>
    </r>
  </si>
  <si>
    <r>
      <rPr>
        <sz val="10"/>
        <color rgb="FF000000"/>
        <rFont val="Arial"/>
        <family val="0"/>
        <charset val="1"/>
      </rPr>
      <t xml:space="preserve">2026E Bloom</t>
    </r>
    <r>
      <rPr>
        <sz val="10"/>
        <color rgb="FF000000"/>
        <rFont val="Noto Sans CJK SC"/>
        <family val="2"/>
      </rPr>
      <t xml:space="preserve">需求约为</t>
    </r>
    <r>
      <rPr>
        <sz val="10"/>
        <color rgb="FF000000"/>
        <rFont val="Arial"/>
        <family val="0"/>
        <charset val="1"/>
      </rPr>
      <t xml:space="preserve">2025</t>
    </r>
    <r>
      <rPr>
        <sz val="10"/>
        <color rgb="FF000000"/>
        <rFont val="Noto Sans CJK SC"/>
        <family val="2"/>
      </rPr>
      <t xml:space="preserve">年两倍</t>
    </r>
  </si>
  <si>
    <t xml:space="preserve">2026-07-29</t>
  </si>
  <si>
    <t xml:space="preserve">首尔经济新闻</t>
  </si>
  <si>
    <r>
      <rPr>
        <sz val="10"/>
        <color rgb="FF000000"/>
        <rFont val="Arial"/>
        <family val="0"/>
        <charset val="1"/>
      </rPr>
      <t xml:space="preserve">Amosense</t>
    </r>
    <r>
      <rPr>
        <sz val="10"/>
        <color rgb="FF000000"/>
        <rFont val="Noto Sans CJK SC"/>
        <family val="2"/>
      </rPr>
      <t xml:space="preserve">已向</t>
    </r>
    <r>
      <rPr>
        <sz val="10"/>
        <color rgb="FF000000"/>
        <rFont val="Arial"/>
        <family val="0"/>
        <charset val="1"/>
      </rPr>
      <t xml:space="preserve">Bloom</t>
    </r>
    <r>
      <rPr>
        <sz val="10"/>
        <color rgb="FF000000"/>
        <rFont val="Noto Sans CJK SC"/>
        <family val="2"/>
      </rPr>
      <t xml:space="preserve">交付首批</t>
    </r>
    <r>
      <rPr>
        <sz val="10"/>
        <color rgb="FF000000"/>
        <rFont val="Arial"/>
        <family val="0"/>
        <charset val="1"/>
      </rPr>
      <t xml:space="preserve">SOFC</t>
    </r>
    <r>
      <rPr>
        <sz val="10"/>
        <color rgb="FF000000"/>
        <rFont val="Noto Sans CJK SC"/>
        <family val="2"/>
      </rPr>
      <t xml:space="preserve">陶瓷基板，三季度内月产能由</t>
    </r>
    <r>
      <rPr>
        <sz val="10"/>
        <color rgb="FF000000"/>
        <rFont val="Arial"/>
        <family val="0"/>
        <charset val="1"/>
      </rPr>
      <t xml:space="preserve">20</t>
    </r>
    <r>
      <rPr>
        <sz val="10"/>
        <color rgb="FF000000"/>
        <rFont val="Noto Sans CJK SC"/>
        <family val="2"/>
      </rPr>
      <t xml:space="preserve">万片扩至</t>
    </r>
    <r>
      <rPr>
        <sz val="10"/>
        <color rgb="FF000000"/>
        <rFont val="Arial"/>
        <family val="0"/>
        <charset val="1"/>
      </rPr>
      <t xml:space="preserve">60</t>
    </r>
    <r>
      <rPr>
        <sz val="10"/>
        <color rgb="FF000000"/>
        <rFont val="Noto Sans CJK SC"/>
        <family val="2"/>
      </rPr>
      <t xml:space="preserve">万片</t>
    </r>
  </si>
  <si>
    <t xml:space="preserve">二供产能（份额假设）</t>
  </si>
  <si>
    <t xml:space="preserve">2026-08-28</t>
  </si>
  <si>
    <r>
      <rPr>
        <sz val="10"/>
        <color rgb="FF000000"/>
        <rFont val="Noto Sans CJK SC"/>
        <family val="2"/>
      </rPr>
      <t xml:space="preserve">三环</t>
    </r>
    <r>
      <rPr>
        <sz val="10"/>
        <color rgb="FF000000"/>
        <rFont val="Arial"/>
        <family val="0"/>
        <charset val="1"/>
      </rPr>
      <t xml:space="preserve">2026</t>
    </r>
    <r>
      <rPr>
        <sz val="10"/>
        <color rgb="FF000000"/>
        <rFont val="Noto Sans CJK SC"/>
        <family val="2"/>
      </rPr>
      <t xml:space="preserve">年半年报</t>
    </r>
  </si>
  <si>
    <r>
      <rPr>
        <sz val="10"/>
        <color rgb="FF000000"/>
        <rFont val="Noto Sans CJK SC"/>
        <family val="2"/>
      </rPr>
      <t xml:space="preserve">营收</t>
    </r>
    <r>
      <rPr>
        <sz val="10"/>
        <color rgb="FF000000"/>
        <rFont val="Arial"/>
        <family val="0"/>
        <charset val="1"/>
      </rPr>
      <t xml:space="preserve">64.23</t>
    </r>
    <r>
      <rPr>
        <sz val="10"/>
        <color rgb="FF000000"/>
        <rFont val="Noto Sans CJK SC"/>
        <family val="2"/>
      </rPr>
      <t xml:space="preserve">亿元（</t>
    </r>
    <r>
      <rPr>
        <sz val="10"/>
        <color rgb="FF000000"/>
        <rFont val="Arial"/>
        <family val="0"/>
        <charset val="1"/>
      </rPr>
      <t xml:space="preserve">+54.82%</t>
    </r>
    <r>
      <rPr>
        <sz val="10"/>
        <color rgb="FF000000"/>
        <rFont val="Noto Sans CJK SC"/>
        <family val="2"/>
      </rPr>
      <t xml:space="preserve">），归母净利</t>
    </r>
    <r>
      <rPr>
        <sz val="10"/>
        <color rgb="FF000000"/>
        <rFont val="Arial"/>
        <family val="0"/>
        <charset val="1"/>
      </rPr>
      <t xml:space="preserve">19.32</t>
    </r>
    <r>
      <rPr>
        <sz val="10"/>
        <color rgb="FF000000"/>
        <rFont val="Noto Sans CJK SC"/>
        <family val="2"/>
      </rPr>
      <t xml:space="preserve">亿元（</t>
    </r>
    <r>
      <rPr>
        <sz val="10"/>
        <color rgb="FF000000"/>
        <rFont val="Arial"/>
        <family val="0"/>
        <charset val="1"/>
      </rPr>
      <t xml:space="preserve">+56.18%</t>
    </r>
    <r>
      <rPr>
        <sz val="10"/>
        <color rgb="FF000000"/>
        <rFont val="Noto Sans CJK SC"/>
        <family val="2"/>
      </rPr>
      <t xml:space="preserve">）；增长来自</t>
    </r>
    <r>
      <rPr>
        <sz val="10"/>
        <color rgb="FF000000"/>
        <rFont val="Arial"/>
        <family val="0"/>
        <charset val="1"/>
      </rPr>
      <t xml:space="preserve">MLCC</t>
    </r>
    <r>
      <rPr>
        <sz val="10"/>
        <color rgb="FF000000"/>
        <rFont val="Noto Sans CJK SC"/>
        <family val="2"/>
      </rPr>
      <t xml:space="preserve">与插芯、套筒等光通信产品；</t>
    </r>
    <r>
      <rPr>
        <sz val="10"/>
        <color rgb="FF000000"/>
        <rFont val="Arial"/>
        <family val="0"/>
        <charset val="1"/>
      </rPr>
      <t xml:space="preserve">H</t>
    </r>
    <r>
      <rPr>
        <sz val="10"/>
        <color rgb="FF000000"/>
        <rFont val="Noto Sans CJK SC"/>
        <family val="2"/>
      </rPr>
      <t xml:space="preserve">股共发行</t>
    </r>
    <r>
      <rPr>
        <sz val="10"/>
        <color rgb="FF000000"/>
        <rFont val="Arial"/>
        <family val="0"/>
        <charset val="1"/>
      </rPr>
      <t xml:space="preserve">80,221,200</t>
    </r>
    <r>
      <rPr>
        <sz val="10"/>
        <color rgb="FF000000"/>
        <rFont val="Noto Sans CJK SC"/>
        <family val="2"/>
      </rPr>
      <t xml:space="preserve">股；在建工程升至</t>
    </r>
    <r>
      <rPr>
        <sz val="10"/>
        <color rgb="FF000000"/>
        <rFont val="Arial"/>
        <family val="0"/>
        <charset val="1"/>
      </rPr>
      <t xml:space="preserve">848.4</t>
    </r>
    <r>
      <rPr>
        <sz val="10"/>
        <color rgb="FF000000"/>
        <rFont val="Noto Sans CJK SC"/>
        <family val="2"/>
      </rPr>
      <t xml:space="preserve">百万元</t>
    </r>
  </si>
  <si>
    <r>
      <rPr>
        <sz val="10"/>
        <color rgb="FF000000"/>
        <rFont val="Arial"/>
        <family val="0"/>
        <charset val="1"/>
      </rPr>
      <t xml:space="preserve">2026E</t>
    </r>
    <r>
      <rPr>
        <sz val="10"/>
        <color rgb="FF000000"/>
        <rFont val="Noto Sans CJK SC"/>
        <family val="2"/>
      </rPr>
      <t xml:space="preserve">收入基数、股本与资本开支</t>
    </r>
  </si>
  <si>
    <r>
      <rPr>
        <b val="true"/>
        <sz val="14"/>
        <color rgb="FF1F3864"/>
        <rFont val="Noto Sans CJK SC"/>
        <family val="2"/>
      </rPr>
      <t xml:space="preserve">模型校验（全部应为</t>
    </r>
    <r>
      <rPr>
        <b val="true"/>
        <sz val="14"/>
        <color rgb="FF1F3864"/>
        <rFont val="Arial"/>
        <family val="0"/>
        <charset val="1"/>
      </rPr>
      <t xml:space="preserve">0</t>
    </r>
    <r>
      <rPr>
        <b val="true"/>
        <sz val="14"/>
        <color rgb="FF1F3864"/>
        <rFont val="Noto Sans CJK SC"/>
        <family val="2"/>
      </rPr>
      <t xml:space="preserve">）</t>
    </r>
  </si>
  <si>
    <t xml:space="preserve">任何非零值表示勾稽关系出错；汇总在最下方。</t>
  </si>
  <si>
    <t xml:space="preserve">校验项</t>
  </si>
  <si>
    <t xml:space="preserve">所在表</t>
  </si>
  <si>
    <r>
      <rPr>
        <sz val="10"/>
        <color rgb="FF000000"/>
        <rFont val="Noto Sans CJK SC"/>
        <family val="2"/>
      </rPr>
      <t xml:space="preserve">资产负债表配平（资产</t>
    </r>
    <r>
      <rPr>
        <sz val="10"/>
        <color rgb="FF000000"/>
        <rFont val="Arial"/>
        <family val="0"/>
        <charset val="1"/>
      </rPr>
      <t xml:space="preserve">-</t>
    </r>
    <r>
      <rPr>
        <sz val="10"/>
        <color rgb="FF000000"/>
        <rFont val="Noto Sans CJK SC"/>
        <family val="2"/>
      </rPr>
      <t xml:space="preserve">负债</t>
    </r>
    <r>
      <rPr>
        <sz val="10"/>
        <color rgb="FF000000"/>
        <rFont val="Arial"/>
        <family val="0"/>
        <charset val="1"/>
      </rPr>
      <t xml:space="preserve">-</t>
    </r>
    <r>
      <rPr>
        <sz val="10"/>
        <color rgb="FF000000"/>
        <rFont val="Noto Sans CJK SC"/>
        <family val="2"/>
      </rPr>
      <t xml:space="preserve">权益）</t>
    </r>
  </si>
  <si>
    <t xml:space="preserve">历史资产总计与报告值差异</t>
  </si>
  <si>
    <t xml:space="preserve">历史负债合计与报告值差异</t>
  </si>
  <si>
    <t xml:space="preserve">历史营业利润重算与报告值差异</t>
  </si>
  <si>
    <t xml:space="preserve">历史现金净增加额与报告值差异</t>
  </si>
  <si>
    <t xml:space="preserve">预测货币资金变动与现金净增加额差异</t>
  </si>
  <si>
    <t xml:space="preserve">固定资产类别合计与资产负债表差异（历史）</t>
  </si>
  <si>
    <t xml:space="preserve">存货分类合计与资产负债表差异（历史）</t>
  </si>
  <si>
    <t xml:space="preserve">权益明细合计与报告值差异（历史）</t>
  </si>
  <si>
    <t xml:space="preserve">营业成本按性质合计与营业成本差异</t>
  </si>
  <si>
    <t xml:space="preserve">分部收入合计与利润表收入差异</t>
  </si>
  <si>
    <t xml:space="preserve">分部营业成本合计与利润表营业成本差异</t>
  </si>
  <si>
    <r>
      <rPr>
        <sz val="10"/>
        <color rgb="FF000000"/>
        <rFont val="Arial"/>
        <family val="0"/>
        <charset val="1"/>
      </rPr>
      <t xml:space="preserve">2025A</t>
    </r>
    <r>
      <rPr>
        <sz val="10"/>
        <color rgb="FF000000"/>
        <rFont val="Noto Sans CJK SC"/>
        <family val="2"/>
      </rPr>
      <t xml:space="preserve">分部营业成本（年报）合计与利润表差异</t>
    </r>
  </si>
  <si>
    <r>
      <rPr>
        <sz val="10"/>
        <color rgb="FF000000"/>
        <rFont val="Noto Sans CJK SC"/>
        <family val="2"/>
      </rPr>
      <t xml:space="preserve">新增固定资产结构合计</t>
    </r>
    <r>
      <rPr>
        <sz val="10"/>
        <color rgb="FF000000"/>
        <rFont val="Arial"/>
        <family val="0"/>
        <charset val="1"/>
      </rPr>
      <t xml:space="preserve">-100%</t>
    </r>
    <r>
      <rPr>
        <sz val="10"/>
        <color rgb="FF000000"/>
        <rFont val="Noto Sans CJK SC"/>
        <family val="2"/>
      </rPr>
      <t xml:space="preserve">（预测）</t>
    </r>
  </si>
  <si>
    <r>
      <rPr>
        <sz val="10"/>
        <color rgb="FF000000"/>
        <rFont val="Noto Sans CJK SC"/>
        <family val="2"/>
      </rPr>
      <t xml:space="preserve">现金为负的年份（预测，</t>
    </r>
    <r>
      <rPr>
        <sz val="10"/>
        <color rgb="FF000000"/>
        <rFont val="Arial"/>
        <family val="0"/>
        <charset val="1"/>
      </rPr>
      <t xml:space="preserve">1=</t>
    </r>
    <r>
      <rPr>
        <sz val="10"/>
        <color rgb="FF000000"/>
        <rFont val="Noto Sans CJK SC"/>
        <family val="2"/>
      </rPr>
      <t xml:space="preserve">是）</t>
    </r>
  </si>
  <si>
    <r>
      <rPr>
        <b val="true"/>
        <sz val="10"/>
        <color rgb="FF000000"/>
        <rFont val="Noto Sans CJK SC"/>
        <family val="2"/>
      </rPr>
      <t xml:space="preserve">校验汇总（所有校验绝对值之和，应为</t>
    </r>
    <r>
      <rPr>
        <b val="true"/>
        <sz val="10"/>
        <color rgb="FF000000"/>
        <rFont val="Arial"/>
        <family val="0"/>
        <charset val="1"/>
      </rPr>
      <t xml:space="preserve">0</t>
    </r>
    <r>
      <rPr>
        <b val="true"/>
        <sz val="10"/>
        <color rgb="FF000000"/>
        <rFont val="Noto Sans CJK SC"/>
        <family val="2"/>
      </rPr>
      <t xml:space="preserve">）</t>
    </r>
  </si>
  <si>
    <r>
      <rPr>
        <sz val="10"/>
        <color rgb="FF000000"/>
        <rFont val="Noto Sans CJK SC"/>
        <family val="2"/>
      </rPr>
      <t xml:space="preserve">提示：敏感性冲击是否未归零（</t>
    </r>
    <r>
      <rPr>
        <sz val="10"/>
        <color rgb="FF000000"/>
        <rFont val="Arial"/>
        <family val="0"/>
        <charset val="1"/>
      </rPr>
      <t xml:space="preserve">1=</t>
    </r>
    <r>
      <rPr>
        <sz val="10"/>
        <color rgb="FF000000"/>
        <rFont val="Noto Sans CJK SC"/>
        <family val="2"/>
      </rPr>
      <t xml:space="preserve">是；不计入校验汇总）</t>
    </r>
  </si>
  <si>
    <r>
      <rPr>
        <sz val="10"/>
        <color rgb="FF000000"/>
        <rFont val="Noto Sans CJK SC"/>
        <family val="2"/>
      </rPr>
      <t xml:space="preserve">提示：静态敏感性结果与实时模型不一致（</t>
    </r>
    <r>
      <rPr>
        <sz val="10"/>
        <color rgb="FF000000"/>
        <rFont val="Arial"/>
        <family val="0"/>
        <charset val="1"/>
      </rPr>
      <t xml:space="preserve">1=</t>
    </r>
    <r>
      <rPr>
        <sz val="10"/>
        <color rgb="FF000000"/>
        <rFont val="Noto Sans CJK SC"/>
        <family val="2"/>
      </rPr>
      <t xml:space="preserve">需重跑</t>
    </r>
    <r>
      <rPr>
        <sz val="10"/>
        <color rgb="FF000000"/>
        <rFont val="Arial"/>
        <family val="0"/>
        <charset val="1"/>
      </rPr>
      <t xml:space="preserve">sens_v2.py</t>
    </r>
    <r>
      <rPr>
        <sz val="10"/>
        <color rgb="FF000000"/>
        <rFont val="Noto Sans CJK SC"/>
        <family val="2"/>
      </rPr>
      <t xml:space="preserve">；不计入校验汇总）</t>
    </r>
  </si>
  <si>
    <r>
      <rPr>
        <i val="true"/>
        <sz val="10"/>
        <color rgb="FF595959"/>
        <rFont val="Noto Sans CJK SC"/>
        <family val="2"/>
      </rPr>
      <t xml:space="preserve">仅在基准情景且冲击为</t>
    </r>
    <r>
      <rPr>
        <i val="true"/>
        <sz val="10"/>
        <color rgb="FF595959"/>
        <rFont val="Arial"/>
        <family val="0"/>
        <charset val="1"/>
      </rPr>
      <t xml:space="preserve">0</t>
    </r>
    <r>
      <rPr>
        <i val="true"/>
        <sz val="10"/>
        <color rgb="FF595959"/>
        <rFont val="Noto Sans CJK SC"/>
        <family val="2"/>
      </rPr>
      <t xml:space="preserve">时判断（静态结果为基准情景）</t>
    </r>
  </si>
</sst>
</file>

<file path=xl/styles.xml><?xml version="1.0" encoding="utf-8"?>
<styleSheet xmlns="http://schemas.openxmlformats.org/spreadsheetml/2006/main">
  <numFmts count="15">
    <numFmt numFmtId="164" formatCode="General"/>
    <numFmt numFmtId="165" formatCode="#,##0.0;\(#,##0.0\);\-"/>
    <numFmt numFmtId="166" formatCode="0.0%;\(0.0%\);\-"/>
    <numFmt numFmtId="167" formatCode="0.00;\(0.00\);\-"/>
    <numFmt numFmtId="168" formatCode="#,##0;\(#,##0\);\-"/>
    <numFmt numFmtId="169" formatCode="0.0\x"/>
    <numFmt numFmtId="170" formatCode="0"/>
    <numFmt numFmtId="171" formatCode="0.00%;\(0.00%\);\-"/>
    <numFmt numFmtId="172" formatCode="0;\(0\);\-"/>
    <numFmt numFmtId="173" formatCode="0.0000"/>
    <numFmt numFmtId="174" formatCode="0.00"/>
    <numFmt numFmtId="175" formatCode="0.0"/>
    <numFmt numFmtId="176" formatCode="#,##0.00;\(#,##0.00\);\-"/>
    <numFmt numFmtId="177" formatCode="0.00\x"/>
    <numFmt numFmtId="178" formatCode="#,##0"/>
  </numFmts>
  <fonts count="30">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i val="true"/>
      <sz val="10"/>
      <color rgb="FF595959"/>
      <name val="Noto Sans CJK SC"/>
      <family val="2"/>
    </font>
    <font>
      <i val="true"/>
      <sz val="10"/>
      <color rgb="FF595959"/>
      <name val="Arial"/>
      <family val="0"/>
      <charset val="1"/>
    </font>
    <font>
      <b val="true"/>
      <sz val="10"/>
      <color rgb="FF1F3864"/>
      <name val="Noto Sans CJK SC"/>
      <family val="2"/>
    </font>
    <font>
      <sz val="10"/>
      <color rgb="FF000000"/>
      <name val="Arial"/>
      <family val="0"/>
      <charset val="1"/>
    </font>
    <font>
      <sz val="10"/>
      <color rgb="FF000000"/>
      <name val="Noto Sans CJK SC"/>
      <family val="2"/>
    </font>
    <font>
      <b val="true"/>
      <sz val="10"/>
      <color rgb="FFFFFFFF"/>
      <name val="Noto Sans CJK SC"/>
      <family val="2"/>
    </font>
    <font>
      <b val="true"/>
      <sz val="10"/>
      <color rgb="FFFFFFFF"/>
      <name val="Arial"/>
      <family val="0"/>
      <charset val="1"/>
    </font>
    <font>
      <b val="true"/>
      <sz val="10"/>
      <color rgb="FF000000"/>
      <name val="Noto Sans CJK SC"/>
      <family val="2"/>
    </font>
    <font>
      <sz val="10"/>
      <color rgb="FF008000"/>
      <name val="Arial"/>
      <family val="0"/>
      <charset val="1"/>
    </font>
    <font>
      <b val="true"/>
      <sz val="10"/>
      <color rgb="FF000000"/>
      <name val="Arial"/>
      <family val="0"/>
      <charset val="1"/>
    </font>
    <font>
      <b val="true"/>
      <sz val="10"/>
      <color rgb="FF008000"/>
      <name val="Arial"/>
      <family val="0"/>
      <charset val="1"/>
    </font>
    <font>
      <b val="true"/>
      <sz val="10"/>
      <color rgb="FF1F3864"/>
      <name val="Arial"/>
      <family val="0"/>
      <charset val="1"/>
    </font>
    <font>
      <sz val="10"/>
      <color rgb="FF0000FF"/>
      <name val="Arial"/>
      <family val="0"/>
      <charset val="1"/>
    </font>
    <font>
      <sz val="10"/>
      <color rgb="FF595959"/>
      <name val="Noto Sans CJK SC"/>
      <family val="2"/>
    </font>
    <font>
      <sz val="10"/>
      <color rgb="FF595959"/>
      <name val="Arial"/>
      <family val="0"/>
      <charset val="1"/>
    </font>
    <font>
      <i val="true"/>
      <sz val="10"/>
      <color rgb="FF008000"/>
      <name val="Arial"/>
      <family val="0"/>
      <charset val="1"/>
    </font>
    <font>
      <b val="true"/>
      <sz val="10"/>
      <color rgb="FF0000FF"/>
      <name val="Arial"/>
      <family val="0"/>
      <charset val="1"/>
    </font>
    <font>
      <i val="true"/>
      <sz val="10"/>
      <color rgb="FF0000FF"/>
      <name val="Arial"/>
      <family val="0"/>
      <charset val="1"/>
    </font>
    <font>
      <b val="true"/>
      <sz val="10"/>
      <color rgb="FF595959"/>
      <name val="Arial"/>
      <family val="0"/>
      <charset val="1"/>
    </font>
    <font>
      <b val="true"/>
      <sz val="18"/>
      <color rgb="FF000000"/>
      <name val="Calibri"/>
      <family val="2"/>
    </font>
    <font>
      <b val="true"/>
      <sz val="18"/>
      <color rgb="FF000000"/>
      <name val="Noto Sans CJK SC"/>
      <family val="2"/>
    </font>
    <font>
      <sz val="10"/>
      <color rgb="FF000000"/>
      <name val="Calibri"/>
      <family val="2"/>
    </font>
    <font>
      <sz val="10"/>
      <name val="Noto Sans CJK SC"/>
      <family val="2"/>
    </font>
    <font>
      <sz val="10"/>
      <name val="Arial"/>
      <family val="2"/>
    </font>
  </fonts>
  <fills count="7">
    <fill>
      <patternFill patternType="none"/>
    </fill>
    <fill>
      <patternFill patternType="gray125"/>
    </fill>
    <fill>
      <patternFill patternType="solid">
        <fgColor rgb="FFD9E1F2"/>
        <bgColor rgb="FFD9D9D9"/>
      </patternFill>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
      <patternFill patternType="solid">
        <fgColor rgb="FF44546A"/>
        <bgColor rgb="FF59595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left"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7" fontId="14" fillId="4" borderId="0" xfId="0" applyFont="true" applyBorder="false" applyAlignment="false" applyProtection="false">
      <alignment horizontal="general" vertical="bottom" textRotation="0" wrapText="false" indent="0" shrinkToFit="false"/>
      <protection locked="true" hidden="false"/>
    </xf>
    <xf numFmtId="168" fontId="14" fillId="4"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72" fontId="14" fillId="4"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9" fontId="14"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left" vertical="center"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70" fontId="18" fillId="5" borderId="0" xfId="0" applyFont="true" applyBorder="false" applyAlignment="false" applyProtection="false">
      <alignment horizontal="general" vertical="bottom" textRotation="0" wrapText="false" indent="0" shrinkToFit="false"/>
      <protection locked="true" hidden="false"/>
    </xf>
    <xf numFmtId="167" fontId="18" fillId="5"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65" fontId="18" fillId="5" borderId="0" xfId="0" applyFont="true" applyBorder="false" applyAlignment="false" applyProtection="false">
      <alignment horizontal="general" vertical="bottom" textRotation="0" wrapText="false" indent="0" shrinkToFit="false"/>
      <protection locked="true" hidden="false"/>
    </xf>
    <xf numFmtId="174" fontId="18" fillId="0" borderId="0" xfId="0" applyFont="true" applyBorder="false" applyAlignment="false" applyProtection="false">
      <alignment horizontal="general" vertical="bottom" textRotation="0" wrapText="false" indent="0" shrinkToFit="false"/>
      <protection locked="true" hidden="false"/>
    </xf>
    <xf numFmtId="166" fontId="18" fillId="5" borderId="0" xfId="0" applyFont="true" applyBorder="false" applyAlignment="false" applyProtection="false">
      <alignment horizontal="general" vertical="bottom" textRotation="0" wrapText="false" indent="0" shrinkToFit="false"/>
      <protection locked="true" hidden="false"/>
    </xf>
    <xf numFmtId="174" fontId="18" fillId="5"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5" fillId="5" borderId="0" xfId="0" applyFont="true" applyBorder="fals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5" fontId="15" fillId="5"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74" fontId="23" fillId="0" borderId="0" xfId="0" applyFont="true" applyBorder="false" applyAlignment="false" applyProtection="false">
      <alignment horizontal="general" vertical="bottom" textRotation="0" wrapText="false" indent="0" shrinkToFit="false"/>
      <protection locked="true" hidden="false"/>
    </xf>
    <xf numFmtId="174" fontId="15" fillId="5"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75" fontId="15" fillId="5" borderId="0" xfId="0" applyFont="true" applyBorder="false" applyAlignment="false" applyProtection="false">
      <alignment horizontal="general"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1" fontId="22" fillId="0" borderId="0" xfId="0" applyFont="tru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71" fontId="15" fillId="5"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65" fontId="15" fillId="4" borderId="0" xfId="0" applyFont="true" applyBorder="false" applyAlignment="false" applyProtection="false">
      <alignment horizontal="general" vertical="bottom" textRotation="0" wrapText="false" indent="0" shrinkToFit="false"/>
      <protection locked="true" hidden="false"/>
    </xf>
    <xf numFmtId="176" fontId="14" fillId="4" borderId="0" xfId="0" applyFont="true" applyBorder="false" applyAlignment="false" applyProtection="false">
      <alignment horizontal="general" vertical="bottom" textRotation="0" wrapText="false" indent="0" shrinkToFit="false"/>
      <protection locked="true" hidden="false"/>
    </xf>
    <xf numFmtId="175" fontId="14" fillId="4" borderId="0" xfId="0" applyFont="true" applyBorder="false" applyAlignment="false" applyProtection="false">
      <alignment horizontal="general" vertical="bottom" textRotation="0" wrapText="false" indent="0" shrinkToFit="false"/>
      <protection locked="true" hidden="false"/>
    </xf>
    <xf numFmtId="165" fontId="16" fillId="4"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18" fillId="4" borderId="0" xfId="0" applyFont="true" applyBorder="false" applyAlignment="false" applyProtection="false">
      <alignment horizontal="general" vertical="bottom" textRotation="0" wrapText="false" indent="0" shrinkToFit="false"/>
      <protection locked="true" hidden="false"/>
    </xf>
    <xf numFmtId="177" fontId="9" fillId="4" borderId="0" xfId="0" applyFont="true" applyBorder="false" applyAlignment="false" applyProtection="false">
      <alignment horizontal="general" vertical="bottom" textRotation="0" wrapText="false" indent="0" shrinkToFit="false"/>
      <protection locked="true" hidden="false"/>
    </xf>
    <xf numFmtId="166" fontId="16" fillId="4"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8" fontId="15" fillId="4"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7" fontId="9"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left"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14" fillId="4" borderId="0" xfId="0" applyFont="true" applyBorder="false" applyAlignment="false" applyProtection="false">
      <alignment horizontal="general" vertical="bottom" textRotation="0" wrapText="false" indent="0" shrinkToFit="false"/>
      <protection locked="true" hidden="false"/>
    </xf>
    <xf numFmtId="177" fontId="14" fillId="0" borderId="0" xfId="0" applyFont="true" applyBorder="false" applyAlignment="false" applyProtection="false">
      <alignment horizontal="general" vertical="bottom" textRotation="0" wrapText="false" indent="0" shrinkToFit="false"/>
      <protection locked="true" hidden="false"/>
    </xf>
    <xf numFmtId="177" fontId="14" fillId="4"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72" fontId="15" fillId="4"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66" fontId="15" fillId="4" borderId="0" xfId="0" applyFont="true" applyBorder="false" applyAlignment="false" applyProtection="false">
      <alignment horizontal="general" vertical="bottom" textRotation="0" wrapText="false" indent="0" shrinkToFit="false"/>
      <protection locked="true" hidden="false"/>
    </xf>
    <xf numFmtId="165" fontId="22" fillId="4" borderId="0" xfId="0" applyFont="true" applyBorder="false" applyAlignment="false" applyProtection="false">
      <alignment horizontal="general" vertical="bottom" textRotation="0" wrapText="fals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7" fontId="16" fillId="4" borderId="0" xfId="0" applyFont="true" applyBorder="false" applyAlignment="false" applyProtection="false">
      <alignment horizontal="general" vertical="bottom" textRotation="0" wrapText="false" indent="0" shrinkToFit="false"/>
      <protection locked="true" hidden="false"/>
    </xf>
    <xf numFmtId="166" fontId="14" fillId="5"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7" fontId="9" fillId="5" borderId="0" xfId="0" applyFont="true" applyBorder="false" applyAlignment="false" applyProtection="false">
      <alignment horizontal="general" vertical="bottom" textRotation="0" wrapText="false" indent="0" shrinkToFit="false"/>
      <protection locked="true" hidden="false"/>
    </xf>
    <xf numFmtId="171" fontId="9" fillId="5"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9" fontId="18" fillId="5"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66" fontId="24" fillId="2" borderId="0" xfId="0" applyFont="true" applyBorder="false" applyAlignment="false" applyProtection="false">
      <alignment horizontal="general" vertical="bottom" textRotation="0" wrapText="false" indent="0" shrinkToFit="false"/>
      <protection locked="true" hidden="false"/>
    </xf>
    <xf numFmtId="165" fontId="20" fillId="5" borderId="0" xfId="0" applyFont="true" applyBorder="false" applyAlignment="false" applyProtection="false">
      <alignment horizontal="general" vertical="bottom" textRotation="0" wrapText="false" indent="0" shrinkToFit="false"/>
      <protection locked="true" hidden="false"/>
    </xf>
    <xf numFmtId="167" fontId="20" fillId="5" borderId="0" xfId="0" applyFont="true" applyBorder="false" applyAlignment="false" applyProtection="false">
      <alignment horizontal="general" vertical="bottom" textRotation="0" wrapText="false" indent="0" shrinkToFit="false"/>
      <protection locked="true" hidden="false"/>
    </xf>
    <xf numFmtId="170" fontId="24" fillId="2"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71" fontId="20" fillId="5"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6" fontId="20" fillId="5" borderId="0" xfId="0" applyFont="true" applyBorder="false" applyAlignment="false" applyProtection="false">
      <alignment horizontal="general" vertical="bottom" textRotation="0" wrapText="false" indent="0" shrinkToFit="false"/>
      <protection locked="true" hidden="false"/>
    </xf>
    <xf numFmtId="171" fontId="14" fillId="5" borderId="0" xfId="0" applyFont="true" applyBorder="false" applyAlignment="false" applyProtection="false">
      <alignment horizontal="general" vertical="bottom" textRotation="0" wrapText="false" indent="0" shrinkToFit="false"/>
      <protection locked="true" hidden="false"/>
    </xf>
    <xf numFmtId="174" fontId="14"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75" fontId="22"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center" vertical="center"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595959"/>
      <rgbColor rgb="FF969696"/>
      <rgbColor rgb="FF1F3864"/>
      <rgbColor rgb="FF4F81BD"/>
      <rgbColor rgb="FF003300"/>
      <rgbColor rgb="FF333300"/>
      <rgbColor rgb="FF993300"/>
      <rgbColor rgb="FFC0504D"/>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DCF每股价值对各假设的敏感性（元/股）</a:t>
            </a:r>
          </a:p>
        </c:rich>
      </c:tx>
      <c:overlay val="0"/>
      <c:spPr>
        <a:noFill/>
        <a:ln w="0">
          <a:noFill/>
        </a:ln>
      </c:spPr>
    </c:title>
    <c:autoTitleDeleted val="0"/>
    <c:plotArea>
      <c:barChart>
        <c:barDir val="bar"/>
        <c:grouping val="clustered"/>
        <c:varyColors val="0"/>
        <c:ser>
          <c:idx val="0"/>
          <c:order val="0"/>
          <c:tx>
            <c:strRef>
              <c:f>敏感性分析!J15</c:f>
              <c:strCache>
                <c:ptCount val="1"/>
                <c:pt idx="0">
                  <c:v>Δ每股价值·不利</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敏感性分析!$A$16:$A$39</c:f>
              <c:strCache>
                <c:ptCount val="24"/>
                <c:pt idx="0">
                  <c:v>Beta（±0.2）</c:v>
                </c:pt>
                <c:pt idx="1">
                  <c:v>股权风险溢价（±1pp）</c:v>
                </c:pt>
                <c:pt idx="2">
                  <c:v>电子元件销量增速（逐年±5pp）</c:v>
                </c:pt>
                <c:pt idx="3">
                  <c:v>电子元件单价变动（逐年±3pp）</c:v>
                </c:pt>
                <c:pt idx="4">
                  <c:v>无风险利率（±0.5pp）</c:v>
                </c:pt>
                <c:pt idx="5">
                  <c:v>通信器件销量增速（逐年±5pp）</c:v>
                </c:pt>
                <c:pt idx="6">
                  <c:v>新增投资资本回报率RONIC（±10pp）</c:v>
                </c:pt>
                <c:pt idx="7">
                  <c:v>全部分部毛利率（±2pp）</c:v>
                </c:pt>
                <c:pt idx="8">
                  <c:v>第二阶段起点增速溢价（±4pp）</c:v>
                </c:pt>
                <c:pt idx="9">
                  <c:v>人均薪酬增速（逐年±3pp）</c:v>
                </c:pt>
                <c:pt idx="10">
                  <c:v>永续增长率（±0.5pp）</c:v>
                </c:pt>
                <c:pt idx="11">
                  <c:v>员工人数增速（逐年±3pp）</c:v>
                </c:pt>
                <c:pt idx="12">
                  <c:v>通信器件单价变动（逐年±2pp）</c:v>
                </c:pt>
                <c:pt idx="13">
                  <c:v>资本开支（±25%）</c:v>
                </c:pt>
                <c:pt idx="14">
                  <c:v>其他电子及陶瓷材料增速（逐年±5pp）</c:v>
                </c:pt>
                <c:pt idx="15">
                  <c:v>实际税率（±2pp）</c:v>
                </c:pt>
                <c:pt idx="16">
                  <c:v>应收与产成品周转天数（±15天）</c:v>
                </c:pt>
                <c:pt idx="17">
                  <c:v>折旧率（±10%；估值影响主要来自第二阶段与永续期NOPAT）</c:v>
                </c:pt>
                <c:pt idx="18">
                  <c:v>三环隔膜片份额（±15pp）</c:v>
                </c:pt>
                <c:pt idx="19">
                  <c:v>政府补助占收入（±0.3pp）</c:v>
                </c:pt>
                <c:pt idx="20">
                  <c:v>管理费用其他项占收入（±0.3pp）</c:v>
                </c:pt>
                <c:pt idx="21">
                  <c:v>Bloom电池片层需求（±30%）</c:v>
                </c:pt>
                <c:pt idx="22">
                  <c:v>隔膜片单价（±15%）</c:v>
                </c:pt>
                <c:pt idx="23">
                  <c:v>存款及理财收益率（±0.5pp）</c:v>
                </c:pt>
              </c:strCache>
            </c:strRef>
          </c:cat>
          <c:val>
            <c:numRef>
              <c:f>敏感性分析!$J$16:$J$39</c:f>
              <c:numCache>
                <c:formatCode>0.00;\(0.00\);\-</c:formatCode>
                <c:ptCount val="24"/>
                <c:pt idx="0">
                  <c:v>-8.80049138814808</c:v>
                </c:pt>
                <c:pt idx="1">
                  <c:v>-7.6581662821735</c:v>
                </c:pt>
                <c:pt idx="2">
                  <c:v>-5.82313752125847</c:v>
                </c:pt>
                <c:pt idx="3">
                  <c:v>-4.10824907841631</c:v>
                </c:pt>
                <c:pt idx="4">
                  <c:v>-3.80487162710377</c:v>
                </c:pt>
                <c:pt idx="5">
                  <c:v>-3.29872686694434</c:v>
                </c:pt>
                <c:pt idx="6">
                  <c:v>-4.35679425420588</c:v>
                </c:pt>
                <c:pt idx="7">
                  <c:v>-3.0117125902093</c:v>
                </c:pt>
                <c:pt idx="8">
                  <c:v>-3.12730922214406</c:v>
                </c:pt>
                <c:pt idx="9">
                  <c:v>-2.42145948400535</c:v>
                </c:pt>
                <c:pt idx="10">
                  <c:v>-1.8814950220967</c:v>
                </c:pt>
                <c:pt idx="11">
                  <c:v>-2.0651697982264</c:v>
                </c:pt>
                <c:pt idx="12">
                  <c:v>-1.71390464984509</c:v>
                </c:pt>
                <c:pt idx="13">
                  <c:v>-1.69866042899</c:v>
                </c:pt>
                <c:pt idx="14">
                  <c:v>-1.19475462721101</c:v>
                </c:pt>
                <c:pt idx="15">
                  <c:v>-1.15961933519475</c:v>
                </c:pt>
                <c:pt idx="16">
                  <c:v>-0.793380036392087</c:v>
                </c:pt>
                <c:pt idx="17">
                  <c:v>-0.75499208632305</c:v>
                </c:pt>
                <c:pt idx="18">
                  <c:v>-0.509678158295067</c:v>
                </c:pt>
                <c:pt idx="19">
                  <c:v>-0.445648010497365</c:v>
                </c:pt>
                <c:pt idx="20">
                  <c:v>-0.445648010497365</c:v>
                </c:pt>
                <c:pt idx="21">
                  <c:v>-0.368670273200102</c:v>
                </c:pt>
                <c:pt idx="22">
                  <c:v>-0.184404660732895</c:v>
                </c:pt>
                <c:pt idx="23">
                  <c:v>0.00237752863504426</c:v>
                </c:pt>
              </c:numCache>
            </c:numRef>
          </c:val>
        </c:ser>
        <c:ser>
          <c:idx val="1"/>
          <c:order val="1"/>
          <c:tx>
            <c:strRef>
              <c:f>敏感性分析!K15</c:f>
              <c:strCache>
                <c:ptCount val="1"/>
                <c:pt idx="0">
                  <c:v>Δ每股价值·有利</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敏感性分析!$A$16:$A$39</c:f>
              <c:strCache>
                <c:ptCount val="24"/>
                <c:pt idx="0">
                  <c:v>Beta（±0.2）</c:v>
                </c:pt>
                <c:pt idx="1">
                  <c:v>股权风险溢价（±1pp）</c:v>
                </c:pt>
                <c:pt idx="2">
                  <c:v>电子元件销量增速（逐年±5pp）</c:v>
                </c:pt>
                <c:pt idx="3">
                  <c:v>电子元件单价变动（逐年±3pp）</c:v>
                </c:pt>
                <c:pt idx="4">
                  <c:v>无风险利率（±0.5pp）</c:v>
                </c:pt>
                <c:pt idx="5">
                  <c:v>通信器件销量增速（逐年±5pp）</c:v>
                </c:pt>
                <c:pt idx="6">
                  <c:v>新增投资资本回报率RONIC（±10pp）</c:v>
                </c:pt>
                <c:pt idx="7">
                  <c:v>全部分部毛利率（±2pp）</c:v>
                </c:pt>
                <c:pt idx="8">
                  <c:v>第二阶段起点增速溢价（±4pp）</c:v>
                </c:pt>
                <c:pt idx="9">
                  <c:v>人均薪酬增速（逐年±3pp）</c:v>
                </c:pt>
                <c:pt idx="10">
                  <c:v>永续增长率（±0.5pp）</c:v>
                </c:pt>
                <c:pt idx="11">
                  <c:v>员工人数增速（逐年±3pp）</c:v>
                </c:pt>
                <c:pt idx="12">
                  <c:v>通信器件单价变动（逐年±2pp）</c:v>
                </c:pt>
                <c:pt idx="13">
                  <c:v>资本开支（±25%）</c:v>
                </c:pt>
                <c:pt idx="14">
                  <c:v>其他电子及陶瓷材料增速（逐年±5pp）</c:v>
                </c:pt>
                <c:pt idx="15">
                  <c:v>实际税率（±2pp）</c:v>
                </c:pt>
                <c:pt idx="16">
                  <c:v>应收与产成品周转天数（±15天）</c:v>
                </c:pt>
                <c:pt idx="17">
                  <c:v>折旧率（±10%；估值影响主要来自第二阶段与永续期NOPAT）</c:v>
                </c:pt>
                <c:pt idx="18">
                  <c:v>三环隔膜片份额（±15pp）</c:v>
                </c:pt>
                <c:pt idx="19">
                  <c:v>政府补助占收入（±0.3pp）</c:v>
                </c:pt>
                <c:pt idx="20">
                  <c:v>管理费用其他项占收入（±0.3pp）</c:v>
                </c:pt>
                <c:pt idx="21">
                  <c:v>Bloom电池片层需求（±30%）</c:v>
                </c:pt>
                <c:pt idx="22">
                  <c:v>隔膜片单价（±15%）</c:v>
                </c:pt>
                <c:pt idx="23">
                  <c:v>存款及理财收益率（±0.5pp）</c:v>
                </c:pt>
              </c:strCache>
            </c:strRef>
          </c:cat>
          <c:val>
            <c:numRef>
              <c:f>敏感性分析!$K$16:$K$39</c:f>
              <c:numCache>
                <c:formatCode>0.00;\(0.00\);\-</c:formatCode>
                <c:ptCount val="24"/>
                <c:pt idx="0">
                  <c:v>13.6990651431895</c:v>
                </c:pt>
                <c:pt idx="1">
                  <c:v>11.11774328299</c:v>
                </c:pt>
                <c:pt idx="2">
                  <c:v>7.15505320950449</c:v>
                </c:pt>
                <c:pt idx="3">
                  <c:v>4.72968665101648</c:v>
                </c:pt>
                <c:pt idx="4">
                  <c:v>4.50073607761527</c:v>
                </c:pt>
                <c:pt idx="5">
                  <c:v>3.98660172002187</c:v>
                </c:pt>
                <c:pt idx="6">
                  <c:v>1.8671975375168</c:v>
                </c:pt>
                <c:pt idx="7">
                  <c:v>3.0115252830881</c:v>
                </c:pt>
                <c:pt idx="8">
                  <c:v>2.68759082463922</c:v>
                </c:pt>
                <c:pt idx="9">
                  <c:v>2.19594017815543</c:v>
                </c:pt>
                <c:pt idx="10">
                  <c:v>2.22070617620175</c:v>
                </c:pt>
                <c:pt idx="11">
                  <c:v>1.89815908723008</c:v>
                </c:pt>
                <c:pt idx="12">
                  <c:v>1.88404341112076</c:v>
                </c:pt>
                <c:pt idx="13">
                  <c:v>1.66837351430118</c:v>
                </c:pt>
                <c:pt idx="14">
                  <c:v>1.46541088432497</c:v>
                </c:pt>
                <c:pt idx="15">
                  <c:v>1.15961995429055</c:v>
                </c:pt>
                <c:pt idx="16">
                  <c:v>0.793410300116051</c:v>
                </c:pt>
                <c:pt idx="17">
                  <c:v>0.744778273244499</c:v>
                </c:pt>
                <c:pt idx="18">
                  <c:v>0.509706852520203</c:v>
                </c:pt>
                <c:pt idx="19">
                  <c:v>0.445643554892953</c:v>
                </c:pt>
                <c:pt idx="20">
                  <c:v>0.445643554892939</c:v>
                </c:pt>
                <c:pt idx="21">
                  <c:v>0.369216438591927</c:v>
                </c:pt>
                <c:pt idx="22">
                  <c:v>0.184541186958519</c:v>
                </c:pt>
                <c:pt idx="23">
                  <c:v>-0.002086016693994</c:v>
                </c:pt>
              </c:numCache>
            </c:numRef>
          </c:val>
        </c:ser>
        <c:gapWidth val="40"/>
        <c:overlap val="100"/>
        <c:axId val="49160748"/>
        <c:axId val="58520664"/>
      </c:barChart>
      <c:catAx>
        <c:axId val="49160748"/>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8520664"/>
        <c:crosses val="autoZero"/>
        <c:auto val="1"/>
        <c:lblAlgn val="ctr"/>
        <c:lblOffset val="100"/>
        <c:noMultiLvlLbl val="0"/>
      </c:catAx>
      <c:valAx>
        <c:axId val="58520664"/>
        <c:scaling>
          <c:orientation val="minMax"/>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较基准变动</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6074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2027E归母净利润对各经营假设的敏感性（百万元）</a:t>
            </a:r>
          </a:p>
        </c:rich>
      </c:tx>
      <c:overlay val="0"/>
      <c:spPr>
        <a:noFill/>
        <a:ln w="0">
          <a:noFill/>
        </a:ln>
      </c:spPr>
    </c:title>
    <c:autoTitleDeleted val="0"/>
    <c:plotArea>
      <c:barChart>
        <c:barDir val="bar"/>
        <c:grouping val="clustered"/>
        <c:varyColors val="0"/>
        <c:ser>
          <c:idx val="0"/>
          <c:order val="0"/>
          <c:tx>
            <c:strRef>
              <c:f>敏感性分析!F54</c:f>
              <c:strCache>
                <c:ptCount val="1"/>
                <c:pt idx="0">
                  <c:v>Δ净利润·不利</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敏感性分析!$A$55:$A$72</c:f>
              <c:strCache>
                <c:ptCount val="18"/>
                <c:pt idx="0">
                  <c:v>全部分部毛利率（±2pp）</c:v>
                </c:pt>
                <c:pt idx="1">
                  <c:v>电子元件销量增速（逐年±5pp）</c:v>
                </c:pt>
                <c:pt idx="2">
                  <c:v>实际税率（±2pp）</c:v>
                </c:pt>
                <c:pt idx="3">
                  <c:v>电子元件单价变动（逐年±3pp）</c:v>
                </c:pt>
                <c:pt idx="4">
                  <c:v>通信器件销量增速（逐年±5pp）</c:v>
                </c:pt>
                <c:pt idx="5">
                  <c:v>Bloom电池片层需求（±30%）</c:v>
                </c:pt>
                <c:pt idx="6">
                  <c:v>人均薪酬增速（逐年±3pp）</c:v>
                </c:pt>
                <c:pt idx="7">
                  <c:v>存款及理财收益率（±0.5pp）</c:v>
                </c:pt>
                <c:pt idx="8">
                  <c:v>折旧率（±10%；估值影响主要来自第二阶段与永续期NOPAT）</c:v>
                </c:pt>
                <c:pt idx="9">
                  <c:v>三环隔膜片份额（±15pp）</c:v>
                </c:pt>
                <c:pt idx="10">
                  <c:v>通信器件单价变动（逐年±2pp）</c:v>
                </c:pt>
                <c:pt idx="11">
                  <c:v>员工人数增速（逐年±3pp）</c:v>
                </c:pt>
                <c:pt idx="12">
                  <c:v>管理费用其他项占收入（±0.3pp）</c:v>
                </c:pt>
                <c:pt idx="13">
                  <c:v>政府补助占收入（±0.3pp）</c:v>
                </c:pt>
                <c:pt idx="14">
                  <c:v>隔膜片单价（±15%）</c:v>
                </c:pt>
                <c:pt idx="15">
                  <c:v>其他电子及陶瓷材料增速（逐年±5pp）</c:v>
                </c:pt>
                <c:pt idx="16">
                  <c:v>应收与产成品周转天数（±15天）</c:v>
                </c:pt>
                <c:pt idx="17">
                  <c:v>资本开支（±25%）</c:v>
                </c:pt>
              </c:strCache>
            </c:strRef>
          </c:cat>
          <c:val>
            <c:numRef>
              <c:f>敏感性分析!$F$55:$F$72</c:f>
              <c:numCache>
                <c:formatCode>#,##0.0;\(#,##0.0\);\-</c:formatCode>
                <c:ptCount val="18"/>
                <c:pt idx="0">
                  <c:v>-296.295349323892</c:v>
                </c:pt>
                <c:pt idx="1">
                  <c:v>-165.638461635876</c:v>
                </c:pt>
                <c:pt idx="2">
                  <c:v>-131.632507520561</c:v>
                </c:pt>
                <c:pt idx="3">
                  <c:v>-118.854027727835</c:v>
                </c:pt>
                <c:pt idx="4">
                  <c:v>-95.1642738145611</c:v>
                </c:pt>
                <c:pt idx="5">
                  <c:v>-85.2158334004471</c:v>
                </c:pt>
                <c:pt idx="6">
                  <c:v>-85.2585902434475</c:v>
                </c:pt>
                <c:pt idx="7">
                  <c:v>-79.9957295044151</c:v>
                </c:pt>
                <c:pt idx="8">
                  <c:v>-74.4067513759201</c:v>
                </c:pt>
                <c:pt idx="9">
                  <c:v>-65.5649892018282</c:v>
                </c:pt>
                <c:pt idx="10">
                  <c:v>-54.9234624604524</c:v>
                </c:pt>
                <c:pt idx="11">
                  <c:v>-54.7288530782507</c:v>
                </c:pt>
                <c:pt idx="12">
                  <c:v>-44.5472416724679</c:v>
                </c:pt>
                <c:pt idx="13">
                  <c:v>-44.5472416724679</c:v>
                </c:pt>
                <c:pt idx="14">
                  <c:v>-42.6079167002235</c:v>
                </c:pt>
                <c:pt idx="15">
                  <c:v>-40.0258517021539</c:v>
                </c:pt>
                <c:pt idx="16">
                  <c:v>-21.7607950423953</c:v>
                </c:pt>
                <c:pt idx="17">
                  <c:v>-21.7648097159454</c:v>
                </c:pt>
              </c:numCache>
            </c:numRef>
          </c:val>
        </c:ser>
        <c:ser>
          <c:idx val="1"/>
          <c:order val="1"/>
          <c:tx>
            <c:strRef>
              <c:f>敏感性分析!G54</c:f>
              <c:strCache>
                <c:ptCount val="1"/>
                <c:pt idx="0">
                  <c:v>Δ净利润·有利</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敏感性分析!$A$55:$A$72</c:f>
              <c:strCache>
                <c:ptCount val="18"/>
                <c:pt idx="0">
                  <c:v>全部分部毛利率（±2pp）</c:v>
                </c:pt>
                <c:pt idx="1">
                  <c:v>电子元件销量增速（逐年±5pp）</c:v>
                </c:pt>
                <c:pt idx="2">
                  <c:v>实际税率（±2pp）</c:v>
                </c:pt>
                <c:pt idx="3">
                  <c:v>电子元件单价变动（逐年±3pp）</c:v>
                </c:pt>
                <c:pt idx="4">
                  <c:v>通信器件销量增速（逐年±5pp）</c:v>
                </c:pt>
                <c:pt idx="5">
                  <c:v>Bloom电池片层需求（±30%）</c:v>
                </c:pt>
                <c:pt idx="6">
                  <c:v>人均薪酬增速（逐年±3pp）</c:v>
                </c:pt>
                <c:pt idx="7">
                  <c:v>存款及理财收益率（±0.5pp）</c:v>
                </c:pt>
                <c:pt idx="8">
                  <c:v>折旧率（±10%；估值影响主要来自第二阶段与永续期NOPAT）</c:v>
                </c:pt>
                <c:pt idx="9">
                  <c:v>三环隔膜片份额（±15pp）</c:v>
                </c:pt>
                <c:pt idx="10">
                  <c:v>通信器件单价变动（逐年±2pp）</c:v>
                </c:pt>
                <c:pt idx="11">
                  <c:v>员工人数增速（逐年±3pp）</c:v>
                </c:pt>
                <c:pt idx="12">
                  <c:v>管理费用其他项占收入（±0.3pp）</c:v>
                </c:pt>
                <c:pt idx="13">
                  <c:v>政府补助占收入（±0.3pp）</c:v>
                </c:pt>
                <c:pt idx="14">
                  <c:v>隔膜片单价（±15%）</c:v>
                </c:pt>
                <c:pt idx="15">
                  <c:v>其他电子及陶瓷材料增速（逐年±5pp）</c:v>
                </c:pt>
                <c:pt idx="16">
                  <c:v>应收与产成品周转天数（±15天）</c:v>
                </c:pt>
                <c:pt idx="17">
                  <c:v>资本开支（±25%）</c:v>
                </c:pt>
              </c:strCache>
            </c:strRef>
          </c:cat>
          <c:val>
            <c:numRef>
              <c:f>敏感性分析!$G$55:$G$72</c:f>
              <c:numCache>
                <c:formatCode>#,##0.0;\(#,##0.0\);\-</c:formatCode>
                <c:ptCount val="18"/>
                <c:pt idx="0">
                  <c:v>296.295349323893</c:v>
                </c:pt>
                <c:pt idx="1">
                  <c:v>169.546309286773</c:v>
                </c:pt>
                <c:pt idx="2">
                  <c:v>131.66786825517</c:v>
                </c:pt>
                <c:pt idx="3">
                  <c:v>120.933834600863</c:v>
                </c:pt>
                <c:pt idx="4">
                  <c:v>97.3229765934666</c:v>
                </c:pt>
                <c:pt idx="5">
                  <c:v>85.2158334004471</c:v>
                </c:pt>
                <c:pt idx="6">
                  <c:v>83.6548995796375</c:v>
                </c:pt>
                <c:pt idx="7">
                  <c:v>80.2781599033178</c:v>
                </c:pt>
                <c:pt idx="8">
                  <c:v>74.3386515730545</c:v>
                </c:pt>
                <c:pt idx="9">
                  <c:v>65.5649892018273</c:v>
                </c:pt>
                <c:pt idx="10">
                  <c:v>55.6892613391883</c:v>
                </c:pt>
                <c:pt idx="11">
                  <c:v>53.9814105512842</c:v>
                </c:pt>
                <c:pt idx="12">
                  <c:v>44.5472416724679</c:v>
                </c:pt>
                <c:pt idx="13">
                  <c:v>44.547241672467</c:v>
                </c:pt>
                <c:pt idx="14">
                  <c:v>42.6079167002245</c:v>
                </c:pt>
                <c:pt idx="15">
                  <c:v>41.2156428569197</c:v>
                </c:pt>
                <c:pt idx="16">
                  <c:v>21.7607950423944</c:v>
                </c:pt>
                <c:pt idx="17">
                  <c:v>21.7479146268979</c:v>
                </c:pt>
              </c:numCache>
            </c:numRef>
          </c:val>
        </c:ser>
        <c:gapWidth val="40"/>
        <c:overlap val="100"/>
        <c:axId val="42915732"/>
        <c:axId val="14905074"/>
      </c:barChart>
      <c:catAx>
        <c:axId val="42915732"/>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4905074"/>
        <c:crosses val="autoZero"/>
        <c:auto val="1"/>
        <c:lblAlgn val="ctr"/>
        <c:lblOffset val="100"/>
        <c:noMultiLvlLbl val="0"/>
      </c:catAx>
      <c:valAx>
        <c:axId val="14905074"/>
        <c:scaling>
          <c:orientation val="minMax"/>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较基准变动</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157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归母净利润：三情景（百万元）</a:t>
            </a:r>
          </a:p>
        </c:rich>
      </c:tx>
      <c:overlay val="0"/>
      <c:spPr>
        <a:noFill/>
        <a:ln w="0">
          <a:noFill/>
        </a:ln>
      </c:spPr>
    </c:title>
    <c:autoTitleDeleted val="0"/>
    <c:plotArea>
      <c:lineChart>
        <c:grouping val="standard"/>
        <c:varyColors val="0"/>
        <c:ser>
          <c:idx val="0"/>
          <c:order val="0"/>
          <c:tx>
            <c:strRef>
              <c:f>"基准"</c:f>
              <c:strCache>
                <c:ptCount val="1"/>
                <c:pt idx="0">
                  <c:v>基准</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情景对比!$C$38:$H$38</c:f>
              <c:multiLvlStrCache>
                <c:ptCount val="1"/>
                <c:lvl>
                  <c:pt idx="0">
                    <c:v>2030E</c:v>
                  </c:pt>
                </c:lvl>
                <c:lvl>
                  <c:pt idx="0">
                    <c:v>2029E</c:v>
                  </c:pt>
                </c:lvl>
                <c:lvl>
                  <c:pt idx="0">
                    <c:v>2028E</c:v>
                  </c:pt>
                </c:lvl>
                <c:lvl>
                  <c:pt idx="0">
                    <c:v>2027E</c:v>
                  </c:pt>
                </c:lvl>
                <c:lvl>
                  <c:pt idx="0">
                    <c:v>2026E</c:v>
                  </c:pt>
                </c:lvl>
                <c:lvl>
                  <c:pt idx="0">
                    <c:v>2025A</c:v>
                  </c:pt>
                </c:lvl>
              </c:multiLvlStrCache>
            </c:multiLvlStrRef>
          </c:cat>
          <c:val>
            <c:numRef>
              <c:f>情景对比!$C$51:$H$51</c:f>
              <c:numCache>
                <c:formatCode>#,##0.0;\(#,##0.0\);\-</c:formatCode>
                <c:ptCount val="6"/>
                <c:pt idx="0">
                  <c:v>2618.3839</c:v>
                </c:pt>
                <c:pt idx="1">
                  <c:v>4260.35652053686</c:v>
                </c:pt>
                <c:pt idx="2">
                  <c:v>5632.13722717327</c:v>
                </c:pt>
                <c:pt idx="3">
                  <c:v>6237.76541954429</c:v>
                </c:pt>
                <c:pt idx="4">
                  <c:v>6667.03169617248</c:v>
                </c:pt>
                <c:pt idx="5">
                  <c:v>7002.64916789525</c:v>
                </c:pt>
              </c:numCache>
            </c:numRef>
          </c:val>
          <c:smooth val="0"/>
        </c:ser>
        <c:ser>
          <c:idx val="1"/>
          <c:order val="1"/>
          <c:tx>
            <c:strRef>
              <c:f>"乐观"</c:f>
              <c:strCache>
                <c:ptCount val="1"/>
                <c:pt idx="0">
                  <c:v>乐观</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情景对比!$C$38:$H$38</c:f>
              <c:multiLvlStrCache>
                <c:ptCount val="1"/>
                <c:lvl>
                  <c:pt idx="0">
                    <c:v>2030E</c:v>
                  </c:pt>
                </c:lvl>
                <c:lvl>
                  <c:pt idx="0">
                    <c:v>2029E</c:v>
                  </c:pt>
                </c:lvl>
                <c:lvl>
                  <c:pt idx="0">
                    <c:v>2028E</c:v>
                  </c:pt>
                </c:lvl>
                <c:lvl>
                  <c:pt idx="0">
                    <c:v>2027E</c:v>
                  </c:pt>
                </c:lvl>
                <c:lvl>
                  <c:pt idx="0">
                    <c:v>2026E</c:v>
                  </c:pt>
                </c:lvl>
                <c:lvl>
                  <c:pt idx="0">
                    <c:v>2025A</c:v>
                  </c:pt>
                </c:lvl>
              </c:multiLvlStrCache>
            </c:multiLvlStrRef>
          </c:cat>
          <c:val>
            <c:numRef>
              <c:f>情景对比!$C$52:$H$52</c:f>
              <c:numCache>
                <c:formatCode>#,##0.0;\(#,##0.0\);\-</c:formatCode>
                <c:ptCount val="6"/>
                <c:pt idx="0">
                  <c:v>2618.3839</c:v>
                </c:pt>
                <c:pt idx="1">
                  <c:v>4548.57203990357</c:v>
                </c:pt>
                <c:pt idx="2">
                  <c:v>6784.94197949527</c:v>
                </c:pt>
                <c:pt idx="3">
                  <c:v>7779.16863582985</c:v>
                </c:pt>
                <c:pt idx="4">
                  <c:v>8528.93849668091</c:v>
                </c:pt>
                <c:pt idx="5">
                  <c:v>9141.79437878248</c:v>
                </c:pt>
              </c:numCache>
            </c:numRef>
          </c:val>
          <c:smooth val="0"/>
        </c:ser>
        <c:ser>
          <c:idx val="2"/>
          <c:order val="2"/>
          <c:tx>
            <c:strRef>
              <c:f>"悲观"</c:f>
              <c:strCache>
                <c:ptCount val="1"/>
                <c:pt idx="0">
                  <c:v>悲观</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情景对比!$C$38:$H$38</c:f>
              <c:multiLvlStrCache>
                <c:ptCount val="1"/>
                <c:lvl>
                  <c:pt idx="0">
                    <c:v>2030E</c:v>
                  </c:pt>
                </c:lvl>
                <c:lvl>
                  <c:pt idx="0">
                    <c:v>2029E</c:v>
                  </c:pt>
                </c:lvl>
                <c:lvl>
                  <c:pt idx="0">
                    <c:v>2028E</c:v>
                  </c:pt>
                </c:lvl>
                <c:lvl>
                  <c:pt idx="0">
                    <c:v>2027E</c:v>
                  </c:pt>
                </c:lvl>
                <c:lvl>
                  <c:pt idx="0">
                    <c:v>2026E</c:v>
                  </c:pt>
                </c:lvl>
                <c:lvl>
                  <c:pt idx="0">
                    <c:v>2025A</c:v>
                  </c:pt>
                </c:lvl>
              </c:multiLvlStrCache>
            </c:multiLvlStrRef>
          </c:cat>
          <c:val>
            <c:numRef>
              <c:f>情景对比!$C$53:$H$53</c:f>
              <c:numCache>
                <c:formatCode>#,##0.0;\(#,##0.0\);\-</c:formatCode>
                <c:ptCount val="6"/>
                <c:pt idx="0">
                  <c:v>2618.3839</c:v>
                </c:pt>
                <c:pt idx="1">
                  <c:v>3961.93551241667</c:v>
                </c:pt>
                <c:pt idx="2">
                  <c:v>4313.36693188141</c:v>
                </c:pt>
                <c:pt idx="3">
                  <c:v>4389.28540313832</c:v>
                </c:pt>
                <c:pt idx="4">
                  <c:v>4447.51516947897</c:v>
                </c:pt>
                <c:pt idx="5">
                  <c:v>4450.56087017031</c:v>
                </c:pt>
              </c:numCache>
            </c:numRef>
          </c:val>
          <c:smooth val="0"/>
        </c:ser>
        <c:hiLowLines>
          <c:spPr>
            <a:ln w="0">
              <a:noFill/>
            </a:ln>
          </c:spPr>
        </c:hiLowLines>
        <c:marker val="0"/>
        <c:axId val="77223489"/>
        <c:axId val="22404603"/>
      </c:lineChart>
      <c:catAx>
        <c:axId val="772234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04603"/>
        <c:crosses val="autoZero"/>
        <c:auto val="1"/>
        <c:lblAlgn val="ctr"/>
        <c:lblOffset val="100"/>
        <c:noMultiLvlLbl val="0"/>
      </c:catAx>
      <c:valAx>
        <c:axId val="2240460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22348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13</xdr:row>
      <xdr:rowOff>106560</xdr:rowOff>
    </xdr:from>
    <xdr:to>
      <xdr:col>22</xdr:col>
      <xdr:colOff>370080</xdr:colOff>
      <xdr:row>46</xdr:row>
      <xdr:rowOff>84960</xdr:rowOff>
    </xdr:to>
    <xdr:graphicFrame>
      <xdr:nvGraphicFramePr>
        <xdr:cNvPr id="0" name="Chart 1"/>
        <xdr:cNvGraphicFramePr/>
      </xdr:nvGraphicFramePr>
      <xdr:xfrm>
        <a:off x="16890840" y="2666880"/>
        <a:ext cx="7199640" cy="64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51</xdr:row>
      <xdr:rowOff>82440</xdr:rowOff>
    </xdr:from>
    <xdr:to>
      <xdr:col>22</xdr:col>
      <xdr:colOff>370080</xdr:colOff>
      <xdr:row>76</xdr:row>
      <xdr:rowOff>179640</xdr:rowOff>
    </xdr:to>
    <xdr:graphicFrame>
      <xdr:nvGraphicFramePr>
        <xdr:cNvPr id="1" name="Chart 2"/>
        <xdr:cNvGraphicFramePr/>
      </xdr:nvGraphicFramePr>
      <xdr:xfrm>
        <a:off x="16890840" y="10096560"/>
        <a:ext cx="7199640" cy="48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106920</xdr:rowOff>
    </xdr:from>
    <xdr:to>
      <xdr:col>16</xdr:col>
      <xdr:colOff>447840</xdr:colOff>
      <xdr:row>17</xdr:row>
      <xdr:rowOff>139320</xdr:rowOff>
    </xdr:to>
    <xdr:graphicFrame>
      <xdr:nvGraphicFramePr>
        <xdr:cNvPr id="2" name="Chart 1"/>
        <xdr:cNvGraphicFramePr/>
      </xdr:nvGraphicFramePr>
      <xdr:xfrm>
        <a:off x="10537920" y="76212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4"/>
    <col collapsed="false" customWidth="true" hidden="false" outlineLevel="0" max="8" min="3" style="0" width="12"/>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2" customFormat="false" ht="15" hidden="false" customHeight="false" outlineLevel="0" collapsed="false">
      <c r="A12" s="5" t="s">
        <v>9</v>
      </c>
      <c r="B12" s="6"/>
      <c r="C12" s="6"/>
      <c r="D12" s="6"/>
      <c r="E12" s="6"/>
      <c r="F12" s="6"/>
      <c r="G12" s="6"/>
      <c r="H12" s="6"/>
      <c r="I12" s="6"/>
    </row>
    <row r="13" customFormat="false" ht="15" hidden="false" customHeight="false" outlineLevel="0" collapsed="false">
      <c r="A13" s="7" t="s">
        <v>10</v>
      </c>
      <c r="B13" s="8"/>
      <c r="C13" s="8" t="s">
        <v>11</v>
      </c>
      <c r="D13" s="8" t="s">
        <v>12</v>
      </c>
      <c r="E13" s="8" t="s">
        <v>13</v>
      </c>
      <c r="F13" s="8" t="s">
        <v>14</v>
      </c>
      <c r="G13" s="8" t="s">
        <v>15</v>
      </c>
      <c r="H13" s="8" t="s">
        <v>16</v>
      </c>
    </row>
    <row r="14" customFormat="false" ht="15" hidden="false" customHeight="false" outlineLevel="0" collapsed="false">
      <c r="A14" s="9" t="s">
        <v>17</v>
      </c>
      <c r="C14" s="10" t="n">
        <f aca="false">三表预测!G6</f>
        <v>9007.1539</v>
      </c>
      <c r="D14" s="10" t="n">
        <f aca="false">三表预测!H6</f>
        <v>13863.1874625892</v>
      </c>
      <c r="E14" s="10" t="n">
        <f aca="false">三表预测!I6</f>
        <v>17550.9029528349</v>
      </c>
      <c r="F14" s="10" t="n">
        <f aca="false">三表预测!J6</f>
        <v>20155.2171358948</v>
      </c>
      <c r="G14" s="10" t="n">
        <f aca="false">三表预测!K6</f>
        <v>22196.9566424501</v>
      </c>
      <c r="H14" s="10" t="n">
        <f aca="false">三表预测!L6</f>
        <v>23693.8895841471</v>
      </c>
    </row>
    <row r="15" customFormat="false" ht="15" hidden="false" customHeight="false" outlineLevel="0" collapsed="false">
      <c r="A15" s="11" t="s">
        <v>18</v>
      </c>
      <c r="C15" s="12" t="n">
        <f aca="false">三表预测!G7</f>
        <v>0.221310526922962</v>
      </c>
      <c r="D15" s="12" t="n">
        <f aca="false">三表预测!H7</f>
        <v>0.53913074168625</v>
      </c>
      <c r="E15" s="12" t="n">
        <f aca="false">三表预测!I7</f>
        <v>0.266007763380335</v>
      </c>
      <c r="F15" s="12" t="n">
        <f aca="false">三表预测!J7</f>
        <v>0.148386336022629</v>
      </c>
      <c r="G15" s="12" t="n">
        <f aca="false">三表预测!K7</f>
        <v>0.101300794369472</v>
      </c>
      <c r="H15" s="12" t="n">
        <f aca="false">三表预测!L7</f>
        <v>0.0674386568307415</v>
      </c>
    </row>
    <row r="16" customFormat="false" ht="15" hidden="false" customHeight="false" outlineLevel="0" collapsed="false">
      <c r="A16" s="11" t="s">
        <v>19</v>
      </c>
      <c r="C16" s="10" t="n">
        <f aca="false">收入拆解!G17</f>
        <v>3308.089586</v>
      </c>
      <c r="D16" s="10" t="n">
        <f aca="false">收入拆解!H17</f>
        <v>5983.6724431568</v>
      </c>
      <c r="E16" s="10" t="n">
        <f aca="false">收入拆解!I17</f>
        <v>8077.95779826168</v>
      </c>
      <c r="F16" s="10" t="n">
        <f aca="false">收入拆解!J17</f>
        <v>9698.39613259297</v>
      </c>
      <c r="G16" s="10" t="n">
        <f aca="false">收入拆解!K17</f>
        <v>10862.2036685041</v>
      </c>
      <c r="H16" s="10" t="n">
        <f aca="false">收入拆解!L17</f>
        <v>11709.4555546475</v>
      </c>
    </row>
    <row r="17" customFormat="false" ht="15" hidden="false" customHeight="false" outlineLevel="0" collapsed="false">
      <c r="A17" s="11" t="s">
        <v>20</v>
      </c>
      <c r="C17" s="10" t="n">
        <f aca="false">收入拆解!G26</f>
        <v>2594.309892</v>
      </c>
      <c r="D17" s="10" t="n">
        <f aca="false">收入拆解!H26</f>
        <v>3955.5442923324</v>
      </c>
      <c r="E17" s="10" t="n">
        <f aca="false">收入拆解!I26</f>
        <v>4936.51927683084</v>
      </c>
      <c r="F17" s="10" t="n">
        <f aca="false">收入拆解!J26</f>
        <v>5686.87020690912</v>
      </c>
      <c r="G17" s="10" t="n">
        <f aca="false">收入拆解!K26</f>
        <v>6256.12591462073</v>
      </c>
      <c r="H17" s="10" t="n">
        <f aca="false">收入拆解!L26</f>
        <v>6735.97077227214</v>
      </c>
    </row>
    <row r="18" customFormat="false" ht="15" hidden="false" customHeight="false" outlineLevel="0" collapsed="false">
      <c r="A18" s="11" t="s">
        <v>21</v>
      </c>
      <c r="C18" s="10" t="n">
        <f aca="false">收入拆解!G41</f>
        <v>1959.378017</v>
      </c>
      <c r="D18" s="10" t="n">
        <f aca="false">收入拆解!H41</f>
        <v>2525.4590207</v>
      </c>
      <c r="E18" s="10" t="n">
        <f aca="false">收入拆解!I41</f>
        <v>3018.54743651733</v>
      </c>
      <c r="F18" s="10" t="n">
        <f aca="false">收入拆解!J41</f>
        <v>3136.9255135024</v>
      </c>
      <c r="G18" s="10" t="n">
        <f aca="false">收入拆解!K41</f>
        <v>3338.37358535182</v>
      </c>
      <c r="H18" s="10" t="n">
        <f aca="false">收入拆解!L41</f>
        <v>3412.48941585755</v>
      </c>
    </row>
    <row r="19" customFormat="false" ht="15" hidden="false" customHeight="false" outlineLevel="0" collapsed="false">
      <c r="A19" s="11" t="s">
        <v>22</v>
      </c>
      <c r="C19" s="10" t="n">
        <f aca="false">收入拆解!G38</f>
        <v>330.717999</v>
      </c>
      <c r="D19" s="10" t="n">
        <f aca="false">收入拆解!H38</f>
        <v>652.5</v>
      </c>
      <c r="E19" s="10" t="n">
        <f aca="false">收入拆解!I38</f>
        <v>920.833333333333</v>
      </c>
      <c r="F19" s="10" t="n">
        <f aca="false">收入拆解!J38</f>
        <v>829.44</v>
      </c>
      <c r="G19" s="10" t="n">
        <f aca="false">收入拆解!K38</f>
        <v>846.289230769231</v>
      </c>
      <c r="H19" s="10" t="n">
        <f aca="false">收入拆解!L38</f>
        <v>770.88</v>
      </c>
    </row>
    <row r="20" customFormat="false" ht="15" hidden="false" customHeight="false" outlineLevel="0" collapsed="false">
      <c r="A20" s="9" t="s">
        <v>23</v>
      </c>
      <c r="C20" s="12" t="n">
        <f aca="false">三表预测!G10</f>
        <v>0.421375302580319</v>
      </c>
      <c r="D20" s="12" t="n">
        <f aca="false">三表预测!H10</f>
        <v>0.449287174922178</v>
      </c>
      <c r="E20" s="12" t="n">
        <f aca="false">三表预测!I10</f>
        <v>0.452142070624818</v>
      </c>
      <c r="F20" s="12" t="n">
        <f aca="false">三表预测!J10</f>
        <v>0.443741718008581</v>
      </c>
      <c r="G20" s="12" t="n">
        <f aca="false">三表预测!K10</f>
        <v>0.434285878007441</v>
      </c>
      <c r="H20" s="12" t="n">
        <f aca="false">三表预测!L10</f>
        <v>0.428881968115238</v>
      </c>
    </row>
    <row r="21" customFormat="false" ht="15" hidden="false" customHeight="false" outlineLevel="0" collapsed="false">
      <c r="A21" s="9" t="s">
        <v>24</v>
      </c>
      <c r="C21" s="12" t="n">
        <f aca="false">人员与费用!G51</f>
        <v>0.136290132668878</v>
      </c>
      <c r="D21" s="12" t="n">
        <f aca="false">人员与费用!H51</f>
        <v>0.107885376247771</v>
      </c>
      <c r="E21" s="12" t="n">
        <f aca="false">人员与费用!I51</f>
        <v>0.100842186275797</v>
      </c>
      <c r="F21" s="12" t="n">
        <f aca="false">人员与费用!J51</f>
        <v>0.0986702450657366</v>
      </c>
      <c r="G21" s="12" t="n">
        <f aca="false">人员与费用!K51</f>
        <v>0.0983185826350532</v>
      </c>
      <c r="H21" s="12" t="n">
        <f aca="false">人员与费用!L51</f>
        <v>0.0992061288993201</v>
      </c>
    </row>
    <row r="22" customFormat="false" ht="15" hidden="false" customHeight="false" outlineLevel="0" collapsed="false">
      <c r="A22" s="9" t="s">
        <v>25</v>
      </c>
      <c r="C22" s="10" t="n">
        <f aca="false">三表预测!G26</f>
        <v>2618.3839</v>
      </c>
      <c r="D22" s="10" t="n">
        <f aca="false">三表预测!H26</f>
        <v>4260.35652053686</v>
      </c>
      <c r="E22" s="10" t="n">
        <f aca="false">三表预测!I26</f>
        <v>5632.13722717327</v>
      </c>
      <c r="F22" s="10" t="n">
        <f aca="false">三表预测!J26</f>
        <v>6237.76541954429</v>
      </c>
      <c r="G22" s="10" t="n">
        <f aca="false">三表预测!K26</f>
        <v>6667.03169617248</v>
      </c>
      <c r="H22" s="10" t="n">
        <f aca="false">三表预测!L26</f>
        <v>7002.64916789525</v>
      </c>
    </row>
    <row r="23" customFormat="false" ht="15" hidden="false" customHeight="false" outlineLevel="0" collapsed="false">
      <c r="A23" s="11" t="s">
        <v>18</v>
      </c>
      <c r="C23" s="12" t="n">
        <f aca="false">三表预测!G27</f>
        <v>0.195363900701281</v>
      </c>
      <c r="D23" s="12" t="n">
        <f aca="false">三表预测!H27</f>
        <v>0.627093918709498</v>
      </c>
      <c r="E23" s="12" t="n">
        <f aca="false">三表预测!I27</f>
        <v>0.321987303180803</v>
      </c>
      <c r="F23" s="12" t="n">
        <f aca="false">三表预测!J27</f>
        <v>0.107530794784092</v>
      </c>
      <c r="G23" s="12" t="n">
        <f aca="false">三表预测!K27</f>
        <v>0.068817316419628</v>
      </c>
      <c r="H23" s="12" t="n">
        <f aca="false">三表预测!L27</f>
        <v>0.0503398644280408</v>
      </c>
    </row>
    <row r="24" customFormat="false" ht="15" hidden="false" customHeight="false" outlineLevel="0" collapsed="false">
      <c r="A24" s="13" t="s">
        <v>26</v>
      </c>
      <c r="C24" s="14" t="n">
        <f aca="false">三表预测!G29</f>
        <v>1.36990363305402</v>
      </c>
      <c r="D24" s="14" t="n">
        <f aca="false">三表预测!H29</f>
        <v>2.15527824592142</v>
      </c>
      <c r="E24" s="14" t="n">
        <f aca="false">三表预测!I29</f>
        <v>2.84925047592991</v>
      </c>
      <c r="F24" s="14" t="n">
        <f aca="false">三表预测!J29</f>
        <v>3.1556326441456</v>
      </c>
      <c r="G24" s="14" t="n">
        <f aca="false">三表预测!K29</f>
        <v>3.37279481432188</v>
      </c>
      <c r="H24" s="14" t="n">
        <f aca="false">三表预测!L29</f>
        <v>3.54258084801844</v>
      </c>
    </row>
    <row r="25" customFormat="false" ht="15" hidden="false" customHeight="false" outlineLevel="0" collapsed="false">
      <c r="A25" s="9" t="s">
        <v>27</v>
      </c>
      <c r="C25" s="12" t="n">
        <f aca="false">税务与其他损益!G28</f>
        <v>0.130044335165983</v>
      </c>
      <c r="D25" s="12" t="n">
        <f aca="false">税务与其他损益!H28</f>
        <v>0.132524612778405</v>
      </c>
      <c r="E25" s="12" t="n">
        <f aca="false">税务与其他损益!I28</f>
        <v>0.139519061521952</v>
      </c>
      <c r="F25" s="12" t="n">
        <f aca="false">税务与其他损益!J28</f>
        <v>0.139053440165484</v>
      </c>
      <c r="G25" s="12" t="n">
        <f aca="false">税务与其他损益!K28</f>
        <v>0.138432149799062</v>
      </c>
      <c r="H25" s="12" t="n">
        <f aca="false">税务与其他损益!L28</f>
        <v>0.137801005249079</v>
      </c>
    </row>
    <row r="26" customFormat="false" ht="15" hidden="false" customHeight="false" outlineLevel="0" collapsed="false">
      <c r="A26" s="13" t="s">
        <v>28</v>
      </c>
      <c r="C26" s="12" t="n">
        <f aca="false">回报分析!G8</f>
        <v>0.126111690004232</v>
      </c>
      <c r="D26" s="12" t="n">
        <f aca="false">回报分析!H8</f>
        <v>0.164215772736616</v>
      </c>
      <c r="E26" s="12" t="n">
        <f aca="false">回报分析!I8</f>
        <v>0.174145016327724</v>
      </c>
      <c r="F26" s="12" t="n">
        <f aca="false">回报分析!J8</f>
        <v>0.170224525416993</v>
      </c>
      <c r="G26" s="12" t="n">
        <f aca="false">回报分析!K8</f>
        <v>0.162064235067298</v>
      </c>
      <c r="H26" s="12" t="n">
        <f aca="false">回报分析!L8</f>
        <v>0.152750344342956</v>
      </c>
    </row>
    <row r="27" customFormat="false" ht="15" hidden="false" customHeight="false" outlineLevel="0" collapsed="false">
      <c r="A27" s="13" t="s">
        <v>29</v>
      </c>
      <c r="C27" s="12" t="n">
        <f aca="false">回报分析!G11</f>
        <v>0.254801709744815</v>
      </c>
      <c r="D27" s="12" t="n">
        <f aca="false">回报分析!H11</f>
        <v>0.372908874690275</v>
      </c>
      <c r="E27" s="12" t="n">
        <f aca="false">回报分析!I11</f>
        <v>0.401102458353147</v>
      </c>
      <c r="F27" s="12" t="n">
        <f aca="false">回报分析!J11</f>
        <v>0.373702818036969</v>
      </c>
      <c r="G27" s="12" t="n">
        <f aca="false">回报分析!K11</f>
        <v>0.35914986418445</v>
      </c>
      <c r="H27" s="12" t="n">
        <f aca="false">回报分析!L11</f>
        <v>0.353670012315508</v>
      </c>
    </row>
    <row r="28" customFormat="false" ht="15" hidden="false" customHeight="false" outlineLevel="0" collapsed="false">
      <c r="A28" s="9" t="s">
        <v>30</v>
      </c>
      <c r="C28" s="10" t="n">
        <f aca="false">资本开支与折旧!G11</f>
        <v>580.092</v>
      </c>
      <c r="D28" s="10" t="n">
        <f aca="false">资本开支与折旧!H11</f>
        <v>1787.9753332932</v>
      </c>
      <c r="E28" s="10" t="n">
        <f aca="false">资本开支与折旧!I11</f>
        <v>2593.59246892886</v>
      </c>
      <c r="F28" s="10" t="n">
        <f aca="false">资本开支与折旧!J11</f>
        <v>2358.51372418855</v>
      </c>
      <c r="G28" s="10" t="n">
        <f aca="false">资本开支与折旧!K11</f>
        <v>1918.93536545505</v>
      </c>
      <c r="H28" s="10" t="n">
        <f aca="false">资本开支与折旧!L11</f>
        <v>1679.45915863418</v>
      </c>
    </row>
    <row r="29" customFormat="false" ht="15" hidden="false" customHeight="false" outlineLevel="0" collapsed="false">
      <c r="A29" s="9" t="s">
        <v>31</v>
      </c>
      <c r="C29" s="10" t="n">
        <f aca="false">资本开支与折旧!G91</f>
        <v>740.433085</v>
      </c>
      <c r="D29" s="10" t="n">
        <f aca="false">资本开支与折旧!H91</f>
        <v>813.656921785668</v>
      </c>
      <c r="E29" s="10" t="n">
        <f aca="false">资本开支与折旧!I91</f>
        <v>914.994953136395</v>
      </c>
      <c r="F29" s="10" t="n">
        <f aca="false">资本开支与折旧!J91</f>
        <v>1060.03085907165</v>
      </c>
      <c r="G29" s="10" t="n">
        <f aca="false">资本开支与折旧!K91</f>
        <v>1212.64784020939</v>
      </c>
      <c r="H29" s="10" t="n">
        <f aca="false">资本开支与折旧!L91</f>
        <v>1348.21871326113</v>
      </c>
    </row>
    <row r="30" customFormat="false" ht="15" hidden="false" customHeight="false" outlineLevel="0" collapsed="false">
      <c r="A30" s="9" t="s">
        <v>32</v>
      </c>
      <c r="C30" s="12" t="n">
        <f aca="false">营运资金!G32</f>
        <v>0.369423586733652</v>
      </c>
      <c r="D30" s="12" t="n">
        <f aca="false">营运资金!H32</f>
        <v>0.338649134593167</v>
      </c>
      <c r="E30" s="12" t="n">
        <f aca="false">营运资金!I32</f>
        <v>0.342584700697806</v>
      </c>
      <c r="F30" s="12" t="n">
        <f aca="false">营运资金!J32</f>
        <v>0.344290057669538</v>
      </c>
      <c r="G30" s="12" t="n">
        <f aca="false">营运资金!K32</f>
        <v>0.345253453469598</v>
      </c>
      <c r="H30" s="12" t="n">
        <f aca="false">营运资金!L32</f>
        <v>0.344957582601033</v>
      </c>
    </row>
    <row r="31" customFormat="false" ht="15" hidden="false" customHeight="false" outlineLevel="0" collapsed="false">
      <c r="A31" s="9" t="s">
        <v>33</v>
      </c>
      <c r="C31" s="10" t="n">
        <f aca="false">三表预测!G93</f>
        <v>2297.5171</v>
      </c>
      <c r="D31" s="10" t="n">
        <f aca="false">三表预测!H93</f>
        <v>1878.04058652066</v>
      </c>
      <c r="E31" s="10" t="n">
        <f aca="false">三表预测!I93</f>
        <v>2579.24763921631</v>
      </c>
      <c r="F31" s="10" t="n">
        <f aca="false">三表预测!J93</f>
        <v>3956.3348454413</v>
      </c>
      <c r="G31" s="10" t="n">
        <f aca="false">三表预测!K93</f>
        <v>5180.03142966526</v>
      </c>
      <c r="H31" s="10" t="n">
        <f aca="false">三表预测!L93</f>
        <v>6105.22011247984</v>
      </c>
    </row>
    <row r="32" customFormat="false" ht="15" hidden="false" customHeight="false" outlineLevel="0" collapsed="false">
      <c r="A32" s="9" t="s">
        <v>34</v>
      </c>
      <c r="C32" s="10" t="n">
        <f aca="false">融资与资金!G43</f>
        <v>12080.846696</v>
      </c>
      <c r="D32" s="10" t="n">
        <f aca="false">融资与资金!H43</f>
        <v>18350.2198242582</v>
      </c>
      <c r="E32" s="10" t="n">
        <f aca="false">融资与资金!I43</f>
        <v>19604.4260848219</v>
      </c>
      <c r="F32" s="10" t="n">
        <f aca="false">融资与资金!J43</f>
        <v>21788.0002288223</v>
      </c>
      <c r="G32" s="10" t="n">
        <f aca="false">融资与资金!K43</f>
        <v>25001.5242319624</v>
      </c>
      <c r="H32" s="10" t="n">
        <f aca="false">融资与资金!L43</f>
        <v>29004.1911404062</v>
      </c>
    </row>
    <row r="33" customFormat="false" ht="15" hidden="false" customHeight="false" outlineLevel="0" collapsed="false">
      <c r="A33" s="9" t="s">
        <v>35</v>
      </c>
      <c r="C33" s="15" t="n">
        <f aca="false">人员与费用!G11</f>
        <v>17352</v>
      </c>
      <c r="D33" s="15" t="n">
        <f aca="false">人员与费用!H11</f>
        <v>19628.91</v>
      </c>
      <c r="E33" s="15" t="n">
        <f aca="false">人员与费用!I11</f>
        <v>21417.0988</v>
      </c>
      <c r="F33" s="15" t="n">
        <f aca="false">人员与费用!J11</f>
        <v>22809.930764</v>
      </c>
      <c r="G33" s="15" t="n">
        <f aca="false">人员与费用!K11</f>
        <v>23893.97866792</v>
      </c>
      <c r="H33" s="15" t="n">
        <f aca="false">人员与费用!L11</f>
        <v>24832.6666053076</v>
      </c>
    </row>
    <row r="34" customFormat="false" ht="15" hidden="false" customHeight="false" outlineLevel="0" collapsed="false">
      <c r="A34" s="13" t="s">
        <v>36</v>
      </c>
      <c r="C34" s="16" t="n">
        <f aca="false">回报分析!G16</f>
        <v>86.5024350186006</v>
      </c>
      <c r="D34" s="16" t="n">
        <f aca="false">回报分析!H16</f>
        <v>54.9813000823656</v>
      </c>
      <c r="E34" s="16" t="n">
        <f aca="false">回报分析!I16</f>
        <v>41.5898851298166</v>
      </c>
      <c r="F34" s="16" t="n">
        <f aca="false">回报分析!J16</f>
        <v>37.5518995279263</v>
      </c>
      <c r="G34" s="16" t="n">
        <f aca="false">回报分析!K16</f>
        <v>35.1340673013414</v>
      </c>
      <c r="H34" s="16" t="n">
        <f aca="false">回报分析!L16</f>
        <v>33.450189306557</v>
      </c>
    </row>
    <row r="36" customFormat="false" ht="15" hidden="false" customHeight="false" outlineLevel="0" collapsed="false">
      <c r="A36" s="5" t="s">
        <v>37</v>
      </c>
      <c r="B36" s="6"/>
      <c r="C36" s="6"/>
      <c r="D36" s="6"/>
      <c r="E36" s="6"/>
      <c r="F36" s="6"/>
      <c r="G36" s="6"/>
      <c r="H36" s="6"/>
      <c r="I36" s="6"/>
    </row>
    <row r="37" customFormat="false" ht="15" hidden="false" customHeight="false" outlineLevel="0" collapsed="false">
      <c r="A37" s="11" t="s">
        <v>38</v>
      </c>
      <c r="C37" s="17" t="n">
        <f aca="false">假设!$C$5</f>
        <v>1</v>
      </c>
    </row>
    <row r="38" customFormat="false" ht="15" hidden="false" customHeight="false" outlineLevel="0" collapsed="false">
      <c r="A38" s="4" t="s">
        <v>39</v>
      </c>
      <c r="C38" s="18" t="n">
        <f aca="false">假设!$C$6</f>
        <v>118.5</v>
      </c>
    </row>
    <row r="39" customFormat="false" ht="15" hidden="false" customHeight="false" outlineLevel="0" collapsed="false">
      <c r="A39" s="4" t="s">
        <v>40</v>
      </c>
      <c r="C39" s="19" t="n">
        <f aca="false">DCF估值!$C$7</f>
        <v>0.089285</v>
      </c>
    </row>
    <row r="40" customFormat="false" ht="15" hidden="false" customHeight="false" outlineLevel="0" collapsed="false">
      <c r="A40" s="11" t="s">
        <v>41</v>
      </c>
      <c r="C40" s="19" t="n">
        <f aca="false">DCF估值!$C$8</f>
        <v>0.03</v>
      </c>
    </row>
    <row r="41" customFormat="false" ht="15" hidden="false" customHeight="false" outlineLevel="0" collapsed="false">
      <c r="A41" s="4" t="s">
        <v>42</v>
      </c>
      <c r="C41" s="18" t="n">
        <f aca="false">DCF估值!$C$41</f>
        <v>55.0338129345541</v>
      </c>
    </row>
    <row r="42" customFormat="false" ht="15" hidden="false" customHeight="false" outlineLevel="0" collapsed="false">
      <c r="A42" s="4" t="s">
        <v>43</v>
      </c>
      <c r="C42" s="18" t="n">
        <f aca="false">DCF估值!$C$42</f>
        <v>53.8546472774509</v>
      </c>
    </row>
    <row r="43" customFormat="false" ht="15" hidden="false" customHeight="false" outlineLevel="0" collapsed="false">
      <c r="A43" s="11" t="s">
        <v>44</v>
      </c>
      <c r="C43" s="19" t="n">
        <f aca="false">DCF估值!$C$44</f>
        <v>-0.545530402721933</v>
      </c>
    </row>
    <row r="44" customFormat="false" ht="15" hidden="false" customHeight="false" outlineLevel="0" collapsed="false">
      <c r="A44" s="4" t="s">
        <v>45</v>
      </c>
      <c r="C44" s="20" t="n">
        <f aca="false">DCF估值!$C$46</f>
        <v>19.5107171375715</v>
      </c>
    </row>
    <row r="45" customFormat="false" ht="15" hidden="false" customHeight="false" outlineLevel="0" collapsed="false">
      <c r="A45" s="11" t="s">
        <v>46</v>
      </c>
      <c r="C45" s="21" t="n">
        <f aca="false">DCF估值!$C$52</f>
        <v>0.0735826999571934</v>
      </c>
    </row>
    <row r="46" customFormat="false" ht="15" hidden="false" customHeight="false" outlineLevel="0" collapsed="false">
      <c r="A46" s="11" t="s">
        <v>47</v>
      </c>
      <c r="C46" s="20" t="n">
        <f aca="false">DCF估值!$C$55</f>
        <v>41.5898851298166</v>
      </c>
    </row>
    <row r="47" customFormat="false" ht="15" hidden="false" customHeight="false" outlineLevel="0" collapsed="false">
      <c r="A47" s="4" t="s">
        <v>48</v>
      </c>
      <c r="C47" s="22" t="str">
        <f aca="false">TEXT(假设!$C$32*三表预测!I29,"0.0")&amp;" - "&amp;TEXT(假设!$C$33*三表预测!I29,"0.0")</f>
        <v>85.5 - 156.7</v>
      </c>
    </row>
    <row r="48" customFormat="false" ht="15" hidden="false" customHeight="false" outlineLevel="0" collapsed="false">
      <c r="A48" s="11" t="s">
        <v>49</v>
      </c>
      <c r="C48" s="23" t="n">
        <f aca="false">校验!C21</f>
        <v>0</v>
      </c>
    </row>
    <row r="50" customFormat="false" ht="15" hidden="false" customHeight="false" outlineLevel="0" collapsed="false">
      <c r="A50" s="5" t="s">
        <v>50</v>
      </c>
      <c r="B50" s="6"/>
      <c r="C50" s="6"/>
      <c r="D50" s="6"/>
      <c r="E50" s="6"/>
      <c r="F50" s="6"/>
      <c r="G50" s="6"/>
      <c r="H50" s="6"/>
      <c r="I50" s="6"/>
    </row>
    <row r="51" customFormat="false" ht="15" hidden="false" customHeight="false" outlineLevel="0" collapsed="false">
      <c r="A51" s="9" t="s">
        <v>51</v>
      </c>
      <c r="C51" s="11" t="s">
        <v>52</v>
      </c>
    </row>
    <row r="52" customFormat="false" ht="15" hidden="false" customHeight="false" outlineLevel="0" collapsed="false">
      <c r="A52" s="9" t="s">
        <v>53</v>
      </c>
      <c r="C52" s="11" t="s">
        <v>54</v>
      </c>
    </row>
    <row r="53" customFormat="false" ht="15" hidden="false" customHeight="false" outlineLevel="0" collapsed="false">
      <c r="A53" s="9" t="s">
        <v>55</v>
      </c>
      <c r="C53" s="11" t="s">
        <v>56</v>
      </c>
    </row>
    <row r="54" customFormat="false" ht="15" hidden="false" customHeight="false" outlineLevel="0" collapsed="false">
      <c r="A54" s="9" t="s">
        <v>57</v>
      </c>
      <c r="C54" s="11" t="s">
        <v>58</v>
      </c>
    </row>
    <row r="55" customFormat="false" ht="15" hidden="false" customHeight="false" outlineLevel="0" collapsed="false">
      <c r="A55" s="9" t="s">
        <v>59</v>
      </c>
      <c r="C55" s="11" t="s">
        <v>60</v>
      </c>
    </row>
    <row r="56" customFormat="false" ht="15" hidden="false" customHeight="false" outlineLevel="0" collapsed="false">
      <c r="A56" s="9" t="s">
        <v>61</v>
      </c>
      <c r="C56" s="11" t="s">
        <v>62</v>
      </c>
    </row>
    <row r="57" customFormat="false" ht="15" hidden="false" customHeight="false" outlineLevel="0" collapsed="false">
      <c r="A57" s="9" t="s">
        <v>63</v>
      </c>
      <c r="C57" s="11" t="s">
        <v>64</v>
      </c>
    </row>
    <row r="58" customFormat="false" ht="15" hidden="false" customHeight="false" outlineLevel="0" collapsed="false">
      <c r="A58" s="9" t="s">
        <v>65</v>
      </c>
      <c r="C58" s="11" t="s">
        <v>66</v>
      </c>
    </row>
    <row r="59" customFormat="false" ht="15" hidden="false" customHeight="false" outlineLevel="0" collapsed="false">
      <c r="A59" s="9" t="s">
        <v>67</v>
      </c>
      <c r="C59" s="4" t="s">
        <v>68</v>
      </c>
    </row>
    <row r="60" customFormat="false" ht="15" hidden="false" customHeight="false" outlineLevel="0" collapsed="false">
      <c r="A60" s="9" t="s">
        <v>69</v>
      </c>
      <c r="C60" s="11" t="s">
        <v>70</v>
      </c>
    </row>
    <row r="61" customFormat="false" ht="15" hidden="false" customHeight="false" outlineLevel="0" collapsed="false">
      <c r="A61" s="9" t="s">
        <v>71</v>
      </c>
      <c r="C61" s="11" t="s">
        <v>72</v>
      </c>
    </row>
    <row r="62" customFormat="false" ht="15" hidden="false" customHeight="false" outlineLevel="0" collapsed="false">
      <c r="A62" s="13" t="s">
        <v>73</v>
      </c>
      <c r="C62" s="11" t="s">
        <v>74</v>
      </c>
    </row>
    <row r="63" customFormat="false" ht="15" hidden="false" customHeight="false" outlineLevel="0" collapsed="false">
      <c r="A63" s="9" t="s">
        <v>75</v>
      </c>
      <c r="C63" s="11" t="s">
        <v>76</v>
      </c>
    </row>
    <row r="64" customFormat="false" ht="15" hidden="false" customHeight="false" outlineLevel="0" collapsed="false">
      <c r="A64" s="9" t="s">
        <v>77</v>
      </c>
      <c r="C64" s="11" t="s">
        <v>78</v>
      </c>
    </row>
    <row r="65" customFormat="false" ht="15" hidden="false" customHeight="false" outlineLevel="0" collapsed="false">
      <c r="A65" s="9" t="s">
        <v>79</v>
      </c>
      <c r="C65" s="11" t="s">
        <v>80</v>
      </c>
    </row>
    <row r="67" customFormat="false" ht="15" hidden="false" customHeight="false" outlineLevel="0" collapsed="false">
      <c r="A67" s="2"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2"/>
    <col collapsed="false" customWidth="true" hidden="false" outlineLevel="0" max="10" min="3" style="0" width="11"/>
    <col collapsed="false" customWidth="true" hidden="false" outlineLevel="0" max="11" min="11" style="0" width="2"/>
    <col collapsed="false" customWidth="true" hidden="false" outlineLevel="0" max="17" min="12" style="0" width="11"/>
  </cols>
  <sheetData>
    <row r="1" customFormat="false" ht="21.6" hidden="false" customHeight="false" outlineLevel="0" collapsed="false">
      <c r="A1" s="1" t="s">
        <v>82</v>
      </c>
    </row>
    <row r="2" customFormat="false" ht="15" hidden="false" customHeight="false" outlineLevel="0" collapsed="false">
      <c r="A2" s="2" t="s">
        <v>83</v>
      </c>
    </row>
    <row r="3" customFormat="false" ht="15" hidden="false" customHeight="false" outlineLevel="0" collapsed="false">
      <c r="C3" s="3" t="s">
        <v>84</v>
      </c>
      <c r="L3" s="3" t="s">
        <v>85</v>
      </c>
    </row>
    <row r="4" customFormat="false" ht="15" hidden="false" customHeight="false" outlineLevel="0" collapsed="false">
      <c r="A4" s="7" t="s">
        <v>86</v>
      </c>
      <c r="B4" s="8"/>
      <c r="C4" s="8" t="s">
        <v>87</v>
      </c>
      <c r="D4" s="8" t="s">
        <v>88</v>
      </c>
      <c r="E4" s="8" t="s">
        <v>11</v>
      </c>
      <c r="F4" s="8" t="s">
        <v>12</v>
      </c>
      <c r="G4" s="8" t="s">
        <v>13</v>
      </c>
      <c r="H4" s="8" t="s">
        <v>14</v>
      </c>
      <c r="I4" s="8" t="s">
        <v>15</v>
      </c>
      <c r="J4" s="8" t="s">
        <v>16</v>
      </c>
      <c r="K4" s="8"/>
      <c r="L4" s="8" t="s">
        <v>89</v>
      </c>
      <c r="M4" s="8" t="s">
        <v>90</v>
      </c>
      <c r="N4" s="8" t="s">
        <v>91</v>
      </c>
      <c r="O4" s="8" t="s">
        <v>92</v>
      </c>
      <c r="P4" s="8" t="s">
        <v>93</v>
      </c>
      <c r="Q4" s="8" t="s">
        <v>94</v>
      </c>
    </row>
    <row r="5" customFormat="false" ht="15" hidden="false" customHeight="false" outlineLevel="0" collapsed="false">
      <c r="A5" s="5" t="s">
        <v>95</v>
      </c>
      <c r="B5" s="6"/>
      <c r="C5" s="6"/>
      <c r="D5" s="6"/>
      <c r="E5" s="6"/>
      <c r="F5" s="6"/>
      <c r="G5" s="6"/>
      <c r="H5" s="6"/>
      <c r="I5" s="6"/>
      <c r="J5" s="6"/>
      <c r="K5" s="6"/>
      <c r="L5" s="6"/>
      <c r="M5" s="6"/>
      <c r="N5" s="6"/>
      <c r="O5" s="6"/>
      <c r="P5" s="6"/>
      <c r="Q5" s="6"/>
    </row>
    <row r="6" customFormat="false" ht="15" hidden="false" customHeight="false" outlineLevel="0" collapsed="false">
      <c r="A6" s="9" t="s">
        <v>17</v>
      </c>
      <c r="C6" s="10" t="n">
        <f aca="false">三表预测!E6</f>
        <v>5726.6885</v>
      </c>
      <c r="D6" s="10" t="n">
        <f aca="false">三表预测!F6</f>
        <v>7374.9908</v>
      </c>
      <c r="E6" s="10" t="n">
        <f aca="false">三表预测!G6</f>
        <v>9007.1539</v>
      </c>
      <c r="F6" s="24" t="n">
        <f aca="false">三表预测!H6</f>
        <v>13863.1874625892</v>
      </c>
      <c r="G6" s="24" t="n">
        <f aca="false">三表预测!I6</f>
        <v>17550.9029528349</v>
      </c>
      <c r="H6" s="24" t="n">
        <f aca="false">三表预测!J6</f>
        <v>20155.2171358948</v>
      </c>
      <c r="I6" s="24" t="n">
        <f aca="false">三表预测!K6</f>
        <v>22196.9566424501</v>
      </c>
      <c r="J6" s="24" t="n">
        <f aca="false">三表预测!L6</f>
        <v>23693.8895841471</v>
      </c>
      <c r="L6" s="10" t="n">
        <f aca="false">季度数据!G5</f>
        <v>1833.141</v>
      </c>
      <c r="M6" s="10" t="n">
        <f aca="false">季度数据!H5</f>
        <v>2315.6541</v>
      </c>
      <c r="N6" s="10" t="n">
        <f aca="false">季度数据!I5</f>
        <v>2359.5738</v>
      </c>
      <c r="O6" s="10" t="n">
        <f aca="false">季度数据!J5</f>
        <v>2498.785</v>
      </c>
      <c r="P6" s="10" t="n">
        <f aca="false">季度数据!K5</f>
        <v>2680.9934</v>
      </c>
      <c r="Q6" s="10" t="n">
        <f aca="false">季度数据!L5</f>
        <v>3742.3384</v>
      </c>
    </row>
    <row r="7" customFormat="false" ht="15" hidden="false" customHeight="false" outlineLevel="0" collapsed="false">
      <c r="A7" s="11" t="s">
        <v>18</v>
      </c>
      <c r="C7" s="12" t="n">
        <f aca="false">三表预测!E7</f>
        <v>0.112110744679138</v>
      </c>
      <c r="D7" s="12" t="n">
        <f aca="false">三表预测!F7</f>
        <v>0.287828175043919</v>
      </c>
      <c r="E7" s="12" t="n">
        <f aca="false">三表预测!G7</f>
        <v>0.221310526922962</v>
      </c>
      <c r="F7" s="25" t="n">
        <f aca="false">三表预测!H7</f>
        <v>0.53913074168625</v>
      </c>
      <c r="G7" s="25" t="n">
        <f aca="false">三表预测!I7</f>
        <v>0.266007763380335</v>
      </c>
      <c r="H7" s="25" t="n">
        <f aca="false">三表预测!J7</f>
        <v>0.148386336022629</v>
      </c>
      <c r="I7" s="25" t="n">
        <f aca="false">三表预测!K7</f>
        <v>0.101300794369472</v>
      </c>
      <c r="J7" s="25" t="n">
        <f aca="false">三表预测!L7</f>
        <v>0.0674386568307415</v>
      </c>
      <c r="L7" s="12" t="n">
        <f aca="false">IFERROR(季度数据!G5/季度数据!C5-1,0)</f>
        <v>0.172373409239472</v>
      </c>
      <c r="M7" s="12" t="n">
        <f aca="false">IFERROR(季度数据!H5/季度数据!D5-1,0)</f>
        <v>0.242443409945668</v>
      </c>
      <c r="N7" s="12" t="n">
        <f aca="false">IFERROR(季度数据!I5/季度数据!E5-1,0)</f>
        <v>0.207947786752563</v>
      </c>
      <c r="O7" s="12" t="n">
        <f aca="false">IFERROR(季度数据!J5/季度数据!F5-1,0)</f>
        <v>0.253019301717857</v>
      </c>
      <c r="P7" s="12" t="n">
        <f aca="false">IFERROR(季度数据!K5/季度数据!G5-1,0)</f>
        <v>0.462513467321935</v>
      </c>
      <c r="Q7" s="12" t="n">
        <f aca="false">IFERROR(季度数据!L5/季度数据!H5-1,0)</f>
        <v>0.616104235947847</v>
      </c>
    </row>
    <row r="8" customFormat="false" ht="15" hidden="false" customHeight="false" outlineLevel="0" collapsed="false">
      <c r="A8" s="9" t="s">
        <v>96</v>
      </c>
      <c r="C8" s="10" t="n">
        <f aca="false">三表预测!E9</f>
        <v>2281.1586</v>
      </c>
      <c r="D8" s="10" t="n">
        <f aca="false">三表预测!F9</f>
        <v>3170.1271</v>
      </c>
      <c r="E8" s="10" t="n">
        <f aca="false">三表预测!G9</f>
        <v>3795.3922</v>
      </c>
      <c r="F8" s="24" t="n">
        <f aca="false">三表预测!H9</f>
        <v>6228.55233048326</v>
      </c>
      <c r="G8" s="24" t="n">
        <f aca="false">三表预测!I9</f>
        <v>7935.50160242998</v>
      </c>
      <c r="H8" s="24" t="n">
        <f aca="false">三表预测!J9</f>
        <v>8943.71067871792</v>
      </c>
      <c r="I8" s="24" t="n">
        <f aca="false">三表预测!K9</f>
        <v>9639.82480455953</v>
      </c>
      <c r="J8" s="24" t="n">
        <f aca="false">三表预测!L9</f>
        <v>10161.8819971542</v>
      </c>
      <c r="L8" s="10" t="n">
        <f aca="false">季度数据!G5-季度数据!G6</f>
        <v>751.8142</v>
      </c>
      <c r="M8" s="10" t="n">
        <f aca="false">季度数据!H5-季度数据!H6</f>
        <v>989.6012</v>
      </c>
      <c r="N8" s="10" t="n">
        <f aca="false">季度数据!I5-季度数据!I6</f>
        <v>1023.8903</v>
      </c>
      <c r="O8" s="10" t="n">
        <f aca="false">季度数据!J5-季度数据!J6</f>
        <v>1030.0866</v>
      </c>
      <c r="P8" s="10" t="n">
        <f aca="false">季度数据!K5-季度数据!K6</f>
        <v>1165.9354</v>
      </c>
      <c r="Q8" s="10" t="n">
        <f aca="false">季度数据!L5-季度数据!L6</f>
        <v>1680.8635</v>
      </c>
    </row>
    <row r="9" customFormat="false" ht="15" hidden="false" customHeight="false" outlineLevel="0" collapsed="false">
      <c r="A9" s="11" t="s">
        <v>97</v>
      </c>
      <c r="C9" s="12" t="n">
        <f aca="false">三表预测!E10</f>
        <v>0.39833816698778</v>
      </c>
      <c r="D9" s="12" t="n">
        <f aca="false">三表预测!F10</f>
        <v>0.429848278590395</v>
      </c>
      <c r="E9" s="12" t="n">
        <f aca="false">三表预测!G10</f>
        <v>0.421375302580319</v>
      </c>
      <c r="F9" s="25" t="n">
        <f aca="false">三表预测!H10</f>
        <v>0.449287174922178</v>
      </c>
      <c r="G9" s="25" t="n">
        <f aca="false">三表预测!I10</f>
        <v>0.452142070624818</v>
      </c>
      <c r="H9" s="25" t="n">
        <f aca="false">三表预测!J10</f>
        <v>0.443741718008581</v>
      </c>
      <c r="I9" s="25" t="n">
        <f aca="false">三表预测!K10</f>
        <v>0.434285878007441</v>
      </c>
      <c r="J9" s="25" t="n">
        <f aca="false">三表预测!L10</f>
        <v>0.428881968115238</v>
      </c>
      <c r="L9" s="12" t="n">
        <f aca="false">IFERROR(1-季度数据!G6/季度数据!G5,0)</f>
        <v>0.410123498410651</v>
      </c>
      <c r="M9" s="12" t="n">
        <f aca="false">IFERROR(1-季度数据!H6/季度数据!H5,0)</f>
        <v>0.427352772592418</v>
      </c>
      <c r="N9" s="12" t="n">
        <f aca="false">IFERROR(1-季度数据!I6/季度数据!I5,0)</f>
        <v>0.43393018688375</v>
      </c>
      <c r="O9" s="12" t="n">
        <f aca="false">IFERROR(1-季度数据!J6/季度数据!J5,0)</f>
        <v>0.412234986203295</v>
      </c>
      <c r="P9" s="12" t="n">
        <f aca="false">IFERROR(1-季度数据!K6/季度数据!K5,0)</f>
        <v>0.434889321249355</v>
      </c>
      <c r="Q9" s="12" t="n">
        <f aca="false">IFERROR(1-季度数据!L6/季度数据!L5,0)</f>
        <v>0.44914791778317</v>
      </c>
    </row>
    <row r="10" customFormat="false" ht="15" hidden="false" customHeight="false" outlineLevel="0" collapsed="false">
      <c r="A10" s="9" t="s">
        <v>98</v>
      </c>
      <c r="C10" s="10" t="n">
        <f aca="false">三表预测!E12</f>
        <v>74.3431</v>
      </c>
      <c r="D10" s="10" t="n">
        <f aca="false">三表预测!F12</f>
        <v>79.3918</v>
      </c>
      <c r="E10" s="10" t="n">
        <f aca="false">三表预测!G12</f>
        <v>93.1993</v>
      </c>
      <c r="F10" s="24" t="n">
        <f aca="false">三表预测!H12</f>
        <v>105.044336069346</v>
      </c>
      <c r="G10" s="24" t="n">
        <f aca="false">三表预测!I12</f>
        <v>124.930847829113</v>
      </c>
      <c r="H10" s="24" t="n">
        <f aca="false">三表预测!J12</f>
        <v>141.37808191443</v>
      </c>
      <c r="I10" s="24" t="n">
        <f aca="false">三表预测!K12</f>
        <v>155.378519213937</v>
      </c>
      <c r="J10" s="24" t="n">
        <f aca="false">三表预测!L12</f>
        <v>167.888905326888</v>
      </c>
      <c r="L10" s="10" t="n">
        <f aca="false">季度数据!G8</f>
        <v>21.2322</v>
      </c>
      <c r="M10" s="10" t="n">
        <f aca="false">季度数据!H8</f>
        <v>20.7534</v>
      </c>
      <c r="N10" s="10" t="n">
        <f aca="false">季度数据!I8</f>
        <v>24.9725</v>
      </c>
      <c r="O10" s="10" t="n">
        <f aca="false">季度数据!J8</f>
        <v>26.2412</v>
      </c>
      <c r="P10" s="10" t="n">
        <f aca="false">季度数据!K8</f>
        <v>22.2371</v>
      </c>
      <c r="Q10" s="10" t="n">
        <f aca="false">季度数据!L8</f>
        <v>22.5728</v>
      </c>
    </row>
    <row r="11" customFormat="false" ht="15" hidden="false" customHeight="false" outlineLevel="0" collapsed="false">
      <c r="A11" s="9" t="s">
        <v>99</v>
      </c>
      <c r="C11" s="10" t="n">
        <f aca="false">三表预测!E13</f>
        <v>429.4141</v>
      </c>
      <c r="D11" s="10" t="n">
        <f aca="false">三表预测!F13</f>
        <v>409.8445</v>
      </c>
      <c r="E11" s="10" t="n">
        <f aca="false">三表预测!G13</f>
        <v>480.9502</v>
      </c>
      <c r="F11" s="24" t="n">
        <f aca="false">三表预测!H13</f>
        <v>609.330089592665</v>
      </c>
      <c r="G11" s="24" t="n">
        <f aca="false">三表预测!I13</f>
        <v>700.427272176968</v>
      </c>
      <c r="H11" s="24" t="n">
        <f aca="false">三表预测!J13</f>
        <v>776.841128056453</v>
      </c>
      <c r="I11" s="24" t="n">
        <f aca="false">三表预测!K13</f>
        <v>848.037248708134</v>
      </c>
      <c r="J11" s="24" t="n">
        <f aca="false">三表预测!L13</f>
        <v>907.319693738899</v>
      </c>
      <c r="L11" s="10" t="n">
        <f aca="false">季度数据!G9</f>
        <v>93.9391</v>
      </c>
      <c r="M11" s="10" t="n">
        <f aca="false">季度数据!H9</f>
        <v>97.5199</v>
      </c>
      <c r="N11" s="10" t="n">
        <f aca="false">季度数据!I9</f>
        <v>108.3876</v>
      </c>
      <c r="O11" s="10" t="n">
        <f aca="false">季度数据!J9</f>
        <v>181.1035</v>
      </c>
      <c r="P11" s="10" t="n">
        <f aca="false">季度数据!K9</f>
        <v>123.0153</v>
      </c>
      <c r="Q11" s="10" t="n">
        <f aca="false">季度数据!L9</f>
        <v>131.9151</v>
      </c>
    </row>
    <row r="12" customFormat="false" ht="15" hidden="false" customHeight="false" outlineLevel="0" collapsed="false">
      <c r="A12" s="9" t="s">
        <v>100</v>
      </c>
      <c r="C12" s="10" t="n">
        <f aca="false">三表预测!E14</f>
        <v>545.8062</v>
      </c>
      <c r="D12" s="10" t="n">
        <f aca="false">三表预测!F14</f>
        <v>583.0724</v>
      </c>
      <c r="E12" s="10" t="n">
        <f aca="false">三表预测!G14</f>
        <v>653.4367</v>
      </c>
      <c r="F12" s="24" t="n">
        <f aca="false">三表预测!H14</f>
        <v>781.260769732805</v>
      </c>
      <c r="G12" s="24" t="n">
        <f aca="false">三表预测!I14</f>
        <v>944.513304872124</v>
      </c>
      <c r="H12" s="24" t="n">
        <f aca="false">三表预测!J14</f>
        <v>1070.50100418099</v>
      </c>
      <c r="I12" s="24" t="n">
        <f aca="false">三表预测!K14</f>
        <v>1178.95754797535</v>
      </c>
      <c r="J12" s="24" t="n">
        <f aca="false">三表预测!L14</f>
        <v>1275.37046514537</v>
      </c>
      <c r="L12" s="10" t="n">
        <f aca="false">季度数据!G10</f>
        <v>145.6916</v>
      </c>
      <c r="M12" s="10" t="n">
        <f aca="false">季度数据!H10</f>
        <v>146.9448</v>
      </c>
      <c r="N12" s="10" t="n">
        <f aca="false">季度数据!I10</f>
        <v>148.3194</v>
      </c>
      <c r="O12" s="10" t="n">
        <f aca="false">季度数据!J10</f>
        <v>212.4809</v>
      </c>
      <c r="P12" s="10" t="n">
        <f aca="false">季度数据!K10</f>
        <v>155.8096</v>
      </c>
      <c r="Q12" s="10" t="n">
        <f aca="false">季度数据!L10</f>
        <v>184.4559</v>
      </c>
    </row>
    <row r="13" customFormat="false" ht="15" hidden="false" customHeight="false" outlineLevel="0" collapsed="false">
      <c r="A13" s="11" t="s">
        <v>101</v>
      </c>
      <c r="C13" s="12" t="n">
        <f aca="false">IFERROR((三表预测!E12+三表预测!E13+三表预测!E14)/三表预测!E6,0)</f>
        <v>0.183275797173183</v>
      </c>
      <c r="D13" s="12" t="n">
        <f aca="false">IFERROR((三表预测!F12+三表预测!F13+三表预测!F14)/三表预测!F6,0)</f>
        <v>0.145397971208317</v>
      </c>
      <c r="E13" s="12" t="n">
        <f aca="false">IFERROR((三表预测!G12+三表预测!G13+三表预测!G14)/三表预测!G6,0)</f>
        <v>0.136290132668878</v>
      </c>
      <c r="F13" s="25" t="n">
        <f aca="false">IFERROR((三表预测!H12+三表预测!H13+三表预测!H14)/三表预测!H6,0)</f>
        <v>0.107885376247771</v>
      </c>
      <c r="G13" s="25" t="n">
        <f aca="false">IFERROR((三表预测!I12+三表预测!I13+三表预测!I14)/三表预测!I6,0)</f>
        <v>0.100842186275797</v>
      </c>
      <c r="H13" s="25" t="n">
        <f aca="false">IFERROR((三表预测!J12+三表预测!J13+三表预测!J14)/三表预测!J6,0)</f>
        <v>0.0986702450657366</v>
      </c>
      <c r="I13" s="25" t="n">
        <f aca="false">IFERROR((三表预测!K12+三表预测!K13+三表预测!K14)/三表预测!K6,0)</f>
        <v>0.0983185826350532</v>
      </c>
      <c r="J13" s="25" t="n">
        <f aca="false">IFERROR((三表预测!L12+三表预测!L13+三表预测!L14)/三表预测!L6,0)</f>
        <v>0.0992061288993201</v>
      </c>
      <c r="L13" s="12" t="n">
        <f aca="false">IFERROR((季度数据!G8+季度数据!G9+季度数据!G10)/季度数据!G5,0)</f>
        <v>0.142303783506015</v>
      </c>
      <c r="M13" s="12" t="n">
        <f aca="false">IFERROR((季度数据!H8+季度数据!H9+季度数据!H10)/季度数据!H5,0)</f>
        <v>0.11453269294408</v>
      </c>
      <c r="N13" s="12" t="n">
        <f aca="false">IFERROR((季度数据!I8+季度数据!I9+季度数据!I10)/季度数据!I5,0)</f>
        <v>0.119377279066245</v>
      </c>
      <c r="O13" s="12" t="n">
        <f aca="false">IFERROR((季度数据!J8+季度数据!J9+季度数据!J10)/季度数据!J5,0)</f>
        <v>0.168011893780377</v>
      </c>
      <c r="P13" s="12" t="n">
        <f aca="false">IFERROR((季度数据!K8+季度数据!K9+季度数据!K10)/季度数据!K5,0)</f>
        <v>0.112294942613436</v>
      </c>
      <c r="Q13" s="12" t="n">
        <f aca="false">IFERROR((季度数据!L8+季度数据!L9+季度数据!L10)/季度数据!L5,0)</f>
        <v>0.0905700564117879</v>
      </c>
    </row>
    <row r="14" customFormat="false" ht="15" hidden="false" customHeight="false" outlineLevel="0" collapsed="false">
      <c r="A14" s="9" t="s">
        <v>102</v>
      </c>
      <c r="C14" s="10" t="n">
        <f aca="false">三表预测!E15</f>
        <v>-161.5113</v>
      </c>
      <c r="D14" s="10" t="n">
        <f aca="false">三表预测!F15</f>
        <v>-172.5019</v>
      </c>
      <c r="E14" s="10" t="n">
        <f aca="false">三表预测!G15</f>
        <v>-127.772</v>
      </c>
      <c r="F14" s="24" t="n">
        <f aca="false">三表预测!H15</f>
        <v>-194.518086177586</v>
      </c>
      <c r="G14" s="24" t="n">
        <f aca="false">三表预测!I15</f>
        <v>-262.790175090647</v>
      </c>
      <c r="H14" s="24" t="n">
        <f aca="false">三表预测!J15</f>
        <v>-268.933553408972</v>
      </c>
      <c r="I14" s="24" t="n">
        <f aca="false">三表预测!K15</f>
        <v>-287.438405341158</v>
      </c>
      <c r="J14" s="24" t="n">
        <f aca="false">三表预测!L15</f>
        <v>-338.854789391398</v>
      </c>
      <c r="L14" s="10" t="n">
        <f aca="false">季度数据!G11</f>
        <v>-38.1213</v>
      </c>
      <c r="M14" s="10" t="n">
        <f aca="false">季度数据!H11</f>
        <v>-25.072</v>
      </c>
      <c r="N14" s="10" t="n">
        <f aca="false">季度数据!I11</f>
        <v>-38.7991</v>
      </c>
      <c r="O14" s="10" t="n">
        <f aca="false">季度数据!J11</f>
        <v>-25.7796</v>
      </c>
      <c r="P14" s="10" t="n">
        <f aca="false">季度数据!K11</f>
        <v>-28.973</v>
      </c>
      <c r="Q14" s="10" t="n">
        <f aca="false">季度数据!L11</f>
        <v>-12.9393</v>
      </c>
    </row>
    <row r="15" customFormat="false" ht="15" hidden="false" customHeight="false" outlineLevel="0" collapsed="false">
      <c r="A15" s="9" t="s">
        <v>103</v>
      </c>
      <c r="C15" s="10" t="n">
        <f aca="false">三表预测!E16</f>
        <v>348.6995</v>
      </c>
      <c r="D15" s="10" t="n">
        <f aca="false">三表预测!F16</f>
        <v>305.0967</v>
      </c>
      <c r="E15" s="10" t="n">
        <f aca="false">三表预测!G16</f>
        <v>390.1677</v>
      </c>
      <c r="F15" s="24" t="n">
        <f aca="false">三表预测!H16</f>
        <v>286.292039471426</v>
      </c>
      <c r="G15" s="24" t="n">
        <f aca="false">三表预测!I16</f>
        <v>317.125018621825</v>
      </c>
      <c r="H15" s="24" t="n">
        <f aca="false">三表预测!J16</f>
        <v>260.620868543579</v>
      </c>
      <c r="I15" s="24" t="n">
        <f aca="false">三表预测!K16</f>
        <v>263.7878265698</v>
      </c>
      <c r="J15" s="24" t="n">
        <f aca="false">三表预测!L16</f>
        <v>264.775558336588</v>
      </c>
      <c r="L15" s="10" t="n">
        <f aca="false">季度数据!G12</f>
        <v>87.1963</v>
      </c>
      <c r="M15" s="10" t="n">
        <f aca="false">季度数据!H12</f>
        <v>90.7529</v>
      </c>
      <c r="N15" s="10" t="n">
        <f aca="false">季度数据!I12</f>
        <v>87.9912</v>
      </c>
      <c r="O15" s="10" t="n">
        <f aca="false">季度数据!J12</f>
        <v>124.2274</v>
      </c>
      <c r="P15" s="10" t="n">
        <f aca="false">季度数据!K12</f>
        <v>85.4097</v>
      </c>
      <c r="Q15" s="10" t="n">
        <f aca="false">季度数据!L12</f>
        <v>53.7199</v>
      </c>
    </row>
    <row r="16" customFormat="false" ht="15" hidden="false" customHeight="false" outlineLevel="0" collapsed="false">
      <c r="A16" s="9" t="s">
        <v>104</v>
      </c>
      <c r="C16" s="10" t="n">
        <f aca="false">三表预测!E20</f>
        <v>1777.6464</v>
      </c>
      <c r="D16" s="10" t="n">
        <f aca="false">三表预测!F20</f>
        <v>2522.7052</v>
      </c>
      <c r="E16" s="10" t="n">
        <f aca="false">三表预测!G20</f>
        <v>3008.4653</v>
      </c>
      <c r="F16" s="24" t="n">
        <f aca="false">三表预测!H20</f>
        <v>4914.03914021623</v>
      </c>
      <c r="G16" s="24" t="n">
        <f aca="false">三表预测!I20</f>
        <v>6545.336422135</v>
      </c>
      <c r="H16" s="24" t="n">
        <f aca="false">三表预测!J20</f>
        <v>7245.24112244929</v>
      </c>
      <c r="I16" s="24" t="n">
        <f aca="false">三表预测!K20</f>
        <v>7738.25496693913</v>
      </c>
      <c r="J16" s="24" t="n">
        <f aca="false">三表预测!L20</f>
        <v>8121.84798466186</v>
      </c>
      <c r="L16" s="10" t="n">
        <f aca="false">季度数据!G13</f>
        <v>616.3601</v>
      </c>
      <c r="M16" s="10" t="n">
        <f aca="false">季度数据!H13</f>
        <v>810.5954</v>
      </c>
      <c r="N16" s="10" t="n">
        <f aca="false">季度数据!I13</f>
        <v>831.3498</v>
      </c>
      <c r="O16" s="10" t="n">
        <f aca="false">季度数据!J13</f>
        <v>750.1603</v>
      </c>
      <c r="P16" s="10" t="n">
        <f aca="false">季度数据!K13</f>
        <v>911.3291</v>
      </c>
      <c r="Q16" s="10" t="n">
        <f aca="false">季度数据!L13</f>
        <v>1315.4431</v>
      </c>
    </row>
    <row r="17" customFormat="false" ht="15" hidden="false" customHeight="false" outlineLevel="0" collapsed="false">
      <c r="A17" s="11" t="s">
        <v>105</v>
      </c>
      <c r="C17" s="12" t="n">
        <f aca="false">IFERROR(三表预测!E20/三表预测!E6,0)</f>
        <v>0.310414369491199</v>
      </c>
      <c r="D17" s="12" t="n">
        <f aca="false">IFERROR(三表预测!F20/三表预测!F6,0)</f>
        <v>0.342062148741935</v>
      </c>
      <c r="E17" s="12" t="n">
        <f aca="false">IFERROR(三表预测!G20/三表预测!G6,0)</f>
        <v>0.334008426346529</v>
      </c>
      <c r="F17" s="25" t="n">
        <f aca="false">IFERROR(三表预测!H20/三表预测!H6,0)</f>
        <v>0.354466759789342</v>
      </c>
      <c r="G17" s="25" t="n">
        <f aca="false">IFERROR(三表预测!I20/三表预测!I6,0)</f>
        <v>0.372934454695836</v>
      </c>
      <c r="H17" s="25" t="n">
        <f aca="false">IFERROR(三表预测!J20/三表预测!J6,0)</f>
        <v>0.359472243518832</v>
      </c>
      <c r="I17" s="25" t="n">
        <f aca="false">IFERROR(三表预测!K20/三表预测!K6,0)</f>
        <v>0.3486178349396</v>
      </c>
      <c r="J17" s="25" t="n">
        <f aca="false">IFERROR(三表预测!L20/三表预测!L6,0)</f>
        <v>0.342782385130044</v>
      </c>
      <c r="L17" s="12" t="n">
        <f aca="false">IFERROR(季度数据!G13/季度数据!G5,0)</f>
        <v>0.336231691942955</v>
      </c>
      <c r="M17" s="12" t="n">
        <f aca="false">IFERROR(季度数据!H13/季度数据!H5,0)</f>
        <v>0.35005029464461</v>
      </c>
      <c r="N17" s="12" t="n">
        <f aca="false">IFERROR(季度数据!I13/季度数据!I5,0)</f>
        <v>0.352330492905117</v>
      </c>
      <c r="O17" s="12" t="n">
        <f aca="false">IFERROR(季度数据!J13/季度数据!J5,0)</f>
        <v>0.300210022070726</v>
      </c>
      <c r="P17" s="12" t="n">
        <f aca="false">IFERROR(季度数据!K13/季度数据!K5,0)</f>
        <v>0.339922172132166</v>
      </c>
      <c r="Q17" s="12" t="n">
        <f aca="false">IFERROR(季度数据!L13/季度数据!L5,0)</f>
        <v>0.351502980061878</v>
      </c>
    </row>
    <row r="18" customFormat="false" ht="15" hidden="false" customHeight="false" outlineLevel="0" collapsed="false">
      <c r="A18" s="9" t="s">
        <v>106</v>
      </c>
      <c r="C18" s="10" t="n">
        <f aca="false">三表预测!E22</f>
        <v>1782.8474</v>
      </c>
      <c r="D18" s="10" t="n">
        <f aca="false">三表预测!F22</f>
        <v>2518.9437</v>
      </c>
      <c r="E18" s="10" t="n">
        <f aca="false">三表预测!G22</f>
        <v>3008.1761</v>
      </c>
      <c r="F18" s="24" t="n">
        <f aca="false">三表预测!H22</f>
        <v>4911.21314021623</v>
      </c>
      <c r="G18" s="24" t="n">
        <f aca="false">三表预测!I22</f>
        <v>6545.336422135</v>
      </c>
      <c r="H18" s="24" t="n">
        <f aca="false">三表预测!J22</f>
        <v>7245.24112244929</v>
      </c>
      <c r="I18" s="24" t="n">
        <f aca="false">三表预测!K22</f>
        <v>7738.25496693913</v>
      </c>
      <c r="J18" s="24" t="n">
        <f aca="false">三表预测!L22</f>
        <v>8121.84798466186</v>
      </c>
      <c r="L18" s="10" t="n">
        <f aca="false">季度数据!G14</f>
        <v>618.439</v>
      </c>
      <c r="M18" s="10" t="n">
        <f aca="false">季度数据!H14</f>
        <v>808.6791</v>
      </c>
      <c r="N18" s="10" t="n">
        <f aca="false">季度数据!I14</f>
        <v>834.7089</v>
      </c>
      <c r="O18" s="10" t="n">
        <f aca="false">季度数据!J14</f>
        <v>746.3495</v>
      </c>
      <c r="P18" s="10" t="n">
        <f aca="false">季度数据!K14</f>
        <v>907.7421</v>
      </c>
      <c r="Q18" s="10" t="n">
        <f aca="false">季度数据!L14</f>
        <v>1316.2041</v>
      </c>
    </row>
    <row r="19" customFormat="false" ht="15" hidden="false" customHeight="false" outlineLevel="0" collapsed="false">
      <c r="A19" s="11" t="s">
        <v>107</v>
      </c>
      <c r="C19" s="12" t="n">
        <f aca="false">税务与其他损益!E28</f>
        <v>0.112010134797837</v>
      </c>
      <c r="D19" s="12" t="n">
        <f aca="false">税务与其他损益!F28</f>
        <v>0.130495204756247</v>
      </c>
      <c r="E19" s="12" t="n">
        <f aca="false">税务与其他损益!G28</f>
        <v>0.130044335165983</v>
      </c>
      <c r="F19" s="25" t="n">
        <f aca="false">税务与其他损益!H28</f>
        <v>0.132524612778405</v>
      </c>
      <c r="G19" s="25" t="n">
        <f aca="false">税务与其他损益!I28</f>
        <v>0.139519061521952</v>
      </c>
      <c r="H19" s="25" t="n">
        <f aca="false">税务与其他损益!J28</f>
        <v>0.139053440165484</v>
      </c>
      <c r="I19" s="25" t="n">
        <f aca="false">税务与其他损益!K28</f>
        <v>0.138432149799062</v>
      </c>
      <c r="J19" s="25" t="n">
        <f aca="false">税务与其他损益!L28</f>
        <v>0.137801005249079</v>
      </c>
      <c r="L19" s="12" t="n">
        <f aca="false">IFERROR(季度数据!G15/季度数据!G14,0)</f>
        <v>0.138322292093481</v>
      </c>
      <c r="M19" s="12" t="n">
        <f aca="false">IFERROR(季度数据!H15/季度数据!H14,0)</f>
        <v>0.1292102145338</v>
      </c>
      <c r="N19" s="12" t="n">
        <f aca="false">IFERROR(季度数据!I15/季度数据!I14,0)</f>
        <v>0.136400726049525</v>
      </c>
      <c r="O19" s="12" t="n">
        <f aca="false">IFERROR(季度数据!J15/季度数据!J14,0)</f>
        <v>0.116979913565963</v>
      </c>
      <c r="P19" s="12" t="n">
        <f aca="false">IFERROR(季度数据!K15/季度数据!K14,0)</f>
        <v>0.128821831663421</v>
      </c>
      <c r="Q19" s="12" t="n">
        <f aca="false">IFERROR(季度数据!L15/季度数据!L14,0)</f>
        <v>0.132968283566356</v>
      </c>
    </row>
    <row r="20" customFormat="false" ht="15" hidden="false" customHeight="false" outlineLevel="0" collapsed="false">
      <c r="A20" s="9" t="s">
        <v>25</v>
      </c>
      <c r="C20" s="10" t="n">
        <f aca="false">三表预测!E26</f>
        <v>1580.9858</v>
      </c>
      <c r="D20" s="10" t="n">
        <f aca="false">三表预测!F26</f>
        <v>2190.4492</v>
      </c>
      <c r="E20" s="10" t="n">
        <f aca="false">三表预测!G26</f>
        <v>2618.3839</v>
      </c>
      <c r="F20" s="24" t="n">
        <f aca="false">三表预测!H26</f>
        <v>4260.35652053686</v>
      </c>
      <c r="G20" s="24" t="n">
        <f aca="false">三表预测!I26</f>
        <v>5632.13722717327</v>
      </c>
      <c r="H20" s="24" t="n">
        <f aca="false">三表预测!J26</f>
        <v>6237.76541954429</v>
      </c>
      <c r="I20" s="24" t="n">
        <f aca="false">三表预测!K26</f>
        <v>6667.03169617248</v>
      </c>
      <c r="J20" s="24" t="n">
        <f aca="false">三表预测!L26</f>
        <v>7002.64916789525</v>
      </c>
      <c r="L20" s="10" t="n">
        <f aca="false">季度数据!G17</f>
        <v>532.6514</v>
      </c>
      <c r="M20" s="10" t="n">
        <f aca="false">季度数据!H17</f>
        <v>704.4865</v>
      </c>
      <c r="N20" s="10" t="n">
        <f aca="false">季度数据!I17</f>
        <v>721.3812</v>
      </c>
      <c r="O20" s="10" t="n">
        <f aca="false">季度数据!J17</f>
        <v>659.8652</v>
      </c>
      <c r="P20" s="10" t="n">
        <f aca="false">季度数据!K17</f>
        <v>790.8996</v>
      </c>
      <c r="Q20" s="10" t="n">
        <f aca="false">季度数据!L17</f>
        <v>1141.2187</v>
      </c>
    </row>
    <row r="21" customFormat="false" ht="15" hidden="false" customHeight="false" outlineLevel="0" collapsed="false">
      <c r="A21" s="11" t="s">
        <v>18</v>
      </c>
      <c r="C21" s="12" t="n">
        <f aca="false">三表预测!E27</f>
        <v>0.0506941555360314</v>
      </c>
      <c r="D21" s="12" t="n">
        <f aca="false">三表预测!F27</f>
        <v>0.385495809007266</v>
      </c>
      <c r="E21" s="12" t="n">
        <f aca="false">三表预测!G27</f>
        <v>0.195363900701281</v>
      </c>
      <c r="F21" s="25" t="n">
        <f aca="false">三表预测!H27</f>
        <v>0.627093918709498</v>
      </c>
      <c r="G21" s="25" t="n">
        <f aca="false">三表预测!I27</f>
        <v>0.321987303180803</v>
      </c>
      <c r="H21" s="25" t="n">
        <f aca="false">三表预测!J27</f>
        <v>0.107530794784092</v>
      </c>
      <c r="I21" s="25" t="n">
        <f aca="false">三表预测!K27</f>
        <v>0.068817316419628</v>
      </c>
      <c r="J21" s="25" t="n">
        <f aca="false">三表预测!L27</f>
        <v>0.0503398644280408</v>
      </c>
      <c r="L21" s="12" t="n">
        <f aca="false">IFERROR(季度数据!G17/季度数据!C17-1,0)</f>
        <v>0.230201464736165</v>
      </c>
      <c r="M21" s="12" t="n">
        <f aca="false">IFERROR(季度数据!H17/季度数据!D17-1,0)</f>
        <v>0.188871911911426</v>
      </c>
      <c r="N21" s="12" t="n">
        <f aca="false">IFERROR(季度数据!I17/季度数据!E17-1,0)</f>
        <v>0.248622783719016</v>
      </c>
      <c r="O21" s="12" t="n">
        <f aca="false">IFERROR(季度数据!J17/季度数据!F17-1,0)</f>
        <v>0.123821938658465</v>
      </c>
      <c r="P21" s="12" t="n">
        <f aca="false">IFERROR(季度数据!K17/季度数据!G17-1,0)</f>
        <v>0.484835297532307</v>
      </c>
      <c r="Q21" s="12" t="n">
        <f aca="false">IFERROR(季度数据!L17/季度数据!H17-1,0)</f>
        <v>0.619929835419131</v>
      </c>
    </row>
    <row r="22" customFormat="false" ht="15" hidden="false" customHeight="false" outlineLevel="0" collapsed="false">
      <c r="A22" s="11" t="s">
        <v>108</v>
      </c>
      <c r="C22" s="12" t="n">
        <f aca="false">三表预测!E28</f>
        <v>0.276073301350335</v>
      </c>
      <c r="D22" s="12" t="n">
        <f aca="false">三表预测!F28</f>
        <v>0.297010431524877</v>
      </c>
      <c r="E22" s="12" t="n">
        <f aca="false">三表预测!G28</f>
        <v>0.290700473098389</v>
      </c>
      <c r="F22" s="25" t="n">
        <f aca="false">三表预测!H28</f>
        <v>0.307314355521321</v>
      </c>
      <c r="G22" s="25" t="n">
        <f aca="false">三表预测!I28</f>
        <v>0.320902989567472</v>
      </c>
      <c r="H22" s="25" t="n">
        <f aca="false">三表预测!J28</f>
        <v>0.309486391413534</v>
      </c>
      <c r="I22" s="25" t="n">
        <f aca="false">三表预测!K28</f>
        <v>0.300357918590617</v>
      </c>
      <c r="J22" s="25" t="n">
        <f aca="false">三表预测!L28</f>
        <v>0.295546627877447</v>
      </c>
      <c r="L22" s="12" t="n">
        <f aca="false">IFERROR(季度数据!G17/季度数据!G5,0)</f>
        <v>0.290567610456588</v>
      </c>
      <c r="M22" s="12" t="n">
        <f aca="false">IFERROR(季度数据!H17/季度数据!H5,0)</f>
        <v>0.304227863738371</v>
      </c>
      <c r="N22" s="12" t="n">
        <f aca="false">IFERROR(季度数据!I17/季度数据!I5,0)</f>
        <v>0.305725211900556</v>
      </c>
      <c r="O22" s="12" t="n">
        <f aca="false">IFERROR(季度数据!J17/季度数据!J5,0)</f>
        <v>0.264074420168202</v>
      </c>
      <c r="P22" s="12" t="n">
        <f aca="false">IFERROR(季度数据!K17/季度数据!K5,0)</f>
        <v>0.295002442005266</v>
      </c>
      <c r="Q22" s="12" t="n">
        <f aca="false">IFERROR(季度数据!L17/季度数据!L5,0)</f>
        <v>0.304948023941395</v>
      </c>
    </row>
    <row r="23" customFormat="false" ht="15" hidden="false" customHeight="false" outlineLevel="0" collapsed="false">
      <c r="A23" s="13" t="s">
        <v>109</v>
      </c>
      <c r="C23" s="14" t="n">
        <f aca="false">三表预测!E29</f>
        <v>0.824935021525788</v>
      </c>
      <c r="D23" s="14" t="n">
        <f aca="false">三表预测!F29</f>
        <v>1.1429440150273</v>
      </c>
      <c r="E23" s="14" t="n">
        <f aca="false">三表预测!G29</f>
        <v>1.36990363305402</v>
      </c>
      <c r="F23" s="26" t="n">
        <f aca="false">三表预测!H29</f>
        <v>2.15527824592142</v>
      </c>
      <c r="G23" s="26" t="n">
        <f aca="false">三表预测!I29</f>
        <v>2.84925047592991</v>
      </c>
      <c r="H23" s="26" t="n">
        <f aca="false">三表预测!J29</f>
        <v>3.1556326441456</v>
      </c>
      <c r="I23" s="26" t="n">
        <f aca="false">三表预测!K29</f>
        <v>3.37279481432188</v>
      </c>
      <c r="J23" s="26" t="n">
        <f aca="false">三表预测!L29</f>
        <v>3.54258084801844</v>
      </c>
    </row>
    <row r="24" customFormat="false" ht="15" hidden="false" customHeight="false" outlineLevel="0" collapsed="false">
      <c r="A24" s="13" t="s">
        <v>110</v>
      </c>
      <c r="C24" s="10" t="n">
        <f aca="false">三表预测!E33</f>
        <v>2123.067706</v>
      </c>
      <c r="D24" s="10" t="n">
        <f aca="false">三表预测!F33</f>
        <v>2931.1984</v>
      </c>
      <c r="E24" s="10" t="n">
        <f aca="false">三表预测!G33</f>
        <v>3500.242785</v>
      </c>
      <c r="F24" s="24" t="n">
        <f aca="false">三表预测!H33</f>
        <v>5413.04179022431</v>
      </c>
      <c r="G24" s="24" t="n">
        <f aca="false">三表预测!I33</f>
        <v>7131.16352618075</v>
      </c>
      <c r="H24" s="24" t="n">
        <f aca="false">三表预测!J33</f>
        <v>7969.96075411197</v>
      </c>
      <c r="I24" s="24" t="n">
        <f aca="false">三表预测!K33</f>
        <v>8597.08672780736</v>
      </c>
      <c r="J24" s="24" t="n">
        <f aca="false">三表预测!L33</f>
        <v>9064.83423453159</v>
      </c>
    </row>
    <row r="25" customFormat="false" ht="15" hidden="false" customHeight="false" outlineLevel="0" collapsed="false">
      <c r="A25" s="4" t="s">
        <v>111</v>
      </c>
      <c r="C25" s="12" t="n">
        <f aca="false">三表预测!E34</f>
        <v>0.370732178989655</v>
      </c>
      <c r="D25" s="12" t="n">
        <f aca="false">三表预测!F34</f>
        <v>0.397451126311914</v>
      </c>
      <c r="E25" s="12" t="n">
        <f aca="false">三表预测!G34</f>
        <v>0.388606969955293</v>
      </c>
      <c r="F25" s="25" t="n">
        <f aca="false">三表预测!H34</f>
        <v>0.390461559062935</v>
      </c>
      <c r="G25" s="25" t="n">
        <f aca="false">三表预测!I34</f>
        <v>0.406313199118277</v>
      </c>
      <c r="H25" s="25" t="n">
        <f aca="false">三表预测!J34</f>
        <v>0.395429168555973</v>
      </c>
      <c r="I25" s="25" t="n">
        <f aca="false">三表预测!K34</f>
        <v>0.387309254430224</v>
      </c>
      <c r="J25" s="25" t="n">
        <f aca="false">三表预测!L34</f>
        <v>0.382581095532605</v>
      </c>
    </row>
    <row r="26" customFormat="false" ht="15" hidden="false" customHeight="false" outlineLevel="0" collapsed="false">
      <c r="A26" s="5" t="s">
        <v>112</v>
      </c>
      <c r="B26" s="6"/>
      <c r="C26" s="6"/>
      <c r="D26" s="6"/>
      <c r="E26" s="6"/>
      <c r="F26" s="6"/>
      <c r="G26" s="6"/>
      <c r="H26" s="6"/>
      <c r="I26" s="6"/>
      <c r="J26" s="6"/>
      <c r="K26" s="6"/>
      <c r="L26" s="6"/>
      <c r="M26" s="6"/>
      <c r="N26" s="6"/>
      <c r="O26" s="6"/>
      <c r="P26" s="6"/>
      <c r="Q26" s="6"/>
    </row>
    <row r="27" customFormat="false" ht="15" hidden="false" customHeight="false" outlineLevel="0" collapsed="false">
      <c r="A27" s="9" t="s">
        <v>113</v>
      </c>
      <c r="D27" s="10" t="n">
        <f aca="false">收入拆解!F17</f>
        <v>2298.159034</v>
      </c>
      <c r="E27" s="10" t="n">
        <f aca="false">收入拆解!G17</f>
        <v>3308.089586</v>
      </c>
      <c r="F27" s="24" t="n">
        <f aca="false">收入拆解!H17</f>
        <v>5983.6724431568</v>
      </c>
      <c r="G27" s="24" t="n">
        <f aca="false">收入拆解!I17</f>
        <v>8077.95779826168</v>
      </c>
      <c r="H27" s="24" t="n">
        <f aca="false">收入拆解!J17</f>
        <v>9698.39613259297</v>
      </c>
      <c r="I27" s="24" t="n">
        <f aca="false">收入拆解!K17</f>
        <v>10862.2036685041</v>
      </c>
      <c r="J27" s="24" t="n">
        <f aca="false">收入拆解!L17</f>
        <v>11709.4555546475</v>
      </c>
    </row>
    <row r="28" customFormat="false" ht="15" hidden="false" customHeight="false" outlineLevel="0" collapsed="false">
      <c r="A28" s="9" t="s">
        <v>114</v>
      </c>
      <c r="D28" s="10" t="n">
        <f aca="false">收入拆解!F26</f>
        <v>2305.984656</v>
      </c>
      <c r="E28" s="10" t="n">
        <f aca="false">收入拆解!G26</f>
        <v>2594.309892</v>
      </c>
      <c r="F28" s="24" t="n">
        <f aca="false">收入拆解!H26</f>
        <v>3955.5442923324</v>
      </c>
      <c r="G28" s="24" t="n">
        <f aca="false">收入拆解!I26</f>
        <v>4936.51927683084</v>
      </c>
      <c r="H28" s="24" t="n">
        <f aca="false">收入拆解!J26</f>
        <v>5686.87020690912</v>
      </c>
      <c r="I28" s="24" t="n">
        <f aca="false">收入拆解!K26</f>
        <v>6256.12591462073</v>
      </c>
      <c r="J28" s="24" t="n">
        <f aca="false">收入拆解!L26</f>
        <v>6735.97077227214</v>
      </c>
    </row>
    <row r="29" customFormat="false" ht="15" hidden="false" customHeight="false" outlineLevel="0" collapsed="false">
      <c r="A29" s="9" t="s">
        <v>115</v>
      </c>
      <c r="D29" s="10" t="n">
        <f aca="false">收入拆解!F41</f>
        <v>1677.232781</v>
      </c>
      <c r="E29" s="10" t="n">
        <f aca="false">收入拆解!G41</f>
        <v>1959.378017</v>
      </c>
      <c r="F29" s="24" t="n">
        <f aca="false">收入拆解!H41</f>
        <v>2525.4590207</v>
      </c>
      <c r="G29" s="24" t="n">
        <f aca="false">收入拆解!I41</f>
        <v>3018.54743651733</v>
      </c>
      <c r="H29" s="24" t="n">
        <f aca="false">收入拆解!J41</f>
        <v>3136.9255135024</v>
      </c>
      <c r="I29" s="24" t="n">
        <f aca="false">收入拆解!K41</f>
        <v>3338.37358535182</v>
      </c>
      <c r="J29" s="24" t="n">
        <f aca="false">收入拆解!L41</f>
        <v>3412.48941585755</v>
      </c>
    </row>
    <row r="30" customFormat="false" ht="15" hidden="false" customHeight="false" outlineLevel="0" collapsed="false">
      <c r="A30" s="11" t="s">
        <v>116</v>
      </c>
      <c r="C30" s="10" t="n">
        <f aca="false">收入拆解!E38</f>
        <v>449.318728</v>
      </c>
      <c r="D30" s="10" t="n">
        <f aca="false">收入拆解!F38</f>
        <v>323.869648</v>
      </c>
      <c r="E30" s="10" t="n">
        <f aca="false">收入拆解!G38</f>
        <v>330.717999</v>
      </c>
      <c r="F30" s="24" t="n">
        <f aca="false">收入拆解!H38</f>
        <v>652.5</v>
      </c>
      <c r="G30" s="24" t="n">
        <f aca="false">收入拆解!I38</f>
        <v>920.833333333333</v>
      </c>
      <c r="H30" s="24" t="n">
        <f aca="false">收入拆解!J38</f>
        <v>829.44</v>
      </c>
      <c r="I30" s="24" t="n">
        <f aca="false">收入拆解!K38</f>
        <v>846.289230769231</v>
      </c>
      <c r="J30" s="24" t="n">
        <f aca="false">收入拆解!L38</f>
        <v>770.88</v>
      </c>
    </row>
    <row r="31" customFormat="false" ht="15" hidden="false" customHeight="false" outlineLevel="0" collapsed="false">
      <c r="A31" s="9" t="s">
        <v>117</v>
      </c>
      <c r="D31" s="10" t="n">
        <f aca="false">收入拆解!F43</f>
        <v>536.82473</v>
      </c>
      <c r="E31" s="10" t="n">
        <f aca="false">收入拆解!G43</f>
        <v>601.75341</v>
      </c>
      <c r="F31" s="24" t="n">
        <f aca="false">收入拆解!H43</f>
        <v>692.0164215</v>
      </c>
      <c r="G31" s="24" t="n">
        <f aca="false">收入拆解!I43</f>
        <v>775.05839208</v>
      </c>
      <c r="H31" s="24" t="n">
        <f aca="false">收入拆解!J43</f>
        <v>852.564231288</v>
      </c>
      <c r="I31" s="24" t="n">
        <f aca="false">收入拆解!K43</f>
        <v>920.76936979104</v>
      </c>
      <c r="J31" s="24" t="n">
        <f aca="false">收入拆解!L43</f>
        <v>976.015531978503</v>
      </c>
    </row>
    <row r="32" customFormat="false" ht="15" hidden="false" customHeight="false" outlineLevel="0" collapsed="false">
      <c r="A32" s="9" t="s">
        <v>118</v>
      </c>
      <c r="D32" s="10" t="n">
        <f aca="false">收入拆解!F44+收入拆解!F45</f>
        <v>556.789621</v>
      </c>
      <c r="E32" s="10" t="n">
        <f aca="false">收入拆解!G44+收入拆解!G45</f>
        <v>543.622989</v>
      </c>
      <c r="F32" s="24" t="n">
        <f aca="false">收入拆解!H44+收入拆解!H45</f>
        <v>706.4952849</v>
      </c>
      <c r="G32" s="24" t="n">
        <f aca="false">收入拆解!I44+收入拆解!I45</f>
        <v>742.820049145</v>
      </c>
      <c r="H32" s="24" t="n">
        <f aca="false">收入拆解!J44+收入拆解!J45</f>
        <v>780.46105160225</v>
      </c>
      <c r="I32" s="24" t="n">
        <f aca="false">收入拆解!K44+收入拆解!K45</f>
        <v>819.484104182363</v>
      </c>
      <c r="J32" s="24" t="n">
        <f aca="false">收入拆解!L44+收入拆解!L45</f>
        <v>859.958309391481</v>
      </c>
    </row>
    <row r="33" customFormat="false" ht="15" hidden="false" customHeight="false" outlineLevel="0" collapsed="false">
      <c r="A33" s="9" t="s">
        <v>119</v>
      </c>
      <c r="D33" s="10" t="n">
        <f aca="false">收入拆解!F17+收入拆解!F26+收入拆解!F41+收入拆解!F43</f>
        <v>6818.201201</v>
      </c>
      <c r="E33" s="10" t="n">
        <f aca="false">收入拆解!G17+收入拆解!G26+收入拆解!G41+收入拆解!G43</f>
        <v>8463.530905</v>
      </c>
      <c r="F33" s="24" t="n">
        <f aca="false">收入拆解!H17+收入拆解!H26+收入拆解!H41+收入拆解!H43</f>
        <v>13156.6921776892</v>
      </c>
      <c r="G33" s="24" t="n">
        <f aca="false">收入拆解!I17+收入拆解!I26+收入拆解!I41+收入拆解!I43</f>
        <v>16808.0829036899</v>
      </c>
      <c r="H33" s="24" t="n">
        <f aca="false">收入拆解!J17+收入拆解!J26+收入拆解!J41+收入拆解!J43</f>
        <v>19374.7560842925</v>
      </c>
      <c r="I33" s="24" t="n">
        <f aca="false">收入拆解!K17+收入拆解!K26+收入拆解!K41+收入拆解!K43</f>
        <v>21377.4725382677</v>
      </c>
      <c r="J33" s="24" t="n">
        <f aca="false">收入拆解!L17+收入拆解!L26+收入拆解!L41+收入拆解!L43</f>
        <v>22833.9312747556</v>
      </c>
    </row>
    <row r="34" customFormat="false" ht="15" hidden="false" customHeight="false" outlineLevel="0" collapsed="false">
      <c r="A34" s="9" t="s">
        <v>120</v>
      </c>
      <c r="C34" s="10" t="n">
        <f aca="false">收入拆解!E6</f>
        <v>2872.560891</v>
      </c>
      <c r="D34" s="10" t="n">
        <f aca="false">收入拆解!F6</f>
        <v>3816.106907</v>
      </c>
      <c r="E34" s="10" t="n">
        <f aca="false">收入拆解!G6</f>
        <v>5329.909248</v>
      </c>
    </row>
    <row r="35" customFormat="false" ht="15" hidden="false" customHeight="false" outlineLevel="0" collapsed="false">
      <c r="A35" s="9" t="s">
        <v>35</v>
      </c>
      <c r="C35" s="15" t="n">
        <f aca="false">人员与费用!E11</f>
        <v>13501</v>
      </c>
      <c r="D35" s="15" t="n">
        <f aca="false">人员与费用!F11</f>
        <v>15515</v>
      </c>
      <c r="E35" s="15" t="n">
        <f aca="false">人员与费用!G11</f>
        <v>17352</v>
      </c>
      <c r="F35" s="27" t="n">
        <f aca="false">人员与费用!H11</f>
        <v>19628.91</v>
      </c>
      <c r="G35" s="27" t="n">
        <f aca="false">人员与费用!I11</f>
        <v>21417.0988</v>
      </c>
      <c r="H35" s="27" t="n">
        <f aca="false">人员与费用!J11</f>
        <v>22809.930764</v>
      </c>
      <c r="I35" s="27" t="n">
        <f aca="false">人员与费用!K11</f>
        <v>23893.97866792</v>
      </c>
      <c r="J35" s="27" t="n">
        <f aca="false">人员与费用!L11</f>
        <v>24832.6666053076</v>
      </c>
    </row>
    <row r="36" customFormat="false" ht="15" hidden="false" customHeight="false" outlineLevel="0" collapsed="false">
      <c r="A36" s="9" t="s">
        <v>121</v>
      </c>
      <c r="D36" s="10" t="n">
        <f aca="false">人员与费用!F22</f>
        <v>12.9285275227461</v>
      </c>
      <c r="E36" s="10" t="n">
        <f aca="false">人员与费用!G22</f>
        <v>12.7932595673472</v>
      </c>
      <c r="F36" s="24" t="n">
        <f aca="false">人员与费用!H22</f>
        <v>13.4329225457145</v>
      </c>
      <c r="G36" s="24" t="n">
        <f aca="false">人员与费用!I22</f>
        <v>14.1045686730003</v>
      </c>
      <c r="H36" s="24" t="n">
        <f aca="false">人员与费用!J22</f>
        <v>14.7392742632853</v>
      </c>
      <c r="I36" s="24" t="n">
        <f aca="false">人员与费用!K22</f>
        <v>15.3288452338167</v>
      </c>
      <c r="J36" s="24" t="n">
        <f aca="false">人员与费用!L22</f>
        <v>15.9419990431694</v>
      </c>
    </row>
    <row r="37" customFormat="false" ht="15" hidden="false" customHeight="false" outlineLevel="0" collapsed="false">
      <c r="A37" s="9" t="s">
        <v>122</v>
      </c>
      <c r="C37" s="10" t="n">
        <f aca="false">资本开支与折旧!E11</f>
        <v>545.8847</v>
      </c>
      <c r="D37" s="10" t="n">
        <f aca="false">资本开支与折旧!F11</f>
        <v>639.0352</v>
      </c>
      <c r="E37" s="10" t="n">
        <f aca="false">资本开支与折旧!G11</f>
        <v>580.092</v>
      </c>
      <c r="F37" s="24" t="n">
        <f aca="false">资本开支与折旧!H11</f>
        <v>1787.9753332932</v>
      </c>
      <c r="G37" s="24" t="n">
        <f aca="false">资本开支与折旧!I11</f>
        <v>2593.59246892886</v>
      </c>
      <c r="H37" s="24" t="n">
        <f aca="false">资本开支与折旧!J11</f>
        <v>2358.51372418855</v>
      </c>
      <c r="I37" s="24" t="n">
        <f aca="false">资本开支与折旧!K11</f>
        <v>1918.93536545505</v>
      </c>
      <c r="J37" s="24" t="n">
        <f aca="false">资本开支与折旧!L11</f>
        <v>1679.45915863418</v>
      </c>
      <c r="L37" s="10" t="n">
        <f aca="false">季度数据!G19</f>
        <v>98.8266</v>
      </c>
      <c r="M37" s="10" t="n">
        <f aca="false">季度数据!H19</f>
        <v>108.3401</v>
      </c>
      <c r="N37" s="10" t="n">
        <f aca="false">季度数据!I19</f>
        <v>166.7533</v>
      </c>
      <c r="O37" s="10" t="n">
        <f aca="false">季度数据!J19</f>
        <v>206.172</v>
      </c>
      <c r="P37" s="10" t="n">
        <f aca="false">季度数据!K19</f>
        <v>188.4361</v>
      </c>
      <c r="Q37" s="10" t="n">
        <f aca="false">季度数据!L19</f>
        <v>287.9349</v>
      </c>
    </row>
    <row r="38" customFormat="false" ht="15" hidden="false" customHeight="false" outlineLevel="0" collapsed="false">
      <c r="A38" s="9" t="s">
        <v>123</v>
      </c>
      <c r="C38" s="10" t="n">
        <f aca="false">资本开支与折旧!E91</f>
        <v>609.432406</v>
      </c>
      <c r="D38" s="10" t="n">
        <f aca="false">资本开支与折旧!F91</f>
        <v>651.2802</v>
      </c>
      <c r="E38" s="10" t="n">
        <f aca="false">资本开支与折旧!G91</f>
        <v>740.433085</v>
      </c>
      <c r="F38" s="24" t="n">
        <f aca="false">资本开支与折旧!H91</f>
        <v>813.656921785668</v>
      </c>
      <c r="G38" s="24" t="n">
        <f aca="false">资本开支与折旧!I91</f>
        <v>914.994953136395</v>
      </c>
      <c r="H38" s="24" t="n">
        <f aca="false">资本开支与折旧!J91</f>
        <v>1060.03085907165</v>
      </c>
      <c r="I38" s="24" t="n">
        <f aca="false">资本开支与折旧!K91</f>
        <v>1212.64784020939</v>
      </c>
      <c r="J38" s="24" t="n">
        <f aca="false">资本开支与折旧!L91</f>
        <v>1348.21871326113</v>
      </c>
    </row>
    <row r="39" customFormat="false" ht="15" hidden="false" customHeight="false" outlineLevel="0" collapsed="false">
      <c r="A39" s="9" t="s">
        <v>124</v>
      </c>
      <c r="C39" s="28" t="n">
        <f aca="false">营运资金!E33</f>
        <v>143.998382049242</v>
      </c>
      <c r="D39" s="28" t="n">
        <f aca="false">营运资金!F33</f>
        <v>132.950963003235</v>
      </c>
      <c r="E39" s="28" t="n">
        <f aca="false">营运资金!G33</f>
        <v>132.102929927732</v>
      </c>
      <c r="F39" s="29" t="n">
        <f aca="false">营运资金!H33</f>
        <v>128</v>
      </c>
      <c r="G39" s="29" t="n">
        <f aca="false">营运资金!I33</f>
        <v>128</v>
      </c>
      <c r="H39" s="29" t="n">
        <f aca="false">营运资金!J33</f>
        <v>128</v>
      </c>
      <c r="I39" s="29" t="n">
        <f aca="false">营运资金!K33</f>
        <v>128</v>
      </c>
      <c r="J39" s="29" t="n">
        <f aca="false">营运资金!L33</f>
        <v>128</v>
      </c>
    </row>
    <row r="40" customFormat="false" ht="15" hidden="false" customHeight="false" outlineLevel="0" collapsed="false">
      <c r="A40" s="9" t="s">
        <v>125</v>
      </c>
      <c r="C40" s="28" t="n">
        <f aca="false">营运资金!E34</f>
        <v>185.766258188617</v>
      </c>
      <c r="D40" s="28" t="n">
        <f aca="false">营运资金!F34</f>
        <v>189.295005567006</v>
      </c>
      <c r="E40" s="28" t="n">
        <f aca="false">营运资金!G34</f>
        <v>167.501648434924</v>
      </c>
      <c r="F40" s="29" t="n">
        <f aca="false">营运资金!H34</f>
        <v>156.10015429964</v>
      </c>
      <c r="G40" s="29" t="n">
        <f aca="false">营运资金!I34</f>
        <v>157.079564286996</v>
      </c>
      <c r="H40" s="29" t="n">
        <f aca="false">营运资金!J34</f>
        <v>157.380082192584</v>
      </c>
      <c r="I40" s="29" t="n">
        <f aca="false">营运资金!K34</f>
        <v>157.47552525857</v>
      </c>
      <c r="J40" s="29" t="n">
        <f aca="false">营运资金!L34</f>
        <v>157.338050390631</v>
      </c>
    </row>
    <row r="41" customFormat="false" ht="15" hidden="false" customHeight="false" outlineLevel="0" collapsed="false">
      <c r="A41" s="9" t="s">
        <v>126</v>
      </c>
      <c r="C41" s="28" t="n">
        <f aca="false">营运资金!E35</f>
        <v>103.889772513656</v>
      </c>
      <c r="D41" s="28" t="n">
        <f aca="false">营运资金!F35</f>
        <v>112.437871291761</v>
      </c>
      <c r="E41" s="28" t="n">
        <f aca="false">营运资金!G35</f>
        <v>135.024323541117</v>
      </c>
      <c r="F41" s="29" t="n">
        <f aca="false">营运资金!H35</f>
        <v>135</v>
      </c>
      <c r="G41" s="29" t="n">
        <f aca="false">营运资金!I35</f>
        <v>135</v>
      </c>
      <c r="H41" s="29" t="n">
        <f aca="false">营运资金!J35</f>
        <v>135</v>
      </c>
      <c r="I41" s="29" t="n">
        <f aca="false">营运资金!K35</f>
        <v>135</v>
      </c>
      <c r="J41" s="29" t="n">
        <f aca="false">营运资金!L35</f>
        <v>135</v>
      </c>
    </row>
    <row r="42" customFormat="false" ht="15" hidden="false" customHeight="false" outlineLevel="0" collapsed="false">
      <c r="A42" s="9" t="s">
        <v>127</v>
      </c>
      <c r="C42" s="28" t="n">
        <f aca="false">营运资金!E36</f>
        <v>225.874867724203</v>
      </c>
      <c r="D42" s="28" t="n">
        <f aca="false">营运资金!F36</f>
        <v>209.808097278479</v>
      </c>
      <c r="E42" s="28" t="n">
        <f aca="false">营运资金!G36</f>
        <v>164.580254821539</v>
      </c>
      <c r="F42" s="29" t="n">
        <f aca="false">营运资金!H36</f>
        <v>149.10015429964</v>
      </c>
      <c r="G42" s="29" t="n">
        <f aca="false">营运资金!I36</f>
        <v>150.079564286996</v>
      </c>
      <c r="H42" s="29" t="n">
        <f aca="false">营运资金!J36</f>
        <v>150.380082192584</v>
      </c>
      <c r="I42" s="29" t="n">
        <f aca="false">营运资金!K36</f>
        <v>150.47552525857</v>
      </c>
      <c r="J42" s="29" t="n">
        <f aca="false">营运资金!L36</f>
        <v>150.338050390631</v>
      </c>
    </row>
    <row r="43" customFormat="false" ht="15" hidden="false" customHeight="false" outlineLevel="0" collapsed="false">
      <c r="A43" s="5" t="s">
        <v>128</v>
      </c>
      <c r="B43" s="6"/>
      <c r="C43" s="6"/>
      <c r="D43" s="6"/>
      <c r="E43" s="6"/>
      <c r="F43" s="6"/>
      <c r="G43" s="6"/>
      <c r="H43" s="6"/>
      <c r="I43" s="6"/>
      <c r="J43" s="6"/>
      <c r="K43" s="6"/>
      <c r="L43" s="6"/>
      <c r="M43" s="6"/>
      <c r="N43" s="6"/>
      <c r="O43" s="6"/>
      <c r="P43" s="6"/>
      <c r="Q43" s="6"/>
    </row>
    <row r="44" customFormat="false" ht="15" hidden="false" customHeight="false" outlineLevel="0" collapsed="false">
      <c r="A44" s="9" t="s">
        <v>129</v>
      </c>
      <c r="C44" s="10" t="n">
        <f aca="false">三表预测!E37</f>
        <v>2841.6149</v>
      </c>
      <c r="D44" s="10" t="n">
        <f aca="false">三表预测!F37</f>
        <v>3062.8452</v>
      </c>
      <c r="E44" s="10" t="n">
        <f aca="false">三表预测!G37</f>
        <v>3057.7786</v>
      </c>
      <c r="F44" s="24" t="n">
        <f aca="false">三表预测!H37</f>
        <v>9327.15172825816</v>
      </c>
      <c r="G44" s="24" t="n">
        <f aca="false">三表预测!I37</f>
        <v>10581.3579888219</v>
      </c>
      <c r="H44" s="24" t="n">
        <f aca="false">三表预测!J37</f>
        <v>12764.9321328223</v>
      </c>
      <c r="I44" s="24" t="n">
        <f aca="false">三表预测!K37</f>
        <v>15978.4561359624</v>
      </c>
      <c r="J44" s="24" t="n">
        <f aca="false">三表预测!L37</f>
        <v>19981.1230444062</v>
      </c>
      <c r="M44" s="10" t="n">
        <f aca="false">N(历史资产负债表!J5)</f>
        <v>5430.1287</v>
      </c>
      <c r="O44" s="10" t="n">
        <f aca="false">三表预测!G37</f>
        <v>3057.7786</v>
      </c>
      <c r="Q44" s="10" t="n">
        <f aca="false">N(历史资产负债表!K5)</f>
        <v>3825.5415</v>
      </c>
    </row>
    <row r="45" customFormat="false" ht="15" hidden="false" customHeight="false" outlineLevel="0" collapsed="false">
      <c r="A45" s="9" t="s">
        <v>130</v>
      </c>
      <c r="C45" s="10" t="n">
        <f aca="false">三表预测!E38</f>
        <v>3846.7081</v>
      </c>
      <c r="D45" s="10" t="n">
        <f aca="false">三表预测!F38</f>
        <v>5053.3869</v>
      </c>
      <c r="E45" s="10" t="n">
        <f aca="false">三表预测!G38</f>
        <v>3758.5116</v>
      </c>
      <c r="F45" s="24" t="n">
        <f aca="false">三表预测!H38</f>
        <v>3758.5116</v>
      </c>
      <c r="G45" s="24" t="n">
        <f aca="false">三表预测!I38</f>
        <v>3758.5116</v>
      </c>
      <c r="H45" s="24" t="n">
        <f aca="false">三表预测!J38</f>
        <v>3758.5116</v>
      </c>
      <c r="I45" s="24" t="n">
        <f aca="false">三表预测!K38</f>
        <v>3758.5116</v>
      </c>
      <c r="J45" s="24" t="n">
        <f aca="false">三表预测!L38</f>
        <v>3758.5116</v>
      </c>
      <c r="M45" s="10" t="n">
        <f aca="false">N(历史资产负债表!J6)</f>
        <v>2865.6921</v>
      </c>
      <c r="O45" s="10" t="n">
        <f aca="false">三表预测!G38</f>
        <v>3758.5116</v>
      </c>
      <c r="Q45" s="10" t="n">
        <f aca="false">N(历史资产负债表!K6)</f>
        <v>3256.5671</v>
      </c>
    </row>
    <row r="46" customFormat="false" ht="15" hidden="false" customHeight="false" outlineLevel="0" collapsed="false">
      <c r="A46" s="9" t="s">
        <v>131</v>
      </c>
      <c r="C46" s="10" t="n">
        <f aca="false">融资与资金!E10</f>
        <v>3590.703333</v>
      </c>
      <c r="D46" s="10" t="n">
        <f aca="false">融资与资金!F10</f>
        <v>2930.250492</v>
      </c>
      <c r="E46" s="10" t="n">
        <f aca="false">融资与资金!G10</f>
        <v>5850.993696</v>
      </c>
      <c r="F46" s="24" t="n">
        <f aca="false">融资与资金!H10</f>
        <v>5850.993696</v>
      </c>
      <c r="G46" s="24" t="n">
        <f aca="false">融资与资金!I10</f>
        <v>5850.993696</v>
      </c>
      <c r="H46" s="24" t="n">
        <f aca="false">融资与资金!J10</f>
        <v>5850.993696</v>
      </c>
      <c r="I46" s="24" t="n">
        <f aca="false">融资与资金!K10</f>
        <v>5850.993696</v>
      </c>
      <c r="J46" s="24" t="n">
        <f aca="false">融资与资金!L10</f>
        <v>5850.993696</v>
      </c>
      <c r="M46" s="30" t="n">
        <v>2925.94023393</v>
      </c>
      <c r="O46" s="10" t="n">
        <f aca="false">融资与资金!G10</f>
        <v>5850.993696</v>
      </c>
      <c r="Q46" s="30" t="n">
        <v>5693.13763312</v>
      </c>
    </row>
    <row r="47" customFormat="false" ht="15" hidden="false" customHeight="false" outlineLevel="0" collapsed="false">
      <c r="A47" s="9" t="s">
        <v>132</v>
      </c>
      <c r="C47" s="10" t="n">
        <f aca="false">三表预测!E39+三表预测!E40+三表预测!E41</f>
        <v>2259.2709</v>
      </c>
      <c r="D47" s="10" t="n">
        <f aca="false">三表预测!F39+三表预测!F40+三表预测!F41</f>
        <v>2686.3346</v>
      </c>
      <c r="E47" s="10" t="n">
        <f aca="false">三表预测!G39+三表预测!G40+三表预测!G41</f>
        <v>3259.9217</v>
      </c>
      <c r="F47" s="24" t="n">
        <f aca="false">三表预测!H39+三表预测!H40+三表预测!H41</f>
        <v>4861.61094578471</v>
      </c>
      <c r="G47" s="24" t="n">
        <f aca="false">三表预测!I39+三表预测!I40+三表预测!I41</f>
        <v>6154.83719989825</v>
      </c>
      <c r="H47" s="24" t="n">
        <f aca="false">三表预测!J39+三表预测!J40+三表预测!J41</f>
        <v>7068.13094080693</v>
      </c>
      <c r="I47" s="24" t="n">
        <f aca="false">三表预测!K39+三表预测!K40+三表预测!K41</f>
        <v>7784.13821981811</v>
      </c>
      <c r="J47" s="24" t="n">
        <f aca="false">三表预测!L39+三表预测!L40+三表预测!L41</f>
        <v>8309.09004594748</v>
      </c>
      <c r="M47" s="10" t="n">
        <f aca="false">N(历史资产负债表!J8)+N(历史资产负债表!J9)+N(历史资产负债表!J10)</f>
        <v>2804.7162</v>
      </c>
      <c r="O47" s="10" t="n">
        <f aca="false">三表预测!G39+三表预测!G40+三表预测!G41</f>
        <v>3259.9217</v>
      </c>
      <c r="Q47" s="10" t="n">
        <f aca="false">N(历史资产负债表!K8)+N(历史资产负债表!K9)+N(历史资产负债表!K10)</f>
        <v>4187.8129</v>
      </c>
    </row>
    <row r="48" customFormat="false" ht="15" hidden="false" customHeight="false" outlineLevel="0" collapsed="false">
      <c r="A48" s="9" t="s">
        <v>133</v>
      </c>
      <c r="C48" s="10" t="n">
        <f aca="false">三表预测!E44</f>
        <v>1753.5978</v>
      </c>
      <c r="D48" s="10" t="n">
        <f aca="false">三表预测!F44</f>
        <v>2180.7115</v>
      </c>
      <c r="E48" s="10" t="n">
        <f aca="false">三表预测!G44</f>
        <v>2391.7224</v>
      </c>
      <c r="F48" s="24" t="n">
        <f aca="false">三表预测!H44</f>
        <v>3265.11704696765</v>
      </c>
      <c r="G48" s="24" t="n">
        <f aca="false">三表预测!I44</f>
        <v>4138.03576593477</v>
      </c>
      <c r="H48" s="24" t="n">
        <f aca="false">三表预测!J44</f>
        <v>4834.15837735115</v>
      </c>
      <c r="I48" s="24" t="n">
        <f aca="false">三表预测!K44</f>
        <v>5417.64638880255</v>
      </c>
      <c r="J48" s="24" t="n">
        <f aca="false">三表预测!L44</f>
        <v>5833.14984002383</v>
      </c>
      <c r="M48" s="10" t="n">
        <f aca="false">N(历史资产负债表!J16)</f>
        <v>2163.2406</v>
      </c>
      <c r="O48" s="10" t="n">
        <f aca="false">三表预测!G44</f>
        <v>2391.7224</v>
      </c>
      <c r="Q48" s="10" t="n">
        <f aca="false">N(历史资产负债表!K16)</f>
        <v>2811.0479</v>
      </c>
    </row>
    <row r="49" customFormat="false" ht="15" hidden="false" customHeight="false" outlineLevel="0" collapsed="false">
      <c r="A49" s="9" t="s">
        <v>134</v>
      </c>
      <c r="C49" s="10" t="n">
        <f aca="false">三表预测!E47</f>
        <v>5783.8854</v>
      </c>
      <c r="D49" s="10" t="n">
        <f aca="false">三表预测!F47</f>
        <v>6327.452</v>
      </c>
      <c r="E49" s="10" t="n">
        <f aca="false">三表预测!G47</f>
        <v>6589.7152</v>
      </c>
      <c r="F49" s="24" t="n">
        <f aca="false">三表预测!H47</f>
        <v>7506.50273345863</v>
      </c>
      <c r="G49" s="24" t="n">
        <f aca="false">三表预测!I47</f>
        <v>9145.1311372593</v>
      </c>
      <c r="H49" s="24" t="n">
        <f aca="false">三表预测!J47</f>
        <v>10404.4810466518</v>
      </c>
      <c r="I49" s="24" t="n">
        <f aca="false">三表预测!K47</f>
        <v>11071.0276721772</v>
      </c>
      <c r="J49" s="24" t="n">
        <f aca="false">三表预测!L47</f>
        <v>11357.1316214669</v>
      </c>
      <c r="M49" s="10" t="n">
        <f aca="false">N(历史资产负债表!J22)+N(历史资产负债表!J25)</f>
        <v>6272.5564</v>
      </c>
      <c r="O49" s="10" t="n">
        <f aca="false">三表预测!G47</f>
        <v>6589.7152</v>
      </c>
      <c r="Q49" s="10" t="n">
        <f aca="false">N(历史资产负债表!K22)+N(历史资产负债表!K25)</f>
        <v>6937.0576</v>
      </c>
    </row>
    <row r="50" customFormat="false" ht="15" hidden="false" customHeight="false" outlineLevel="0" collapsed="false">
      <c r="A50" s="9" t="s">
        <v>135</v>
      </c>
      <c r="C50" s="10" t="n">
        <f aca="false">三表预测!E54</f>
        <v>21826.9646</v>
      </c>
      <c r="D50" s="10" t="n">
        <f aca="false">三表预测!F54</f>
        <v>23915.8029</v>
      </c>
      <c r="E50" s="10" t="n">
        <f aca="false">三表预测!G54</f>
        <v>26506.0877</v>
      </c>
      <c r="F50" s="24" t="n">
        <f aca="false">三表预测!H54</f>
        <v>36274.4710964116</v>
      </c>
      <c r="G50" s="24" t="n">
        <f aca="false">三表预测!I54</f>
        <v>41535.497556807</v>
      </c>
      <c r="H50" s="24" t="n">
        <f aca="false">三表预测!J54</f>
        <v>46732.4228861199</v>
      </c>
      <c r="I50" s="24" t="n">
        <f aca="false">三表预测!K54</f>
        <v>52023.4352824105</v>
      </c>
      <c r="J50" s="24" t="n">
        <f aca="false">三表预测!L54</f>
        <v>57335.0775274141</v>
      </c>
      <c r="M50" s="10" t="n">
        <f aca="false">N(历史资产负债表!J34)</f>
        <v>24097.8723</v>
      </c>
      <c r="O50" s="10" t="n">
        <f aca="false">三表预测!G54</f>
        <v>26506.0877</v>
      </c>
      <c r="Q50" s="10" t="n">
        <f aca="false">N(历史资产负债表!K34)</f>
        <v>28438.0811</v>
      </c>
    </row>
    <row r="51" customFormat="false" ht="15" hidden="false" customHeight="false" outlineLevel="0" collapsed="false">
      <c r="A51" s="9" t="s">
        <v>136</v>
      </c>
      <c r="C51" s="10" t="n">
        <f aca="false">融资与资金!E23</f>
        <v>745.2792</v>
      </c>
      <c r="D51" s="10" t="n">
        <f aca="false">融资与资金!F23</f>
        <v>479.3472</v>
      </c>
      <c r="E51" s="10" t="n">
        <f aca="false">融资与资金!G23</f>
        <v>567.6374</v>
      </c>
      <c r="F51" s="24" t="n">
        <f aca="false">融资与资金!H23</f>
        <v>567.6374</v>
      </c>
      <c r="G51" s="24" t="n">
        <f aca="false">融资与资金!I23</f>
        <v>567.6374</v>
      </c>
      <c r="H51" s="24" t="n">
        <f aca="false">融资与资金!J23</f>
        <v>567.6374</v>
      </c>
      <c r="I51" s="24" t="n">
        <f aca="false">融资与资金!K23</f>
        <v>567.6374</v>
      </c>
      <c r="J51" s="24" t="n">
        <f aca="false">融资与资金!L23</f>
        <v>567.6374</v>
      </c>
      <c r="M51" s="10" t="n">
        <f aca="false">N(历史资产负债表!J35)+N(历史资产负债表!J49)+N(历史资产负债表!J46)</f>
        <v>477.1853</v>
      </c>
      <c r="O51" s="10" t="n">
        <f aca="false">融资与资金!G23</f>
        <v>567.6374</v>
      </c>
      <c r="Q51" s="10" t="n">
        <f aca="false">N(历史资产负债表!K35)+N(历史资产负债表!K49)+N(历史资产负债表!K46)</f>
        <v>769.5973</v>
      </c>
    </row>
    <row r="52" customFormat="false" ht="15" hidden="false" customHeight="false" outlineLevel="0" collapsed="false">
      <c r="A52" s="9" t="s">
        <v>137</v>
      </c>
      <c r="C52" s="10" t="n">
        <f aca="false">三表预测!E66</f>
        <v>3587.8643</v>
      </c>
      <c r="D52" s="10" t="n">
        <f aca="false">三表预测!F66</f>
        <v>4044.0346</v>
      </c>
      <c r="E52" s="10" t="n">
        <f aca="false">三表预测!G66</f>
        <v>4843.0454</v>
      </c>
      <c r="F52" s="24" t="n">
        <f aca="false">三表预测!H66</f>
        <v>6041.64769138612</v>
      </c>
      <c r="G52" s="24" t="n">
        <f aca="false">三表预测!I66</f>
        <v>7076.45457638539</v>
      </c>
      <c r="H52" s="24" t="n">
        <f aca="false">三表预测!J66</f>
        <v>7894.21977112122</v>
      </c>
      <c r="I52" s="24" t="n">
        <f aca="false">三表预测!K66</f>
        <v>8576.663059689</v>
      </c>
      <c r="J52" s="24" t="n">
        <f aca="false">三表预测!L66</f>
        <v>9085.77659653421</v>
      </c>
      <c r="M52" s="10" t="n">
        <f aca="false">N(历史资产负债表!J59)</f>
        <v>3810.4021</v>
      </c>
      <c r="O52" s="10" t="n">
        <f aca="false">三表预测!G66</f>
        <v>4843.0454</v>
      </c>
      <c r="Q52" s="10" t="n">
        <f aca="false">N(历史资产负债表!K59)</f>
        <v>5789.5051</v>
      </c>
    </row>
    <row r="53" customFormat="false" ht="15" hidden="false" customHeight="false" outlineLevel="0" collapsed="false">
      <c r="A53" s="9" t="s">
        <v>138</v>
      </c>
      <c r="C53" s="10" t="n">
        <f aca="false">三表预测!E67</f>
        <v>18233.1976</v>
      </c>
      <c r="D53" s="10" t="n">
        <f aca="false">三表预测!F67</f>
        <v>19866.0811</v>
      </c>
      <c r="E53" s="10" t="n">
        <f aca="false">三表预测!G67</f>
        <v>21658.7593</v>
      </c>
      <c r="F53" s="24" t="n">
        <f aca="false">三表预测!H67</f>
        <v>30228.5405560255</v>
      </c>
      <c r="G53" s="24" t="n">
        <f aca="false">三表预测!I67</f>
        <v>34454.7601314216</v>
      </c>
      <c r="H53" s="24" t="n">
        <f aca="false">三表预测!J67</f>
        <v>38833.9202659987</v>
      </c>
      <c r="I53" s="24" t="n">
        <f aca="false">三表预测!K67</f>
        <v>43442.4893737215</v>
      </c>
      <c r="J53" s="24" t="n">
        <f aca="false">三表预测!L67</f>
        <v>48245.0180818799</v>
      </c>
      <c r="M53" s="10" t="n">
        <f aca="false">N(历史资产负债表!J66)</f>
        <v>20281.8364</v>
      </c>
      <c r="O53" s="10" t="n">
        <f aca="false">三表预测!G67</f>
        <v>21658.7593</v>
      </c>
      <c r="Q53" s="10" t="n">
        <f aca="false">N(历史资产负债表!K66)</f>
        <v>22644.4153</v>
      </c>
    </row>
    <row r="54" customFormat="false" ht="15" hidden="false" customHeight="false" outlineLevel="0" collapsed="false">
      <c r="A54" s="9" t="s">
        <v>34</v>
      </c>
      <c r="C54" s="10" t="n">
        <f aca="false">融资与资金!E43</f>
        <v>9507.173633</v>
      </c>
      <c r="D54" s="10" t="n">
        <f aca="false">融资与资金!F43</f>
        <v>10544.889492</v>
      </c>
      <c r="E54" s="10" t="n">
        <f aca="false">融资与资金!G43</f>
        <v>12080.846696</v>
      </c>
      <c r="F54" s="24" t="n">
        <f aca="false">融资与资金!H43</f>
        <v>18350.2198242582</v>
      </c>
      <c r="G54" s="24" t="n">
        <f aca="false">融资与资金!I43</f>
        <v>19604.4260848219</v>
      </c>
      <c r="H54" s="24" t="n">
        <f aca="false">融资与资金!J43</f>
        <v>21788.0002288223</v>
      </c>
      <c r="I54" s="24" t="n">
        <f aca="false">融资与资金!K43</f>
        <v>25001.5242319624</v>
      </c>
      <c r="J54" s="24" t="n">
        <f aca="false">融资与资金!L43</f>
        <v>29004.1911404062</v>
      </c>
      <c r="M54" s="10" t="n">
        <f aca="false">M44+M45+M46-M51-N(N(历史资产负债表!J50))</f>
        <v>10723.91593393</v>
      </c>
      <c r="O54" s="10" t="n">
        <f aca="false">融资与资金!G43</f>
        <v>12080.846696</v>
      </c>
      <c r="Q54" s="10" t="n">
        <f aca="false">Q44+Q45+Q46-Q51-N(N(历史资产负债表!K50))</f>
        <v>11984.41183312</v>
      </c>
    </row>
    <row r="55" customFormat="false" ht="15" hidden="false" customHeight="false" outlineLevel="0" collapsed="false">
      <c r="A55" s="11" t="s">
        <v>139</v>
      </c>
      <c r="C55" s="31" t="n">
        <f aca="false">IFERROR(C52/C50,0)</f>
        <v>0.16437761116816</v>
      </c>
      <c r="D55" s="31" t="n">
        <f aca="false">IFERROR(D52/D50,0)</f>
        <v>0.169094661672429</v>
      </c>
      <c r="E55" s="31" t="n">
        <f aca="false">IFERROR(E52/E50,0)</f>
        <v>0.182714456196416</v>
      </c>
      <c r="F55" s="32" t="n">
        <f aca="false">IFERROR(F52/F50,0)</f>
        <v>0.166553708676507</v>
      </c>
      <c r="G55" s="32" t="n">
        <f aca="false">IFERROR(G52/G50,0)</f>
        <v>0.170371248513567</v>
      </c>
      <c r="H55" s="32" t="n">
        <f aca="false">IFERROR(H52/H50,0)</f>
        <v>0.168923828117328</v>
      </c>
      <c r="I55" s="32" t="n">
        <f aca="false">IFERROR(I52/I50,0)</f>
        <v>0.164861528523258</v>
      </c>
      <c r="J55" s="32" t="n">
        <f aca="false">IFERROR(J52/J50,0)</f>
        <v>0.15846802670128</v>
      </c>
      <c r="M55" s="31" t="n">
        <f aca="false">IFERROR(M52/M50,0)</f>
        <v>0.158121930955705</v>
      </c>
      <c r="O55" s="31" t="n">
        <f aca="false">IFERROR(O52/O50,0)</f>
        <v>0.182714456196416</v>
      </c>
      <c r="Q55" s="31" t="n">
        <f aca="false">IFERROR(Q52/Q50,0)</f>
        <v>0.203582832457708</v>
      </c>
    </row>
    <row r="56" customFormat="false" ht="15" hidden="false" customHeight="false" outlineLevel="0" collapsed="false">
      <c r="A56" s="5" t="s">
        <v>140</v>
      </c>
      <c r="B56" s="6"/>
      <c r="C56" s="6"/>
      <c r="D56" s="6"/>
      <c r="E56" s="6"/>
      <c r="F56" s="6"/>
      <c r="G56" s="6"/>
      <c r="H56" s="6"/>
      <c r="I56" s="6"/>
      <c r="J56" s="6"/>
      <c r="K56" s="6"/>
      <c r="L56" s="6"/>
      <c r="M56" s="6"/>
      <c r="N56" s="6"/>
      <c r="O56" s="6"/>
      <c r="P56" s="6"/>
      <c r="Q56" s="6"/>
    </row>
    <row r="57" customFormat="false" ht="15" hidden="false" customHeight="false" outlineLevel="0" collapsed="false">
      <c r="A57" s="9" t="s">
        <v>141</v>
      </c>
      <c r="C57" s="10" t="n">
        <f aca="false">三表预测!E79</f>
        <v>1718.968</v>
      </c>
      <c r="D57" s="10" t="n">
        <f aca="false">三表预测!F79</f>
        <v>2403.1223</v>
      </c>
      <c r="E57" s="10" t="n">
        <f aca="false">三表预测!G79</f>
        <v>2877.6091</v>
      </c>
      <c r="F57" s="24" t="n">
        <f aca="false">三表预测!H79</f>
        <v>3666.01591981385</v>
      </c>
      <c r="G57" s="24" t="n">
        <f aca="false">三表预测!I79</f>
        <v>5172.84010814517</v>
      </c>
      <c r="H57" s="24" t="n">
        <f aca="false">三表预测!J79</f>
        <v>6314.84856962985</v>
      </c>
      <c r="I57" s="24" t="n">
        <f aca="false">三表预测!K79</f>
        <v>7098.96679512031</v>
      </c>
      <c r="J57" s="24" t="n">
        <f aca="false">三表预测!L79</f>
        <v>7784.67927111402</v>
      </c>
      <c r="L57" s="10" t="n">
        <f aca="false">季度数据!G18</f>
        <v>242.589</v>
      </c>
      <c r="M57" s="10" t="n">
        <f aca="false">季度数据!H18</f>
        <v>885.1204</v>
      </c>
      <c r="N57" s="10" t="n">
        <f aca="false">季度数据!I18</f>
        <v>862.7469</v>
      </c>
      <c r="O57" s="10" t="n">
        <f aca="false">季度数据!J18</f>
        <v>887.1527</v>
      </c>
      <c r="P57" s="10" t="n">
        <f aca="false">季度数据!K18</f>
        <v>156.6853</v>
      </c>
      <c r="Q57" s="10" t="n">
        <f aca="false">季度数据!L18</f>
        <v>1140.6343</v>
      </c>
    </row>
    <row r="58" customFormat="false" ht="15" hidden="false" customHeight="false" outlineLevel="0" collapsed="false">
      <c r="A58" s="9" t="s">
        <v>142</v>
      </c>
      <c r="C58" s="10" t="n">
        <f aca="false">三表预测!E80</f>
        <v>-545.8847</v>
      </c>
      <c r="D58" s="10" t="n">
        <f aca="false">三表预测!F80</f>
        <v>-639.0352</v>
      </c>
      <c r="E58" s="10" t="n">
        <f aca="false">三表预测!G80</f>
        <v>-580.092</v>
      </c>
      <c r="F58" s="24" t="n">
        <f aca="false">三表预测!H80</f>
        <v>-1787.9753332932</v>
      </c>
      <c r="G58" s="24" t="n">
        <f aca="false">三表预测!I80</f>
        <v>-2593.59246892886</v>
      </c>
      <c r="H58" s="24" t="n">
        <f aca="false">三表预测!J80</f>
        <v>-2358.51372418855</v>
      </c>
      <c r="I58" s="24" t="n">
        <f aca="false">三表预测!K80</f>
        <v>-1918.93536545505</v>
      </c>
      <c r="J58" s="24" t="n">
        <f aca="false">三表预测!L80</f>
        <v>-1679.45915863418</v>
      </c>
      <c r="L58" s="10" t="n">
        <f aca="false">-季度数据!G19</f>
        <v>-98.8266</v>
      </c>
      <c r="M58" s="10" t="n">
        <f aca="false">-季度数据!H19</f>
        <v>-108.3401</v>
      </c>
      <c r="N58" s="10" t="n">
        <f aca="false">-季度数据!I19</f>
        <v>-166.7533</v>
      </c>
      <c r="O58" s="10" t="n">
        <f aca="false">-季度数据!J19</f>
        <v>-206.172</v>
      </c>
      <c r="P58" s="10" t="n">
        <f aca="false">-季度数据!K19</f>
        <v>-188.4361</v>
      </c>
      <c r="Q58" s="10" t="n">
        <f aca="false">-季度数据!L19</f>
        <v>-287.9349</v>
      </c>
    </row>
    <row r="59" customFormat="false" ht="15" hidden="false" customHeight="false" outlineLevel="0" collapsed="false">
      <c r="A59" s="9" t="s">
        <v>33</v>
      </c>
      <c r="C59" s="33" t="n">
        <f aca="false">C57+C58</f>
        <v>1173.0833</v>
      </c>
      <c r="D59" s="33" t="n">
        <f aca="false">D57+D58</f>
        <v>1764.0871</v>
      </c>
      <c r="E59" s="33" t="n">
        <f aca="false">E57+E58</f>
        <v>2297.5171</v>
      </c>
      <c r="F59" s="34" t="n">
        <f aca="false">F57+F58</f>
        <v>1878.04058652066</v>
      </c>
      <c r="G59" s="34" t="n">
        <f aca="false">G57+G58</f>
        <v>2579.24763921631</v>
      </c>
      <c r="H59" s="34" t="n">
        <f aca="false">H57+H58</f>
        <v>3956.3348454413</v>
      </c>
      <c r="I59" s="34" t="n">
        <f aca="false">I57+I58</f>
        <v>5180.03142966526</v>
      </c>
      <c r="J59" s="34" t="n">
        <f aca="false">J57+J58</f>
        <v>6105.22011247984</v>
      </c>
      <c r="L59" s="33" t="n">
        <f aca="false">L57+L58</f>
        <v>143.7624</v>
      </c>
      <c r="M59" s="33" t="n">
        <f aca="false">M57+M58</f>
        <v>776.7803</v>
      </c>
      <c r="N59" s="33" t="n">
        <f aca="false">N57+N58</f>
        <v>695.9936</v>
      </c>
      <c r="O59" s="33" t="n">
        <f aca="false">O57+O58</f>
        <v>680.9807</v>
      </c>
      <c r="P59" s="33" t="n">
        <f aca="false">P57+P58</f>
        <v>-31.7508</v>
      </c>
      <c r="Q59" s="33" t="n">
        <f aca="false">Q57+Q58</f>
        <v>852.6994</v>
      </c>
    </row>
    <row r="60" customFormat="false" ht="15" hidden="false" customHeight="false" outlineLevel="0" collapsed="false">
      <c r="A60" s="9" t="s">
        <v>143</v>
      </c>
      <c r="C60" s="10" t="n">
        <f aca="false">-三表预测!E85</f>
        <v>489.9347</v>
      </c>
      <c r="D60" s="10" t="n">
        <f aca="false">-三表预测!F85</f>
        <v>553.6596</v>
      </c>
      <c r="E60" s="10" t="n">
        <f aca="false">-三表预测!G85</f>
        <v>726.6256</v>
      </c>
      <c r="F60" s="24" t="n">
        <f aca="false">-三表预测!H85</f>
        <v>860.11</v>
      </c>
      <c r="G60" s="24" t="n">
        <f aca="false">-三表预测!I85</f>
        <v>1405.91765177716</v>
      </c>
      <c r="H60" s="24" t="n">
        <f aca="false">-三表预测!J85</f>
        <v>1858.60528496718</v>
      </c>
      <c r="I60" s="24" t="n">
        <f aca="false">-三表预测!K85</f>
        <v>2058.46258844961</v>
      </c>
      <c r="J60" s="24" t="n">
        <f aca="false">-三表预测!L85</f>
        <v>2200.12045973692</v>
      </c>
      <c r="L60" s="10" t="n">
        <f aca="false">季度数据!G20</f>
        <v>0</v>
      </c>
      <c r="M60" s="10" t="n">
        <f aca="false">季度数据!H20</f>
        <v>726.3767</v>
      </c>
      <c r="N60" s="10" t="n">
        <f aca="false">季度数据!I20</f>
        <v>0.1353</v>
      </c>
      <c r="O60" s="10" t="n">
        <f aca="false">季度数据!J20</f>
        <v>0.1137</v>
      </c>
      <c r="P60" s="10" t="n">
        <f aca="false">季度数据!K20</f>
        <v>0.1622</v>
      </c>
      <c r="Q60" s="10" t="n">
        <f aca="false">季度数据!L20</f>
        <v>860.8047</v>
      </c>
    </row>
    <row r="61" customFormat="false" ht="15" hidden="false" customHeight="false" outlineLevel="0" collapsed="false">
      <c r="A61" s="9" t="s">
        <v>144</v>
      </c>
      <c r="C61" s="10" t="n">
        <f aca="false">-三表预测!E86</f>
        <v>-0</v>
      </c>
      <c r="D61" s="10" t="n">
        <f aca="false">-三表预测!F86</f>
        <v>-0</v>
      </c>
      <c r="E61" s="10" t="n">
        <f aca="false">-三表预测!G86</f>
        <v>175.440732</v>
      </c>
      <c r="F61" s="24" t="n">
        <f aca="false">-三表预测!H86</f>
        <v>1644.66</v>
      </c>
      <c r="G61" s="24" t="n">
        <f aca="false">-三表预测!I86</f>
        <v>0</v>
      </c>
      <c r="H61" s="24" t="n">
        <f aca="false">-三表预测!J86</f>
        <v>0</v>
      </c>
      <c r="I61" s="24" t="n">
        <f aca="false">-三表预测!K86</f>
        <v>0</v>
      </c>
      <c r="J61" s="24" t="n">
        <f aca="false">-三表预测!L86</f>
        <v>0</v>
      </c>
    </row>
    <row r="62" customFormat="false" ht="15" hidden="false" customHeight="false" outlineLevel="0" collapsed="false">
      <c r="A62" s="5" t="s">
        <v>145</v>
      </c>
      <c r="B62" s="6"/>
      <c r="C62" s="6"/>
      <c r="D62" s="6"/>
      <c r="E62" s="6"/>
      <c r="F62" s="6"/>
      <c r="G62" s="6"/>
      <c r="H62" s="6"/>
      <c r="I62" s="6"/>
      <c r="J62" s="6"/>
      <c r="K62" s="6"/>
      <c r="L62" s="6"/>
      <c r="M62" s="6"/>
      <c r="N62" s="6"/>
      <c r="O62" s="6"/>
      <c r="P62" s="6"/>
      <c r="Q62" s="6"/>
    </row>
    <row r="63" customFormat="false" ht="15" hidden="false" customHeight="false" outlineLevel="0" collapsed="false">
      <c r="A63" s="13" t="s">
        <v>146</v>
      </c>
      <c r="C63" s="12" t="n">
        <f aca="false">回报分析!E8</f>
        <v>0.0894909327380109</v>
      </c>
      <c r="D63" s="12" t="n">
        <f aca="false">回报分析!F8</f>
        <v>0.114986386868264</v>
      </c>
      <c r="E63" s="12" t="n">
        <f aca="false">回报分析!G8</f>
        <v>0.126111690004232</v>
      </c>
      <c r="F63" s="25" t="n">
        <f aca="false">回报分析!H8</f>
        <v>0.164215772736616</v>
      </c>
      <c r="G63" s="25" t="n">
        <f aca="false">回报分析!I8</f>
        <v>0.174145016327724</v>
      </c>
      <c r="H63" s="25" t="n">
        <f aca="false">回报分析!J8</f>
        <v>0.170224525416993</v>
      </c>
      <c r="I63" s="25" t="n">
        <f aca="false">回报分析!K8</f>
        <v>0.162064235067298</v>
      </c>
      <c r="J63" s="25" t="n">
        <f aca="false">回报分析!L8</f>
        <v>0.152750344342956</v>
      </c>
    </row>
    <row r="64" customFormat="false" ht="15" hidden="false" customHeight="false" outlineLevel="0" collapsed="false">
      <c r="A64" s="13" t="s">
        <v>29</v>
      </c>
      <c r="C64" s="12" t="n">
        <f aca="false">回报分析!E11</f>
        <v>0.15708236268918</v>
      </c>
      <c r="D64" s="12" t="n">
        <f aca="false">回报分析!F11</f>
        <v>0.221413405597182</v>
      </c>
      <c r="E64" s="12" t="n">
        <f aca="false">回报分析!G11</f>
        <v>0.254801709744815</v>
      </c>
      <c r="F64" s="25" t="n">
        <f aca="false">回报分析!H11</f>
        <v>0.372908874690275</v>
      </c>
      <c r="G64" s="25" t="n">
        <f aca="false">回报分析!I11</f>
        <v>0.401102458353147</v>
      </c>
      <c r="H64" s="25" t="n">
        <f aca="false">回报分析!J11</f>
        <v>0.373702818036969</v>
      </c>
      <c r="I64" s="25" t="n">
        <f aca="false">回报分析!K11</f>
        <v>0.35914986418445</v>
      </c>
      <c r="J64" s="25" t="n">
        <f aca="false">回报分析!L11</f>
        <v>0.353670012315508</v>
      </c>
    </row>
    <row r="65" customFormat="false" ht="15" hidden="false" customHeight="false" outlineLevel="0" collapsed="false">
      <c r="A65" s="9" t="s">
        <v>147</v>
      </c>
      <c r="C65" s="14" t="n">
        <f aca="false">IFERROR(三表预测!E67/股本与每股!E12,0)</f>
        <v>9.51381299859868</v>
      </c>
      <c r="D65" s="14" t="n">
        <f aca="false">IFERROR(三表预测!F67/股本与每股!F12,0)</f>
        <v>10.3658274728726</v>
      </c>
      <c r="E65" s="14" t="n">
        <f aca="false">IFERROR(三表预测!G67/股本与每股!G12,0)</f>
        <v>11.3315748131939</v>
      </c>
      <c r="F65" s="26" t="n">
        <f aca="false">IFERROR(三表预测!H67/股本与每股!H12,0)</f>
        <v>15.2923624002587</v>
      </c>
      <c r="G65" s="26" t="n">
        <f aca="false">IFERROR(三表预测!I67/股本与每股!I12,0)</f>
        <v>17.4303710550346</v>
      </c>
      <c r="H65" s="26" t="n">
        <f aca="false">IFERROR(三表预测!J67/股本与每股!J12,0)</f>
        <v>19.6457510421233</v>
      </c>
      <c r="I65" s="26" t="n">
        <f aca="false">IFERROR(三表预测!K67/股本与每股!K12,0)</f>
        <v>21.9771870838771</v>
      </c>
      <c r="J65" s="26" t="n">
        <f aca="false">IFERROR(三表预测!L67/股本与每股!L12,0)</f>
        <v>24.4067456431693</v>
      </c>
    </row>
    <row r="66" customFormat="false" ht="15" hidden="false" customHeight="false" outlineLevel="0" collapsed="false">
      <c r="A66" s="9" t="s">
        <v>148</v>
      </c>
      <c r="E66" s="14" t="n">
        <f aca="false">股本与每股!G15</f>
        <v>0.38</v>
      </c>
      <c r="F66" s="26" t="n">
        <f aca="false">股本与每股!H15</f>
        <v>0.449998112891731</v>
      </c>
      <c r="G66" s="26" t="n">
        <f aca="false">股本与每股!I15</f>
        <v>0.711241821154068</v>
      </c>
      <c r="H66" s="26" t="n">
        <f aca="false">股本与每股!J15</f>
        <v>0.940252657056869</v>
      </c>
      <c r="I66" s="26" t="n">
        <f aca="false">股本与每股!K15</f>
        <v>1.04135877256805</v>
      </c>
      <c r="J66" s="26" t="n">
        <f aca="false">股本与每股!L15</f>
        <v>1.11302228872622</v>
      </c>
    </row>
    <row r="67" customFormat="false" ht="15" hidden="false" customHeight="false" outlineLevel="0" collapsed="false">
      <c r="A67" s="13" t="s">
        <v>149</v>
      </c>
      <c r="C67" s="16" t="n">
        <f aca="false">回报分析!E16</f>
        <v>143.647677584138</v>
      </c>
      <c r="D67" s="16" t="n">
        <f aca="false">回报分析!F16</f>
        <v>103.679618985686</v>
      </c>
      <c r="E67" s="16" t="n">
        <f aca="false">回报分析!G16</f>
        <v>86.5024350186006</v>
      </c>
      <c r="F67" s="35" t="n">
        <f aca="false">回报分析!H16</f>
        <v>54.9813000823656</v>
      </c>
      <c r="G67" s="35" t="n">
        <f aca="false">回报分析!I16</f>
        <v>41.5898851298166</v>
      </c>
      <c r="H67" s="35" t="n">
        <f aca="false">回报分析!J16</f>
        <v>37.5518995279263</v>
      </c>
      <c r="I67" s="35" t="n">
        <f aca="false">回报分析!K16</f>
        <v>35.1340673013414</v>
      </c>
      <c r="J67" s="35" t="n">
        <f aca="false">回报分析!L16</f>
        <v>33.450189306557</v>
      </c>
    </row>
    <row r="68" customFormat="false" ht="15" hidden="false" customHeight="false" outlineLevel="0" collapsed="false">
      <c r="A68" s="13" t="s">
        <v>150</v>
      </c>
      <c r="C68" s="16" t="n">
        <f aca="false">回报分析!E17</f>
        <v>12.4555738080467</v>
      </c>
      <c r="D68" s="16" t="n">
        <f aca="false">回报分析!F17</f>
        <v>11.4317935842666</v>
      </c>
      <c r="E68" s="16" t="n">
        <f aca="false">回报分析!G17</f>
        <v>10.4575049764508</v>
      </c>
      <c r="F68" s="35" t="n">
        <f aca="false">回报分析!H17</f>
        <v>7.74896624199771</v>
      </c>
      <c r="G68" s="35" t="n">
        <f aca="false">回报分析!I17</f>
        <v>6.79847833565038</v>
      </c>
      <c r="H68" s="35" t="n">
        <f aca="false">回报分析!J17</f>
        <v>6.0318386273917</v>
      </c>
      <c r="I68" s="35" t="n">
        <f aca="false">回报分析!K17</f>
        <v>5.39195482787394</v>
      </c>
      <c r="J68" s="35" t="n">
        <f aca="false">回报分析!L17</f>
        <v>4.85521510046811</v>
      </c>
    </row>
    <row r="69" customFormat="false" ht="15" hidden="false" customHeight="false" outlineLevel="0" collapsed="false">
      <c r="A69" s="13" t="s">
        <v>151</v>
      </c>
      <c r="F69" s="35" t="n">
        <f aca="false">回报分析!H18</f>
        <v>39.8832539736028</v>
      </c>
      <c r="G69" s="35" t="n">
        <f aca="false">回报分析!I18</f>
        <v>30.2741228267509</v>
      </c>
      <c r="H69" s="35" t="n">
        <f aca="false">回报分析!J18</f>
        <v>27.0879276761629</v>
      </c>
      <c r="I69" s="35" t="n">
        <f aca="false">回报分析!K18</f>
        <v>25.1119626129796</v>
      </c>
      <c r="J69" s="35" t="n">
        <f aca="false">回报分析!L18</f>
        <v>23.8161796347948</v>
      </c>
    </row>
    <row r="71" customFormat="false" ht="15" hidden="false" customHeight="false" outlineLevel="0" collapsed="false">
      <c r="A71" s="2" t="s">
        <v>152</v>
      </c>
    </row>
    <row r="72" customFormat="false" ht="15" hidden="false" customHeight="false" outlineLevel="0" collapsed="false">
      <c r="A72" s="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2"/>
    <col collapsed="false" customWidth="true" hidden="false" outlineLevel="0" max="10" min="3" style="0" width="11"/>
    <col collapsed="false" customWidth="true" hidden="false" outlineLevel="0" max="11" min="11" style="0" width="2"/>
    <col collapsed="false" customWidth="true" hidden="false" outlineLevel="0" max="17" min="12" style="0" width="11"/>
  </cols>
  <sheetData>
    <row r="1" customFormat="false" ht="17.35" hidden="false" customHeight="false" outlineLevel="0" collapsed="false">
      <c r="A1" s="36" t="s">
        <v>154</v>
      </c>
    </row>
    <row r="2" customFormat="false" ht="15" hidden="false" customHeight="false" outlineLevel="0" collapsed="false">
      <c r="A2" s="37" t="s">
        <v>155</v>
      </c>
    </row>
    <row r="3" customFormat="false" ht="15" hidden="false" customHeight="false" outlineLevel="0" collapsed="false">
      <c r="C3" s="38" t="s">
        <v>156</v>
      </c>
      <c r="L3" s="38" t="s">
        <v>157</v>
      </c>
    </row>
    <row r="4" customFormat="false" ht="15" hidden="false" customHeight="false" outlineLevel="0" collapsed="false">
      <c r="A4" s="39" t="s">
        <v>158</v>
      </c>
      <c r="B4" s="8"/>
      <c r="C4" s="8" t="s">
        <v>87</v>
      </c>
      <c r="D4" s="8" t="s">
        <v>88</v>
      </c>
      <c r="E4" s="8" t="s">
        <v>11</v>
      </c>
      <c r="F4" s="8" t="s">
        <v>12</v>
      </c>
      <c r="G4" s="8" t="s">
        <v>13</v>
      </c>
      <c r="H4" s="8" t="s">
        <v>14</v>
      </c>
      <c r="I4" s="8" t="s">
        <v>15</v>
      </c>
      <c r="J4" s="8" t="s">
        <v>16</v>
      </c>
      <c r="K4" s="8"/>
      <c r="L4" s="8" t="s">
        <v>89</v>
      </c>
      <c r="M4" s="8" t="s">
        <v>90</v>
      </c>
      <c r="N4" s="8" t="s">
        <v>91</v>
      </c>
      <c r="O4" s="8" t="s">
        <v>92</v>
      </c>
      <c r="P4" s="8" t="s">
        <v>93</v>
      </c>
      <c r="Q4" s="8" t="s">
        <v>94</v>
      </c>
    </row>
    <row r="5" customFormat="false" ht="15" hidden="false" customHeight="false" outlineLevel="0" collapsed="false">
      <c r="A5" s="40" t="s">
        <v>159</v>
      </c>
      <c r="B5" s="6"/>
      <c r="C5" s="6"/>
      <c r="D5" s="6"/>
      <c r="E5" s="6"/>
      <c r="F5" s="6"/>
      <c r="G5" s="6"/>
      <c r="H5" s="6"/>
      <c r="I5" s="6"/>
      <c r="J5" s="6"/>
      <c r="K5" s="6"/>
      <c r="L5" s="6"/>
      <c r="M5" s="6"/>
      <c r="N5" s="6"/>
      <c r="O5" s="6"/>
      <c r="P5" s="6"/>
      <c r="Q5" s="6"/>
    </row>
    <row r="6" customFormat="false" ht="15" hidden="false" customHeight="false" outlineLevel="0" collapsed="false">
      <c r="A6" s="13" t="s">
        <v>160</v>
      </c>
      <c r="C6" s="10" t="n">
        <f aca="false">三表预测!E6</f>
        <v>5726.6885</v>
      </c>
      <c r="D6" s="10" t="n">
        <f aca="false">三表预测!F6</f>
        <v>7374.9908</v>
      </c>
      <c r="E6" s="10" t="n">
        <f aca="false">三表预测!G6</f>
        <v>9007.1539</v>
      </c>
      <c r="F6" s="24" t="n">
        <f aca="false">三表预测!H6</f>
        <v>13863.1874625892</v>
      </c>
      <c r="G6" s="24" t="n">
        <f aca="false">三表预测!I6</f>
        <v>17550.9029528349</v>
      </c>
      <c r="H6" s="24" t="n">
        <f aca="false">三表预测!J6</f>
        <v>20155.2171358948</v>
      </c>
      <c r="I6" s="24" t="n">
        <f aca="false">三表预测!K6</f>
        <v>22196.9566424501</v>
      </c>
      <c r="J6" s="24" t="n">
        <f aca="false">三表预测!L6</f>
        <v>23693.8895841471</v>
      </c>
      <c r="L6" s="10" t="n">
        <f aca="false">季度数据!G5</f>
        <v>1833.141</v>
      </c>
      <c r="M6" s="10" t="n">
        <f aca="false">季度数据!H5</f>
        <v>2315.6541</v>
      </c>
      <c r="N6" s="10" t="n">
        <f aca="false">季度数据!I5</f>
        <v>2359.5738</v>
      </c>
      <c r="O6" s="10" t="n">
        <f aca="false">季度数据!J5</f>
        <v>2498.785</v>
      </c>
      <c r="P6" s="10" t="n">
        <f aca="false">季度数据!K5</f>
        <v>2680.9934</v>
      </c>
      <c r="Q6" s="10" t="n">
        <f aca="false">季度数据!L5</f>
        <v>3742.3384</v>
      </c>
    </row>
    <row r="7" customFormat="false" ht="15" hidden="false" customHeight="false" outlineLevel="0" collapsed="false">
      <c r="A7" s="4" t="s">
        <v>161</v>
      </c>
      <c r="C7" s="12" t="n">
        <f aca="false">三表预测!E7</f>
        <v>0.112110744679138</v>
      </c>
      <c r="D7" s="12" t="n">
        <f aca="false">三表预测!F7</f>
        <v>0.287828175043919</v>
      </c>
      <c r="E7" s="12" t="n">
        <f aca="false">三表预测!G7</f>
        <v>0.221310526922962</v>
      </c>
      <c r="F7" s="25" t="n">
        <f aca="false">三表预测!H7</f>
        <v>0.53913074168625</v>
      </c>
      <c r="G7" s="25" t="n">
        <f aca="false">三表预测!I7</f>
        <v>0.266007763380335</v>
      </c>
      <c r="H7" s="25" t="n">
        <f aca="false">三表预测!J7</f>
        <v>0.148386336022629</v>
      </c>
      <c r="I7" s="25" t="n">
        <f aca="false">三表预测!K7</f>
        <v>0.101300794369472</v>
      </c>
      <c r="J7" s="25" t="n">
        <f aca="false">三表预测!L7</f>
        <v>0.0674386568307415</v>
      </c>
      <c r="L7" s="12" t="n">
        <f aca="false">IFERROR(季度数据!G5/季度数据!C5-1,0)</f>
        <v>0.172373409239472</v>
      </c>
      <c r="M7" s="12" t="n">
        <f aca="false">IFERROR(季度数据!H5/季度数据!D5-1,0)</f>
        <v>0.242443409945668</v>
      </c>
      <c r="N7" s="12" t="n">
        <f aca="false">IFERROR(季度数据!I5/季度数据!E5-1,0)</f>
        <v>0.207947786752563</v>
      </c>
      <c r="O7" s="12" t="n">
        <f aca="false">IFERROR(季度数据!J5/季度数据!F5-1,0)</f>
        <v>0.253019301717857</v>
      </c>
      <c r="P7" s="12" t="n">
        <f aca="false">IFERROR(季度数据!K5/季度数据!G5-1,0)</f>
        <v>0.462513467321935</v>
      </c>
      <c r="Q7" s="12" t="n">
        <f aca="false">IFERROR(季度数据!L5/季度数据!H5-1,0)</f>
        <v>0.616104235947847</v>
      </c>
    </row>
    <row r="8" customFormat="false" ht="15" hidden="false" customHeight="false" outlineLevel="0" collapsed="false">
      <c r="A8" s="13" t="s">
        <v>162</v>
      </c>
      <c r="C8" s="10" t="n">
        <f aca="false">三表预测!E9</f>
        <v>2281.1586</v>
      </c>
      <c r="D8" s="10" t="n">
        <f aca="false">三表预测!F9</f>
        <v>3170.1271</v>
      </c>
      <c r="E8" s="10" t="n">
        <f aca="false">三表预测!G9</f>
        <v>3795.3922</v>
      </c>
      <c r="F8" s="24" t="n">
        <f aca="false">三表预测!H9</f>
        <v>6228.55233048326</v>
      </c>
      <c r="G8" s="24" t="n">
        <f aca="false">三表预测!I9</f>
        <v>7935.50160242998</v>
      </c>
      <c r="H8" s="24" t="n">
        <f aca="false">三表预测!J9</f>
        <v>8943.71067871792</v>
      </c>
      <c r="I8" s="24" t="n">
        <f aca="false">三表预测!K9</f>
        <v>9639.82480455953</v>
      </c>
      <c r="J8" s="24" t="n">
        <f aca="false">三表预测!L9</f>
        <v>10161.8819971542</v>
      </c>
      <c r="L8" s="10" t="n">
        <f aca="false">季度数据!G5-季度数据!G6</f>
        <v>751.8142</v>
      </c>
      <c r="M8" s="10" t="n">
        <f aca="false">季度数据!H5-季度数据!H6</f>
        <v>989.6012</v>
      </c>
      <c r="N8" s="10" t="n">
        <f aca="false">季度数据!I5-季度数据!I6</f>
        <v>1023.8903</v>
      </c>
      <c r="O8" s="10" t="n">
        <f aca="false">季度数据!J5-季度数据!J6</f>
        <v>1030.0866</v>
      </c>
      <c r="P8" s="10" t="n">
        <f aca="false">季度数据!K5-季度数据!K6</f>
        <v>1165.9354</v>
      </c>
      <c r="Q8" s="10" t="n">
        <f aca="false">季度数据!L5-季度数据!L6</f>
        <v>1680.8635</v>
      </c>
    </row>
    <row r="9" customFormat="false" ht="15" hidden="false" customHeight="false" outlineLevel="0" collapsed="false">
      <c r="A9" s="4" t="s">
        <v>163</v>
      </c>
      <c r="C9" s="12" t="n">
        <f aca="false">三表预测!E10</f>
        <v>0.39833816698778</v>
      </c>
      <c r="D9" s="12" t="n">
        <f aca="false">三表预测!F10</f>
        <v>0.429848278590395</v>
      </c>
      <c r="E9" s="12" t="n">
        <f aca="false">三表预测!G10</f>
        <v>0.421375302580319</v>
      </c>
      <c r="F9" s="25" t="n">
        <f aca="false">三表预测!H10</f>
        <v>0.449287174922178</v>
      </c>
      <c r="G9" s="25" t="n">
        <f aca="false">三表预测!I10</f>
        <v>0.452142070624818</v>
      </c>
      <c r="H9" s="25" t="n">
        <f aca="false">三表预测!J10</f>
        <v>0.443741718008581</v>
      </c>
      <c r="I9" s="25" t="n">
        <f aca="false">三表预测!K10</f>
        <v>0.434285878007441</v>
      </c>
      <c r="J9" s="25" t="n">
        <f aca="false">三表预测!L10</f>
        <v>0.428881968115238</v>
      </c>
      <c r="L9" s="12" t="n">
        <f aca="false">IFERROR(1-季度数据!G6/季度数据!G5,0)</f>
        <v>0.410123498410651</v>
      </c>
      <c r="M9" s="12" t="n">
        <f aca="false">IFERROR(1-季度数据!H6/季度数据!H5,0)</f>
        <v>0.427352772592418</v>
      </c>
      <c r="N9" s="12" t="n">
        <f aca="false">IFERROR(1-季度数据!I6/季度数据!I5,0)</f>
        <v>0.43393018688375</v>
      </c>
      <c r="O9" s="12" t="n">
        <f aca="false">IFERROR(1-季度数据!J6/季度数据!J5,0)</f>
        <v>0.412234986203295</v>
      </c>
      <c r="P9" s="12" t="n">
        <f aca="false">IFERROR(1-季度数据!K6/季度数据!K5,0)</f>
        <v>0.434889321249355</v>
      </c>
      <c r="Q9" s="12" t="n">
        <f aca="false">IFERROR(1-季度数据!L6/季度数据!L5,0)</f>
        <v>0.44914791778317</v>
      </c>
    </row>
    <row r="10" customFormat="false" ht="15" hidden="false" customHeight="false" outlineLevel="0" collapsed="false">
      <c r="A10" s="13" t="s">
        <v>164</v>
      </c>
      <c r="C10" s="10" t="n">
        <f aca="false">三表预测!E12</f>
        <v>74.3431</v>
      </c>
      <c r="D10" s="10" t="n">
        <f aca="false">三表预测!F12</f>
        <v>79.3918</v>
      </c>
      <c r="E10" s="10" t="n">
        <f aca="false">三表预测!G12</f>
        <v>93.1993</v>
      </c>
      <c r="F10" s="24" t="n">
        <f aca="false">三表预测!H12</f>
        <v>105.044336069346</v>
      </c>
      <c r="G10" s="24" t="n">
        <f aca="false">三表预测!I12</f>
        <v>124.930847829113</v>
      </c>
      <c r="H10" s="24" t="n">
        <f aca="false">三表预测!J12</f>
        <v>141.37808191443</v>
      </c>
      <c r="I10" s="24" t="n">
        <f aca="false">三表预测!K12</f>
        <v>155.378519213937</v>
      </c>
      <c r="J10" s="24" t="n">
        <f aca="false">三表预测!L12</f>
        <v>167.888905326888</v>
      </c>
      <c r="L10" s="10" t="n">
        <f aca="false">季度数据!G8</f>
        <v>21.2322</v>
      </c>
      <c r="M10" s="10" t="n">
        <f aca="false">季度数据!H8</f>
        <v>20.7534</v>
      </c>
      <c r="N10" s="10" t="n">
        <f aca="false">季度数据!I8</f>
        <v>24.9725</v>
      </c>
      <c r="O10" s="10" t="n">
        <f aca="false">季度数据!J8</f>
        <v>26.2412</v>
      </c>
      <c r="P10" s="10" t="n">
        <f aca="false">季度数据!K8</f>
        <v>22.2371</v>
      </c>
      <c r="Q10" s="10" t="n">
        <f aca="false">季度数据!L8</f>
        <v>22.5728</v>
      </c>
    </row>
    <row r="11" customFormat="false" ht="15" hidden="false" customHeight="false" outlineLevel="0" collapsed="false">
      <c r="A11" s="13" t="s">
        <v>165</v>
      </c>
      <c r="C11" s="10" t="n">
        <f aca="false">三表预测!E13</f>
        <v>429.4141</v>
      </c>
      <c r="D11" s="10" t="n">
        <f aca="false">三表预测!F13</f>
        <v>409.8445</v>
      </c>
      <c r="E11" s="10" t="n">
        <f aca="false">三表预测!G13</f>
        <v>480.9502</v>
      </c>
      <c r="F11" s="24" t="n">
        <f aca="false">三表预测!H13</f>
        <v>609.330089592665</v>
      </c>
      <c r="G11" s="24" t="n">
        <f aca="false">三表预测!I13</f>
        <v>700.427272176968</v>
      </c>
      <c r="H11" s="24" t="n">
        <f aca="false">三表预测!J13</f>
        <v>776.841128056453</v>
      </c>
      <c r="I11" s="24" t="n">
        <f aca="false">三表预测!K13</f>
        <v>848.037248708134</v>
      </c>
      <c r="J11" s="24" t="n">
        <f aca="false">三表预测!L13</f>
        <v>907.319693738899</v>
      </c>
      <c r="L11" s="10" t="n">
        <f aca="false">季度数据!G9</f>
        <v>93.9391</v>
      </c>
      <c r="M11" s="10" t="n">
        <f aca="false">季度数据!H9</f>
        <v>97.5199</v>
      </c>
      <c r="N11" s="10" t="n">
        <f aca="false">季度数据!I9</f>
        <v>108.3876</v>
      </c>
      <c r="O11" s="10" t="n">
        <f aca="false">季度数据!J9</f>
        <v>181.1035</v>
      </c>
      <c r="P11" s="10" t="n">
        <f aca="false">季度数据!K9</f>
        <v>123.0153</v>
      </c>
      <c r="Q11" s="10" t="n">
        <f aca="false">季度数据!L9</f>
        <v>131.9151</v>
      </c>
    </row>
    <row r="12" customFormat="false" ht="15" hidden="false" customHeight="false" outlineLevel="0" collapsed="false">
      <c r="A12" s="13" t="s">
        <v>166</v>
      </c>
      <c r="C12" s="10" t="n">
        <f aca="false">三表预测!E14</f>
        <v>545.8062</v>
      </c>
      <c r="D12" s="10" t="n">
        <f aca="false">三表预测!F14</f>
        <v>583.0724</v>
      </c>
      <c r="E12" s="10" t="n">
        <f aca="false">三表预测!G14</f>
        <v>653.4367</v>
      </c>
      <c r="F12" s="24" t="n">
        <f aca="false">三表预测!H14</f>
        <v>781.260769732805</v>
      </c>
      <c r="G12" s="24" t="n">
        <f aca="false">三表预测!I14</f>
        <v>944.513304872124</v>
      </c>
      <c r="H12" s="24" t="n">
        <f aca="false">三表预测!J14</f>
        <v>1070.50100418099</v>
      </c>
      <c r="I12" s="24" t="n">
        <f aca="false">三表预测!K14</f>
        <v>1178.95754797535</v>
      </c>
      <c r="J12" s="24" t="n">
        <f aca="false">三表预测!L14</f>
        <v>1275.37046514537</v>
      </c>
      <c r="L12" s="10" t="n">
        <f aca="false">季度数据!G10</f>
        <v>145.6916</v>
      </c>
      <c r="M12" s="10" t="n">
        <f aca="false">季度数据!H10</f>
        <v>146.9448</v>
      </c>
      <c r="N12" s="10" t="n">
        <f aca="false">季度数据!I10</f>
        <v>148.3194</v>
      </c>
      <c r="O12" s="10" t="n">
        <f aca="false">季度数据!J10</f>
        <v>212.4809</v>
      </c>
      <c r="P12" s="10" t="n">
        <f aca="false">季度数据!K10</f>
        <v>155.8096</v>
      </c>
      <c r="Q12" s="10" t="n">
        <f aca="false">季度数据!L10</f>
        <v>184.4559</v>
      </c>
    </row>
    <row r="13" customFormat="false" ht="15" hidden="false" customHeight="false" outlineLevel="0" collapsed="false">
      <c r="A13" s="4" t="s">
        <v>167</v>
      </c>
      <c r="C13" s="12" t="n">
        <f aca="false">IFERROR((三表预测!E12+三表预测!E13+三表预测!E14)/三表预测!E6,0)</f>
        <v>0.183275797173183</v>
      </c>
      <c r="D13" s="12" t="n">
        <f aca="false">IFERROR((三表预测!F12+三表预测!F13+三表预测!F14)/三表预测!F6,0)</f>
        <v>0.145397971208317</v>
      </c>
      <c r="E13" s="12" t="n">
        <f aca="false">IFERROR((三表预测!G12+三表预测!G13+三表预测!G14)/三表预测!G6,0)</f>
        <v>0.136290132668878</v>
      </c>
      <c r="F13" s="25" t="n">
        <f aca="false">IFERROR((三表预测!H12+三表预测!H13+三表预测!H14)/三表预测!H6,0)</f>
        <v>0.107885376247771</v>
      </c>
      <c r="G13" s="25" t="n">
        <f aca="false">IFERROR((三表预测!I12+三表预测!I13+三表预测!I14)/三表预测!I6,0)</f>
        <v>0.100842186275797</v>
      </c>
      <c r="H13" s="25" t="n">
        <f aca="false">IFERROR((三表预测!J12+三表预测!J13+三表预测!J14)/三表预测!J6,0)</f>
        <v>0.0986702450657366</v>
      </c>
      <c r="I13" s="25" t="n">
        <f aca="false">IFERROR((三表预测!K12+三表预测!K13+三表预测!K14)/三表预测!K6,0)</f>
        <v>0.0983185826350532</v>
      </c>
      <c r="J13" s="25" t="n">
        <f aca="false">IFERROR((三表预测!L12+三表预测!L13+三表预测!L14)/三表预测!L6,0)</f>
        <v>0.0992061288993201</v>
      </c>
      <c r="L13" s="12" t="n">
        <f aca="false">IFERROR((季度数据!G8+季度数据!G9+季度数据!G10)/季度数据!G5,0)</f>
        <v>0.142303783506015</v>
      </c>
      <c r="M13" s="12" t="n">
        <f aca="false">IFERROR((季度数据!H8+季度数据!H9+季度数据!H10)/季度数据!H5,0)</f>
        <v>0.11453269294408</v>
      </c>
      <c r="N13" s="12" t="n">
        <f aca="false">IFERROR((季度数据!I8+季度数据!I9+季度数据!I10)/季度数据!I5,0)</f>
        <v>0.119377279066245</v>
      </c>
      <c r="O13" s="12" t="n">
        <f aca="false">IFERROR((季度数据!J8+季度数据!J9+季度数据!J10)/季度数据!J5,0)</f>
        <v>0.168011893780377</v>
      </c>
      <c r="P13" s="12" t="n">
        <f aca="false">IFERROR((季度数据!K8+季度数据!K9+季度数据!K10)/季度数据!K5,0)</f>
        <v>0.112294942613436</v>
      </c>
      <c r="Q13" s="12" t="n">
        <f aca="false">IFERROR((季度数据!L8+季度数据!L9+季度数据!L10)/季度数据!L5,0)</f>
        <v>0.0905700564117879</v>
      </c>
    </row>
    <row r="14" customFormat="false" ht="15" hidden="false" customHeight="false" outlineLevel="0" collapsed="false">
      <c r="A14" s="13" t="s">
        <v>168</v>
      </c>
      <c r="C14" s="10" t="n">
        <f aca="false">三表预测!E15</f>
        <v>-161.5113</v>
      </c>
      <c r="D14" s="10" t="n">
        <f aca="false">三表预测!F15</f>
        <v>-172.5019</v>
      </c>
      <c r="E14" s="10" t="n">
        <f aca="false">三表预测!G15</f>
        <v>-127.772</v>
      </c>
      <c r="F14" s="24" t="n">
        <f aca="false">三表预测!H15</f>
        <v>-194.518086177586</v>
      </c>
      <c r="G14" s="24" t="n">
        <f aca="false">三表预测!I15</f>
        <v>-262.790175090647</v>
      </c>
      <c r="H14" s="24" t="n">
        <f aca="false">三表预测!J15</f>
        <v>-268.933553408972</v>
      </c>
      <c r="I14" s="24" t="n">
        <f aca="false">三表预测!K15</f>
        <v>-287.438405341158</v>
      </c>
      <c r="J14" s="24" t="n">
        <f aca="false">三表预测!L15</f>
        <v>-338.854789391398</v>
      </c>
      <c r="L14" s="10" t="n">
        <f aca="false">季度数据!G11</f>
        <v>-38.1213</v>
      </c>
      <c r="M14" s="10" t="n">
        <f aca="false">季度数据!H11</f>
        <v>-25.072</v>
      </c>
      <c r="N14" s="10" t="n">
        <f aca="false">季度数据!I11</f>
        <v>-38.7991</v>
      </c>
      <c r="O14" s="10" t="n">
        <f aca="false">季度数据!J11</f>
        <v>-25.7796</v>
      </c>
      <c r="P14" s="10" t="n">
        <f aca="false">季度数据!K11</f>
        <v>-28.973</v>
      </c>
      <c r="Q14" s="10" t="n">
        <f aca="false">季度数据!L11</f>
        <v>-12.9393</v>
      </c>
    </row>
    <row r="15" customFormat="false" ht="15" hidden="false" customHeight="false" outlineLevel="0" collapsed="false">
      <c r="A15" s="13" t="s">
        <v>169</v>
      </c>
      <c r="C15" s="10" t="n">
        <f aca="false">三表预测!E16</f>
        <v>348.6995</v>
      </c>
      <c r="D15" s="10" t="n">
        <f aca="false">三表预测!F16</f>
        <v>305.0967</v>
      </c>
      <c r="E15" s="10" t="n">
        <f aca="false">三表预测!G16</f>
        <v>390.1677</v>
      </c>
      <c r="F15" s="24" t="n">
        <f aca="false">三表预测!H16</f>
        <v>286.292039471426</v>
      </c>
      <c r="G15" s="24" t="n">
        <f aca="false">三表预测!I16</f>
        <v>317.125018621825</v>
      </c>
      <c r="H15" s="24" t="n">
        <f aca="false">三表预测!J16</f>
        <v>260.620868543579</v>
      </c>
      <c r="I15" s="24" t="n">
        <f aca="false">三表预测!K16</f>
        <v>263.7878265698</v>
      </c>
      <c r="J15" s="24" t="n">
        <f aca="false">三表预测!L16</f>
        <v>264.775558336588</v>
      </c>
      <c r="L15" s="10" t="n">
        <f aca="false">季度数据!G12</f>
        <v>87.1963</v>
      </c>
      <c r="M15" s="10" t="n">
        <f aca="false">季度数据!H12</f>
        <v>90.7529</v>
      </c>
      <c r="N15" s="10" t="n">
        <f aca="false">季度数据!I12</f>
        <v>87.9912</v>
      </c>
      <c r="O15" s="10" t="n">
        <f aca="false">季度数据!J12</f>
        <v>124.2274</v>
      </c>
      <c r="P15" s="10" t="n">
        <f aca="false">季度数据!K12</f>
        <v>85.4097</v>
      </c>
      <c r="Q15" s="10" t="n">
        <f aca="false">季度数据!L12</f>
        <v>53.7199</v>
      </c>
    </row>
    <row r="16" customFormat="false" ht="15" hidden="false" customHeight="false" outlineLevel="0" collapsed="false">
      <c r="A16" s="13" t="s">
        <v>170</v>
      </c>
      <c r="C16" s="10" t="n">
        <f aca="false">三表预测!E20</f>
        <v>1777.6464</v>
      </c>
      <c r="D16" s="10" t="n">
        <f aca="false">三表预测!F20</f>
        <v>2522.7052</v>
      </c>
      <c r="E16" s="10" t="n">
        <f aca="false">三表预测!G20</f>
        <v>3008.4653</v>
      </c>
      <c r="F16" s="24" t="n">
        <f aca="false">三表预测!H20</f>
        <v>4914.03914021623</v>
      </c>
      <c r="G16" s="24" t="n">
        <f aca="false">三表预测!I20</f>
        <v>6545.336422135</v>
      </c>
      <c r="H16" s="24" t="n">
        <f aca="false">三表预测!J20</f>
        <v>7245.24112244929</v>
      </c>
      <c r="I16" s="24" t="n">
        <f aca="false">三表预测!K20</f>
        <v>7738.25496693913</v>
      </c>
      <c r="J16" s="24" t="n">
        <f aca="false">三表预测!L20</f>
        <v>8121.84798466186</v>
      </c>
      <c r="L16" s="10" t="n">
        <f aca="false">季度数据!G13</f>
        <v>616.3601</v>
      </c>
      <c r="M16" s="10" t="n">
        <f aca="false">季度数据!H13</f>
        <v>810.5954</v>
      </c>
      <c r="N16" s="10" t="n">
        <f aca="false">季度数据!I13</f>
        <v>831.3498</v>
      </c>
      <c r="O16" s="10" t="n">
        <f aca="false">季度数据!J13</f>
        <v>750.1603</v>
      </c>
      <c r="P16" s="10" t="n">
        <f aca="false">季度数据!K13</f>
        <v>911.3291</v>
      </c>
      <c r="Q16" s="10" t="n">
        <f aca="false">季度数据!L13</f>
        <v>1315.4431</v>
      </c>
    </row>
    <row r="17" customFormat="false" ht="15" hidden="false" customHeight="false" outlineLevel="0" collapsed="false">
      <c r="A17" s="4" t="s">
        <v>171</v>
      </c>
      <c r="C17" s="12" t="n">
        <f aca="false">IFERROR(三表预测!E20/三表预测!E6,0)</f>
        <v>0.310414369491199</v>
      </c>
      <c r="D17" s="12" t="n">
        <f aca="false">IFERROR(三表预测!F20/三表预测!F6,0)</f>
        <v>0.342062148741935</v>
      </c>
      <c r="E17" s="12" t="n">
        <f aca="false">IFERROR(三表预测!G20/三表预测!G6,0)</f>
        <v>0.334008426346529</v>
      </c>
      <c r="F17" s="25" t="n">
        <f aca="false">IFERROR(三表预测!H20/三表预测!H6,0)</f>
        <v>0.354466759789342</v>
      </c>
      <c r="G17" s="25" t="n">
        <f aca="false">IFERROR(三表预测!I20/三表预测!I6,0)</f>
        <v>0.372934454695836</v>
      </c>
      <c r="H17" s="25" t="n">
        <f aca="false">IFERROR(三表预测!J20/三表预测!J6,0)</f>
        <v>0.359472243518832</v>
      </c>
      <c r="I17" s="25" t="n">
        <f aca="false">IFERROR(三表预测!K20/三表预测!K6,0)</f>
        <v>0.3486178349396</v>
      </c>
      <c r="J17" s="25" t="n">
        <f aca="false">IFERROR(三表预测!L20/三表预测!L6,0)</f>
        <v>0.342782385130044</v>
      </c>
      <c r="L17" s="12" t="n">
        <f aca="false">IFERROR(季度数据!G13/季度数据!G5,0)</f>
        <v>0.336231691942955</v>
      </c>
      <c r="M17" s="12" t="n">
        <f aca="false">IFERROR(季度数据!H13/季度数据!H5,0)</f>
        <v>0.35005029464461</v>
      </c>
      <c r="N17" s="12" t="n">
        <f aca="false">IFERROR(季度数据!I13/季度数据!I5,0)</f>
        <v>0.352330492905117</v>
      </c>
      <c r="O17" s="12" t="n">
        <f aca="false">IFERROR(季度数据!J13/季度数据!J5,0)</f>
        <v>0.300210022070726</v>
      </c>
      <c r="P17" s="12" t="n">
        <f aca="false">IFERROR(季度数据!K13/季度数据!K5,0)</f>
        <v>0.339922172132166</v>
      </c>
      <c r="Q17" s="12" t="n">
        <f aca="false">IFERROR(季度数据!L13/季度数据!L5,0)</f>
        <v>0.351502980061878</v>
      </c>
    </row>
    <row r="18" customFormat="false" ht="15" hidden="false" customHeight="false" outlineLevel="0" collapsed="false">
      <c r="A18" s="13" t="s">
        <v>172</v>
      </c>
      <c r="C18" s="10" t="n">
        <f aca="false">三表预测!E22</f>
        <v>1782.8474</v>
      </c>
      <c r="D18" s="10" t="n">
        <f aca="false">三表预测!F22</f>
        <v>2518.9437</v>
      </c>
      <c r="E18" s="10" t="n">
        <f aca="false">三表预测!G22</f>
        <v>3008.1761</v>
      </c>
      <c r="F18" s="24" t="n">
        <f aca="false">三表预测!H22</f>
        <v>4911.21314021623</v>
      </c>
      <c r="G18" s="24" t="n">
        <f aca="false">三表预测!I22</f>
        <v>6545.336422135</v>
      </c>
      <c r="H18" s="24" t="n">
        <f aca="false">三表预测!J22</f>
        <v>7245.24112244929</v>
      </c>
      <c r="I18" s="24" t="n">
        <f aca="false">三表预测!K22</f>
        <v>7738.25496693913</v>
      </c>
      <c r="J18" s="24" t="n">
        <f aca="false">三表预测!L22</f>
        <v>8121.84798466186</v>
      </c>
      <c r="L18" s="10" t="n">
        <f aca="false">季度数据!G14</f>
        <v>618.439</v>
      </c>
      <c r="M18" s="10" t="n">
        <f aca="false">季度数据!H14</f>
        <v>808.6791</v>
      </c>
      <c r="N18" s="10" t="n">
        <f aca="false">季度数据!I14</f>
        <v>834.7089</v>
      </c>
      <c r="O18" s="10" t="n">
        <f aca="false">季度数据!J14</f>
        <v>746.3495</v>
      </c>
      <c r="P18" s="10" t="n">
        <f aca="false">季度数据!K14</f>
        <v>907.7421</v>
      </c>
      <c r="Q18" s="10" t="n">
        <f aca="false">季度数据!L14</f>
        <v>1316.2041</v>
      </c>
    </row>
    <row r="19" customFormat="false" ht="15" hidden="false" customHeight="false" outlineLevel="0" collapsed="false">
      <c r="A19" s="4" t="s">
        <v>173</v>
      </c>
      <c r="C19" s="12" t="n">
        <f aca="false">税务与其他损益!E28</f>
        <v>0.112010134797837</v>
      </c>
      <c r="D19" s="12" t="n">
        <f aca="false">税务与其他损益!F28</f>
        <v>0.130495204756247</v>
      </c>
      <c r="E19" s="12" t="n">
        <f aca="false">税务与其他损益!G28</f>
        <v>0.130044335165983</v>
      </c>
      <c r="F19" s="25" t="n">
        <f aca="false">税务与其他损益!H28</f>
        <v>0.132524612778405</v>
      </c>
      <c r="G19" s="25" t="n">
        <f aca="false">税务与其他损益!I28</f>
        <v>0.139519061521952</v>
      </c>
      <c r="H19" s="25" t="n">
        <f aca="false">税务与其他损益!J28</f>
        <v>0.139053440165484</v>
      </c>
      <c r="I19" s="25" t="n">
        <f aca="false">税务与其他损益!K28</f>
        <v>0.138432149799062</v>
      </c>
      <c r="J19" s="25" t="n">
        <f aca="false">税务与其他损益!L28</f>
        <v>0.137801005249079</v>
      </c>
      <c r="L19" s="12" t="n">
        <f aca="false">IFERROR(季度数据!G15/季度数据!G14,0)</f>
        <v>0.138322292093481</v>
      </c>
      <c r="M19" s="12" t="n">
        <f aca="false">IFERROR(季度数据!H15/季度数据!H14,0)</f>
        <v>0.1292102145338</v>
      </c>
      <c r="N19" s="12" t="n">
        <f aca="false">IFERROR(季度数据!I15/季度数据!I14,0)</f>
        <v>0.136400726049525</v>
      </c>
      <c r="O19" s="12" t="n">
        <f aca="false">IFERROR(季度数据!J15/季度数据!J14,0)</f>
        <v>0.116979913565963</v>
      </c>
      <c r="P19" s="12" t="n">
        <f aca="false">IFERROR(季度数据!K15/季度数据!K14,0)</f>
        <v>0.128821831663421</v>
      </c>
      <c r="Q19" s="12" t="n">
        <f aca="false">IFERROR(季度数据!L15/季度数据!L14,0)</f>
        <v>0.132968283566356</v>
      </c>
    </row>
    <row r="20" customFormat="false" ht="15" hidden="false" customHeight="false" outlineLevel="0" collapsed="false">
      <c r="A20" s="13" t="s">
        <v>174</v>
      </c>
      <c r="C20" s="10" t="n">
        <f aca="false">三表预测!E26</f>
        <v>1580.9858</v>
      </c>
      <c r="D20" s="10" t="n">
        <f aca="false">三表预测!F26</f>
        <v>2190.4492</v>
      </c>
      <c r="E20" s="10" t="n">
        <f aca="false">三表预测!G26</f>
        <v>2618.3839</v>
      </c>
      <c r="F20" s="24" t="n">
        <f aca="false">三表预测!H26</f>
        <v>4260.35652053686</v>
      </c>
      <c r="G20" s="24" t="n">
        <f aca="false">三表预测!I26</f>
        <v>5632.13722717327</v>
      </c>
      <c r="H20" s="24" t="n">
        <f aca="false">三表预测!J26</f>
        <v>6237.76541954429</v>
      </c>
      <c r="I20" s="24" t="n">
        <f aca="false">三表预测!K26</f>
        <v>6667.03169617248</v>
      </c>
      <c r="J20" s="24" t="n">
        <f aca="false">三表预测!L26</f>
        <v>7002.64916789525</v>
      </c>
      <c r="L20" s="10" t="n">
        <f aca="false">季度数据!G17</f>
        <v>532.6514</v>
      </c>
      <c r="M20" s="10" t="n">
        <f aca="false">季度数据!H17</f>
        <v>704.4865</v>
      </c>
      <c r="N20" s="10" t="n">
        <f aca="false">季度数据!I17</f>
        <v>721.3812</v>
      </c>
      <c r="O20" s="10" t="n">
        <f aca="false">季度数据!J17</f>
        <v>659.8652</v>
      </c>
      <c r="P20" s="10" t="n">
        <f aca="false">季度数据!K17</f>
        <v>790.8996</v>
      </c>
      <c r="Q20" s="10" t="n">
        <f aca="false">季度数据!L17</f>
        <v>1141.2187</v>
      </c>
    </row>
    <row r="21" customFormat="false" ht="15" hidden="false" customHeight="false" outlineLevel="0" collapsed="false">
      <c r="A21" s="4" t="s">
        <v>161</v>
      </c>
      <c r="C21" s="12" t="n">
        <f aca="false">三表预测!E27</f>
        <v>0.0506941555360314</v>
      </c>
      <c r="D21" s="12" t="n">
        <f aca="false">三表预测!F27</f>
        <v>0.385495809007266</v>
      </c>
      <c r="E21" s="12" t="n">
        <f aca="false">三表预测!G27</f>
        <v>0.195363900701281</v>
      </c>
      <c r="F21" s="25" t="n">
        <f aca="false">三表预测!H27</f>
        <v>0.627093918709498</v>
      </c>
      <c r="G21" s="25" t="n">
        <f aca="false">三表预测!I27</f>
        <v>0.321987303180803</v>
      </c>
      <c r="H21" s="25" t="n">
        <f aca="false">三表预测!J27</f>
        <v>0.107530794784092</v>
      </c>
      <c r="I21" s="25" t="n">
        <f aca="false">三表预测!K27</f>
        <v>0.068817316419628</v>
      </c>
      <c r="J21" s="25" t="n">
        <f aca="false">三表预测!L27</f>
        <v>0.0503398644280408</v>
      </c>
      <c r="L21" s="12" t="n">
        <f aca="false">IFERROR(季度数据!G17/季度数据!C17-1,0)</f>
        <v>0.230201464736165</v>
      </c>
      <c r="M21" s="12" t="n">
        <f aca="false">IFERROR(季度数据!H17/季度数据!D17-1,0)</f>
        <v>0.188871911911426</v>
      </c>
      <c r="N21" s="12" t="n">
        <f aca="false">IFERROR(季度数据!I17/季度数据!E17-1,0)</f>
        <v>0.248622783719016</v>
      </c>
      <c r="O21" s="12" t="n">
        <f aca="false">IFERROR(季度数据!J17/季度数据!F17-1,0)</f>
        <v>0.123821938658465</v>
      </c>
      <c r="P21" s="12" t="n">
        <f aca="false">IFERROR(季度数据!K17/季度数据!G17-1,0)</f>
        <v>0.484835297532307</v>
      </c>
      <c r="Q21" s="12" t="n">
        <f aca="false">IFERROR(季度数据!L17/季度数据!H17-1,0)</f>
        <v>0.619929835419131</v>
      </c>
    </row>
    <row r="22" customFormat="false" ht="15" hidden="false" customHeight="false" outlineLevel="0" collapsed="false">
      <c r="A22" s="4" t="s">
        <v>175</v>
      </c>
      <c r="C22" s="12" t="n">
        <f aca="false">三表预测!E28</f>
        <v>0.276073301350335</v>
      </c>
      <c r="D22" s="12" t="n">
        <f aca="false">三表预测!F28</f>
        <v>0.297010431524877</v>
      </c>
      <c r="E22" s="12" t="n">
        <f aca="false">三表预测!G28</f>
        <v>0.290700473098389</v>
      </c>
      <c r="F22" s="25" t="n">
        <f aca="false">三表预测!H28</f>
        <v>0.307314355521321</v>
      </c>
      <c r="G22" s="25" t="n">
        <f aca="false">三表预测!I28</f>
        <v>0.320902989567472</v>
      </c>
      <c r="H22" s="25" t="n">
        <f aca="false">三表预测!J28</f>
        <v>0.309486391413534</v>
      </c>
      <c r="I22" s="25" t="n">
        <f aca="false">三表预测!K28</f>
        <v>0.300357918590617</v>
      </c>
      <c r="J22" s="25" t="n">
        <f aca="false">三表预测!L28</f>
        <v>0.295546627877447</v>
      </c>
      <c r="L22" s="12" t="n">
        <f aca="false">IFERROR(季度数据!G17/季度数据!G5,0)</f>
        <v>0.290567610456588</v>
      </c>
      <c r="M22" s="12" t="n">
        <f aca="false">IFERROR(季度数据!H17/季度数据!H5,0)</f>
        <v>0.304227863738371</v>
      </c>
      <c r="N22" s="12" t="n">
        <f aca="false">IFERROR(季度数据!I17/季度数据!I5,0)</f>
        <v>0.305725211900556</v>
      </c>
      <c r="O22" s="12" t="n">
        <f aca="false">IFERROR(季度数据!J17/季度数据!J5,0)</f>
        <v>0.264074420168202</v>
      </c>
      <c r="P22" s="12" t="n">
        <f aca="false">IFERROR(季度数据!K17/季度数据!K5,0)</f>
        <v>0.295002442005266</v>
      </c>
      <c r="Q22" s="12" t="n">
        <f aca="false">IFERROR(季度数据!L17/季度数据!L5,0)</f>
        <v>0.304948023941395</v>
      </c>
    </row>
    <row r="23" customFormat="false" ht="15" hidden="false" customHeight="false" outlineLevel="0" collapsed="false">
      <c r="A23" s="13" t="s">
        <v>176</v>
      </c>
      <c r="C23" s="14" t="n">
        <f aca="false">三表预测!E29</f>
        <v>0.824935021525788</v>
      </c>
      <c r="D23" s="14" t="n">
        <f aca="false">三表预测!F29</f>
        <v>1.1429440150273</v>
      </c>
      <c r="E23" s="14" t="n">
        <f aca="false">三表预测!G29</f>
        <v>1.36990363305402</v>
      </c>
      <c r="F23" s="26" t="n">
        <f aca="false">三表预测!H29</f>
        <v>2.15527824592142</v>
      </c>
      <c r="G23" s="26" t="n">
        <f aca="false">三表预测!I29</f>
        <v>2.84925047592991</v>
      </c>
      <c r="H23" s="26" t="n">
        <f aca="false">三表预测!J29</f>
        <v>3.1556326441456</v>
      </c>
      <c r="I23" s="26" t="n">
        <f aca="false">三表预测!K29</f>
        <v>3.37279481432188</v>
      </c>
      <c r="J23" s="26" t="n">
        <f aca="false">三表预测!L29</f>
        <v>3.54258084801844</v>
      </c>
    </row>
    <row r="24" customFormat="false" ht="15" hidden="false" customHeight="false" outlineLevel="0" collapsed="false">
      <c r="A24" s="13" t="s">
        <v>110</v>
      </c>
      <c r="C24" s="10" t="n">
        <f aca="false">三表预测!E33</f>
        <v>2123.067706</v>
      </c>
      <c r="D24" s="10" t="n">
        <f aca="false">三表预测!F33</f>
        <v>2931.1984</v>
      </c>
      <c r="E24" s="10" t="n">
        <f aca="false">三表预测!G33</f>
        <v>3500.242785</v>
      </c>
      <c r="F24" s="24" t="n">
        <f aca="false">三表预测!H33</f>
        <v>5413.04179022431</v>
      </c>
      <c r="G24" s="24" t="n">
        <f aca="false">三表预测!I33</f>
        <v>7131.16352618075</v>
      </c>
      <c r="H24" s="24" t="n">
        <f aca="false">三表预测!J33</f>
        <v>7969.96075411197</v>
      </c>
      <c r="I24" s="24" t="n">
        <f aca="false">三表预测!K33</f>
        <v>8597.08672780736</v>
      </c>
      <c r="J24" s="24" t="n">
        <f aca="false">三表预测!L33</f>
        <v>9064.83423453159</v>
      </c>
    </row>
    <row r="25" customFormat="false" ht="15" hidden="false" customHeight="false" outlineLevel="0" collapsed="false">
      <c r="A25" s="4" t="s">
        <v>177</v>
      </c>
      <c r="C25" s="12" t="n">
        <f aca="false">三表预测!E34</f>
        <v>0.370732178989655</v>
      </c>
      <c r="D25" s="12" t="n">
        <f aca="false">三表预测!F34</f>
        <v>0.397451126311914</v>
      </c>
      <c r="E25" s="12" t="n">
        <f aca="false">三表预测!G34</f>
        <v>0.388606969955293</v>
      </c>
      <c r="F25" s="25" t="n">
        <f aca="false">三表预测!H34</f>
        <v>0.390461559062935</v>
      </c>
      <c r="G25" s="25" t="n">
        <f aca="false">三表预测!I34</f>
        <v>0.406313199118277</v>
      </c>
      <c r="H25" s="25" t="n">
        <f aca="false">三表预测!J34</f>
        <v>0.395429168555973</v>
      </c>
      <c r="I25" s="25" t="n">
        <f aca="false">三表预测!K34</f>
        <v>0.387309254430224</v>
      </c>
      <c r="J25" s="25" t="n">
        <f aca="false">三表预测!L34</f>
        <v>0.382581095532605</v>
      </c>
    </row>
    <row r="26" customFormat="false" ht="15" hidden="false" customHeight="false" outlineLevel="0" collapsed="false">
      <c r="A26" s="40" t="s">
        <v>178</v>
      </c>
      <c r="B26" s="6"/>
      <c r="C26" s="6"/>
      <c r="D26" s="6"/>
      <c r="E26" s="6"/>
      <c r="F26" s="6"/>
      <c r="G26" s="6"/>
      <c r="H26" s="6"/>
      <c r="I26" s="6"/>
      <c r="J26" s="6"/>
      <c r="K26" s="6"/>
      <c r="L26" s="6"/>
      <c r="M26" s="6"/>
      <c r="N26" s="6"/>
      <c r="O26" s="6"/>
      <c r="P26" s="6"/>
      <c r="Q26" s="6"/>
    </row>
    <row r="27" customFormat="false" ht="15" hidden="false" customHeight="false" outlineLevel="0" collapsed="false">
      <c r="A27" s="13" t="s">
        <v>179</v>
      </c>
      <c r="D27" s="10" t="n">
        <f aca="false">收入拆解!F17</f>
        <v>2298.159034</v>
      </c>
      <c r="E27" s="10" t="n">
        <f aca="false">收入拆解!G17</f>
        <v>3308.089586</v>
      </c>
      <c r="F27" s="24" t="n">
        <f aca="false">收入拆解!H17</f>
        <v>5983.6724431568</v>
      </c>
      <c r="G27" s="24" t="n">
        <f aca="false">收入拆解!I17</f>
        <v>8077.95779826168</v>
      </c>
      <c r="H27" s="24" t="n">
        <f aca="false">收入拆解!J17</f>
        <v>9698.39613259297</v>
      </c>
      <c r="I27" s="24" t="n">
        <f aca="false">收入拆解!K17</f>
        <v>10862.2036685041</v>
      </c>
      <c r="J27" s="24" t="n">
        <f aca="false">收入拆解!L17</f>
        <v>11709.4555546475</v>
      </c>
    </row>
    <row r="28" customFormat="false" ht="15" hidden="false" customHeight="false" outlineLevel="0" collapsed="false">
      <c r="A28" s="13" t="s">
        <v>180</v>
      </c>
      <c r="D28" s="10" t="n">
        <f aca="false">收入拆解!F26</f>
        <v>2305.984656</v>
      </c>
      <c r="E28" s="10" t="n">
        <f aca="false">收入拆解!G26</f>
        <v>2594.309892</v>
      </c>
      <c r="F28" s="24" t="n">
        <f aca="false">收入拆解!H26</f>
        <v>3955.5442923324</v>
      </c>
      <c r="G28" s="24" t="n">
        <f aca="false">收入拆解!I26</f>
        <v>4936.51927683084</v>
      </c>
      <c r="H28" s="24" t="n">
        <f aca="false">收入拆解!J26</f>
        <v>5686.87020690912</v>
      </c>
      <c r="I28" s="24" t="n">
        <f aca="false">收入拆解!K26</f>
        <v>6256.12591462073</v>
      </c>
      <c r="J28" s="24" t="n">
        <f aca="false">收入拆解!L26</f>
        <v>6735.97077227214</v>
      </c>
    </row>
    <row r="29" customFormat="false" ht="15" hidden="false" customHeight="false" outlineLevel="0" collapsed="false">
      <c r="A29" s="13" t="s">
        <v>181</v>
      </c>
      <c r="D29" s="10" t="n">
        <f aca="false">收入拆解!F41</f>
        <v>1677.232781</v>
      </c>
      <c r="E29" s="10" t="n">
        <f aca="false">收入拆解!G41</f>
        <v>1959.378017</v>
      </c>
      <c r="F29" s="24" t="n">
        <f aca="false">收入拆解!H41</f>
        <v>2525.4590207</v>
      </c>
      <c r="G29" s="24" t="n">
        <f aca="false">收入拆解!I41</f>
        <v>3018.54743651733</v>
      </c>
      <c r="H29" s="24" t="n">
        <f aca="false">收入拆解!J41</f>
        <v>3136.9255135024</v>
      </c>
      <c r="I29" s="24" t="n">
        <f aca="false">收入拆解!K41</f>
        <v>3338.37358535182</v>
      </c>
      <c r="J29" s="24" t="n">
        <f aca="false">收入拆解!L41</f>
        <v>3412.48941585755</v>
      </c>
    </row>
    <row r="30" customFormat="false" ht="15" hidden="false" customHeight="false" outlineLevel="0" collapsed="false">
      <c r="A30" s="4" t="s">
        <v>182</v>
      </c>
      <c r="C30" s="10" t="n">
        <f aca="false">收入拆解!E38</f>
        <v>449.318728</v>
      </c>
      <c r="D30" s="10" t="n">
        <f aca="false">收入拆解!F38</f>
        <v>323.869648</v>
      </c>
      <c r="E30" s="10" t="n">
        <f aca="false">收入拆解!G38</f>
        <v>330.717999</v>
      </c>
      <c r="F30" s="24" t="n">
        <f aca="false">收入拆解!H38</f>
        <v>652.5</v>
      </c>
      <c r="G30" s="24" t="n">
        <f aca="false">收入拆解!I38</f>
        <v>920.833333333333</v>
      </c>
      <c r="H30" s="24" t="n">
        <f aca="false">收入拆解!J38</f>
        <v>829.44</v>
      </c>
      <c r="I30" s="24" t="n">
        <f aca="false">收入拆解!K38</f>
        <v>846.289230769231</v>
      </c>
      <c r="J30" s="24" t="n">
        <f aca="false">收入拆解!L38</f>
        <v>770.88</v>
      </c>
    </row>
    <row r="31" customFormat="false" ht="15" hidden="false" customHeight="false" outlineLevel="0" collapsed="false">
      <c r="A31" s="13" t="s">
        <v>183</v>
      </c>
      <c r="D31" s="10" t="n">
        <f aca="false">收入拆解!F43</f>
        <v>536.82473</v>
      </c>
      <c r="E31" s="10" t="n">
        <f aca="false">收入拆解!G43</f>
        <v>601.75341</v>
      </c>
      <c r="F31" s="24" t="n">
        <f aca="false">收入拆解!H43</f>
        <v>692.0164215</v>
      </c>
      <c r="G31" s="24" t="n">
        <f aca="false">收入拆解!I43</f>
        <v>775.05839208</v>
      </c>
      <c r="H31" s="24" t="n">
        <f aca="false">收入拆解!J43</f>
        <v>852.564231288</v>
      </c>
      <c r="I31" s="24" t="n">
        <f aca="false">收入拆解!K43</f>
        <v>920.76936979104</v>
      </c>
      <c r="J31" s="24" t="n">
        <f aca="false">收入拆解!L43</f>
        <v>976.015531978503</v>
      </c>
    </row>
    <row r="32" customFormat="false" ht="15" hidden="false" customHeight="false" outlineLevel="0" collapsed="false">
      <c r="A32" s="13" t="s">
        <v>184</v>
      </c>
      <c r="D32" s="10" t="n">
        <f aca="false">收入拆解!F44+收入拆解!F45</f>
        <v>556.789621</v>
      </c>
      <c r="E32" s="10" t="n">
        <f aca="false">收入拆解!G44+收入拆解!G45</f>
        <v>543.622989</v>
      </c>
      <c r="F32" s="24" t="n">
        <f aca="false">收入拆解!H44+收入拆解!H45</f>
        <v>706.4952849</v>
      </c>
      <c r="G32" s="24" t="n">
        <f aca="false">收入拆解!I44+收入拆解!I45</f>
        <v>742.820049145</v>
      </c>
      <c r="H32" s="24" t="n">
        <f aca="false">收入拆解!J44+收入拆解!J45</f>
        <v>780.46105160225</v>
      </c>
      <c r="I32" s="24" t="n">
        <f aca="false">收入拆解!K44+收入拆解!K45</f>
        <v>819.484104182363</v>
      </c>
      <c r="J32" s="24" t="n">
        <f aca="false">收入拆解!L44+收入拆解!L45</f>
        <v>859.958309391481</v>
      </c>
    </row>
    <row r="33" customFormat="false" ht="15" hidden="false" customHeight="false" outlineLevel="0" collapsed="false">
      <c r="A33" s="13" t="s">
        <v>185</v>
      </c>
      <c r="D33" s="10" t="n">
        <f aca="false">收入拆解!F17+收入拆解!F26+收入拆解!F41+收入拆解!F43</f>
        <v>6818.201201</v>
      </c>
      <c r="E33" s="10" t="n">
        <f aca="false">收入拆解!G17+收入拆解!G26+收入拆解!G41+收入拆解!G43</f>
        <v>8463.530905</v>
      </c>
      <c r="F33" s="24" t="n">
        <f aca="false">收入拆解!H17+收入拆解!H26+收入拆解!H41+收入拆解!H43</f>
        <v>13156.6921776892</v>
      </c>
      <c r="G33" s="24" t="n">
        <f aca="false">收入拆解!I17+收入拆解!I26+收入拆解!I41+收入拆解!I43</f>
        <v>16808.0829036899</v>
      </c>
      <c r="H33" s="24" t="n">
        <f aca="false">收入拆解!J17+收入拆解!J26+收入拆解!J41+收入拆解!J43</f>
        <v>19374.7560842925</v>
      </c>
      <c r="I33" s="24" t="n">
        <f aca="false">收入拆解!K17+收入拆解!K26+收入拆解!K41+收入拆解!K43</f>
        <v>21377.4725382677</v>
      </c>
      <c r="J33" s="24" t="n">
        <f aca="false">收入拆解!L17+收入拆解!L26+收入拆解!L41+收入拆解!L43</f>
        <v>22833.9312747556</v>
      </c>
    </row>
    <row r="34" customFormat="false" ht="15" hidden="false" customHeight="false" outlineLevel="0" collapsed="false">
      <c r="A34" s="13" t="s">
        <v>186</v>
      </c>
      <c r="C34" s="10" t="n">
        <f aca="false">收入拆解!E6</f>
        <v>2872.560891</v>
      </c>
      <c r="D34" s="10" t="n">
        <f aca="false">收入拆解!F6</f>
        <v>3816.106907</v>
      </c>
      <c r="E34" s="10" t="n">
        <f aca="false">收入拆解!G6</f>
        <v>5329.909248</v>
      </c>
    </row>
    <row r="35" customFormat="false" ht="15" hidden="false" customHeight="false" outlineLevel="0" collapsed="false">
      <c r="A35" s="13" t="s">
        <v>187</v>
      </c>
      <c r="C35" s="15" t="n">
        <f aca="false">人员与费用!E11</f>
        <v>13501</v>
      </c>
      <c r="D35" s="15" t="n">
        <f aca="false">人员与费用!F11</f>
        <v>15515</v>
      </c>
      <c r="E35" s="15" t="n">
        <f aca="false">人员与费用!G11</f>
        <v>17352</v>
      </c>
      <c r="F35" s="27" t="n">
        <f aca="false">人员与费用!H11</f>
        <v>19628.91</v>
      </c>
      <c r="G35" s="27" t="n">
        <f aca="false">人员与费用!I11</f>
        <v>21417.0988</v>
      </c>
      <c r="H35" s="27" t="n">
        <f aca="false">人员与费用!J11</f>
        <v>22809.930764</v>
      </c>
      <c r="I35" s="27" t="n">
        <f aca="false">人员与费用!K11</f>
        <v>23893.97866792</v>
      </c>
      <c r="J35" s="27" t="n">
        <f aca="false">人员与费用!L11</f>
        <v>24832.6666053076</v>
      </c>
    </row>
    <row r="36" customFormat="false" ht="15" hidden="false" customHeight="false" outlineLevel="0" collapsed="false">
      <c r="A36" s="13" t="s">
        <v>188</v>
      </c>
      <c r="D36" s="10" t="n">
        <f aca="false">人员与费用!F22</f>
        <v>12.9285275227461</v>
      </c>
      <c r="E36" s="10" t="n">
        <f aca="false">人员与费用!G22</f>
        <v>12.7932595673472</v>
      </c>
      <c r="F36" s="24" t="n">
        <f aca="false">人员与费用!H22</f>
        <v>13.4329225457145</v>
      </c>
      <c r="G36" s="24" t="n">
        <f aca="false">人员与费用!I22</f>
        <v>14.1045686730003</v>
      </c>
      <c r="H36" s="24" t="n">
        <f aca="false">人员与费用!J22</f>
        <v>14.7392742632853</v>
      </c>
      <c r="I36" s="24" t="n">
        <f aca="false">人员与费用!K22</f>
        <v>15.3288452338167</v>
      </c>
      <c r="J36" s="24" t="n">
        <f aca="false">人员与费用!L22</f>
        <v>15.9419990431694</v>
      </c>
    </row>
    <row r="37" customFormat="false" ht="15" hidden="false" customHeight="false" outlineLevel="0" collapsed="false">
      <c r="A37" s="13" t="s">
        <v>189</v>
      </c>
      <c r="C37" s="10" t="n">
        <f aca="false">资本开支与折旧!E11</f>
        <v>545.8847</v>
      </c>
      <c r="D37" s="10" t="n">
        <f aca="false">资本开支与折旧!F11</f>
        <v>639.0352</v>
      </c>
      <c r="E37" s="10" t="n">
        <f aca="false">资本开支与折旧!G11</f>
        <v>580.092</v>
      </c>
      <c r="F37" s="24" t="n">
        <f aca="false">资本开支与折旧!H11</f>
        <v>1787.9753332932</v>
      </c>
      <c r="G37" s="24" t="n">
        <f aca="false">资本开支与折旧!I11</f>
        <v>2593.59246892886</v>
      </c>
      <c r="H37" s="24" t="n">
        <f aca="false">资本开支与折旧!J11</f>
        <v>2358.51372418855</v>
      </c>
      <c r="I37" s="24" t="n">
        <f aca="false">资本开支与折旧!K11</f>
        <v>1918.93536545505</v>
      </c>
      <c r="J37" s="24" t="n">
        <f aca="false">资本开支与折旧!L11</f>
        <v>1679.45915863418</v>
      </c>
      <c r="L37" s="10" t="n">
        <f aca="false">季度数据!G19</f>
        <v>98.8266</v>
      </c>
      <c r="M37" s="10" t="n">
        <f aca="false">季度数据!H19</f>
        <v>108.3401</v>
      </c>
      <c r="N37" s="10" t="n">
        <f aca="false">季度数据!I19</f>
        <v>166.7533</v>
      </c>
      <c r="O37" s="10" t="n">
        <f aca="false">季度数据!J19</f>
        <v>206.172</v>
      </c>
      <c r="P37" s="10" t="n">
        <f aca="false">季度数据!K19</f>
        <v>188.4361</v>
      </c>
      <c r="Q37" s="10" t="n">
        <f aca="false">季度数据!L19</f>
        <v>287.9349</v>
      </c>
    </row>
    <row r="38" customFormat="false" ht="15" hidden="false" customHeight="false" outlineLevel="0" collapsed="false">
      <c r="A38" s="13" t="s">
        <v>190</v>
      </c>
      <c r="C38" s="10" t="n">
        <f aca="false">资本开支与折旧!E91</f>
        <v>609.432406</v>
      </c>
      <c r="D38" s="10" t="n">
        <f aca="false">资本开支与折旧!F91</f>
        <v>651.2802</v>
      </c>
      <c r="E38" s="10" t="n">
        <f aca="false">资本开支与折旧!G91</f>
        <v>740.433085</v>
      </c>
      <c r="F38" s="24" t="n">
        <f aca="false">资本开支与折旧!H91</f>
        <v>813.656921785668</v>
      </c>
      <c r="G38" s="24" t="n">
        <f aca="false">资本开支与折旧!I91</f>
        <v>914.994953136395</v>
      </c>
      <c r="H38" s="24" t="n">
        <f aca="false">资本开支与折旧!J91</f>
        <v>1060.03085907165</v>
      </c>
      <c r="I38" s="24" t="n">
        <f aca="false">资本开支与折旧!K91</f>
        <v>1212.64784020939</v>
      </c>
      <c r="J38" s="24" t="n">
        <f aca="false">资本开支与折旧!L91</f>
        <v>1348.21871326113</v>
      </c>
    </row>
    <row r="39" customFormat="false" ht="15" hidden="false" customHeight="false" outlineLevel="0" collapsed="false">
      <c r="A39" s="13" t="s">
        <v>191</v>
      </c>
      <c r="C39" s="28" t="n">
        <f aca="false">营运资金!E33</f>
        <v>143.998382049242</v>
      </c>
      <c r="D39" s="28" t="n">
        <f aca="false">营运资金!F33</f>
        <v>132.950963003235</v>
      </c>
      <c r="E39" s="28" t="n">
        <f aca="false">营运资金!G33</f>
        <v>132.102929927732</v>
      </c>
      <c r="F39" s="29" t="n">
        <f aca="false">营运资金!H33</f>
        <v>128</v>
      </c>
      <c r="G39" s="29" t="n">
        <f aca="false">营运资金!I33</f>
        <v>128</v>
      </c>
      <c r="H39" s="29" t="n">
        <f aca="false">营运资金!J33</f>
        <v>128</v>
      </c>
      <c r="I39" s="29" t="n">
        <f aca="false">营运资金!K33</f>
        <v>128</v>
      </c>
      <c r="J39" s="29" t="n">
        <f aca="false">营运资金!L33</f>
        <v>128</v>
      </c>
    </row>
    <row r="40" customFormat="false" ht="15" hidden="false" customHeight="false" outlineLevel="0" collapsed="false">
      <c r="A40" s="13" t="s">
        <v>192</v>
      </c>
      <c r="C40" s="28" t="n">
        <f aca="false">营运资金!E34</f>
        <v>185.766258188617</v>
      </c>
      <c r="D40" s="28" t="n">
        <f aca="false">营运资金!F34</f>
        <v>189.295005567006</v>
      </c>
      <c r="E40" s="28" t="n">
        <f aca="false">营运资金!G34</f>
        <v>167.501648434924</v>
      </c>
      <c r="F40" s="29" t="n">
        <f aca="false">营运资金!H34</f>
        <v>156.10015429964</v>
      </c>
      <c r="G40" s="29" t="n">
        <f aca="false">营运资金!I34</f>
        <v>157.079564286996</v>
      </c>
      <c r="H40" s="29" t="n">
        <f aca="false">营运资金!J34</f>
        <v>157.380082192584</v>
      </c>
      <c r="I40" s="29" t="n">
        <f aca="false">营运资金!K34</f>
        <v>157.47552525857</v>
      </c>
      <c r="J40" s="29" t="n">
        <f aca="false">营运资金!L34</f>
        <v>157.338050390631</v>
      </c>
    </row>
    <row r="41" customFormat="false" ht="15" hidden="false" customHeight="false" outlineLevel="0" collapsed="false">
      <c r="A41" s="13" t="s">
        <v>193</v>
      </c>
      <c r="C41" s="28" t="n">
        <f aca="false">营运资金!E35</f>
        <v>103.889772513656</v>
      </c>
      <c r="D41" s="28" t="n">
        <f aca="false">营运资金!F35</f>
        <v>112.437871291761</v>
      </c>
      <c r="E41" s="28" t="n">
        <f aca="false">营运资金!G35</f>
        <v>135.024323541117</v>
      </c>
      <c r="F41" s="29" t="n">
        <f aca="false">营运资金!H35</f>
        <v>135</v>
      </c>
      <c r="G41" s="29" t="n">
        <f aca="false">营运资金!I35</f>
        <v>135</v>
      </c>
      <c r="H41" s="29" t="n">
        <f aca="false">营运资金!J35</f>
        <v>135</v>
      </c>
      <c r="I41" s="29" t="n">
        <f aca="false">营运资金!K35</f>
        <v>135</v>
      </c>
      <c r="J41" s="29" t="n">
        <f aca="false">营运资金!L35</f>
        <v>135</v>
      </c>
    </row>
    <row r="42" customFormat="false" ht="15" hidden="false" customHeight="false" outlineLevel="0" collapsed="false">
      <c r="A42" s="13" t="s">
        <v>194</v>
      </c>
      <c r="C42" s="28" t="n">
        <f aca="false">营运资金!E36</f>
        <v>225.874867724203</v>
      </c>
      <c r="D42" s="28" t="n">
        <f aca="false">营运资金!F36</f>
        <v>209.808097278479</v>
      </c>
      <c r="E42" s="28" t="n">
        <f aca="false">营运资金!G36</f>
        <v>164.580254821539</v>
      </c>
      <c r="F42" s="29" t="n">
        <f aca="false">营运资金!H36</f>
        <v>149.10015429964</v>
      </c>
      <c r="G42" s="29" t="n">
        <f aca="false">营运资金!I36</f>
        <v>150.079564286996</v>
      </c>
      <c r="H42" s="29" t="n">
        <f aca="false">营运资金!J36</f>
        <v>150.380082192584</v>
      </c>
      <c r="I42" s="29" t="n">
        <f aca="false">营运资金!K36</f>
        <v>150.47552525857</v>
      </c>
      <c r="J42" s="29" t="n">
        <f aca="false">营运资金!L36</f>
        <v>150.338050390631</v>
      </c>
    </row>
    <row r="43" customFormat="false" ht="15" hidden="false" customHeight="false" outlineLevel="0" collapsed="false">
      <c r="A43" s="40" t="s">
        <v>195</v>
      </c>
      <c r="B43" s="6"/>
      <c r="C43" s="6"/>
      <c r="D43" s="6"/>
      <c r="E43" s="6"/>
      <c r="F43" s="6"/>
      <c r="G43" s="6"/>
      <c r="H43" s="6"/>
      <c r="I43" s="6"/>
      <c r="J43" s="6"/>
      <c r="K43" s="6"/>
      <c r="L43" s="6"/>
      <c r="M43" s="6"/>
      <c r="N43" s="6"/>
      <c r="O43" s="6"/>
      <c r="P43" s="6"/>
      <c r="Q43" s="6"/>
    </row>
    <row r="44" customFormat="false" ht="15" hidden="false" customHeight="false" outlineLevel="0" collapsed="false">
      <c r="A44" s="13" t="s">
        <v>196</v>
      </c>
      <c r="C44" s="10" t="n">
        <f aca="false">三表预测!E37</f>
        <v>2841.6149</v>
      </c>
      <c r="D44" s="10" t="n">
        <f aca="false">三表预测!F37</f>
        <v>3062.8452</v>
      </c>
      <c r="E44" s="10" t="n">
        <f aca="false">三表预测!G37</f>
        <v>3057.7786</v>
      </c>
      <c r="F44" s="24" t="n">
        <f aca="false">三表预测!H37</f>
        <v>9327.15172825816</v>
      </c>
      <c r="G44" s="24" t="n">
        <f aca="false">三表预测!I37</f>
        <v>10581.3579888219</v>
      </c>
      <c r="H44" s="24" t="n">
        <f aca="false">三表预测!J37</f>
        <v>12764.9321328223</v>
      </c>
      <c r="I44" s="24" t="n">
        <f aca="false">三表预测!K37</f>
        <v>15978.4561359624</v>
      </c>
      <c r="J44" s="24" t="n">
        <f aca="false">三表预测!L37</f>
        <v>19981.1230444062</v>
      </c>
      <c r="M44" s="10" t="n">
        <f aca="false">N(历史资产负债表!J5)</f>
        <v>5430.1287</v>
      </c>
      <c r="O44" s="10" t="n">
        <f aca="false">三表预测!G37</f>
        <v>3057.7786</v>
      </c>
      <c r="Q44" s="10" t="n">
        <f aca="false">N(历史资产负债表!K5)</f>
        <v>3825.5415</v>
      </c>
    </row>
    <row r="45" customFormat="false" ht="15" hidden="false" customHeight="false" outlineLevel="0" collapsed="false">
      <c r="A45" s="13" t="s">
        <v>197</v>
      </c>
      <c r="C45" s="10" t="n">
        <f aca="false">三表预测!E38</f>
        <v>3846.7081</v>
      </c>
      <c r="D45" s="10" t="n">
        <f aca="false">三表预测!F38</f>
        <v>5053.3869</v>
      </c>
      <c r="E45" s="10" t="n">
        <f aca="false">三表预测!G38</f>
        <v>3758.5116</v>
      </c>
      <c r="F45" s="24" t="n">
        <f aca="false">三表预测!H38</f>
        <v>3758.5116</v>
      </c>
      <c r="G45" s="24" t="n">
        <f aca="false">三表预测!I38</f>
        <v>3758.5116</v>
      </c>
      <c r="H45" s="24" t="n">
        <f aca="false">三表预测!J38</f>
        <v>3758.5116</v>
      </c>
      <c r="I45" s="24" t="n">
        <f aca="false">三表预测!K38</f>
        <v>3758.5116</v>
      </c>
      <c r="J45" s="24" t="n">
        <f aca="false">三表预测!L38</f>
        <v>3758.5116</v>
      </c>
      <c r="M45" s="10" t="n">
        <f aca="false">N(历史资产负债表!J6)</f>
        <v>2865.6921</v>
      </c>
      <c r="O45" s="10" t="n">
        <f aca="false">三表预测!G38</f>
        <v>3758.5116</v>
      </c>
      <c r="Q45" s="10" t="n">
        <f aca="false">N(历史资产负债表!K6)</f>
        <v>3256.5671</v>
      </c>
    </row>
    <row r="46" customFormat="false" ht="15" hidden="false" customHeight="false" outlineLevel="0" collapsed="false">
      <c r="A46" s="13" t="s">
        <v>198</v>
      </c>
      <c r="C46" s="10" t="n">
        <f aca="false">融资与资金!E10</f>
        <v>3590.703333</v>
      </c>
      <c r="D46" s="10" t="n">
        <f aca="false">融资与资金!F10</f>
        <v>2930.250492</v>
      </c>
      <c r="E46" s="10" t="n">
        <f aca="false">融资与资金!G10</f>
        <v>5850.993696</v>
      </c>
      <c r="F46" s="24" t="n">
        <f aca="false">融资与资金!H10</f>
        <v>5850.993696</v>
      </c>
      <c r="G46" s="24" t="n">
        <f aca="false">融资与资金!I10</f>
        <v>5850.993696</v>
      </c>
      <c r="H46" s="24" t="n">
        <f aca="false">融资与资金!J10</f>
        <v>5850.993696</v>
      </c>
      <c r="I46" s="24" t="n">
        <f aca="false">融资与资金!K10</f>
        <v>5850.993696</v>
      </c>
      <c r="J46" s="24" t="n">
        <f aca="false">融资与资金!L10</f>
        <v>5850.993696</v>
      </c>
      <c r="M46" s="30" t="n">
        <v>2925.94023393</v>
      </c>
      <c r="O46" s="10" t="n">
        <f aca="false">融资与资金!G10</f>
        <v>5850.993696</v>
      </c>
      <c r="Q46" s="30" t="n">
        <v>5693.13763312</v>
      </c>
    </row>
    <row r="47" customFormat="false" ht="15" hidden="false" customHeight="false" outlineLevel="0" collapsed="false">
      <c r="A47" s="13" t="s">
        <v>199</v>
      </c>
      <c r="C47" s="10" t="n">
        <f aca="false">三表预测!E39+三表预测!E40+三表预测!E41</f>
        <v>2259.2709</v>
      </c>
      <c r="D47" s="10" t="n">
        <f aca="false">三表预测!F39+三表预测!F40+三表预测!F41</f>
        <v>2686.3346</v>
      </c>
      <c r="E47" s="10" t="n">
        <f aca="false">三表预测!G39+三表预测!G40+三表预测!G41</f>
        <v>3259.9217</v>
      </c>
      <c r="F47" s="24" t="n">
        <f aca="false">三表预测!H39+三表预测!H40+三表预测!H41</f>
        <v>4861.61094578471</v>
      </c>
      <c r="G47" s="24" t="n">
        <f aca="false">三表预测!I39+三表预测!I40+三表预测!I41</f>
        <v>6154.83719989825</v>
      </c>
      <c r="H47" s="24" t="n">
        <f aca="false">三表预测!J39+三表预测!J40+三表预测!J41</f>
        <v>7068.13094080693</v>
      </c>
      <c r="I47" s="24" t="n">
        <f aca="false">三表预测!K39+三表预测!K40+三表预测!K41</f>
        <v>7784.13821981811</v>
      </c>
      <c r="J47" s="24" t="n">
        <f aca="false">三表预测!L39+三表预测!L40+三表预测!L41</f>
        <v>8309.09004594748</v>
      </c>
      <c r="M47" s="10" t="n">
        <f aca="false">N(历史资产负债表!J8)+N(历史资产负债表!J9)+N(历史资产负债表!J10)</f>
        <v>2804.7162</v>
      </c>
      <c r="O47" s="10" t="n">
        <f aca="false">三表预测!G39+三表预测!G40+三表预测!G41</f>
        <v>3259.9217</v>
      </c>
      <c r="Q47" s="10" t="n">
        <f aca="false">N(历史资产负债表!K8)+N(历史资产负债表!K9)+N(历史资产负债表!K10)</f>
        <v>4187.8129</v>
      </c>
    </row>
    <row r="48" customFormat="false" ht="15" hidden="false" customHeight="false" outlineLevel="0" collapsed="false">
      <c r="A48" s="13" t="s">
        <v>200</v>
      </c>
      <c r="C48" s="10" t="n">
        <f aca="false">三表预测!E44</f>
        <v>1753.5978</v>
      </c>
      <c r="D48" s="10" t="n">
        <f aca="false">三表预测!F44</f>
        <v>2180.7115</v>
      </c>
      <c r="E48" s="10" t="n">
        <f aca="false">三表预测!G44</f>
        <v>2391.7224</v>
      </c>
      <c r="F48" s="24" t="n">
        <f aca="false">三表预测!H44</f>
        <v>3265.11704696765</v>
      </c>
      <c r="G48" s="24" t="n">
        <f aca="false">三表预测!I44</f>
        <v>4138.03576593477</v>
      </c>
      <c r="H48" s="24" t="n">
        <f aca="false">三表预测!J44</f>
        <v>4834.15837735115</v>
      </c>
      <c r="I48" s="24" t="n">
        <f aca="false">三表预测!K44</f>
        <v>5417.64638880255</v>
      </c>
      <c r="J48" s="24" t="n">
        <f aca="false">三表预测!L44</f>
        <v>5833.14984002383</v>
      </c>
      <c r="M48" s="10" t="n">
        <f aca="false">N(历史资产负债表!J16)</f>
        <v>2163.2406</v>
      </c>
      <c r="O48" s="10" t="n">
        <f aca="false">三表预测!G44</f>
        <v>2391.7224</v>
      </c>
      <c r="Q48" s="10" t="n">
        <f aca="false">N(历史资产负债表!K16)</f>
        <v>2811.0479</v>
      </c>
    </row>
    <row r="49" customFormat="false" ht="15" hidden="false" customHeight="false" outlineLevel="0" collapsed="false">
      <c r="A49" s="13" t="s">
        <v>201</v>
      </c>
      <c r="C49" s="10" t="n">
        <f aca="false">三表预测!E47</f>
        <v>5783.8854</v>
      </c>
      <c r="D49" s="10" t="n">
        <f aca="false">三表预测!F47</f>
        <v>6327.452</v>
      </c>
      <c r="E49" s="10" t="n">
        <f aca="false">三表预测!G47</f>
        <v>6589.7152</v>
      </c>
      <c r="F49" s="24" t="n">
        <f aca="false">三表预测!H47</f>
        <v>7506.50273345863</v>
      </c>
      <c r="G49" s="24" t="n">
        <f aca="false">三表预测!I47</f>
        <v>9145.1311372593</v>
      </c>
      <c r="H49" s="24" t="n">
        <f aca="false">三表预测!J47</f>
        <v>10404.4810466518</v>
      </c>
      <c r="I49" s="24" t="n">
        <f aca="false">三表预测!K47</f>
        <v>11071.0276721772</v>
      </c>
      <c r="J49" s="24" t="n">
        <f aca="false">三表预测!L47</f>
        <v>11357.1316214669</v>
      </c>
      <c r="M49" s="10" t="n">
        <f aca="false">N(历史资产负债表!J22)+N(历史资产负债表!J25)</f>
        <v>6272.5564</v>
      </c>
      <c r="O49" s="10" t="n">
        <f aca="false">三表预测!G47</f>
        <v>6589.7152</v>
      </c>
      <c r="Q49" s="10" t="n">
        <f aca="false">N(历史资产负债表!K22)+N(历史资产负债表!K25)</f>
        <v>6937.0576</v>
      </c>
    </row>
    <row r="50" customFormat="false" ht="15" hidden="false" customHeight="false" outlineLevel="0" collapsed="false">
      <c r="A50" s="13" t="s">
        <v>202</v>
      </c>
      <c r="C50" s="10" t="n">
        <f aca="false">三表预测!E54</f>
        <v>21826.9646</v>
      </c>
      <c r="D50" s="10" t="n">
        <f aca="false">三表预测!F54</f>
        <v>23915.8029</v>
      </c>
      <c r="E50" s="10" t="n">
        <f aca="false">三表预测!G54</f>
        <v>26506.0877</v>
      </c>
      <c r="F50" s="24" t="n">
        <f aca="false">三表预测!H54</f>
        <v>36274.4710964116</v>
      </c>
      <c r="G50" s="24" t="n">
        <f aca="false">三表预测!I54</f>
        <v>41535.497556807</v>
      </c>
      <c r="H50" s="24" t="n">
        <f aca="false">三表预测!J54</f>
        <v>46732.4228861199</v>
      </c>
      <c r="I50" s="24" t="n">
        <f aca="false">三表预测!K54</f>
        <v>52023.4352824105</v>
      </c>
      <c r="J50" s="24" t="n">
        <f aca="false">三表预测!L54</f>
        <v>57335.0775274141</v>
      </c>
      <c r="M50" s="10" t="n">
        <f aca="false">N(历史资产负债表!J34)</f>
        <v>24097.8723</v>
      </c>
      <c r="O50" s="10" t="n">
        <f aca="false">三表预测!G54</f>
        <v>26506.0877</v>
      </c>
      <c r="Q50" s="10" t="n">
        <f aca="false">N(历史资产负债表!K34)</f>
        <v>28438.0811</v>
      </c>
    </row>
    <row r="51" customFormat="false" ht="15" hidden="false" customHeight="false" outlineLevel="0" collapsed="false">
      <c r="A51" s="13" t="s">
        <v>203</v>
      </c>
      <c r="C51" s="10" t="n">
        <f aca="false">融资与资金!E23</f>
        <v>745.2792</v>
      </c>
      <c r="D51" s="10" t="n">
        <f aca="false">融资与资金!F23</f>
        <v>479.3472</v>
      </c>
      <c r="E51" s="10" t="n">
        <f aca="false">融资与资金!G23</f>
        <v>567.6374</v>
      </c>
      <c r="F51" s="24" t="n">
        <f aca="false">融资与资金!H23</f>
        <v>567.6374</v>
      </c>
      <c r="G51" s="24" t="n">
        <f aca="false">融资与资金!I23</f>
        <v>567.6374</v>
      </c>
      <c r="H51" s="24" t="n">
        <f aca="false">融资与资金!J23</f>
        <v>567.6374</v>
      </c>
      <c r="I51" s="24" t="n">
        <f aca="false">融资与资金!K23</f>
        <v>567.6374</v>
      </c>
      <c r="J51" s="24" t="n">
        <f aca="false">融资与资金!L23</f>
        <v>567.6374</v>
      </c>
      <c r="M51" s="10" t="n">
        <f aca="false">N(历史资产负债表!J35)+N(历史资产负债表!J49)+N(历史资产负债表!J46)</f>
        <v>477.1853</v>
      </c>
      <c r="O51" s="10" t="n">
        <f aca="false">融资与资金!G23</f>
        <v>567.6374</v>
      </c>
      <c r="Q51" s="10" t="n">
        <f aca="false">N(历史资产负债表!K35)+N(历史资产负债表!K49)+N(历史资产负债表!K46)</f>
        <v>769.5973</v>
      </c>
    </row>
    <row r="52" customFormat="false" ht="15" hidden="false" customHeight="false" outlineLevel="0" collapsed="false">
      <c r="A52" s="13" t="s">
        <v>204</v>
      </c>
      <c r="C52" s="10" t="n">
        <f aca="false">三表预测!E66</f>
        <v>3587.8643</v>
      </c>
      <c r="D52" s="10" t="n">
        <f aca="false">三表预测!F66</f>
        <v>4044.0346</v>
      </c>
      <c r="E52" s="10" t="n">
        <f aca="false">三表预测!G66</f>
        <v>4843.0454</v>
      </c>
      <c r="F52" s="24" t="n">
        <f aca="false">三表预测!H66</f>
        <v>6041.64769138612</v>
      </c>
      <c r="G52" s="24" t="n">
        <f aca="false">三表预测!I66</f>
        <v>7076.45457638539</v>
      </c>
      <c r="H52" s="24" t="n">
        <f aca="false">三表预测!J66</f>
        <v>7894.21977112122</v>
      </c>
      <c r="I52" s="24" t="n">
        <f aca="false">三表预测!K66</f>
        <v>8576.663059689</v>
      </c>
      <c r="J52" s="24" t="n">
        <f aca="false">三表预测!L66</f>
        <v>9085.77659653421</v>
      </c>
      <c r="M52" s="10" t="n">
        <f aca="false">N(历史资产负债表!J59)</f>
        <v>3810.4021</v>
      </c>
      <c r="O52" s="10" t="n">
        <f aca="false">三表预测!G66</f>
        <v>4843.0454</v>
      </c>
      <c r="Q52" s="10" t="n">
        <f aca="false">N(历史资产负债表!K59)</f>
        <v>5789.5051</v>
      </c>
    </row>
    <row r="53" customFormat="false" ht="15" hidden="false" customHeight="false" outlineLevel="0" collapsed="false">
      <c r="A53" s="13" t="s">
        <v>205</v>
      </c>
      <c r="C53" s="10" t="n">
        <f aca="false">三表预测!E67</f>
        <v>18233.1976</v>
      </c>
      <c r="D53" s="10" t="n">
        <f aca="false">三表预测!F67</f>
        <v>19866.0811</v>
      </c>
      <c r="E53" s="10" t="n">
        <f aca="false">三表预测!G67</f>
        <v>21658.7593</v>
      </c>
      <c r="F53" s="24" t="n">
        <f aca="false">三表预测!H67</f>
        <v>30228.5405560255</v>
      </c>
      <c r="G53" s="24" t="n">
        <f aca="false">三表预测!I67</f>
        <v>34454.7601314216</v>
      </c>
      <c r="H53" s="24" t="n">
        <f aca="false">三表预测!J67</f>
        <v>38833.9202659987</v>
      </c>
      <c r="I53" s="24" t="n">
        <f aca="false">三表预测!K67</f>
        <v>43442.4893737215</v>
      </c>
      <c r="J53" s="24" t="n">
        <f aca="false">三表预测!L67</f>
        <v>48245.0180818799</v>
      </c>
      <c r="M53" s="10" t="n">
        <f aca="false">N(历史资产负债表!J66)</f>
        <v>20281.8364</v>
      </c>
      <c r="O53" s="10" t="n">
        <f aca="false">三表预测!G67</f>
        <v>21658.7593</v>
      </c>
      <c r="Q53" s="10" t="n">
        <f aca="false">N(历史资产负债表!K66)</f>
        <v>22644.4153</v>
      </c>
    </row>
    <row r="54" customFormat="false" ht="15" hidden="false" customHeight="false" outlineLevel="0" collapsed="false">
      <c r="A54" s="13" t="s">
        <v>206</v>
      </c>
      <c r="C54" s="10" t="n">
        <f aca="false">融资与资金!E43</f>
        <v>9507.173633</v>
      </c>
      <c r="D54" s="10" t="n">
        <f aca="false">融资与资金!F43</f>
        <v>10544.889492</v>
      </c>
      <c r="E54" s="10" t="n">
        <f aca="false">融资与资金!G43</f>
        <v>12080.846696</v>
      </c>
      <c r="F54" s="24" t="n">
        <f aca="false">融资与资金!H43</f>
        <v>18350.2198242582</v>
      </c>
      <c r="G54" s="24" t="n">
        <f aca="false">融资与资金!I43</f>
        <v>19604.4260848219</v>
      </c>
      <c r="H54" s="24" t="n">
        <f aca="false">融资与资金!J43</f>
        <v>21788.0002288223</v>
      </c>
      <c r="I54" s="24" t="n">
        <f aca="false">融资与资金!K43</f>
        <v>25001.5242319624</v>
      </c>
      <c r="J54" s="24" t="n">
        <f aca="false">融资与资金!L43</f>
        <v>29004.1911404062</v>
      </c>
      <c r="M54" s="10" t="n">
        <f aca="false">M44+M45+M46-M51-N(N(历史资产负债表!J50))</f>
        <v>10723.91593393</v>
      </c>
      <c r="O54" s="10" t="n">
        <f aca="false">融资与资金!G43</f>
        <v>12080.846696</v>
      </c>
      <c r="Q54" s="10" t="n">
        <f aca="false">Q44+Q45+Q46-Q51-N(N(历史资产负债表!K50))</f>
        <v>11984.41183312</v>
      </c>
    </row>
    <row r="55" customFormat="false" ht="15" hidden="false" customHeight="false" outlineLevel="0" collapsed="false">
      <c r="A55" s="4" t="s">
        <v>207</v>
      </c>
      <c r="C55" s="31" t="n">
        <f aca="false">IFERROR(C52/C50,0)</f>
        <v>0.16437761116816</v>
      </c>
      <c r="D55" s="31" t="n">
        <f aca="false">IFERROR(D52/D50,0)</f>
        <v>0.169094661672429</v>
      </c>
      <c r="E55" s="31" t="n">
        <f aca="false">IFERROR(E52/E50,0)</f>
        <v>0.182714456196416</v>
      </c>
      <c r="F55" s="32" t="n">
        <f aca="false">IFERROR(F52/F50,0)</f>
        <v>0.166553708676507</v>
      </c>
      <c r="G55" s="32" t="n">
        <f aca="false">IFERROR(G52/G50,0)</f>
        <v>0.170371248513567</v>
      </c>
      <c r="H55" s="32" t="n">
        <f aca="false">IFERROR(H52/H50,0)</f>
        <v>0.168923828117328</v>
      </c>
      <c r="I55" s="32" t="n">
        <f aca="false">IFERROR(I52/I50,0)</f>
        <v>0.164861528523258</v>
      </c>
      <c r="J55" s="32" t="n">
        <f aca="false">IFERROR(J52/J50,0)</f>
        <v>0.15846802670128</v>
      </c>
      <c r="M55" s="31" t="n">
        <f aca="false">IFERROR(M52/M50,0)</f>
        <v>0.158121930955705</v>
      </c>
      <c r="O55" s="31" t="n">
        <f aca="false">IFERROR(O52/O50,0)</f>
        <v>0.182714456196416</v>
      </c>
      <c r="Q55" s="31" t="n">
        <f aca="false">IFERROR(Q52/Q50,0)</f>
        <v>0.203582832457708</v>
      </c>
    </row>
    <row r="56" customFormat="false" ht="15" hidden="false" customHeight="false" outlineLevel="0" collapsed="false">
      <c r="A56" s="40" t="s">
        <v>208</v>
      </c>
      <c r="B56" s="6"/>
      <c r="C56" s="6"/>
      <c r="D56" s="6"/>
      <c r="E56" s="6"/>
      <c r="F56" s="6"/>
      <c r="G56" s="6"/>
      <c r="H56" s="6"/>
      <c r="I56" s="6"/>
      <c r="J56" s="6"/>
      <c r="K56" s="6"/>
      <c r="L56" s="6"/>
      <c r="M56" s="6"/>
      <c r="N56" s="6"/>
      <c r="O56" s="6"/>
      <c r="P56" s="6"/>
      <c r="Q56" s="6"/>
    </row>
    <row r="57" customFormat="false" ht="15" hidden="false" customHeight="false" outlineLevel="0" collapsed="false">
      <c r="A57" s="13" t="s">
        <v>209</v>
      </c>
      <c r="C57" s="10" t="n">
        <f aca="false">三表预测!E79</f>
        <v>1718.968</v>
      </c>
      <c r="D57" s="10" t="n">
        <f aca="false">三表预测!F79</f>
        <v>2403.1223</v>
      </c>
      <c r="E57" s="10" t="n">
        <f aca="false">三表预测!G79</f>
        <v>2877.6091</v>
      </c>
      <c r="F57" s="24" t="n">
        <f aca="false">三表预测!H79</f>
        <v>3666.01591981385</v>
      </c>
      <c r="G57" s="24" t="n">
        <f aca="false">三表预测!I79</f>
        <v>5172.84010814517</v>
      </c>
      <c r="H57" s="24" t="n">
        <f aca="false">三表预测!J79</f>
        <v>6314.84856962985</v>
      </c>
      <c r="I57" s="24" t="n">
        <f aca="false">三表预测!K79</f>
        <v>7098.96679512031</v>
      </c>
      <c r="J57" s="24" t="n">
        <f aca="false">三表预测!L79</f>
        <v>7784.67927111402</v>
      </c>
      <c r="L57" s="10" t="n">
        <f aca="false">季度数据!G18</f>
        <v>242.589</v>
      </c>
      <c r="M57" s="10" t="n">
        <f aca="false">季度数据!H18</f>
        <v>885.1204</v>
      </c>
      <c r="N57" s="10" t="n">
        <f aca="false">季度数据!I18</f>
        <v>862.7469</v>
      </c>
      <c r="O57" s="10" t="n">
        <f aca="false">季度数据!J18</f>
        <v>887.1527</v>
      </c>
      <c r="P57" s="10" t="n">
        <f aca="false">季度数据!K18</f>
        <v>156.6853</v>
      </c>
      <c r="Q57" s="10" t="n">
        <f aca="false">季度数据!L18</f>
        <v>1140.6343</v>
      </c>
    </row>
    <row r="58" customFormat="false" ht="15" hidden="false" customHeight="false" outlineLevel="0" collapsed="false">
      <c r="A58" s="13" t="s">
        <v>210</v>
      </c>
      <c r="C58" s="10" t="n">
        <f aca="false">三表预测!E80</f>
        <v>-545.8847</v>
      </c>
      <c r="D58" s="10" t="n">
        <f aca="false">三表预测!F80</f>
        <v>-639.0352</v>
      </c>
      <c r="E58" s="10" t="n">
        <f aca="false">三表预测!G80</f>
        <v>-580.092</v>
      </c>
      <c r="F58" s="24" t="n">
        <f aca="false">三表预测!H80</f>
        <v>-1787.9753332932</v>
      </c>
      <c r="G58" s="24" t="n">
        <f aca="false">三表预测!I80</f>
        <v>-2593.59246892886</v>
      </c>
      <c r="H58" s="24" t="n">
        <f aca="false">三表预测!J80</f>
        <v>-2358.51372418855</v>
      </c>
      <c r="I58" s="24" t="n">
        <f aca="false">三表预测!K80</f>
        <v>-1918.93536545505</v>
      </c>
      <c r="J58" s="24" t="n">
        <f aca="false">三表预测!L80</f>
        <v>-1679.45915863418</v>
      </c>
      <c r="L58" s="10" t="n">
        <f aca="false">-季度数据!G19</f>
        <v>-98.8266</v>
      </c>
      <c r="M58" s="10" t="n">
        <f aca="false">-季度数据!H19</f>
        <v>-108.3401</v>
      </c>
      <c r="N58" s="10" t="n">
        <f aca="false">-季度数据!I19</f>
        <v>-166.7533</v>
      </c>
      <c r="O58" s="10" t="n">
        <f aca="false">-季度数据!J19</f>
        <v>-206.172</v>
      </c>
      <c r="P58" s="10" t="n">
        <f aca="false">-季度数据!K19</f>
        <v>-188.4361</v>
      </c>
      <c r="Q58" s="10" t="n">
        <f aca="false">-季度数据!L19</f>
        <v>-287.9349</v>
      </c>
    </row>
    <row r="59" customFormat="false" ht="15" hidden="false" customHeight="false" outlineLevel="0" collapsed="false">
      <c r="A59" s="13" t="s">
        <v>211</v>
      </c>
      <c r="C59" s="33" t="n">
        <f aca="false">C57+C58</f>
        <v>1173.0833</v>
      </c>
      <c r="D59" s="33" t="n">
        <f aca="false">D57+D58</f>
        <v>1764.0871</v>
      </c>
      <c r="E59" s="33" t="n">
        <f aca="false">E57+E58</f>
        <v>2297.5171</v>
      </c>
      <c r="F59" s="34" t="n">
        <f aca="false">F57+F58</f>
        <v>1878.04058652066</v>
      </c>
      <c r="G59" s="34" t="n">
        <f aca="false">G57+G58</f>
        <v>2579.24763921631</v>
      </c>
      <c r="H59" s="34" t="n">
        <f aca="false">H57+H58</f>
        <v>3956.3348454413</v>
      </c>
      <c r="I59" s="34" t="n">
        <f aca="false">I57+I58</f>
        <v>5180.03142966526</v>
      </c>
      <c r="J59" s="34" t="n">
        <f aca="false">J57+J58</f>
        <v>6105.22011247984</v>
      </c>
      <c r="L59" s="33" t="n">
        <f aca="false">L57+L58</f>
        <v>143.7624</v>
      </c>
      <c r="M59" s="33" t="n">
        <f aca="false">M57+M58</f>
        <v>776.7803</v>
      </c>
      <c r="N59" s="33" t="n">
        <f aca="false">N57+N58</f>
        <v>695.9936</v>
      </c>
      <c r="O59" s="33" t="n">
        <f aca="false">O57+O58</f>
        <v>680.9807</v>
      </c>
      <c r="P59" s="33" t="n">
        <f aca="false">P57+P58</f>
        <v>-31.7508</v>
      </c>
      <c r="Q59" s="33" t="n">
        <f aca="false">Q57+Q58</f>
        <v>852.6994</v>
      </c>
    </row>
    <row r="60" customFormat="false" ht="15" hidden="false" customHeight="false" outlineLevel="0" collapsed="false">
      <c r="A60" s="13" t="s">
        <v>212</v>
      </c>
      <c r="C60" s="10" t="n">
        <f aca="false">-三表预测!E85</f>
        <v>489.9347</v>
      </c>
      <c r="D60" s="10" t="n">
        <f aca="false">-三表预测!F85</f>
        <v>553.6596</v>
      </c>
      <c r="E60" s="10" t="n">
        <f aca="false">-三表预测!G85</f>
        <v>726.6256</v>
      </c>
      <c r="F60" s="24" t="n">
        <f aca="false">-三表预测!H85</f>
        <v>860.11</v>
      </c>
      <c r="G60" s="24" t="n">
        <f aca="false">-三表预测!I85</f>
        <v>1405.91765177716</v>
      </c>
      <c r="H60" s="24" t="n">
        <f aca="false">-三表预测!J85</f>
        <v>1858.60528496718</v>
      </c>
      <c r="I60" s="24" t="n">
        <f aca="false">-三表预测!K85</f>
        <v>2058.46258844961</v>
      </c>
      <c r="J60" s="24" t="n">
        <f aca="false">-三表预测!L85</f>
        <v>2200.12045973692</v>
      </c>
      <c r="L60" s="10" t="n">
        <f aca="false">季度数据!G20</f>
        <v>0</v>
      </c>
      <c r="M60" s="10" t="n">
        <f aca="false">季度数据!H20</f>
        <v>726.3767</v>
      </c>
      <c r="N60" s="10" t="n">
        <f aca="false">季度数据!I20</f>
        <v>0.1353</v>
      </c>
      <c r="O60" s="10" t="n">
        <f aca="false">季度数据!J20</f>
        <v>0.1137</v>
      </c>
      <c r="P60" s="10" t="n">
        <f aca="false">季度数据!K20</f>
        <v>0.1622</v>
      </c>
      <c r="Q60" s="10" t="n">
        <f aca="false">季度数据!L20</f>
        <v>860.8047</v>
      </c>
    </row>
    <row r="61" customFormat="false" ht="15" hidden="false" customHeight="false" outlineLevel="0" collapsed="false">
      <c r="A61" s="13" t="s">
        <v>213</v>
      </c>
      <c r="C61" s="10" t="n">
        <f aca="false">-三表预测!E86</f>
        <v>-0</v>
      </c>
      <c r="D61" s="10" t="n">
        <f aca="false">-三表预测!F86</f>
        <v>-0</v>
      </c>
      <c r="E61" s="10" t="n">
        <f aca="false">-三表预测!G86</f>
        <v>175.440732</v>
      </c>
      <c r="F61" s="24" t="n">
        <f aca="false">-三表预测!H86</f>
        <v>1644.66</v>
      </c>
      <c r="G61" s="24" t="n">
        <f aca="false">-三表预测!I86</f>
        <v>0</v>
      </c>
      <c r="H61" s="24" t="n">
        <f aca="false">-三表预测!J86</f>
        <v>0</v>
      </c>
      <c r="I61" s="24" t="n">
        <f aca="false">-三表预测!K86</f>
        <v>0</v>
      </c>
      <c r="J61" s="24" t="n">
        <f aca="false">-三表预测!L86</f>
        <v>0</v>
      </c>
    </row>
    <row r="62" customFormat="false" ht="15" hidden="false" customHeight="false" outlineLevel="0" collapsed="false">
      <c r="A62" s="40" t="s">
        <v>214</v>
      </c>
      <c r="B62" s="6"/>
      <c r="C62" s="6"/>
      <c r="D62" s="6"/>
      <c r="E62" s="6"/>
      <c r="F62" s="6"/>
      <c r="G62" s="6"/>
      <c r="H62" s="6"/>
      <c r="I62" s="6"/>
      <c r="J62" s="6"/>
      <c r="K62" s="6"/>
      <c r="L62" s="6"/>
      <c r="M62" s="6"/>
      <c r="N62" s="6"/>
      <c r="O62" s="6"/>
      <c r="P62" s="6"/>
      <c r="Q62" s="6"/>
    </row>
    <row r="63" customFormat="false" ht="15" hidden="false" customHeight="false" outlineLevel="0" collapsed="false">
      <c r="A63" s="13" t="s">
        <v>215</v>
      </c>
      <c r="C63" s="12" t="n">
        <f aca="false">回报分析!E8</f>
        <v>0.0894909327380109</v>
      </c>
      <c r="D63" s="12" t="n">
        <f aca="false">回报分析!F8</f>
        <v>0.114986386868264</v>
      </c>
      <c r="E63" s="12" t="n">
        <f aca="false">回报分析!G8</f>
        <v>0.126111690004232</v>
      </c>
      <c r="F63" s="25" t="n">
        <f aca="false">回报分析!H8</f>
        <v>0.164215772736616</v>
      </c>
      <c r="G63" s="25" t="n">
        <f aca="false">回报分析!I8</f>
        <v>0.174145016327724</v>
      </c>
      <c r="H63" s="25" t="n">
        <f aca="false">回报分析!J8</f>
        <v>0.170224525416993</v>
      </c>
      <c r="I63" s="25" t="n">
        <f aca="false">回报分析!K8</f>
        <v>0.162064235067298</v>
      </c>
      <c r="J63" s="25" t="n">
        <f aca="false">回报分析!L8</f>
        <v>0.152750344342956</v>
      </c>
    </row>
    <row r="64" customFormat="false" ht="15" hidden="false" customHeight="false" outlineLevel="0" collapsed="false">
      <c r="A64" s="13" t="s">
        <v>29</v>
      </c>
      <c r="C64" s="12" t="n">
        <f aca="false">回报分析!E11</f>
        <v>0.15708236268918</v>
      </c>
      <c r="D64" s="12" t="n">
        <f aca="false">回报分析!F11</f>
        <v>0.221413405597182</v>
      </c>
      <c r="E64" s="12" t="n">
        <f aca="false">回报分析!G11</f>
        <v>0.254801709744815</v>
      </c>
      <c r="F64" s="25" t="n">
        <f aca="false">回报分析!H11</f>
        <v>0.372908874690275</v>
      </c>
      <c r="G64" s="25" t="n">
        <f aca="false">回报分析!I11</f>
        <v>0.401102458353147</v>
      </c>
      <c r="H64" s="25" t="n">
        <f aca="false">回报分析!J11</f>
        <v>0.373702818036969</v>
      </c>
      <c r="I64" s="25" t="n">
        <f aca="false">回报分析!K11</f>
        <v>0.35914986418445</v>
      </c>
      <c r="J64" s="25" t="n">
        <f aca="false">回报分析!L11</f>
        <v>0.353670012315508</v>
      </c>
    </row>
    <row r="65" customFormat="false" ht="15" hidden="false" customHeight="false" outlineLevel="0" collapsed="false">
      <c r="A65" s="13" t="s">
        <v>216</v>
      </c>
      <c r="C65" s="14" t="n">
        <f aca="false">IFERROR(三表预测!E67/股本与每股!E12,0)</f>
        <v>9.51381299859868</v>
      </c>
      <c r="D65" s="14" t="n">
        <f aca="false">IFERROR(三表预测!F67/股本与每股!F12,0)</f>
        <v>10.3658274728726</v>
      </c>
      <c r="E65" s="14" t="n">
        <f aca="false">IFERROR(三表预测!G67/股本与每股!G12,0)</f>
        <v>11.3315748131939</v>
      </c>
      <c r="F65" s="26" t="n">
        <f aca="false">IFERROR(三表预测!H67/股本与每股!H12,0)</f>
        <v>15.2923624002587</v>
      </c>
      <c r="G65" s="26" t="n">
        <f aca="false">IFERROR(三表预测!I67/股本与每股!I12,0)</f>
        <v>17.4303710550346</v>
      </c>
      <c r="H65" s="26" t="n">
        <f aca="false">IFERROR(三表预测!J67/股本与每股!J12,0)</f>
        <v>19.6457510421233</v>
      </c>
      <c r="I65" s="26" t="n">
        <f aca="false">IFERROR(三表预测!K67/股本与每股!K12,0)</f>
        <v>21.9771870838771</v>
      </c>
      <c r="J65" s="26" t="n">
        <f aca="false">IFERROR(三表预测!L67/股本与每股!L12,0)</f>
        <v>24.4067456431693</v>
      </c>
    </row>
    <row r="66" customFormat="false" ht="15" hidden="false" customHeight="false" outlineLevel="0" collapsed="false">
      <c r="A66" s="13" t="s">
        <v>217</v>
      </c>
      <c r="E66" s="14" t="n">
        <f aca="false">股本与每股!G15</f>
        <v>0.38</v>
      </c>
      <c r="F66" s="26" t="n">
        <f aca="false">股本与每股!H15</f>
        <v>0.449998112891731</v>
      </c>
      <c r="G66" s="26" t="n">
        <f aca="false">股本与每股!I15</f>
        <v>0.711241821154068</v>
      </c>
      <c r="H66" s="26" t="n">
        <f aca="false">股本与每股!J15</f>
        <v>0.940252657056869</v>
      </c>
      <c r="I66" s="26" t="n">
        <f aca="false">股本与每股!K15</f>
        <v>1.04135877256805</v>
      </c>
      <c r="J66" s="26" t="n">
        <f aca="false">股本与每股!L15</f>
        <v>1.11302228872622</v>
      </c>
    </row>
    <row r="67" customFormat="false" ht="15" hidden="false" customHeight="false" outlineLevel="0" collapsed="false">
      <c r="A67" s="13" t="s">
        <v>218</v>
      </c>
      <c r="C67" s="16" t="n">
        <f aca="false">回报分析!E16</f>
        <v>143.647677584138</v>
      </c>
      <c r="D67" s="16" t="n">
        <f aca="false">回报分析!F16</f>
        <v>103.679618985686</v>
      </c>
      <c r="E67" s="16" t="n">
        <f aca="false">回报分析!G16</f>
        <v>86.5024350186006</v>
      </c>
      <c r="F67" s="35" t="n">
        <f aca="false">回报分析!H16</f>
        <v>54.9813000823656</v>
      </c>
      <c r="G67" s="35" t="n">
        <f aca="false">回报分析!I16</f>
        <v>41.5898851298166</v>
      </c>
      <c r="H67" s="35" t="n">
        <f aca="false">回报分析!J16</f>
        <v>37.5518995279263</v>
      </c>
      <c r="I67" s="35" t="n">
        <f aca="false">回报分析!K16</f>
        <v>35.1340673013414</v>
      </c>
      <c r="J67" s="35" t="n">
        <f aca="false">回报分析!L16</f>
        <v>33.450189306557</v>
      </c>
    </row>
    <row r="68" customFormat="false" ht="15" hidden="false" customHeight="false" outlineLevel="0" collapsed="false">
      <c r="A68" s="13" t="s">
        <v>219</v>
      </c>
      <c r="C68" s="16" t="n">
        <f aca="false">回报分析!E17</f>
        <v>12.4555738080467</v>
      </c>
      <c r="D68" s="16" t="n">
        <f aca="false">回报分析!F17</f>
        <v>11.4317935842666</v>
      </c>
      <c r="E68" s="16" t="n">
        <f aca="false">回报分析!G17</f>
        <v>10.4575049764508</v>
      </c>
      <c r="F68" s="35" t="n">
        <f aca="false">回报分析!H17</f>
        <v>7.74896624199771</v>
      </c>
      <c r="G68" s="35" t="n">
        <f aca="false">回报分析!I17</f>
        <v>6.79847833565038</v>
      </c>
      <c r="H68" s="35" t="n">
        <f aca="false">回报分析!J17</f>
        <v>6.0318386273917</v>
      </c>
      <c r="I68" s="35" t="n">
        <f aca="false">回报分析!K17</f>
        <v>5.39195482787394</v>
      </c>
      <c r="J68" s="35" t="n">
        <f aca="false">回报分析!L17</f>
        <v>4.85521510046811</v>
      </c>
    </row>
    <row r="69" customFormat="false" ht="15" hidden="false" customHeight="false" outlineLevel="0" collapsed="false">
      <c r="A69" s="13" t="s">
        <v>220</v>
      </c>
      <c r="F69" s="35" t="n">
        <f aca="false">回报分析!H18</f>
        <v>39.8832539736028</v>
      </c>
      <c r="G69" s="35" t="n">
        <f aca="false">回报分析!I18</f>
        <v>30.2741228267509</v>
      </c>
      <c r="H69" s="35" t="n">
        <f aca="false">回报分析!J18</f>
        <v>27.0879276761629</v>
      </c>
      <c r="I69" s="35" t="n">
        <f aca="false">回报分析!K18</f>
        <v>25.1119626129796</v>
      </c>
      <c r="J69" s="35" t="n">
        <f aca="false">回报分析!L18</f>
        <v>23.8161796347948</v>
      </c>
    </row>
    <row r="71" customFormat="false" ht="15" hidden="false" customHeight="false" outlineLevel="0" collapsed="false">
      <c r="A71" s="37" t="s">
        <v>221</v>
      </c>
    </row>
    <row r="72" customFormat="false" ht="15" hidden="false" customHeight="false" outlineLevel="0" collapsed="false">
      <c r="A72" s="37"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12" min="3" style="0" width="11"/>
    <col collapsed="false" customWidth="true" hidden="false" outlineLevel="0" max="13" min="13" style="0" width="95"/>
  </cols>
  <sheetData>
    <row r="1" customFormat="false" ht="21.6" hidden="false" customHeight="false" outlineLevel="0" collapsed="false">
      <c r="A1" s="1" t="s">
        <v>223</v>
      </c>
    </row>
    <row r="2" customFormat="false" ht="15" hidden="false" customHeight="false" outlineLevel="0" collapsed="false">
      <c r="A2" s="2" t="s">
        <v>224</v>
      </c>
    </row>
    <row r="4" customFormat="false" ht="15" hidden="false" customHeight="false" outlineLevel="0" collapsed="false">
      <c r="A4" s="5" t="s">
        <v>225</v>
      </c>
      <c r="B4" s="6"/>
      <c r="C4" s="6"/>
      <c r="D4" s="6"/>
      <c r="E4" s="6"/>
      <c r="F4" s="6"/>
      <c r="G4" s="6"/>
      <c r="H4" s="6"/>
      <c r="I4" s="6"/>
      <c r="J4" s="6"/>
      <c r="K4" s="6"/>
      <c r="L4" s="6"/>
      <c r="M4" s="6"/>
    </row>
    <row r="5" customFormat="false" ht="15" hidden="false" customHeight="false" outlineLevel="0" collapsed="false">
      <c r="A5" s="11" t="s">
        <v>226</v>
      </c>
      <c r="C5" s="41" t="n">
        <v>1</v>
      </c>
      <c r="D5" s="2" t="s">
        <v>227</v>
      </c>
    </row>
    <row r="6" customFormat="false" ht="15" hidden="false" customHeight="false" outlineLevel="0" collapsed="false">
      <c r="A6" s="4" t="s">
        <v>228</v>
      </c>
      <c r="C6" s="42" t="n">
        <v>118.5</v>
      </c>
      <c r="D6" s="37" t="s">
        <v>229</v>
      </c>
    </row>
    <row r="7" customFormat="false" ht="15" hidden="false" customHeight="false" outlineLevel="0" collapsed="false">
      <c r="A7" s="4" t="s">
        <v>230</v>
      </c>
      <c r="C7" s="43" t="n">
        <v>100.3</v>
      </c>
      <c r="D7" s="37" t="s">
        <v>231</v>
      </c>
    </row>
    <row r="8" customFormat="false" ht="15" hidden="false" customHeight="false" outlineLevel="0" collapsed="false">
      <c r="A8" s="11" t="s">
        <v>232</v>
      </c>
      <c r="C8" s="44" t="n">
        <v>0.8686</v>
      </c>
      <c r="D8" s="37" t="s">
        <v>233</v>
      </c>
    </row>
    <row r="9" customFormat="false" ht="15" hidden="false" customHeight="false" outlineLevel="0" collapsed="false">
      <c r="A9" s="4" t="s">
        <v>234</v>
      </c>
      <c r="C9" s="45" t="n">
        <v>80221200</v>
      </c>
      <c r="D9" s="37" t="s">
        <v>235</v>
      </c>
    </row>
    <row r="10" customFormat="false" ht="15" hidden="false" customHeight="false" outlineLevel="0" collapsed="false">
      <c r="A10" s="4" t="s">
        <v>236</v>
      </c>
      <c r="C10" s="46" t="n">
        <v>0.025</v>
      </c>
      <c r="D10" s="2" t="s">
        <v>237</v>
      </c>
    </row>
    <row r="11" customFormat="false" ht="15" hidden="false" customHeight="false" outlineLevel="0" collapsed="false">
      <c r="A11" s="4" t="s">
        <v>238</v>
      </c>
      <c r="C11" s="47" t="n">
        <v>172</v>
      </c>
      <c r="D11" s="37" t="s">
        <v>239</v>
      </c>
    </row>
    <row r="12" customFormat="false" ht="15" hidden="false" customHeight="false" outlineLevel="0" collapsed="false">
      <c r="A12" s="4" t="s">
        <v>240</v>
      </c>
      <c r="C12" s="46" t="n">
        <v>0.412</v>
      </c>
      <c r="D12" s="37" t="s">
        <v>241</v>
      </c>
    </row>
    <row r="13" customFormat="false" ht="15" hidden="false" customHeight="false" outlineLevel="0" collapsed="false">
      <c r="A13" s="4" t="s">
        <v>242</v>
      </c>
      <c r="C13" s="45" t="n">
        <v>8547300</v>
      </c>
      <c r="D13" s="37" t="s">
        <v>243</v>
      </c>
    </row>
    <row r="14" customFormat="false" ht="15" hidden="false" customHeight="false" outlineLevel="0" collapsed="false">
      <c r="A14" s="4" t="s">
        <v>244</v>
      </c>
      <c r="C14" s="30" t="n">
        <v>894.66</v>
      </c>
      <c r="D14" s="37" t="s">
        <v>245</v>
      </c>
    </row>
    <row r="15" customFormat="false" ht="15" hidden="false" customHeight="false" outlineLevel="0" collapsed="false">
      <c r="A15" s="4" t="s">
        <v>246</v>
      </c>
      <c r="C15" s="48" t="n">
        <v>750</v>
      </c>
      <c r="D15" s="2" t="s">
        <v>247</v>
      </c>
    </row>
    <row r="16" customFormat="false" ht="15" hidden="false" customHeight="false" outlineLevel="0" collapsed="false">
      <c r="A16" s="4" t="s">
        <v>248</v>
      </c>
      <c r="C16" s="47" t="n">
        <v>5</v>
      </c>
      <c r="D16" s="37" t="s">
        <v>249</v>
      </c>
    </row>
    <row r="17" customFormat="false" ht="15" hidden="false" customHeight="false" outlineLevel="0" collapsed="false">
      <c r="A17" s="11" t="s">
        <v>250</v>
      </c>
      <c r="C17" s="49" t="n">
        <v>0.25</v>
      </c>
      <c r="D17" s="2" t="s">
        <v>251</v>
      </c>
    </row>
    <row r="18" customFormat="false" ht="15" hidden="false" customHeight="false" outlineLevel="0" collapsed="false">
      <c r="A18" s="4" t="s">
        <v>252</v>
      </c>
      <c r="C18" s="30" t="n">
        <v>860.11</v>
      </c>
      <c r="D18" s="37" t="s">
        <v>253</v>
      </c>
    </row>
    <row r="19" customFormat="false" ht="15" hidden="false" customHeight="false" outlineLevel="0" collapsed="false">
      <c r="A19" s="11" t="s">
        <v>254</v>
      </c>
      <c r="C19" s="50" t="n">
        <v>0.33</v>
      </c>
      <c r="D19" s="37" t="s">
        <v>255</v>
      </c>
    </row>
    <row r="20" customFormat="false" ht="15" hidden="false" customHeight="false" outlineLevel="0" collapsed="false">
      <c r="A20" s="11" t="s">
        <v>256</v>
      </c>
      <c r="C20" s="46" t="n">
        <v>0</v>
      </c>
      <c r="D20" s="2" t="s">
        <v>257</v>
      </c>
    </row>
    <row r="22" customFormat="false" ht="15" hidden="false" customHeight="false" outlineLevel="0" collapsed="false">
      <c r="A22" s="5" t="s">
        <v>258</v>
      </c>
      <c r="B22" s="6"/>
      <c r="C22" s="6"/>
      <c r="D22" s="6"/>
      <c r="E22" s="6"/>
      <c r="F22" s="6"/>
      <c r="G22" s="6"/>
      <c r="H22" s="6"/>
      <c r="I22" s="6"/>
      <c r="J22" s="6"/>
      <c r="K22" s="6"/>
      <c r="L22" s="6"/>
      <c r="M22" s="6"/>
    </row>
    <row r="23" customFormat="false" ht="15" hidden="false" customHeight="false" outlineLevel="0" collapsed="false">
      <c r="A23" s="11" t="s">
        <v>259</v>
      </c>
      <c r="C23" s="50" t="n">
        <v>0.019</v>
      </c>
      <c r="D23" s="2" t="s">
        <v>260</v>
      </c>
    </row>
    <row r="24" customFormat="false" ht="15" hidden="false" customHeight="false" outlineLevel="0" collapsed="false">
      <c r="A24" s="4" t="s">
        <v>261</v>
      </c>
      <c r="C24" s="51" t="n">
        <v>1.1</v>
      </c>
      <c r="D24" s="2" t="s">
        <v>262</v>
      </c>
    </row>
    <row r="25" customFormat="false" ht="15" hidden="false" customHeight="false" outlineLevel="0" collapsed="false">
      <c r="A25" s="11" t="s">
        <v>263</v>
      </c>
      <c r="C25" s="50" t="n">
        <v>0.065</v>
      </c>
      <c r="D25" s="2" t="s">
        <v>262</v>
      </c>
    </row>
    <row r="26" customFormat="false" ht="15" hidden="false" customHeight="false" outlineLevel="0" collapsed="false">
      <c r="A26" s="11" t="s">
        <v>264</v>
      </c>
      <c r="C26" s="46" t="n">
        <v>0.035</v>
      </c>
      <c r="D26" s="37" t="s">
        <v>265</v>
      </c>
    </row>
    <row r="27" customFormat="false" ht="15" hidden="false" customHeight="false" outlineLevel="0" collapsed="false">
      <c r="A27" s="11" t="s">
        <v>266</v>
      </c>
      <c r="C27" s="46" t="n">
        <v>0.02</v>
      </c>
      <c r="D27" s="2" t="s">
        <v>267</v>
      </c>
    </row>
    <row r="28" customFormat="false" ht="15" hidden="false" customHeight="false" outlineLevel="0" collapsed="false">
      <c r="A28" s="11" t="s">
        <v>41</v>
      </c>
      <c r="C28" s="50" t="n">
        <v>0.03</v>
      </c>
      <c r="D28" s="2" t="s">
        <v>262</v>
      </c>
    </row>
    <row r="29" customFormat="false" ht="15" hidden="false" customHeight="false" outlineLevel="0" collapsed="false">
      <c r="A29" s="11" t="s">
        <v>268</v>
      </c>
      <c r="C29" s="50" t="n">
        <v>0</v>
      </c>
      <c r="D29" s="2" t="s">
        <v>269</v>
      </c>
    </row>
    <row r="30" customFormat="false" ht="15" hidden="false" customHeight="false" outlineLevel="0" collapsed="false">
      <c r="A30" s="11" t="s">
        <v>270</v>
      </c>
      <c r="C30" s="46" t="n">
        <v>0.04</v>
      </c>
      <c r="D30" s="2" t="s">
        <v>271</v>
      </c>
    </row>
    <row r="31" customFormat="false" ht="15" hidden="false" customHeight="false" outlineLevel="0" collapsed="false">
      <c r="A31" s="11" t="s">
        <v>272</v>
      </c>
      <c r="C31" s="50" t="n">
        <v>0.25</v>
      </c>
      <c r="D31" s="2" t="s">
        <v>273</v>
      </c>
    </row>
    <row r="32" customFormat="false" ht="15" hidden="false" customHeight="false" outlineLevel="0" collapsed="false">
      <c r="A32" s="11" t="s">
        <v>274</v>
      </c>
      <c r="C32" s="52" t="n">
        <v>30</v>
      </c>
      <c r="D32" s="2" t="s">
        <v>275</v>
      </c>
    </row>
    <row r="33" customFormat="false" ht="15" hidden="false" customHeight="false" outlineLevel="0" collapsed="false">
      <c r="A33" s="11" t="s">
        <v>276</v>
      </c>
      <c r="C33" s="52" t="n">
        <v>55</v>
      </c>
      <c r="D33" s="2" t="s">
        <v>275</v>
      </c>
    </row>
    <row r="35" customFormat="false" ht="15" hidden="false" customHeight="false" outlineLevel="0" collapsed="false">
      <c r="A35" s="5" t="s">
        <v>277</v>
      </c>
      <c r="B35" s="6"/>
      <c r="C35" s="6"/>
      <c r="D35" s="6"/>
      <c r="E35" s="6"/>
      <c r="F35" s="6"/>
      <c r="G35" s="6"/>
      <c r="H35" s="6"/>
      <c r="I35" s="6"/>
      <c r="J35" s="6"/>
      <c r="K35" s="6"/>
      <c r="L35" s="6"/>
      <c r="M35" s="6"/>
    </row>
    <row r="36" customFormat="false" ht="15" hidden="false" customHeight="false" outlineLevel="0" collapsed="false">
      <c r="A36" s="11" t="s">
        <v>278</v>
      </c>
      <c r="C36" s="46" t="n">
        <v>0.15</v>
      </c>
      <c r="D36" s="2" t="s">
        <v>279</v>
      </c>
    </row>
    <row r="37" customFormat="false" ht="15" hidden="false" customHeight="false" outlineLevel="0" collapsed="false">
      <c r="A37" s="11" t="s">
        <v>280</v>
      </c>
      <c r="C37" s="46" t="n">
        <v>1</v>
      </c>
      <c r="D37" s="2" t="s">
        <v>281</v>
      </c>
    </row>
    <row r="38" customFormat="false" ht="15" hidden="false" customHeight="false" outlineLevel="0" collapsed="false">
      <c r="A38" s="11" t="s">
        <v>282</v>
      </c>
      <c r="C38" s="46" t="n">
        <v>0.842</v>
      </c>
      <c r="D38" s="37" t="s">
        <v>283</v>
      </c>
    </row>
    <row r="39" customFormat="false" ht="15" hidden="false" customHeight="false" outlineLevel="0" collapsed="false">
      <c r="A39" s="11" t="s">
        <v>284</v>
      </c>
      <c r="C39" s="46" t="n">
        <v>0.05</v>
      </c>
      <c r="D39" s="37" t="s">
        <v>285</v>
      </c>
    </row>
    <row r="40" customFormat="false" ht="15" hidden="false" customHeight="false" outlineLevel="0" collapsed="false">
      <c r="A40" s="11" t="s">
        <v>286</v>
      </c>
      <c r="C40" s="46" t="n">
        <v>0</v>
      </c>
      <c r="D40" s="2" t="s">
        <v>287</v>
      </c>
    </row>
    <row r="42" customFormat="false" ht="15" hidden="false" customHeight="false" outlineLevel="0" collapsed="false">
      <c r="A42" s="5" t="s">
        <v>288</v>
      </c>
      <c r="B42" s="6"/>
      <c r="C42" s="6"/>
      <c r="D42" s="6"/>
      <c r="E42" s="6"/>
      <c r="F42" s="6"/>
      <c r="G42" s="6"/>
      <c r="H42" s="6"/>
      <c r="I42" s="6"/>
      <c r="J42" s="6"/>
      <c r="K42" s="6"/>
      <c r="L42" s="6"/>
      <c r="M42" s="6"/>
    </row>
    <row r="43" customFormat="false" ht="15" hidden="false" customHeight="false" outlineLevel="0" collapsed="false">
      <c r="A43" s="11" t="s">
        <v>289</v>
      </c>
      <c r="C43" s="46" t="n">
        <v>0</v>
      </c>
      <c r="D43" s="2" t="s">
        <v>290</v>
      </c>
    </row>
    <row r="44" customFormat="false" ht="15" hidden="false" customHeight="false" outlineLevel="0" collapsed="false">
      <c r="A44" s="11" t="s">
        <v>291</v>
      </c>
      <c r="C44" s="46" t="n">
        <v>0</v>
      </c>
      <c r="D44" s="2" t="s">
        <v>290</v>
      </c>
    </row>
    <row r="45" customFormat="false" ht="15" hidden="false" customHeight="false" outlineLevel="0" collapsed="false">
      <c r="A45" s="11" t="s">
        <v>292</v>
      </c>
      <c r="C45" s="46" t="n">
        <v>0</v>
      </c>
      <c r="D45" s="2" t="s">
        <v>290</v>
      </c>
    </row>
    <row r="46" customFormat="false" ht="15" hidden="false" customHeight="false" outlineLevel="0" collapsed="false">
      <c r="A46" s="11" t="s">
        <v>293</v>
      </c>
      <c r="C46" s="46" t="n">
        <v>0</v>
      </c>
      <c r="D46" s="2" t="s">
        <v>290</v>
      </c>
    </row>
    <row r="47" customFormat="false" ht="15" hidden="false" customHeight="false" outlineLevel="0" collapsed="false">
      <c r="A47" s="11" t="s">
        <v>294</v>
      </c>
      <c r="C47" s="46" t="n">
        <v>0</v>
      </c>
      <c r="D47" s="2" t="s">
        <v>290</v>
      </c>
    </row>
    <row r="48" customFormat="false" ht="15" hidden="false" customHeight="false" outlineLevel="0" collapsed="false">
      <c r="A48" s="11" t="s">
        <v>295</v>
      </c>
      <c r="C48" s="46" t="n">
        <v>0</v>
      </c>
      <c r="D48" s="2" t="s">
        <v>290</v>
      </c>
    </row>
    <row r="49" customFormat="false" ht="15" hidden="false" customHeight="false" outlineLevel="0" collapsed="false">
      <c r="A49" s="4" t="s">
        <v>296</v>
      </c>
      <c r="C49" s="46" t="n">
        <v>0</v>
      </c>
      <c r="D49" s="2" t="s">
        <v>290</v>
      </c>
    </row>
    <row r="50" customFormat="false" ht="15" hidden="false" customHeight="false" outlineLevel="0" collapsed="false">
      <c r="A50" s="11" t="s">
        <v>297</v>
      </c>
      <c r="C50" s="46" t="n">
        <v>0</v>
      </c>
      <c r="D50" s="2" t="s">
        <v>290</v>
      </c>
    </row>
    <row r="51" customFormat="false" ht="15" hidden="false" customHeight="false" outlineLevel="0" collapsed="false">
      <c r="A51" s="11" t="s">
        <v>298</v>
      </c>
      <c r="C51" s="46" t="n">
        <v>0</v>
      </c>
      <c r="D51" s="2" t="s">
        <v>290</v>
      </c>
    </row>
    <row r="52" customFormat="false" ht="15" hidden="false" customHeight="false" outlineLevel="0" collapsed="false">
      <c r="A52" s="11" t="s">
        <v>299</v>
      </c>
      <c r="C52" s="46" t="n">
        <v>0</v>
      </c>
      <c r="D52" s="2" t="s">
        <v>290</v>
      </c>
    </row>
    <row r="53" customFormat="false" ht="15" hidden="false" customHeight="false" outlineLevel="0" collapsed="false">
      <c r="A53" s="11" t="s">
        <v>300</v>
      </c>
      <c r="C53" s="46" t="n">
        <v>0</v>
      </c>
      <c r="D53" s="2" t="s">
        <v>290</v>
      </c>
    </row>
    <row r="54" customFormat="false" ht="15" hidden="false" customHeight="false" outlineLevel="0" collapsed="false">
      <c r="A54" s="11" t="s">
        <v>301</v>
      </c>
      <c r="C54" s="53" t="n">
        <v>0</v>
      </c>
      <c r="D54" s="2" t="s">
        <v>290</v>
      </c>
    </row>
    <row r="55" customFormat="false" ht="15" hidden="false" customHeight="false" outlineLevel="0" collapsed="false">
      <c r="A55" s="11" t="s">
        <v>302</v>
      </c>
      <c r="C55" s="53" t="n">
        <v>0</v>
      </c>
      <c r="D55" s="2" t="s">
        <v>290</v>
      </c>
    </row>
    <row r="56" customFormat="false" ht="15" hidden="false" customHeight="false" outlineLevel="0" collapsed="false">
      <c r="A56" s="11" t="s">
        <v>303</v>
      </c>
      <c r="C56" s="46" t="n">
        <v>0</v>
      </c>
      <c r="D56" s="2" t="s">
        <v>290</v>
      </c>
    </row>
    <row r="57" customFormat="false" ht="15" hidden="false" customHeight="false" outlineLevel="0" collapsed="false">
      <c r="A57" s="11" t="s">
        <v>304</v>
      </c>
      <c r="C57" s="46" t="n">
        <v>0</v>
      </c>
      <c r="D57" s="2" t="s">
        <v>290</v>
      </c>
    </row>
    <row r="58" customFormat="false" ht="15" hidden="false" customHeight="false" outlineLevel="0" collapsed="false">
      <c r="A58" s="11" t="s">
        <v>305</v>
      </c>
      <c r="C58" s="47" t="n">
        <v>0</v>
      </c>
      <c r="D58" s="2" t="s">
        <v>290</v>
      </c>
    </row>
    <row r="59" customFormat="false" ht="15" hidden="false" customHeight="false" outlineLevel="0" collapsed="false">
      <c r="A59" s="11" t="s">
        <v>306</v>
      </c>
      <c r="C59" s="53" t="n">
        <v>0</v>
      </c>
      <c r="D59" s="2" t="s">
        <v>290</v>
      </c>
    </row>
    <row r="60" customFormat="false" ht="15" hidden="false" customHeight="false" outlineLevel="0" collapsed="false">
      <c r="A60" s="11" t="s">
        <v>307</v>
      </c>
      <c r="C60" s="53" t="n">
        <v>0</v>
      </c>
      <c r="D60" s="2" t="s">
        <v>290</v>
      </c>
    </row>
    <row r="61" customFormat="false" ht="15" hidden="false" customHeight="false" outlineLevel="0" collapsed="false">
      <c r="A61" s="4" t="s">
        <v>308</v>
      </c>
      <c r="C61" s="46" t="n">
        <v>0.5</v>
      </c>
      <c r="D61" s="37" t="s">
        <v>309</v>
      </c>
    </row>
    <row r="63" customFormat="false" ht="15" hidden="false" customHeight="false" outlineLevel="0" collapsed="false">
      <c r="A63" s="7" t="s">
        <v>310</v>
      </c>
      <c r="B63" s="54" t="s">
        <v>311</v>
      </c>
      <c r="C63" s="8" t="s">
        <v>312</v>
      </c>
      <c r="D63" s="8" t="s">
        <v>313</v>
      </c>
      <c r="E63" s="8" t="s">
        <v>87</v>
      </c>
      <c r="F63" s="8" t="s">
        <v>88</v>
      </c>
      <c r="G63" s="8" t="s">
        <v>11</v>
      </c>
      <c r="H63" s="8" t="s">
        <v>12</v>
      </c>
      <c r="I63" s="8" t="s">
        <v>13</v>
      </c>
      <c r="J63" s="8" t="s">
        <v>14</v>
      </c>
      <c r="K63" s="8" t="s">
        <v>15</v>
      </c>
      <c r="L63" s="8" t="s">
        <v>16</v>
      </c>
      <c r="M63" s="54" t="s">
        <v>314</v>
      </c>
    </row>
    <row r="64" customFormat="false" ht="15" hidden="false" customHeight="false" outlineLevel="0" collapsed="false">
      <c r="A64" s="5" t="s">
        <v>315</v>
      </c>
      <c r="B64" s="6"/>
      <c r="C64" s="6"/>
      <c r="D64" s="6"/>
      <c r="E64" s="6"/>
      <c r="F64" s="6"/>
      <c r="G64" s="6"/>
      <c r="H64" s="6"/>
      <c r="I64" s="6"/>
      <c r="J64" s="6"/>
      <c r="K64" s="6"/>
      <c r="L64" s="6"/>
      <c r="M64" s="6"/>
    </row>
    <row r="65" customFormat="false" ht="15" hidden="false" customHeight="false" outlineLevel="0" collapsed="false">
      <c r="A65" s="55" t="s">
        <v>316</v>
      </c>
      <c r="B65" s="56" t="s">
        <v>317</v>
      </c>
      <c r="H65" s="46" t="n">
        <v>0.52</v>
      </c>
      <c r="I65" s="46" t="n">
        <v>0.25</v>
      </c>
      <c r="J65" s="46" t="n">
        <v>0.16</v>
      </c>
      <c r="K65" s="46" t="n">
        <v>0.12</v>
      </c>
      <c r="L65" s="46" t="n">
        <v>0.1</v>
      </c>
    </row>
    <row r="66" customFormat="false" ht="15" hidden="false" customHeight="false" outlineLevel="0" collapsed="false">
      <c r="A66" s="55" t="s">
        <v>318</v>
      </c>
      <c r="B66" s="56" t="s">
        <v>317</v>
      </c>
      <c r="H66" s="46" t="n">
        <v>0.58</v>
      </c>
      <c r="I66" s="46" t="n">
        <v>0.3</v>
      </c>
      <c r="J66" s="46" t="n">
        <v>0.2</v>
      </c>
      <c r="K66" s="46" t="n">
        <v>0.15</v>
      </c>
      <c r="L66" s="46" t="n">
        <v>0.12</v>
      </c>
    </row>
    <row r="67" customFormat="false" ht="15" hidden="false" customHeight="false" outlineLevel="0" collapsed="false">
      <c r="A67" s="55" t="s">
        <v>319</v>
      </c>
      <c r="B67" s="56" t="s">
        <v>317</v>
      </c>
      <c r="H67" s="46" t="n">
        <v>0.46</v>
      </c>
      <c r="I67" s="46" t="n">
        <v>0.15</v>
      </c>
      <c r="J67" s="46" t="n">
        <v>0.1</v>
      </c>
      <c r="K67" s="46" t="n">
        <v>0.08</v>
      </c>
      <c r="L67" s="46" t="n">
        <v>0.06</v>
      </c>
    </row>
    <row r="68" customFormat="false" ht="15" hidden="false" customHeight="false" outlineLevel="0" collapsed="false">
      <c r="A68" s="9" t="s">
        <v>320</v>
      </c>
      <c r="B68" s="4" t="s">
        <v>317</v>
      </c>
      <c r="H68" s="57" t="n">
        <f aca="false">(H65+(CHOOSE($C$5,H65,H66,H67)-H65)*$C$61)+$C$43*$C$61</f>
        <v>0.52</v>
      </c>
      <c r="I68" s="57" t="n">
        <f aca="false">CHOOSE($C$5,I65,I66,I67)+$C$43</f>
        <v>0.25</v>
      </c>
      <c r="J68" s="57" t="n">
        <f aca="false">CHOOSE($C$5,J65,J66,J67)+$C$43</f>
        <v>0.16</v>
      </c>
      <c r="K68" s="57" t="n">
        <f aca="false">CHOOSE($C$5,K65,K66,K67)+$C$43</f>
        <v>0.12</v>
      </c>
      <c r="L68" s="57" t="n">
        <f aca="false">CHOOSE($C$5,L65,L66,L67)+$C$43</f>
        <v>0.1</v>
      </c>
      <c r="M68" s="2" t="s">
        <v>321</v>
      </c>
    </row>
    <row r="69" customFormat="false" ht="15" hidden="false" customHeight="false" outlineLevel="0" collapsed="false">
      <c r="A69" s="55" t="s">
        <v>322</v>
      </c>
      <c r="B69" s="56" t="s">
        <v>317</v>
      </c>
      <c r="H69" s="46" t="n">
        <v>0.19</v>
      </c>
      <c r="I69" s="46" t="n">
        <v>0.08</v>
      </c>
      <c r="J69" s="46" t="n">
        <v>0.035</v>
      </c>
      <c r="K69" s="46" t="n">
        <v>0</v>
      </c>
      <c r="L69" s="46" t="n">
        <v>-0.02</v>
      </c>
    </row>
    <row r="70" customFormat="false" ht="15" hidden="false" customHeight="false" outlineLevel="0" collapsed="false">
      <c r="A70" s="55" t="s">
        <v>323</v>
      </c>
      <c r="B70" s="56" t="s">
        <v>317</v>
      </c>
      <c r="H70" s="46" t="n">
        <v>0.22</v>
      </c>
      <c r="I70" s="46" t="n">
        <v>0.115</v>
      </c>
      <c r="J70" s="46" t="n">
        <v>0.04</v>
      </c>
      <c r="K70" s="46" t="n">
        <v>0</v>
      </c>
      <c r="L70" s="46" t="n">
        <v>-0.02</v>
      </c>
    </row>
    <row r="71" customFormat="false" ht="15" hidden="false" customHeight="false" outlineLevel="0" collapsed="false">
      <c r="A71" s="55" t="s">
        <v>324</v>
      </c>
      <c r="B71" s="56" t="s">
        <v>317</v>
      </c>
      <c r="H71" s="46" t="n">
        <v>0.15</v>
      </c>
      <c r="I71" s="46" t="n">
        <v>0.045</v>
      </c>
      <c r="J71" s="46" t="n">
        <v>0</v>
      </c>
      <c r="K71" s="46" t="n">
        <v>-0.02</v>
      </c>
      <c r="L71" s="46" t="n">
        <v>-0.02</v>
      </c>
    </row>
    <row r="72" customFormat="false" ht="15" hidden="false" customHeight="false" outlineLevel="0" collapsed="false">
      <c r="A72" s="9" t="s">
        <v>325</v>
      </c>
      <c r="B72" s="4" t="s">
        <v>317</v>
      </c>
      <c r="H72" s="57" t="n">
        <f aca="false">(H69+(CHOOSE($C$5,H69,H70,H71)-H69)*$C$61)+$C$44*$C$61</f>
        <v>0.19</v>
      </c>
      <c r="I72" s="57" t="n">
        <f aca="false">CHOOSE($C$5,I69,I70,I71)+$C$44</f>
        <v>0.08</v>
      </c>
      <c r="J72" s="57" t="n">
        <f aca="false">CHOOSE($C$5,J69,J70,J71)+$C$44</f>
        <v>0.035</v>
      </c>
      <c r="K72" s="57" t="n">
        <f aca="false">CHOOSE($C$5,K69,K70,K71)+$C$44</f>
        <v>0</v>
      </c>
      <c r="L72" s="57" t="n">
        <f aca="false">CHOOSE($C$5,L69,L70,L71)+$C$44</f>
        <v>-0.02</v>
      </c>
      <c r="M72" s="2" t="s">
        <v>326</v>
      </c>
    </row>
    <row r="73" customFormat="false" ht="15" hidden="false" customHeight="false" outlineLevel="0" collapsed="false">
      <c r="A73" s="55" t="s">
        <v>327</v>
      </c>
      <c r="B73" s="56" t="s">
        <v>317</v>
      </c>
      <c r="H73" s="46" t="n">
        <v>0.58</v>
      </c>
      <c r="I73" s="46" t="n">
        <v>0.3</v>
      </c>
      <c r="J73" s="46" t="n">
        <v>0.2</v>
      </c>
      <c r="K73" s="46" t="n">
        <v>0.14</v>
      </c>
      <c r="L73" s="46" t="n">
        <v>0.11</v>
      </c>
    </row>
    <row r="74" customFormat="false" ht="15" hidden="false" customHeight="false" outlineLevel="0" collapsed="false">
      <c r="A74" s="55" t="s">
        <v>328</v>
      </c>
      <c r="B74" s="56" t="s">
        <v>317</v>
      </c>
      <c r="H74" s="46" t="n">
        <v>0.65</v>
      </c>
      <c r="I74" s="46" t="n">
        <v>0.4</v>
      </c>
      <c r="J74" s="46" t="n">
        <v>0.24</v>
      </c>
      <c r="K74" s="46" t="n">
        <v>0.16</v>
      </c>
      <c r="L74" s="46" t="n">
        <v>0.13</v>
      </c>
    </row>
    <row r="75" customFormat="false" ht="15" hidden="false" customHeight="false" outlineLevel="0" collapsed="false">
      <c r="A75" s="55" t="s">
        <v>329</v>
      </c>
      <c r="B75" s="56" t="s">
        <v>317</v>
      </c>
      <c r="H75" s="46" t="n">
        <v>0.5</v>
      </c>
      <c r="I75" s="46" t="n">
        <v>0.17</v>
      </c>
      <c r="J75" s="46" t="n">
        <v>0.13</v>
      </c>
      <c r="K75" s="46" t="n">
        <v>0.095</v>
      </c>
      <c r="L75" s="46" t="n">
        <v>0.08</v>
      </c>
    </row>
    <row r="76" customFormat="false" ht="15" hidden="false" customHeight="false" outlineLevel="0" collapsed="false">
      <c r="A76" s="9" t="s">
        <v>330</v>
      </c>
      <c r="B76" s="4" t="s">
        <v>317</v>
      </c>
      <c r="H76" s="57" t="n">
        <f aca="false">(H73+(CHOOSE($C$5,H73,H74,H75)-H73)*$C$61)+$C$45*$C$61</f>
        <v>0.58</v>
      </c>
      <c r="I76" s="57" t="n">
        <f aca="false">CHOOSE($C$5,I73,I74,I75)+$C$45</f>
        <v>0.3</v>
      </c>
      <c r="J76" s="57" t="n">
        <f aca="false">CHOOSE($C$5,J73,J74,J75)+$C$45</f>
        <v>0.2</v>
      </c>
      <c r="K76" s="57" t="n">
        <f aca="false">CHOOSE($C$5,K73,K74,K75)+$C$45</f>
        <v>0.14</v>
      </c>
      <c r="L76" s="57" t="n">
        <f aca="false">CHOOSE($C$5,L73,L74,L75)+$C$45</f>
        <v>0.11</v>
      </c>
      <c r="M76" s="37" t="s">
        <v>331</v>
      </c>
    </row>
    <row r="77" customFormat="false" ht="15" hidden="false" customHeight="false" outlineLevel="0" collapsed="false">
      <c r="A77" s="55" t="s">
        <v>332</v>
      </c>
      <c r="B77" s="56" t="s">
        <v>317</v>
      </c>
      <c r="H77" s="46" t="n">
        <v>-0.035</v>
      </c>
      <c r="I77" s="46" t="n">
        <v>-0.04</v>
      </c>
      <c r="J77" s="46" t="n">
        <v>-0.04</v>
      </c>
      <c r="K77" s="46" t="n">
        <v>-0.035</v>
      </c>
      <c r="L77" s="46" t="n">
        <v>-0.03</v>
      </c>
    </row>
    <row r="78" customFormat="false" ht="15" hidden="false" customHeight="false" outlineLevel="0" collapsed="false">
      <c r="A78" s="55" t="s">
        <v>333</v>
      </c>
      <c r="B78" s="56" t="s">
        <v>317</v>
      </c>
      <c r="H78" s="46" t="n">
        <v>-0.03</v>
      </c>
      <c r="I78" s="46" t="n">
        <v>-0.035</v>
      </c>
      <c r="J78" s="46" t="n">
        <v>-0.03</v>
      </c>
      <c r="K78" s="46" t="n">
        <v>-0.035</v>
      </c>
      <c r="L78" s="46" t="n">
        <v>-0.025</v>
      </c>
    </row>
    <row r="79" customFormat="false" ht="15" hidden="false" customHeight="false" outlineLevel="0" collapsed="false">
      <c r="A79" s="55" t="s">
        <v>334</v>
      </c>
      <c r="B79" s="56" t="s">
        <v>317</v>
      </c>
      <c r="H79" s="46" t="n">
        <v>-0.04</v>
      </c>
      <c r="I79" s="46" t="n">
        <v>-0.045</v>
      </c>
      <c r="J79" s="46" t="n">
        <v>-0.045</v>
      </c>
      <c r="K79" s="46" t="n">
        <v>-0.04</v>
      </c>
      <c r="L79" s="46" t="n">
        <v>-0.035</v>
      </c>
    </row>
    <row r="80" customFormat="false" ht="15" hidden="false" customHeight="false" outlineLevel="0" collapsed="false">
      <c r="A80" s="9" t="s">
        <v>335</v>
      </c>
      <c r="B80" s="4" t="s">
        <v>317</v>
      </c>
      <c r="H80" s="57" t="n">
        <f aca="false">(H77+(CHOOSE($C$5,H77,H78,H79)-H77)*$C$61)+$C$46*$C$61</f>
        <v>-0.035</v>
      </c>
      <c r="I80" s="57" t="n">
        <f aca="false">CHOOSE($C$5,I77,I78,I79)+$C$46</f>
        <v>-0.04</v>
      </c>
      <c r="J80" s="57" t="n">
        <f aca="false">CHOOSE($C$5,J77,J78,J79)+$C$46</f>
        <v>-0.04</v>
      </c>
      <c r="K80" s="57" t="n">
        <f aca="false">CHOOSE($C$5,K77,K78,K79)+$C$46</f>
        <v>-0.035</v>
      </c>
      <c r="L80" s="57" t="n">
        <f aca="false">CHOOSE($C$5,L77,L78,L79)+$C$46</f>
        <v>-0.03</v>
      </c>
      <c r="M80" s="2" t="s">
        <v>336</v>
      </c>
    </row>
    <row r="81" customFormat="false" ht="15" hidden="false" customHeight="false" outlineLevel="0" collapsed="false">
      <c r="A81" s="55" t="s">
        <v>337</v>
      </c>
      <c r="B81" s="56" t="s">
        <v>317</v>
      </c>
      <c r="H81" s="46" t="n">
        <v>0.15</v>
      </c>
      <c r="I81" s="46" t="n">
        <v>0.12</v>
      </c>
      <c r="J81" s="46" t="n">
        <v>0.1</v>
      </c>
      <c r="K81" s="46" t="n">
        <v>0.08</v>
      </c>
      <c r="L81" s="46" t="n">
        <v>0.06</v>
      </c>
    </row>
    <row r="82" customFormat="false" ht="15" hidden="false" customHeight="false" outlineLevel="0" collapsed="false">
      <c r="A82" s="55" t="s">
        <v>338</v>
      </c>
      <c r="B82" s="56" t="s">
        <v>317</v>
      </c>
      <c r="H82" s="46" t="n">
        <v>0.2</v>
      </c>
      <c r="I82" s="46" t="n">
        <v>0.15</v>
      </c>
      <c r="J82" s="46" t="n">
        <v>0.12</v>
      </c>
      <c r="K82" s="46" t="n">
        <v>0.1</v>
      </c>
      <c r="L82" s="46" t="n">
        <v>0.08</v>
      </c>
    </row>
    <row r="83" customFormat="false" ht="15" hidden="false" customHeight="false" outlineLevel="0" collapsed="false">
      <c r="A83" s="55" t="s">
        <v>339</v>
      </c>
      <c r="B83" s="56" t="s">
        <v>317</v>
      </c>
      <c r="H83" s="46" t="n">
        <v>0.08</v>
      </c>
      <c r="I83" s="46" t="n">
        <v>0.06</v>
      </c>
      <c r="J83" s="46" t="n">
        <v>0.05</v>
      </c>
      <c r="K83" s="46" t="n">
        <v>0.04</v>
      </c>
      <c r="L83" s="46" t="n">
        <v>0.03</v>
      </c>
    </row>
    <row r="84" customFormat="false" ht="15" hidden="false" customHeight="false" outlineLevel="0" collapsed="false">
      <c r="A84" s="9" t="s">
        <v>340</v>
      </c>
      <c r="B84" s="4" t="s">
        <v>317</v>
      </c>
      <c r="H84" s="57" t="n">
        <f aca="false">(H81+(CHOOSE($C$5,H81,H82,H83)-H81)*$C$61)+$C$47*$C$61</f>
        <v>0.15</v>
      </c>
      <c r="I84" s="57" t="n">
        <f aca="false">CHOOSE($C$5,I81,I82,I83)+$C$47</f>
        <v>0.12</v>
      </c>
      <c r="J84" s="57" t="n">
        <f aca="false">CHOOSE($C$5,J81,J82,J83)+$C$47</f>
        <v>0.1</v>
      </c>
      <c r="K84" s="57" t="n">
        <f aca="false">CHOOSE($C$5,K81,K82,K83)+$C$47</f>
        <v>0.08</v>
      </c>
      <c r="L84" s="57" t="n">
        <f aca="false">CHOOSE($C$5,L81,L82,L83)+$C$47</f>
        <v>0.06</v>
      </c>
      <c r="M84" s="37" t="s">
        <v>341</v>
      </c>
    </row>
    <row r="85" customFormat="false" ht="15" hidden="false" customHeight="false" outlineLevel="0" collapsed="false">
      <c r="A85" s="55" t="s">
        <v>342</v>
      </c>
      <c r="B85" s="56" t="s">
        <v>317</v>
      </c>
      <c r="H85" s="46" t="n">
        <v>0.15</v>
      </c>
      <c r="I85" s="46" t="n">
        <v>0.12</v>
      </c>
      <c r="J85" s="46" t="n">
        <v>0.1</v>
      </c>
      <c r="K85" s="46" t="n">
        <v>0.08</v>
      </c>
      <c r="L85" s="46" t="n">
        <v>0.06</v>
      </c>
    </row>
    <row r="86" customFormat="false" ht="15" hidden="false" customHeight="false" outlineLevel="0" collapsed="false">
      <c r="A86" s="55" t="s">
        <v>343</v>
      </c>
      <c r="B86" s="56" t="s">
        <v>317</v>
      </c>
      <c r="H86" s="46" t="n">
        <v>0.2</v>
      </c>
      <c r="I86" s="46" t="n">
        <v>0.15</v>
      </c>
      <c r="J86" s="46" t="n">
        <v>0.12</v>
      </c>
      <c r="K86" s="46" t="n">
        <v>0.1</v>
      </c>
      <c r="L86" s="46" t="n">
        <v>0.08</v>
      </c>
    </row>
    <row r="87" customFormat="false" ht="15" hidden="false" customHeight="false" outlineLevel="0" collapsed="false">
      <c r="A87" s="55" t="s">
        <v>344</v>
      </c>
      <c r="B87" s="56" t="s">
        <v>317</v>
      </c>
      <c r="H87" s="46" t="n">
        <v>0.08</v>
      </c>
      <c r="I87" s="46" t="n">
        <v>0.06</v>
      </c>
      <c r="J87" s="46" t="n">
        <v>0.05</v>
      </c>
      <c r="K87" s="46" t="n">
        <v>0.04</v>
      </c>
      <c r="L87" s="46" t="n">
        <v>0.03</v>
      </c>
    </row>
    <row r="88" customFormat="false" ht="15" hidden="false" customHeight="false" outlineLevel="0" collapsed="false">
      <c r="A88" s="9" t="s">
        <v>345</v>
      </c>
      <c r="B88" s="4" t="s">
        <v>317</v>
      </c>
      <c r="H88" s="57" t="n">
        <f aca="false">(H85+(CHOOSE($C$5,H85,H86,H87)-H85)*$C$61)</f>
        <v>0.15</v>
      </c>
      <c r="I88" s="57" t="n">
        <f aca="false">CHOOSE($C$5,I85,I86,I87)</f>
        <v>0.12</v>
      </c>
      <c r="J88" s="57" t="n">
        <f aca="false">CHOOSE($C$5,J85,J86,J87)</f>
        <v>0.1</v>
      </c>
      <c r="K88" s="57" t="n">
        <f aca="false">CHOOSE($C$5,K85,K86,K87)</f>
        <v>0.08</v>
      </c>
      <c r="L88" s="57" t="n">
        <f aca="false">CHOOSE($C$5,L85,L86,L87)</f>
        <v>0.06</v>
      </c>
      <c r="M88" s="37" t="s">
        <v>346</v>
      </c>
    </row>
    <row r="89" customFormat="false" ht="15" hidden="false" customHeight="false" outlineLevel="0" collapsed="false">
      <c r="A89" s="55" t="s">
        <v>347</v>
      </c>
      <c r="B89" s="56" t="s">
        <v>317</v>
      </c>
      <c r="H89" s="46" t="n">
        <v>0.3</v>
      </c>
      <c r="I89" s="46" t="n">
        <v>0.05</v>
      </c>
      <c r="J89" s="46" t="n">
        <v>0.05</v>
      </c>
      <c r="K89" s="46" t="n">
        <v>0.05</v>
      </c>
      <c r="L89" s="46" t="n">
        <v>0.05</v>
      </c>
    </row>
    <row r="90" customFormat="false" ht="15" hidden="false" customHeight="false" outlineLevel="0" collapsed="false">
      <c r="A90" s="55" t="s">
        <v>348</v>
      </c>
      <c r="B90" s="56" t="s">
        <v>317</v>
      </c>
      <c r="H90" s="46" t="n">
        <v>0.35</v>
      </c>
      <c r="I90" s="46" t="n">
        <v>0.08</v>
      </c>
      <c r="J90" s="46" t="n">
        <v>0.08</v>
      </c>
      <c r="K90" s="46" t="n">
        <v>0.08</v>
      </c>
      <c r="L90" s="46" t="n">
        <v>0.08</v>
      </c>
    </row>
    <row r="91" customFormat="false" ht="15" hidden="false" customHeight="false" outlineLevel="0" collapsed="false">
      <c r="A91" s="55" t="s">
        <v>349</v>
      </c>
      <c r="B91" s="56" t="s">
        <v>317</v>
      </c>
      <c r="H91" s="46" t="n">
        <v>0.2</v>
      </c>
      <c r="I91" s="46" t="n">
        <v>0</v>
      </c>
      <c r="J91" s="46" t="n">
        <v>0</v>
      </c>
      <c r="K91" s="46" t="n">
        <v>0</v>
      </c>
      <c r="L91" s="46" t="n">
        <v>0</v>
      </c>
    </row>
    <row r="92" customFormat="false" ht="15" hidden="false" customHeight="false" outlineLevel="0" collapsed="false">
      <c r="A92" s="9" t="s">
        <v>350</v>
      </c>
      <c r="B92" s="4" t="s">
        <v>317</v>
      </c>
      <c r="H92" s="57" t="n">
        <f aca="false">(H89+(CHOOSE($C$5,H89,H90,H91)-H89)*$C$61)</f>
        <v>0.3</v>
      </c>
      <c r="I92" s="57" t="n">
        <f aca="false">CHOOSE($C$5,I89,I90,I91)</f>
        <v>0.05</v>
      </c>
      <c r="J92" s="57" t="n">
        <f aca="false">CHOOSE($C$5,J89,J90,J91)</f>
        <v>0.05</v>
      </c>
      <c r="K92" s="57" t="n">
        <f aca="false">CHOOSE($C$5,K89,K90,K91)</f>
        <v>0.05</v>
      </c>
      <c r="L92" s="57" t="n">
        <f aca="false">CHOOSE($C$5,L89,L90,L91)</f>
        <v>0.05</v>
      </c>
      <c r="M92" s="37" t="s">
        <v>351</v>
      </c>
    </row>
    <row r="93" customFormat="false" ht="15" hidden="false" customHeight="false" outlineLevel="0" collapsed="false">
      <c r="A93" s="55" t="s">
        <v>352</v>
      </c>
      <c r="B93" s="55" t="s">
        <v>353</v>
      </c>
      <c r="H93" s="30" t="n">
        <v>180</v>
      </c>
      <c r="I93" s="30" t="n">
        <v>190</v>
      </c>
      <c r="J93" s="30" t="n">
        <v>200</v>
      </c>
      <c r="K93" s="30" t="n">
        <v>210</v>
      </c>
      <c r="L93" s="30" t="n">
        <v>220</v>
      </c>
    </row>
    <row r="94" customFormat="false" ht="15" hidden="false" customHeight="false" outlineLevel="0" collapsed="false">
      <c r="A94" s="55" t="s">
        <v>354</v>
      </c>
      <c r="B94" s="55" t="s">
        <v>353</v>
      </c>
      <c r="H94" s="30" t="n">
        <v>200</v>
      </c>
      <c r="I94" s="30" t="n">
        <v>220</v>
      </c>
      <c r="J94" s="30" t="n">
        <v>240</v>
      </c>
      <c r="K94" s="30" t="n">
        <v>260</v>
      </c>
      <c r="L94" s="30" t="n">
        <v>280</v>
      </c>
    </row>
    <row r="95" customFormat="false" ht="15" hidden="false" customHeight="false" outlineLevel="0" collapsed="false">
      <c r="A95" s="55" t="s">
        <v>355</v>
      </c>
      <c r="B95" s="55" t="s">
        <v>353</v>
      </c>
      <c r="H95" s="30" t="n">
        <v>150</v>
      </c>
      <c r="I95" s="30" t="n">
        <v>150</v>
      </c>
      <c r="J95" s="30" t="n">
        <v>150</v>
      </c>
      <c r="K95" s="30" t="n">
        <v>150</v>
      </c>
      <c r="L95" s="30" t="n">
        <v>150</v>
      </c>
    </row>
    <row r="96" customFormat="false" ht="15" hidden="false" customHeight="false" outlineLevel="0" collapsed="false">
      <c r="A96" s="9" t="s">
        <v>356</v>
      </c>
      <c r="B96" s="11" t="s">
        <v>353</v>
      </c>
      <c r="F96" s="58" t="n">
        <f aca="false">收入拆解!F45</f>
        <v>108.858154</v>
      </c>
      <c r="G96" s="58" t="n">
        <f aca="false">收入拆解!G45</f>
        <v>138.626616</v>
      </c>
      <c r="H96" s="59" t="n">
        <f aca="false">(H93+(CHOOSE($C$5,H93,H94,H95)-H93)*$C$61)</f>
        <v>180</v>
      </c>
      <c r="I96" s="59" t="n">
        <f aca="false">CHOOSE($C$5,I93,I94,I95)</f>
        <v>190</v>
      </c>
      <c r="J96" s="59" t="n">
        <f aca="false">CHOOSE($C$5,J93,J94,J95)</f>
        <v>200</v>
      </c>
      <c r="K96" s="59" t="n">
        <f aca="false">CHOOSE($C$5,K93,K94,K95)</f>
        <v>210</v>
      </c>
      <c r="L96" s="59" t="n">
        <f aca="false">CHOOSE($C$5,L93,L94,L95)</f>
        <v>220</v>
      </c>
      <c r="M96" s="37" t="s">
        <v>357</v>
      </c>
    </row>
    <row r="97" customFormat="false" ht="15" hidden="false" customHeight="false" outlineLevel="0" collapsed="false">
      <c r="A97" s="9" t="s">
        <v>358</v>
      </c>
      <c r="B97" s="4" t="s">
        <v>317</v>
      </c>
      <c r="D97" s="60" t="n">
        <f aca="false">收入拆解!D63</f>
        <v>0.2112</v>
      </c>
      <c r="E97" s="60" t="n">
        <f aca="false">收入拆解!E63</f>
        <v>0.2011</v>
      </c>
      <c r="F97" s="60" t="n">
        <f aca="false">收入拆解!F63</f>
        <v>0.179</v>
      </c>
      <c r="G97" s="60" t="n">
        <f aca="false">收入拆解!G63</f>
        <v>0.174</v>
      </c>
      <c r="H97" s="61" t="n">
        <v>0.18</v>
      </c>
      <c r="I97" s="61" t="n">
        <v>0.19</v>
      </c>
      <c r="J97" s="61" t="n">
        <v>0.2</v>
      </c>
      <c r="K97" s="61" t="n">
        <v>0.2</v>
      </c>
      <c r="L97" s="61" t="n">
        <v>0.2</v>
      </c>
      <c r="M97" s="2" t="s">
        <v>359</v>
      </c>
    </row>
    <row r="98" customFormat="false" ht="15" hidden="false" customHeight="false" outlineLevel="0" collapsed="false">
      <c r="A98" s="5" t="s">
        <v>360</v>
      </c>
      <c r="B98" s="6"/>
      <c r="C98" s="6"/>
      <c r="D98" s="6"/>
      <c r="E98" s="6"/>
      <c r="F98" s="6"/>
      <c r="G98" s="6"/>
      <c r="H98" s="6"/>
      <c r="I98" s="6"/>
      <c r="J98" s="6"/>
      <c r="K98" s="6"/>
      <c r="L98" s="6"/>
      <c r="M98" s="6"/>
    </row>
    <row r="99" customFormat="false" ht="15" hidden="false" customHeight="false" outlineLevel="0" collapsed="false">
      <c r="A99" s="56" t="s">
        <v>361</v>
      </c>
      <c r="B99" s="56" t="s">
        <v>362</v>
      </c>
      <c r="H99" s="49" t="n">
        <v>1.45</v>
      </c>
      <c r="I99" s="49" t="n">
        <v>2.5</v>
      </c>
      <c r="J99" s="49" t="n">
        <v>3.2</v>
      </c>
      <c r="K99" s="49" t="n">
        <v>3.8</v>
      </c>
      <c r="L99" s="49" t="n">
        <v>4.4</v>
      </c>
    </row>
    <row r="100" customFormat="false" ht="15" hidden="false" customHeight="false" outlineLevel="0" collapsed="false">
      <c r="A100" s="56" t="s">
        <v>363</v>
      </c>
      <c r="B100" s="56" t="s">
        <v>362</v>
      </c>
      <c r="H100" s="49" t="n">
        <v>1.6</v>
      </c>
      <c r="I100" s="49" t="n">
        <v>3</v>
      </c>
      <c r="J100" s="49" t="n">
        <v>4</v>
      </c>
      <c r="K100" s="49" t="n">
        <v>4.8</v>
      </c>
      <c r="L100" s="49" t="n">
        <v>5.5</v>
      </c>
    </row>
    <row r="101" customFormat="false" ht="15" hidden="false" customHeight="false" outlineLevel="0" collapsed="false">
      <c r="A101" s="56" t="s">
        <v>364</v>
      </c>
      <c r="B101" s="56" t="s">
        <v>362</v>
      </c>
      <c r="H101" s="49" t="n">
        <v>1.3</v>
      </c>
      <c r="I101" s="49" t="n">
        <v>2</v>
      </c>
      <c r="J101" s="49" t="n">
        <v>2.4</v>
      </c>
      <c r="K101" s="49" t="n">
        <v>2.8</v>
      </c>
      <c r="L101" s="49" t="n">
        <v>3.2</v>
      </c>
    </row>
    <row r="102" customFormat="false" ht="15" hidden="false" customHeight="false" outlineLevel="0" collapsed="false">
      <c r="A102" s="13" t="s">
        <v>365</v>
      </c>
      <c r="B102" s="4" t="s">
        <v>362</v>
      </c>
      <c r="G102" s="62" t="n">
        <v>0.725</v>
      </c>
      <c r="H102" s="63" t="n">
        <f aca="false">(H99+(CHOOSE($C$5,H99,H100,H101)-H99)*$C$61)*(1+$C$49*$C$61)</f>
        <v>1.45</v>
      </c>
      <c r="I102" s="63" t="n">
        <f aca="false">CHOOSE($C$5,I99,I100,I101)*(1+$C$49)</f>
        <v>2.5</v>
      </c>
      <c r="J102" s="63" t="n">
        <f aca="false">CHOOSE($C$5,J99,J100,J101)*(1+$C$49)</f>
        <v>3.2</v>
      </c>
      <c r="K102" s="63" t="n">
        <f aca="false">CHOOSE($C$5,K99,K100,K101)*(1+$C$49)</f>
        <v>3.8</v>
      </c>
      <c r="L102" s="63" t="n">
        <f aca="false">CHOOSE($C$5,L99,L100,L101)*(1+$C$49)</f>
        <v>4.4</v>
      </c>
      <c r="M102" s="37" t="s">
        <v>366</v>
      </c>
    </row>
    <row r="103" customFormat="false" ht="15" hidden="false" customHeight="false" outlineLevel="0" collapsed="false">
      <c r="A103" s="55" t="s">
        <v>367</v>
      </c>
      <c r="B103" s="56" t="s">
        <v>368</v>
      </c>
      <c r="H103" s="64" t="n">
        <v>30</v>
      </c>
      <c r="I103" s="64" t="n">
        <v>30</v>
      </c>
      <c r="J103" s="64" t="n">
        <v>32.5</v>
      </c>
      <c r="K103" s="64" t="n">
        <v>32.5</v>
      </c>
      <c r="L103" s="64" t="n">
        <v>35</v>
      </c>
    </row>
    <row r="104" customFormat="false" ht="15" hidden="false" customHeight="false" outlineLevel="0" collapsed="false">
      <c r="A104" s="55" t="s">
        <v>369</v>
      </c>
      <c r="B104" s="56" t="s">
        <v>368</v>
      </c>
      <c r="H104" s="64" t="n">
        <v>27.5</v>
      </c>
      <c r="I104" s="64" t="n">
        <v>25</v>
      </c>
      <c r="J104" s="64" t="n">
        <v>30</v>
      </c>
      <c r="K104" s="64" t="n">
        <v>30</v>
      </c>
      <c r="L104" s="64" t="n">
        <v>32.5</v>
      </c>
    </row>
    <row r="105" customFormat="false" ht="15" hidden="false" customHeight="false" outlineLevel="0" collapsed="false">
      <c r="A105" s="55" t="s">
        <v>370</v>
      </c>
      <c r="B105" s="56" t="s">
        <v>368</v>
      </c>
      <c r="H105" s="64" t="n">
        <v>32.5</v>
      </c>
      <c r="I105" s="64" t="n">
        <v>32.5</v>
      </c>
      <c r="J105" s="64" t="n">
        <v>35</v>
      </c>
      <c r="K105" s="64" t="n">
        <v>35</v>
      </c>
      <c r="L105" s="64" t="n">
        <v>37.5</v>
      </c>
    </row>
    <row r="106" customFormat="false" ht="15" hidden="false" customHeight="false" outlineLevel="0" collapsed="false">
      <c r="A106" s="9" t="s">
        <v>371</v>
      </c>
      <c r="B106" s="4" t="s">
        <v>372</v>
      </c>
      <c r="H106" s="65" t="n">
        <f aca="false">(H103+(CHOOSE($C$5,H103,H104,H105)-H103)*$C$61)</f>
        <v>30</v>
      </c>
      <c r="I106" s="65" t="n">
        <f aca="false">CHOOSE($C$5,I103,I104,I105)</f>
        <v>30</v>
      </c>
      <c r="J106" s="65" t="n">
        <f aca="false">CHOOSE($C$5,J103,J104,J105)</f>
        <v>32.5</v>
      </c>
      <c r="K106" s="65" t="n">
        <f aca="false">CHOOSE($C$5,K103,K104,K105)</f>
        <v>32.5</v>
      </c>
      <c r="L106" s="65" t="n">
        <f aca="false">CHOOSE($C$5,L103,L104,L105)</f>
        <v>35</v>
      </c>
      <c r="M106" s="37" t="s">
        <v>373</v>
      </c>
    </row>
    <row r="107" customFormat="false" ht="15" hidden="false" customHeight="false" outlineLevel="0" collapsed="false">
      <c r="A107" s="55" t="s">
        <v>374</v>
      </c>
      <c r="B107" s="56" t="s">
        <v>317</v>
      </c>
      <c r="H107" s="46" t="n">
        <v>0.75</v>
      </c>
      <c r="I107" s="46" t="n">
        <v>0.65</v>
      </c>
      <c r="J107" s="46" t="n">
        <v>0.52</v>
      </c>
      <c r="K107" s="46" t="n">
        <v>0.47</v>
      </c>
      <c r="L107" s="46" t="n">
        <v>0.42</v>
      </c>
    </row>
    <row r="108" customFormat="false" ht="15" hidden="false" customHeight="false" outlineLevel="0" collapsed="false">
      <c r="A108" s="55" t="s">
        <v>375</v>
      </c>
      <c r="B108" s="56" t="s">
        <v>317</v>
      </c>
      <c r="H108" s="46" t="n">
        <v>0.85</v>
      </c>
      <c r="I108" s="46" t="n">
        <v>0.78</v>
      </c>
      <c r="J108" s="46" t="n">
        <v>0.68</v>
      </c>
      <c r="K108" s="46" t="n">
        <v>0.62</v>
      </c>
      <c r="L108" s="46" t="n">
        <v>0.57</v>
      </c>
    </row>
    <row r="109" customFormat="false" ht="15" hidden="false" customHeight="false" outlineLevel="0" collapsed="false">
      <c r="A109" s="55" t="s">
        <v>376</v>
      </c>
      <c r="B109" s="56" t="s">
        <v>317</v>
      </c>
      <c r="H109" s="46" t="n">
        <v>0.7</v>
      </c>
      <c r="I109" s="46" t="n">
        <v>0.52</v>
      </c>
      <c r="J109" s="46" t="n">
        <v>0.38</v>
      </c>
      <c r="K109" s="46" t="n">
        <v>0.33</v>
      </c>
      <c r="L109" s="46" t="n">
        <v>0.28</v>
      </c>
    </row>
    <row r="110" customFormat="false" ht="15" hidden="false" customHeight="false" outlineLevel="0" collapsed="false">
      <c r="A110" s="9" t="s">
        <v>377</v>
      </c>
      <c r="B110" s="4" t="s">
        <v>317</v>
      </c>
      <c r="H110" s="57" t="n">
        <f aca="false">(H107+(CHOOSE($C$5,H107,H108,H109)-H107)*$C$61)+$C$50*$C$61</f>
        <v>0.75</v>
      </c>
      <c r="I110" s="57" t="n">
        <f aca="false">CHOOSE($C$5,I107,I108,I109)+$C$50</f>
        <v>0.65</v>
      </c>
      <c r="J110" s="57" t="n">
        <f aca="false">CHOOSE($C$5,J107,J108,J109)+$C$50</f>
        <v>0.52</v>
      </c>
      <c r="K110" s="57" t="n">
        <f aca="false">CHOOSE($C$5,K107,K108,K109)+$C$50</f>
        <v>0.47</v>
      </c>
      <c r="L110" s="57" t="n">
        <f aca="false">CHOOSE($C$5,L107,L108,L109)+$C$50</f>
        <v>0.42</v>
      </c>
      <c r="M110" s="2" t="s">
        <v>378</v>
      </c>
    </row>
    <row r="111" customFormat="false" ht="15" hidden="false" customHeight="false" outlineLevel="0" collapsed="false">
      <c r="A111" s="55" t="s">
        <v>379</v>
      </c>
      <c r="B111" s="55" t="s">
        <v>380</v>
      </c>
      <c r="H111" s="49" t="n">
        <v>18</v>
      </c>
      <c r="I111" s="49" t="n">
        <v>17</v>
      </c>
      <c r="J111" s="49" t="n">
        <v>16.2</v>
      </c>
      <c r="K111" s="49" t="n">
        <v>15.4</v>
      </c>
      <c r="L111" s="49" t="n">
        <v>14.6</v>
      </c>
    </row>
    <row r="112" customFormat="false" ht="15" hidden="false" customHeight="false" outlineLevel="0" collapsed="false">
      <c r="A112" s="55" t="s">
        <v>381</v>
      </c>
      <c r="B112" s="55" t="s">
        <v>380</v>
      </c>
      <c r="H112" s="49" t="n">
        <v>19.5</v>
      </c>
      <c r="I112" s="49" t="n">
        <v>18.5</v>
      </c>
      <c r="J112" s="49" t="n">
        <v>17.8</v>
      </c>
      <c r="K112" s="49" t="n">
        <v>17</v>
      </c>
      <c r="L112" s="49" t="n">
        <v>16.2</v>
      </c>
    </row>
    <row r="113" customFormat="false" ht="15" hidden="false" customHeight="false" outlineLevel="0" collapsed="false">
      <c r="A113" s="55" t="s">
        <v>382</v>
      </c>
      <c r="B113" s="55" t="s">
        <v>380</v>
      </c>
      <c r="H113" s="49" t="n">
        <v>16.5</v>
      </c>
      <c r="I113" s="49" t="n">
        <v>15.5</v>
      </c>
      <c r="J113" s="49" t="n">
        <v>14.5</v>
      </c>
      <c r="K113" s="49" t="n">
        <v>13.8</v>
      </c>
      <c r="L113" s="49" t="n">
        <v>13</v>
      </c>
    </row>
    <row r="114" customFormat="false" ht="15" hidden="false" customHeight="false" outlineLevel="0" collapsed="false">
      <c r="A114" s="9" t="s">
        <v>383</v>
      </c>
      <c r="B114" s="11" t="s">
        <v>384</v>
      </c>
      <c r="H114" s="63" t="n">
        <f aca="false">(H111+(CHOOSE($C$5,H111,H112,H113)-H111)*$C$61)*(1+$C$51*$C$61)</f>
        <v>18</v>
      </c>
      <c r="I114" s="63" t="n">
        <f aca="false">CHOOSE($C$5,I111,I112,I113)*(1+$C$51)</f>
        <v>17</v>
      </c>
      <c r="J114" s="63" t="n">
        <f aca="false">CHOOSE($C$5,J111,J112,J113)*(1+$C$51)</f>
        <v>16.2</v>
      </c>
      <c r="K114" s="63" t="n">
        <f aca="false">CHOOSE($C$5,K111,K112,K113)*(1+$C$51)</f>
        <v>15.4</v>
      </c>
      <c r="L114" s="63" t="n">
        <f aca="false">CHOOSE($C$5,L111,L112,L113)*(1+$C$51)</f>
        <v>14.6</v>
      </c>
      <c r="M114" s="37" t="s">
        <v>385</v>
      </c>
    </row>
    <row r="115" customFormat="false" ht="15" hidden="false" customHeight="false" outlineLevel="0" collapsed="false">
      <c r="A115" s="5" t="s">
        <v>386</v>
      </c>
      <c r="B115" s="6"/>
      <c r="C115" s="6"/>
      <c r="D115" s="6"/>
      <c r="E115" s="6"/>
      <c r="F115" s="6"/>
      <c r="G115" s="6"/>
      <c r="H115" s="6"/>
      <c r="I115" s="6"/>
      <c r="J115" s="6"/>
      <c r="K115" s="6"/>
      <c r="L115" s="6"/>
      <c r="M115" s="6"/>
    </row>
    <row r="116" customFormat="false" ht="15" hidden="false" customHeight="false" outlineLevel="0" collapsed="false">
      <c r="A116" s="55" t="s">
        <v>387</v>
      </c>
      <c r="B116" s="56" t="s">
        <v>317</v>
      </c>
      <c r="H116" s="46" t="n">
        <v>0.46</v>
      </c>
      <c r="I116" s="46" t="n">
        <v>0.47</v>
      </c>
      <c r="J116" s="46" t="n">
        <v>0.46</v>
      </c>
      <c r="K116" s="46" t="n">
        <v>0.45</v>
      </c>
      <c r="L116" s="46" t="n">
        <v>0.44</v>
      </c>
    </row>
    <row r="117" customFormat="false" ht="15" hidden="false" customHeight="false" outlineLevel="0" collapsed="false">
      <c r="A117" s="55" t="s">
        <v>388</v>
      </c>
      <c r="B117" s="56" t="s">
        <v>317</v>
      </c>
      <c r="H117" s="46" t="n">
        <v>0.48</v>
      </c>
      <c r="I117" s="46" t="n">
        <v>0.49</v>
      </c>
      <c r="J117" s="46" t="n">
        <v>0.48</v>
      </c>
      <c r="K117" s="46" t="n">
        <v>0.47</v>
      </c>
      <c r="L117" s="46" t="n">
        <v>0.46</v>
      </c>
    </row>
    <row r="118" customFormat="false" ht="15" hidden="false" customHeight="false" outlineLevel="0" collapsed="false">
      <c r="A118" s="55" t="s">
        <v>389</v>
      </c>
      <c r="B118" s="56" t="s">
        <v>317</v>
      </c>
      <c r="H118" s="46" t="n">
        <v>0.44</v>
      </c>
      <c r="I118" s="46" t="n">
        <v>0.43</v>
      </c>
      <c r="J118" s="46" t="n">
        <v>0.42</v>
      </c>
      <c r="K118" s="46" t="n">
        <v>0.41</v>
      </c>
      <c r="L118" s="46" t="n">
        <v>0.4</v>
      </c>
    </row>
    <row r="119" customFormat="false" ht="15" hidden="false" customHeight="false" outlineLevel="0" collapsed="false">
      <c r="A119" s="9" t="s">
        <v>390</v>
      </c>
      <c r="B119" s="4" t="s">
        <v>317</v>
      </c>
      <c r="F119" s="66" t="n">
        <v>0.4437</v>
      </c>
      <c r="G119" s="66" t="n">
        <v>0.423</v>
      </c>
      <c r="H119" s="57" t="n">
        <f aca="false">(H116+(CHOOSE($C$5,H116,H117,H118)-H116)*$C$61)+$C$48*$C$61</f>
        <v>0.46</v>
      </c>
      <c r="I119" s="57" t="n">
        <f aca="false">CHOOSE($C$5,I116,I117,I118)+$C$48</f>
        <v>0.47</v>
      </c>
      <c r="J119" s="57" t="n">
        <f aca="false">CHOOSE($C$5,J116,J117,J118)+$C$48</f>
        <v>0.46</v>
      </c>
      <c r="K119" s="57" t="n">
        <f aca="false">CHOOSE($C$5,K116,K117,K118)+$C$48</f>
        <v>0.45</v>
      </c>
      <c r="L119" s="57" t="n">
        <f aca="false">CHOOSE($C$5,L116,L117,L118)+$C$48</f>
        <v>0.44</v>
      </c>
      <c r="M119" s="37" t="s">
        <v>391</v>
      </c>
    </row>
    <row r="120" customFormat="false" ht="15" hidden="false" customHeight="false" outlineLevel="0" collapsed="false">
      <c r="A120" s="55" t="s">
        <v>392</v>
      </c>
      <c r="B120" s="56" t="s">
        <v>317</v>
      </c>
      <c r="H120" s="46" t="n">
        <v>0.46</v>
      </c>
      <c r="I120" s="46" t="n">
        <v>0.46</v>
      </c>
      <c r="J120" s="46" t="n">
        <v>0.45</v>
      </c>
      <c r="K120" s="46" t="n">
        <v>0.44</v>
      </c>
      <c r="L120" s="46" t="n">
        <v>0.44</v>
      </c>
    </row>
    <row r="121" customFormat="false" ht="15" hidden="false" customHeight="false" outlineLevel="0" collapsed="false">
      <c r="A121" s="55" t="s">
        <v>393</v>
      </c>
      <c r="B121" s="56" t="s">
        <v>317</v>
      </c>
      <c r="H121" s="46" t="n">
        <v>0.48</v>
      </c>
      <c r="I121" s="46" t="n">
        <v>0.48</v>
      </c>
      <c r="J121" s="46" t="n">
        <v>0.47</v>
      </c>
      <c r="K121" s="46" t="n">
        <v>0.46</v>
      </c>
      <c r="L121" s="46" t="n">
        <v>0.46</v>
      </c>
    </row>
    <row r="122" customFormat="false" ht="15" hidden="false" customHeight="false" outlineLevel="0" collapsed="false">
      <c r="A122" s="55" t="s">
        <v>394</v>
      </c>
      <c r="B122" s="56" t="s">
        <v>317</v>
      </c>
      <c r="H122" s="46" t="n">
        <v>0.44</v>
      </c>
      <c r="I122" s="46" t="n">
        <v>0.43</v>
      </c>
      <c r="J122" s="46" t="n">
        <v>0.42</v>
      </c>
      <c r="K122" s="46" t="n">
        <v>0.42</v>
      </c>
      <c r="L122" s="46" t="n">
        <v>0.41</v>
      </c>
    </row>
    <row r="123" customFormat="false" ht="15" hidden="false" customHeight="false" outlineLevel="0" collapsed="false">
      <c r="A123" s="9" t="s">
        <v>395</v>
      </c>
      <c r="B123" s="4" t="s">
        <v>317</v>
      </c>
      <c r="F123" s="66" t="n">
        <v>0.4393</v>
      </c>
      <c r="G123" s="66" t="n">
        <v>0.4436</v>
      </c>
      <c r="H123" s="57" t="n">
        <f aca="false">(H120+(CHOOSE($C$5,H120,H121,H122)-H120)*$C$61)+$C$48*$C$61</f>
        <v>0.46</v>
      </c>
      <c r="I123" s="57" t="n">
        <f aca="false">CHOOSE($C$5,I120,I121,I122)+$C$48</f>
        <v>0.46</v>
      </c>
      <c r="J123" s="57" t="n">
        <f aca="false">CHOOSE($C$5,J120,J121,J122)+$C$48</f>
        <v>0.45</v>
      </c>
      <c r="K123" s="57" t="n">
        <f aca="false">CHOOSE($C$5,K120,K121,K122)+$C$48</f>
        <v>0.44</v>
      </c>
      <c r="L123" s="57" t="n">
        <f aca="false">CHOOSE($C$5,L120,L121,L122)+$C$48</f>
        <v>0.44</v>
      </c>
      <c r="M123" s="37" t="s">
        <v>396</v>
      </c>
    </row>
    <row r="124" customFormat="false" ht="15" hidden="false" customHeight="false" outlineLevel="0" collapsed="false">
      <c r="A124" s="55" t="s">
        <v>397</v>
      </c>
      <c r="B124" s="56" t="s">
        <v>317</v>
      </c>
      <c r="H124" s="46" t="n">
        <v>0.38</v>
      </c>
      <c r="I124" s="46" t="n">
        <v>0.38</v>
      </c>
      <c r="J124" s="46" t="n">
        <v>0.38</v>
      </c>
      <c r="K124" s="46" t="n">
        <v>0.37</v>
      </c>
      <c r="L124" s="46" t="n">
        <v>0.37</v>
      </c>
    </row>
    <row r="125" customFormat="false" ht="15" hidden="false" customHeight="false" outlineLevel="0" collapsed="false">
      <c r="A125" s="55" t="s">
        <v>398</v>
      </c>
      <c r="B125" s="56" t="s">
        <v>317</v>
      </c>
      <c r="H125" s="46" t="n">
        <v>0.4</v>
      </c>
      <c r="I125" s="46" t="n">
        <v>0.4</v>
      </c>
      <c r="J125" s="46" t="n">
        <v>0.4</v>
      </c>
      <c r="K125" s="46" t="n">
        <v>0.39</v>
      </c>
      <c r="L125" s="46" t="n">
        <v>0.39</v>
      </c>
    </row>
    <row r="126" customFormat="false" ht="15" hidden="false" customHeight="false" outlineLevel="0" collapsed="false">
      <c r="A126" s="55" t="s">
        <v>399</v>
      </c>
      <c r="B126" s="56" t="s">
        <v>317</v>
      </c>
      <c r="H126" s="46" t="n">
        <v>0.36</v>
      </c>
      <c r="I126" s="46" t="n">
        <v>0.35</v>
      </c>
      <c r="J126" s="46" t="n">
        <v>0.35</v>
      </c>
      <c r="K126" s="46" t="n">
        <v>0.34</v>
      </c>
      <c r="L126" s="46" t="n">
        <v>0.34</v>
      </c>
    </row>
    <row r="127" customFormat="false" ht="15" hidden="false" customHeight="false" outlineLevel="0" collapsed="false">
      <c r="A127" s="9" t="s">
        <v>400</v>
      </c>
      <c r="B127" s="4" t="s">
        <v>317</v>
      </c>
      <c r="F127" s="66" t="n">
        <v>0.4057</v>
      </c>
      <c r="G127" s="66" t="n">
        <v>0.3809</v>
      </c>
      <c r="H127" s="57" t="n">
        <f aca="false">(H124+(CHOOSE($C$5,H124,H125,H126)-H124)*$C$61)+$C$48*$C$61</f>
        <v>0.38</v>
      </c>
      <c r="I127" s="57" t="n">
        <f aca="false">CHOOSE($C$5,I124,I125,I126)+$C$48</f>
        <v>0.38</v>
      </c>
      <c r="J127" s="57" t="n">
        <f aca="false">CHOOSE($C$5,J124,J125,J126)+$C$48</f>
        <v>0.38</v>
      </c>
      <c r="K127" s="57" t="n">
        <f aca="false">CHOOSE($C$5,K124,K125,K126)+$C$48</f>
        <v>0.37</v>
      </c>
      <c r="L127" s="57" t="n">
        <f aca="false">CHOOSE($C$5,L124,L125,L126)+$C$48</f>
        <v>0.37</v>
      </c>
      <c r="M127" s="2" t="s">
        <v>401</v>
      </c>
    </row>
    <row r="128" customFormat="false" ht="15" hidden="false" customHeight="false" outlineLevel="0" collapsed="false">
      <c r="A128" s="56" t="s">
        <v>402</v>
      </c>
      <c r="B128" s="56" t="s">
        <v>317</v>
      </c>
      <c r="H128" s="46" t="n">
        <v>0.4</v>
      </c>
      <c r="I128" s="46" t="n">
        <v>0.4</v>
      </c>
      <c r="J128" s="46" t="n">
        <v>0.39</v>
      </c>
      <c r="K128" s="46" t="n">
        <v>0.38</v>
      </c>
      <c r="L128" s="46" t="n">
        <v>0.38</v>
      </c>
    </row>
    <row r="129" customFormat="false" ht="15" hidden="false" customHeight="false" outlineLevel="0" collapsed="false">
      <c r="A129" s="56" t="s">
        <v>403</v>
      </c>
      <c r="B129" s="56" t="s">
        <v>317</v>
      </c>
      <c r="H129" s="46" t="n">
        <v>0.42</v>
      </c>
      <c r="I129" s="46" t="n">
        <v>0.42</v>
      </c>
      <c r="J129" s="46" t="n">
        <v>0.41</v>
      </c>
      <c r="K129" s="46" t="n">
        <v>0.4</v>
      </c>
      <c r="L129" s="46" t="n">
        <v>0.4</v>
      </c>
    </row>
    <row r="130" customFormat="false" ht="15" hidden="false" customHeight="false" outlineLevel="0" collapsed="false">
      <c r="A130" s="56" t="s">
        <v>404</v>
      </c>
      <c r="B130" s="56" t="s">
        <v>317</v>
      </c>
      <c r="H130" s="46" t="n">
        <v>0.36</v>
      </c>
      <c r="I130" s="46" t="n">
        <v>0.35</v>
      </c>
      <c r="J130" s="46" t="n">
        <v>0.34</v>
      </c>
      <c r="K130" s="46" t="n">
        <v>0.33</v>
      </c>
      <c r="L130" s="46" t="n">
        <v>0.33</v>
      </c>
    </row>
    <row r="131" customFormat="false" ht="15" hidden="false" customHeight="false" outlineLevel="0" collapsed="false">
      <c r="A131" s="13" t="s">
        <v>405</v>
      </c>
      <c r="B131" s="4" t="s">
        <v>317</v>
      </c>
      <c r="H131" s="57" t="n">
        <f aca="false">(H128+(CHOOSE($C$5,H128,H129,H130)-H128)*$C$61)+$C$48*$C$61</f>
        <v>0.4</v>
      </c>
      <c r="I131" s="57" t="n">
        <f aca="false">CHOOSE($C$5,I128,I129,I130)+$C$48</f>
        <v>0.4</v>
      </c>
      <c r="J131" s="57" t="n">
        <f aca="false">CHOOSE($C$5,J128,J129,J130)+$C$48</f>
        <v>0.39</v>
      </c>
      <c r="K131" s="57" t="n">
        <f aca="false">CHOOSE($C$5,K128,K129,K130)+$C$48</f>
        <v>0.38</v>
      </c>
      <c r="L131" s="57" t="n">
        <f aca="false">CHOOSE($C$5,L128,L129,L130)+$C$48</f>
        <v>0.38</v>
      </c>
      <c r="M131" s="2" t="s">
        <v>406</v>
      </c>
    </row>
    <row r="132" customFormat="false" ht="15" hidden="false" customHeight="false" outlineLevel="0" collapsed="false">
      <c r="A132" s="55" t="s">
        <v>407</v>
      </c>
      <c r="B132" s="56" t="s">
        <v>317</v>
      </c>
      <c r="H132" s="46" t="n">
        <v>0.58</v>
      </c>
      <c r="I132" s="46" t="n">
        <v>0.58</v>
      </c>
      <c r="J132" s="46" t="n">
        <v>0.57</v>
      </c>
      <c r="K132" s="46" t="n">
        <v>0.57</v>
      </c>
      <c r="L132" s="46" t="n">
        <v>0.56</v>
      </c>
    </row>
    <row r="133" customFormat="false" ht="15" hidden="false" customHeight="false" outlineLevel="0" collapsed="false">
      <c r="A133" s="55" t="s">
        <v>408</v>
      </c>
      <c r="B133" s="56" t="s">
        <v>317</v>
      </c>
      <c r="H133" s="46" t="n">
        <v>0.6</v>
      </c>
      <c r="I133" s="46" t="n">
        <v>0.6</v>
      </c>
      <c r="J133" s="46" t="n">
        <v>0.59</v>
      </c>
      <c r="K133" s="46" t="n">
        <v>0.59</v>
      </c>
      <c r="L133" s="46" t="n">
        <v>0.58</v>
      </c>
    </row>
    <row r="134" customFormat="false" ht="15" hidden="false" customHeight="false" outlineLevel="0" collapsed="false">
      <c r="A134" s="55" t="s">
        <v>409</v>
      </c>
      <c r="B134" s="56" t="s">
        <v>317</v>
      </c>
      <c r="H134" s="46" t="n">
        <v>0.55</v>
      </c>
      <c r="I134" s="46" t="n">
        <v>0.54</v>
      </c>
      <c r="J134" s="46" t="n">
        <v>0.54</v>
      </c>
      <c r="K134" s="46" t="n">
        <v>0.53</v>
      </c>
      <c r="L134" s="46" t="n">
        <v>0.53</v>
      </c>
    </row>
    <row r="135" customFormat="false" ht="15" hidden="false" customHeight="false" outlineLevel="0" collapsed="false">
      <c r="A135" s="9" t="s">
        <v>410</v>
      </c>
      <c r="B135" s="4" t="s">
        <v>317</v>
      </c>
      <c r="G135" s="66" t="n">
        <v>0.5846</v>
      </c>
      <c r="H135" s="57" t="n">
        <f aca="false">(H132+(CHOOSE($C$5,H132,H133,H134)-H132)*$C$61)+$C$48*$C$61</f>
        <v>0.58</v>
      </c>
      <c r="I135" s="57" t="n">
        <f aca="false">CHOOSE($C$5,I132,I133,I134)+$C$48</f>
        <v>0.58</v>
      </c>
      <c r="J135" s="57" t="n">
        <f aca="false">CHOOSE($C$5,J132,J133,J134)+$C$48</f>
        <v>0.57</v>
      </c>
      <c r="K135" s="57" t="n">
        <f aca="false">CHOOSE($C$5,K132,K133,K134)+$C$48</f>
        <v>0.57</v>
      </c>
      <c r="L135" s="57" t="n">
        <f aca="false">CHOOSE($C$5,L132,L133,L134)+$C$48</f>
        <v>0.56</v>
      </c>
      <c r="M135" s="37" t="s">
        <v>411</v>
      </c>
    </row>
    <row r="136" customFormat="false" ht="15" hidden="false" customHeight="false" outlineLevel="0" collapsed="false">
      <c r="A136" s="55" t="s">
        <v>412</v>
      </c>
      <c r="B136" s="56" t="s">
        <v>317</v>
      </c>
      <c r="H136" s="46" t="n">
        <v>0.28</v>
      </c>
      <c r="I136" s="46" t="n">
        <v>0.2</v>
      </c>
      <c r="J136" s="46" t="n">
        <v>0.15</v>
      </c>
      <c r="K136" s="46" t="n">
        <v>0.12</v>
      </c>
      <c r="L136" s="46" t="n">
        <v>0.1</v>
      </c>
    </row>
    <row r="137" customFormat="false" ht="15" hidden="false" customHeight="false" outlineLevel="0" collapsed="false">
      <c r="A137" s="9" t="s">
        <v>413</v>
      </c>
      <c r="B137" s="4" t="s">
        <v>317</v>
      </c>
      <c r="G137" s="66" t="n">
        <v>0.0911</v>
      </c>
      <c r="H137" s="57" t="n">
        <f aca="false">H136+$C$48*$C$61</f>
        <v>0.28</v>
      </c>
      <c r="I137" s="57" t="n">
        <f aca="false">I136+$C$48</f>
        <v>0.2</v>
      </c>
      <c r="J137" s="57" t="n">
        <f aca="false">J136+$C$48</f>
        <v>0.15</v>
      </c>
      <c r="K137" s="57" t="n">
        <f aca="false">K136+$C$48</f>
        <v>0.12</v>
      </c>
      <c r="L137" s="57" t="n">
        <f aca="false">L136+$C$48</f>
        <v>0.1</v>
      </c>
      <c r="M137" s="37" t="s">
        <v>414</v>
      </c>
    </row>
    <row r="138" customFormat="false" ht="15" hidden="false" customHeight="false" outlineLevel="0" collapsed="false">
      <c r="A138" s="55" t="s">
        <v>415</v>
      </c>
      <c r="B138" s="56" t="s">
        <v>317</v>
      </c>
      <c r="H138" s="46" t="n">
        <v>0.75</v>
      </c>
      <c r="I138" s="46" t="n">
        <v>0.75</v>
      </c>
      <c r="J138" s="46" t="n">
        <v>0.75</v>
      </c>
      <c r="K138" s="46" t="n">
        <v>0.75</v>
      </c>
      <c r="L138" s="46" t="n">
        <v>0.75</v>
      </c>
    </row>
    <row r="139" customFormat="false" ht="15" hidden="false" customHeight="false" outlineLevel="0" collapsed="false">
      <c r="A139" s="9" t="s">
        <v>416</v>
      </c>
      <c r="B139" s="4" t="s">
        <v>317</v>
      </c>
      <c r="G139" s="66" t="n">
        <v>0.7957</v>
      </c>
      <c r="H139" s="57" t="n">
        <f aca="false">H138+$C$48*$C$61</f>
        <v>0.75</v>
      </c>
      <c r="I139" s="57" t="n">
        <f aca="false">I138+$C$48</f>
        <v>0.75</v>
      </c>
      <c r="J139" s="57" t="n">
        <f aca="false">J138+$C$48</f>
        <v>0.75</v>
      </c>
      <c r="K139" s="57" t="n">
        <f aca="false">K138+$C$48</f>
        <v>0.75</v>
      </c>
      <c r="L139" s="57" t="n">
        <f aca="false">L138+$C$48</f>
        <v>0.75</v>
      </c>
      <c r="M139" s="37" t="s">
        <v>417</v>
      </c>
    </row>
    <row r="140" customFormat="false" ht="15" hidden="false" customHeight="false" outlineLevel="0" collapsed="false">
      <c r="A140" s="9" t="s">
        <v>418</v>
      </c>
      <c r="B140" s="4" t="s">
        <v>317</v>
      </c>
      <c r="E140" s="67" t="n">
        <f aca="false">成本拆解!E41</f>
        <v>0.0500228699619335</v>
      </c>
      <c r="F140" s="67" t="n">
        <f aca="false">成本拆解!F41</f>
        <v>0.0389210447015066</v>
      </c>
      <c r="G140" s="67" t="n">
        <f aca="false">成本拆解!G41</f>
        <v>0.0352719025296104</v>
      </c>
      <c r="H140" s="68" t="n">
        <v>0.037</v>
      </c>
      <c r="I140" s="68" t="n">
        <v>0.037</v>
      </c>
      <c r="J140" s="68" t="n">
        <v>0.037</v>
      </c>
      <c r="K140" s="68" t="n">
        <v>0.037</v>
      </c>
      <c r="L140" s="68" t="n">
        <v>0.037</v>
      </c>
      <c r="M140" s="37" t="s">
        <v>419</v>
      </c>
    </row>
    <row r="141" customFormat="false" ht="15" hidden="false" customHeight="false" outlineLevel="0" collapsed="false">
      <c r="A141" s="9" t="s">
        <v>420</v>
      </c>
      <c r="B141" s="11" t="s">
        <v>353</v>
      </c>
      <c r="H141" s="69" t="n">
        <v>1128.72214</v>
      </c>
      <c r="I141" s="69" t="n">
        <v>1315.435878</v>
      </c>
      <c r="J141" s="69" t="n">
        <v>1481.162852</v>
      </c>
      <c r="K141" s="69" t="n">
        <v>1626.678079</v>
      </c>
      <c r="L141" s="69" t="n">
        <v>1765.014308</v>
      </c>
      <c r="M141" s="2" t="s">
        <v>421</v>
      </c>
    </row>
    <row r="142" customFormat="false" ht="15" hidden="false" customHeight="false" outlineLevel="0" collapsed="false">
      <c r="A142" s="9" t="s">
        <v>422</v>
      </c>
      <c r="B142" s="11" t="s">
        <v>353</v>
      </c>
      <c r="H142" s="69" t="n">
        <v>685.099128</v>
      </c>
      <c r="I142" s="69" t="n">
        <v>770.425751</v>
      </c>
      <c r="J142" s="69" t="n">
        <v>892.545983</v>
      </c>
      <c r="K142" s="69" t="n">
        <v>1021.049481</v>
      </c>
      <c r="L142" s="69" t="n">
        <v>1135.200157</v>
      </c>
      <c r="M142" s="2" t="s">
        <v>423</v>
      </c>
    </row>
    <row r="143" customFormat="false" ht="15" hidden="false" customHeight="false" outlineLevel="0" collapsed="false">
      <c r="A143" s="5" t="s">
        <v>424</v>
      </c>
      <c r="B143" s="6"/>
      <c r="C143" s="6"/>
      <c r="D143" s="6"/>
      <c r="E143" s="6"/>
      <c r="F143" s="6"/>
      <c r="G143" s="6"/>
      <c r="H143" s="6"/>
      <c r="I143" s="6"/>
      <c r="J143" s="6"/>
      <c r="K143" s="6"/>
      <c r="L143" s="6"/>
      <c r="M143" s="6"/>
    </row>
    <row r="144" customFormat="false" ht="15" hidden="false" customHeight="false" outlineLevel="0" collapsed="false">
      <c r="A144" s="55" t="s">
        <v>425</v>
      </c>
      <c r="B144" s="56" t="s">
        <v>317</v>
      </c>
      <c r="H144" s="46" t="n">
        <v>0.15</v>
      </c>
      <c r="I144" s="46" t="n">
        <v>0.1</v>
      </c>
      <c r="J144" s="46" t="n">
        <v>0.07</v>
      </c>
      <c r="K144" s="46" t="n">
        <v>0.05</v>
      </c>
      <c r="L144" s="46" t="n">
        <v>0.04</v>
      </c>
    </row>
    <row r="145" customFormat="false" ht="15" hidden="false" customHeight="false" outlineLevel="0" collapsed="false">
      <c r="A145" s="9" t="s">
        <v>426</v>
      </c>
      <c r="B145" s="4" t="s">
        <v>317</v>
      </c>
      <c r="H145" s="57" t="n">
        <f aca="false">H144+$C$53*$C$61</f>
        <v>0.15</v>
      </c>
      <c r="I145" s="57" t="n">
        <f aca="false">I144+$C$53</f>
        <v>0.1</v>
      </c>
      <c r="J145" s="57" t="n">
        <f aca="false">J144+$C$53</f>
        <v>0.07</v>
      </c>
      <c r="K145" s="57" t="n">
        <f aca="false">K144+$C$53</f>
        <v>0.05</v>
      </c>
      <c r="L145" s="57" t="n">
        <f aca="false">L144+$C$53</f>
        <v>0.04</v>
      </c>
      <c r="M145" s="37" t="s">
        <v>427</v>
      </c>
    </row>
    <row r="146" customFormat="false" ht="15" hidden="false" customHeight="false" outlineLevel="0" collapsed="false">
      <c r="A146" s="55" t="s">
        <v>428</v>
      </c>
      <c r="B146" s="56" t="s">
        <v>317</v>
      </c>
      <c r="H146" s="46" t="n">
        <v>0.05</v>
      </c>
      <c r="I146" s="46" t="n">
        <v>0.05</v>
      </c>
      <c r="J146" s="46" t="n">
        <v>0.04</v>
      </c>
      <c r="K146" s="46" t="n">
        <v>0.03</v>
      </c>
      <c r="L146" s="46" t="n">
        <v>0.03</v>
      </c>
    </row>
    <row r="147" customFormat="false" ht="15" hidden="false" customHeight="false" outlineLevel="0" collapsed="false">
      <c r="A147" s="9" t="s">
        <v>429</v>
      </c>
      <c r="B147" s="4" t="s">
        <v>317</v>
      </c>
      <c r="H147" s="57" t="n">
        <f aca="false">H146+$C$53*$C$61</f>
        <v>0.05</v>
      </c>
      <c r="I147" s="57" t="n">
        <f aca="false">I146+$C$53</f>
        <v>0.05</v>
      </c>
      <c r="J147" s="57" t="n">
        <f aca="false">J146+$C$53</f>
        <v>0.04</v>
      </c>
      <c r="K147" s="57" t="n">
        <f aca="false">K146+$C$53</f>
        <v>0.03</v>
      </c>
      <c r="L147" s="57" t="n">
        <f aca="false">L146+$C$53</f>
        <v>0.03</v>
      </c>
      <c r="M147" s="2" t="s">
        <v>430</v>
      </c>
    </row>
    <row r="148" customFormat="false" ht="15" hidden="false" customHeight="false" outlineLevel="0" collapsed="false">
      <c r="A148" s="55" t="s">
        <v>431</v>
      </c>
      <c r="B148" s="56" t="s">
        <v>317</v>
      </c>
      <c r="H148" s="46" t="n">
        <v>0.06</v>
      </c>
      <c r="I148" s="46" t="n">
        <v>0.06</v>
      </c>
      <c r="J148" s="46" t="n">
        <v>0.05</v>
      </c>
      <c r="K148" s="46" t="n">
        <v>0.04</v>
      </c>
      <c r="L148" s="46" t="n">
        <v>0.04</v>
      </c>
    </row>
    <row r="149" customFormat="false" ht="15" hidden="false" customHeight="false" outlineLevel="0" collapsed="false">
      <c r="A149" s="9" t="s">
        <v>432</v>
      </c>
      <c r="B149" s="4" t="s">
        <v>317</v>
      </c>
      <c r="H149" s="57" t="n">
        <f aca="false">H148+$C$53*$C$61</f>
        <v>0.06</v>
      </c>
      <c r="I149" s="57" t="n">
        <f aca="false">I148+$C$53</f>
        <v>0.06</v>
      </c>
      <c r="J149" s="57" t="n">
        <f aca="false">J148+$C$53</f>
        <v>0.05</v>
      </c>
      <c r="K149" s="57" t="n">
        <f aca="false">K148+$C$53</f>
        <v>0.04</v>
      </c>
      <c r="L149" s="57" t="n">
        <f aca="false">L148+$C$53</f>
        <v>0.04</v>
      </c>
      <c r="M149" s="2" t="s">
        <v>430</v>
      </c>
    </row>
    <row r="150" customFormat="false" ht="15" hidden="false" customHeight="false" outlineLevel="0" collapsed="false">
      <c r="A150" s="55" t="s">
        <v>433</v>
      </c>
      <c r="B150" s="56" t="s">
        <v>317</v>
      </c>
      <c r="H150" s="46" t="n">
        <v>0.03</v>
      </c>
      <c r="I150" s="46" t="n">
        <v>0.03</v>
      </c>
      <c r="J150" s="46" t="n">
        <v>0.03</v>
      </c>
      <c r="K150" s="46" t="n">
        <v>0.03</v>
      </c>
      <c r="L150" s="46" t="n">
        <v>0.03</v>
      </c>
    </row>
    <row r="151" customFormat="false" ht="15" hidden="false" customHeight="false" outlineLevel="0" collapsed="false">
      <c r="A151" s="9" t="s">
        <v>434</v>
      </c>
      <c r="B151" s="4" t="s">
        <v>317</v>
      </c>
      <c r="H151" s="57" t="n">
        <f aca="false">H150+$C$53*$C$61</f>
        <v>0.03</v>
      </c>
      <c r="I151" s="57" t="n">
        <f aca="false">I150+$C$53</f>
        <v>0.03</v>
      </c>
      <c r="J151" s="57" t="n">
        <f aca="false">J150+$C$53</f>
        <v>0.03</v>
      </c>
      <c r="K151" s="57" t="n">
        <f aca="false">K150+$C$53</f>
        <v>0.03</v>
      </c>
      <c r="L151" s="57" t="n">
        <f aca="false">L150+$C$53</f>
        <v>0.03</v>
      </c>
      <c r="M151" s="2" t="s">
        <v>430</v>
      </c>
    </row>
    <row r="152" customFormat="false" ht="15" hidden="false" customHeight="false" outlineLevel="0" collapsed="false">
      <c r="A152" s="55" t="s">
        <v>435</v>
      </c>
      <c r="B152" s="56" t="s">
        <v>317</v>
      </c>
      <c r="H152" s="46" t="n">
        <v>0.05</v>
      </c>
      <c r="I152" s="46" t="n">
        <v>0.04</v>
      </c>
      <c r="J152" s="46" t="n">
        <v>0.03</v>
      </c>
      <c r="K152" s="46" t="n">
        <v>0.03</v>
      </c>
      <c r="L152" s="46" t="n">
        <v>0.03</v>
      </c>
    </row>
    <row r="153" customFormat="false" ht="15" hidden="false" customHeight="false" outlineLevel="0" collapsed="false">
      <c r="A153" s="9" t="s">
        <v>436</v>
      </c>
      <c r="B153" s="4" t="s">
        <v>317</v>
      </c>
      <c r="H153" s="57" t="n">
        <f aca="false">H152+$C$53*$C$61</f>
        <v>0.05</v>
      </c>
      <c r="I153" s="57" t="n">
        <f aca="false">I152+$C$53</f>
        <v>0.04</v>
      </c>
      <c r="J153" s="57" t="n">
        <f aca="false">J152+$C$53</f>
        <v>0.03</v>
      </c>
      <c r="K153" s="57" t="n">
        <f aca="false">K152+$C$53</f>
        <v>0.03</v>
      </c>
      <c r="L153" s="57" t="n">
        <f aca="false">L152+$C$53</f>
        <v>0.03</v>
      </c>
      <c r="M153" s="2" t="s">
        <v>430</v>
      </c>
    </row>
    <row r="154" customFormat="false" ht="15" hidden="false" customHeight="false" outlineLevel="0" collapsed="false">
      <c r="A154" s="55" t="s">
        <v>437</v>
      </c>
      <c r="B154" s="56" t="s">
        <v>317</v>
      </c>
      <c r="H154" s="46" t="n">
        <v>0.05</v>
      </c>
      <c r="I154" s="46" t="n">
        <v>0.05</v>
      </c>
      <c r="J154" s="46" t="n">
        <v>0.045</v>
      </c>
      <c r="K154" s="46" t="n">
        <v>0.04</v>
      </c>
      <c r="L154" s="46" t="n">
        <v>0.04</v>
      </c>
    </row>
    <row r="155" customFormat="false" ht="15" hidden="false" customHeight="false" outlineLevel="0" collapsed="false">
      <c r="A155" s="9" t="s">
        <v>438</v>
      </c>
      <c r="B155" s="4" t="s">
        <v>317</v>
      </c>
      <c r="G155" s="60" t="n">
        <f aca="false">人员与费用!G23</f>
        <v>-0.0104627503140553</v>
      </c>
      <c r="H155" s="57" t="n">
        <f aca="false">H154+$C$52*$C$61</f>
        <v>0.05</v>
      </c>
      <c r="I155" s="57" t="n">
        <f aca="false">I154+$C$52</f>
        <v>0.05</v>
      </c>
      <c r="J155" s="57" t="n">
        <f aca="false">J154+$C$52</f>
        <v>0.045</v>
      </c>
      <c r="K155" s="57" t="n">
        <f aca="false">K154+$C$52</f>
        <v>0.04</v>
      </c>
      <c r="L155" s="57" t="n">
        <f aca="false">L154+$C$52</f>
        <v>0.04</v>
      </c>
      <c r="M155" s="37" t="s">
        <v>439</v>
      </c>
    </row>
    <row r="156" customFormat="false" ht="15" hidden="false" customHeight="false" outlineLevel="0" collapsed="false">
      <c r="A156" s="5" t="s">
        <v>440</v>
      </c>
      <c r="B156" s="6"/>
      <c r="C156" s="6"/>
      <c r="D156" s="6"/>
      <c r="E156" s="6"/>
      <c r="F156" s="6"/>
      <c r="G156" s="6"/>
      <c r="H156" s="6"/>
      <c r="I156" s="6"/>
      <c r="J156" s="6"/>
      <c r="K156" s="6"/>
      <c r="L156" s="6"/>
      <c r="M156" s="6"/>
    </row>
    <row r="157" customFormat="false" ht="15" hidden="false" customHeight="false" outlineLevel="0" collapsed="false">
      <c r="A157" s="9" t="s">
        <v>441</v>
      </c>
      <c r="B157" s="4" t="s">
        <v>317</v>
      </c>
      <c r="H157" s="68" t="n">
        <v>0.0018</v>
      </c>
      <c r="I157" s="68" t="n">
        <v>0.0018</v>
      </c>
      <c r="J157" s="68" t="n">
        <v>0.0018</v>
      </c>
      <c r="K157" s="68" t="n">
        <v>0.0018</v>
      </c>
      <c r="L157" s="68" t="n">
        <v>0.0018</v>
      </c>
      <c r="M157" s="37" t="s">
        <v>442</v>
      </c>
    </row>
    <row r="158" customFormat="false" ht="15" hidden="false" customHeight="false" outlineLevel="0" collapsed="false">
      <c r="A158" s="55" t="s">
        <v>443</v>
      </c>
      <c r="B158" s="56" t="s">
        <v>317</v>
      </c>
      <c r="H158" s="53" t="n">
        <v>0.0145</v>
      </c>
      <c r="I158" s="53" t="n">
        <v>0.013</v>
      </c>
      <c r="J158" s="53" t="n">
        <v>0.012</v>
      </c>
      <c r="K158" s="53" t="n">
        <v>0.0115</v>
      </c>
      <c r="L158" s="53" t="n">
        <v>0.011</v>
      </c>
    </row>
    <row r="159" customFormat="false" ht="15" hidden="false" customHeight="false" outlineLevel="0" collapsed="false">
      <c r="A159" s="9" t="s">
        <v>444</v>
      </c>
      <c r="B159" s="4" t="s">
        <v>317</v>
      </c>
      <c r="H159" s="70" t="n">
        <f aca="false">H158+$C$54*$C$61</f>
        <v>0.0145</v>
      </c>
      <c r="I159" s="70" t="n">
        <f aca="false">I158+$C$54</f>
        <v>0.013</v>
      </c>
      <c r="J159" s="70" t="n">
        <f aca="false">J158+$C$54</f>
        <v>0.012</v>
      </c>
      <c r="K159" s="70" t="n">
        <f aca="false">K158+$C$54</f>
        <v>0.0115</v>
      </c>
      <c r="L159" s="70" t="n">
        <f aca="false">L158+$C$54</f>
        <v>0.011</v>
      </c>
      <c r="M159" s="37" t="s">
        <v>445</v>
      </c>
    </row>
    <row r="160" customFormat="false" ht="15" hidden="false" customHeight="false" outlineLevel="0" collapsed="false">
      <c r="A160" s="9" t="s">
        <v>446</v>
      </c>
      <c r="B160" s="4" t="s">
        <v>317</v>
      </c>
      <c r="H160" s="68" t="n">
        <v>0.011</v>
      </c>
      <c r="I160" s="68" t="n">
        <v>0.012</v>
      </c>
      <c r="J160" s="68" t="n">
        <v>0.012</v>
      </c>
      <c r="K160" s="68" t="n">
        <v>0.012</v>
      </c>
      <c r="L160" s="68" t="n">
        <v>0.012</v>
      </c>
      <c r="M160" s="37" t="s">
        <v>447</v>
      </c>
    </row>
    <row r="161" customFormat="false" ht="15" hidden="false" customHeight="false" outlineLevel="0" collapsed="false">
      <c r="A161" s="9" t="s">
        <v>448</v>
      </c>
      <c r="B161" s="4" t="s">
        <v>317</v>
      </c>
      <c r="H161" s="68" t="n">
        <v>0.002</v>
      </c>
      <c r="I161" s="68" t="n">
        <v>0.002</v>
      </c>
      <c r="J161" s="68" t="n">
        <v>0.002</v>
      </c>
      <c r="K161" s="68" t="n">
        <v>0.002</v>
      </c>
      <c r="L161" s="68" t="n">
        <v>0.002</v>
      </c>
      <c r="M161" s="37" t="s">
        <v>449</v>
      </c>
    </row>
    <row r="162" customFormat="false" ht="15" hidden="false" customHeight="false" outlineLevel="0" collapsed="false">
      <c r="A162" s="5" t="s">
        <v>450</v>
      </c>
      <c r="B162" s="6"/>
      <c r="C162" s="6"/>
      <c r="D162" s="6"/>
      <c r="E162" s="6"/>
      <c r="F162" s="6"/>
      <c r="G162" s="6"/>
      <c r="H162" s="6"/>
      <c r="I162" s="6"/>
      <c r="J162" s="6"/>
      <c r="K162" s="6"/>
      <c r="L162" s="6"/>
      <c r="M162" s="6"/>
    </row>
    <row r="163" customFormat="false" ht="15" hidden="false" customHeight="false" outlineLevel="0" collapsed="false">
      <c r="A163" s="9" t="s">
        <v>451</v>
      </c>
      <c r="B163" s="4" t="s">
        <v>317</v>
      </c>
      <c r="H163" s="61" t="n">
        <v>0.6</v>
      </c>
      <c r="I163" s="61" t="n">
        <v>0.6</v>
      </c>
      <c r="J163" s="61" t="n">
        <v>0.6</v>
      </c>
      <c r="K163" s="61" t="n">
        <v>0.6</v>
      </c>
      <c r="L163" s="61" t="n">
        <v>0.6</v>
      </c>
      <c r="M163" s="2" t="s">
        <v>452</v>
      </c>
    </row>
    <row r="164" customFormat="false" ht="15" hidden="false" customHeight="false" outlineLevel="0" collapsed="false">
      <c r="A164" s="55" t="s">
        <v>453</v>
      </c>
      <c r="B164" s="55" t="s">
        <v>353</v>
      </c>
      <c r="H164" s="30" t="n">
        <v>900</v>
      </c>
      <c r="I164" s="30" t="n">
        <v>1100</v>
      </c>
      <c r="J164" s="30" t="n">
        <v>950</v>
      </c>
      <c r="K164" s="30" t="n">
        <v>850</v>
      </c>
      <c r="L164" s="30" t="n">
        <v>800</v>
      </c>
    </row>
    <row r="165" customFormat="false" ht="15" hidden="false" customHeight="false" outlineLevel="0" collapsed="false">
      <c r="A165" s="55" t="s">
        <v>454</v>
      </c>
      <c r="B165" s="55" t="s">
        <v>353</v>
      </c>
      <c r="H165" s="30" t="n">
        <v>1000</v>
      </c>
      <c r="I165" s="30" t="n">
        <v>1400</v>
      </c>
      <c r="J165" s="30" t="n">
        <v>1150</v>
      </c>
      <c r="K165" s="30" t="n">
        <v>950</v>
      </c>
      <c r="L165" s="30" t="n">
        <v>900</v>
      </c>
    </row>
    <row r="166" customFormat="false" ht="15" hidden="false" customHeight="false" outlineLevel="0" collapsed="false">
      <c r="A166" s="55" t="s">
        <v>455</v>
      </c>
      <c r="B166" s="55" t="s">
        <v>353</v>
      </c>
      <c r="H166" s="30" t="n">
        <v>700</v>
      </c>
      <c r="I166" s="30" t="n">
        <v>800</v>
      </c>
      <c r="J166" s="30" t="n">
        <v>650</v>
      </c>
      <c r="K166" s="30" t="n">
        <v>550</v>
      </c>
      <c r="L166" s="30" t="n">
        <v>500</v>
      </c>
    </row>
    <row r="167" customFormat="false" ht="15" hidden="false" customHeight="false" outlineLevel="0" collapsed="false">
      <c r="A167" s="9" t="s">
        <v>456</v>
      </c>
      <c r="B167" s="11" t="s">
        <v>353</v>
      </c>
      <c r="H167" s="59" t="n">
        <f aca="false">(H164+(CHOOSE($C$5,H164,H165,H166)-H164)*$C$61)</f>
        <v>900</v>
      </c>
      <c r="I167" s="59" t="n">
        <f aca="false">CHOOSE($C$5,I164,I165,I166)</f>
        <v>1100</v>
      </c>
      <c r="J167" s="59" t="n">
        <f aca="false">CHOOSE($C$5,J164,J165,J166)</f>
        <v>950</v>
      </c>
      <c r="K167" s="59" t="n">
        <f aca="false">CHOOSE($C$5,K164,K165,K166)</f>
        <v>850</v>
      </c>
      <c r="L167" s="59" t="n">
        <f aca="false">CHOOSE($C$5,L164,L165,L166)</f>
        <v>800</v>
      </c>
      <c r="M167" s="37" t="s">
        <v>457</v>
      </c>
    </row>
    <row r="168" customFormat="false" ht="15" hidden="false" customHeight="false" outlineLevel="0" collapsed="false">
      <c r="A168" s="13" t="s">
        <v>458</v>
      </c>
      <c r="B168" s="4" t="s">
        <v>317</v>
      </c>
      <c r="H168" s="61" t="n">
        <v>0.15</v>
      </c>
      <c r="I168" s="61" t="n">
        <v>0.35</v>
      </c>
      <c r="J168" s="61" t="n">
        <v>0.3</v>
      </c>
      <c r="K168" s="61" t="n">
        <v>0.15</v>
      </c>
      <c r="L168" s="61" t="n">
        <v>0.05</v>
      </c>
      <c r="M168" s="2" t="s">
        <v>459</v>
      </c>
    </row>
    <row r="169" customFormat="false" ht="15" hidden="false" customHeight="false" outlineLevel="0" collapsed="false">
      <c r="A169" s="9" t="s">
        <v>460</v>
      </c>
      <c r="B169" s="11" t="s">
        <v>353</v>
      </c>
      <c r="H169" s="69" t="n">
        <v>40</v>
      </c>
      <c r="I169" s="69" t="n">
        <v>40</v>
      </c>
      <c r="J169" s="69" t="n">
        <v>35</v>
      </c>
      <c r="K169" s="69" t="n">
        <v>30</v>
      </c>
      <c r="L169" s="69" t="n">
        <v>30</v>
      </c>
      <c r="M169" s="37" t="s">
        <v>461</v>
      </c>
    </row>
    <row r="170" customFormat="false" ht="15" hidden="false" customHeight="false" outlineLevel="0" collapsed="false">
      <c r="A170" s="9" t="s">
        <v>462</v>
      </c>
      <c r="B170" s="4" t="s">
        <v>317</v>
      </c>
      <c r="H170" s="61" t="n">
        <v>0.75</v>
      </c>
      <c r="I170" s="61" t="n">
        <v>0.75</v>
      </c>
      <c r="J170" s="61" t="n">
        <v>0.7</v>
      </c>
      <c r="K170" s="61" t="n">
        <v>0.65</v>
      </c>
      <c r="L170" s="61" t="n">
        <v>0.6</v>
      </c>
      <c r="M170" s="37" t="s">
        <v>463</v>
      </c>
    </row>
    <row r="171" customFormat="false" ht="15" hidden="false" customHeight="false" outlineLevel="0" collapsed="false">
      <c r="A171" s="9" t="s">
        <v>464</v>
      </c>
      <c r="B171" s="4" t="s">
        <v>317</v>
      </c>
      <c r="H171" s="61" t="n">
        <v>0.7</v>
      </c>
      <c r="I171" s="61" t="n">
        <v>0.7</v>
      </c>
      <c r="J171" s="61" t="n">
        <v>0.7</v>
      </c>
      <c r="K171" s="61" t="n">
        <v>0.7</v>
      </c>
      <c r="L171" s="61" t="n">
        <v>0.7</v>
      </c>
      <c r="M171" s="37" t="s">
        <v>465</v>
      </c>
    </row>
    <row r="172" customFormat="false" ht="15" hidden="false" customHeight="false" outlineLevel="0" collapsed="false">
      <c r="A172" s="9" t="s">
        <v>466</v>
      </c>
      <c r="B172" s="4" t="s">
        <v>317</v>
      </c>
      <c r="H172" s="61" t="n">
        <v>0.3</v>
      </c>
      <c r="I172" s="61" t="n">
        <v>0.3</v>
      </c>
      <c r="J172" s="61" t="n">
        <v>0.3</v>
      </c>
      <c r="K172" s="61" t="n">
        <v>0.3</v>
      </c>
      <c r="L172" s="61" t="n">
        <v>0.3</v>
      </c>
      <c r="M172" s="2" t="s">
        <v>262</v>
      </c>
    </row>
    <row r="173" customFormat="false" ht="15" hidden="false" customHeight="false" outlineLevel="0" collapsed="false">
      <c r="A173" s="9" t="s">
        <v>467</v>
      </c>
      <c r="B173" s="4" t="s">
        <v>317</v>
      </c>
      <c r="H173" s="61" t="n">
        <v>0.3</v>
      </c>
      <c r="I173" s="61" t="n">
        <v>0.32</v>
      </c>
      <c r="J173" s="61" t="n">
        <v>0.3</v>
      </c>
      <c r="K173" s="61" t="n">
        <v>0.28</v>
      </c>
      <c r="L173" s="61" t="n">
        <v>0.25</v>
      </c>
      <c r="M173" s="37" t="s">
        <v>468</v>
      </c>
    </row>
    <row r="174" customFormat="false" ht="15" hidden="false" customHeight="false" outlineLevel="0" collapsed="false">
      <c r="A174" s="9" t="s">
        <v>469</v>
      </c>
      <c r="B174" s="4" t="s">
        <v>317</v>
      </c>
      <c r="H174" s="61" t="n">
        <v>0.62</v>
      </c>
      <c r="I174" s="61" t="n">
        <v>0.6</v>
      </c>
      <c r="J174" s="61" t="n">
        <v>0.62</v>
      </c>
      <c r="K174" s="61" t="n">
        <v>0.64</v>
      </c>
      <c r="L174" s="61" t="n">
        <v>0.67</v>
      </c>
      <c r="M174" s="37" t="s">
        <v>470</v>
      </c>
    </row>
    <row r="175" customFormat="false" ht="15" hidden="false" customHeight="false" outlineLevel="0" collapsed="false">
      <c r="A175" s="9" t="s">
        <v>471</v>
      </c>
      <c r="B175" s="4" t="s">
        <v>317</v>
      </c>
      <c r="H175" s="61" t="n">
        <v>0.003</v>
      </c>
      <c r="I175" s="61" t="n">
        <v>0.003</v>
      </c>
      <c r="J175" s="61" t="n">
        <v>0.003</v>
      </c>
      <c r="K175" s="61" t="n">
        <v>0.003</v>
      </c>
      <c r="L175" s="61" t="n">
        <v>0.003</v>
      </c>
      <c r="M175" s="2" t="s">
        <v>472</v>
      </c>
    </row>
    <row r="176" customFormat="false" ht="15" hidden="false" customHeight="false" outlineLevel="0" collapsed="false">
      <c r="A176" s="9" t="s">
        <v>473</v>
      </c>
      <c r="B176" s="4" t="s">
        <v>317</v>
      </c>
      <c r="H176" s="71" t="n">
        <f aca="false">1-H173-H174-H175</f>
        <v>0.077</v>
      </c>
      <c r="I176" s="71" t="n">
        <f aca="false">1-I173-I174-I175</f>
        <v>0.077</v>
      </c>
      <c r="J176" s="71" t="n">
        <f aca="false">1-J173-J174-J175</f>
        <v>0.077</v>
      </c>
      <c r="K176" s="71" t="n">
        <f aca="false">1-K173-K174-K175</f>
        <v>0.077</v>
      </c>
      <c r="L176" s="71" t="n">
        <f aca="false">1-L173-L174-L175</f>
        <v>0.077</v>
      </c>
      <c r="M176" s="37" t="s">
        <v>474</v>
      </c>
    </row>
    <row r="177" customFormat="false" ht="15" hidden="false" customHeight="false" outlineLevel="0" collapsed="false">
      <c r="A177" s="55" t="s">
        <v>475</v>
      </c>
      <c r="B177" s="56" t="s">
        <v>317</v>
      </c>
      <c r="H177" s="53" t="n">
        <v>0.048</v>
      </c>
      <c r="I177" s="53" t="n">
        <v>0.048</v>
      </c>
      <c r="J177" s="53" t="n">
        <v>0.048</v>
      </c>
      <c r="K177" s="53" t="n">
        <v>0.048</v>
      </c>
      <c r="L177" s="53" t="n">
        <v>0.048</v>
      </c>
    </row>
    <row r="178" customFormat="false" ht="15" hidden="false" customHeight="false" outlineLevel="0" collapsed="false">
      <c r="A178" s="9" t="s">
        <v>476</v>
      </c>
      <c r="B178" s="4" t="s">
        <v>317</v>
      </c>
      <c r="E178" s="67" t="n">
        <f aca="false">资本开支与折旧!E29</f>
        <v>0.0465289044813384</v>
      </c>
      <c r="F178" s="67" t="n">
        <f aca="false">资本开支与折旧!F29</f>
        <v>0.049332647135597</v>
      </c>
      <c r="G178" s="67" t="n">
        <f aca="false">资本开支与折旧!G29</f>
        <v>0.0482273825829763</v>
      </c>
      <c r="H178" s="72" t="n">
        <f aca="false">H177*(1+$C$57*$C$61)</f>
        <v>0.048</v>
      </c>
      <c r="I178" s="72" t="n">
        <f aca="false">I177*(1+$C$57)</f>
        <v>0.048</v>
      </c>
      <c r="J178" s="72" t="n">
        <f aca="false">J177*(1+$C$57)</f>
        <v>0.048</v>
      </c>
      <c r="K178" s="72" t="n">
        <f aca="false">K177*(1+$C$57)</f>
        <v>0.048</v>
      </c>
      <c r="L178" s="72" t="n">
        <f aca="false">L177*(1+$C$57)</f>
        <v>0.048</v>
      </c>
      <c r="M178" s="37" t="s">
        <v>477</v>
      </c>
    </row>
    <row r="179" customFormat="false" ht="15" hidden="false" customHeight="false" outlineLevel="0" collapsed="false">
      <c r="A179" s="9" t="s">
        <v>478</v>
      </c>
      <c r="B179" s="4" t="s">
        <v>317</v>
      </c>
      <c r="H179" s="68" t="n">
        <v>0.003</v>
      </c>
      <c r="I179" s="68" t="n">
        <v>0.003</v>
      </c>
      <c r="J179" s="68" t="n">
        <v>0.003</v>
      </c>
      <c r="K179" s="68" t="n">
        <v>0.003</v>
      </c>
      <c r="L179" s="68" t="n">
        <v>0.003</v>
      </c>
      <c r="M179" s="2" t="s">
        <v>479</v>
      </c>
    </row>
    <row r="180" customFormat="false" ht="15" hidden="false" customHeight="false" outlineLevel="0" collapsed="false">
      <c r="A180" s="9" t="s">
        <v>480</v>
      </c>
      <c r="B180" s="4" t="s">
        <v>317</v>
      </c>
      <c r="H180" s="61" t="n">
        <v>0.7</v>
      </c>
      <c r="I180" s="61" t="n">
        <v>0.7</v>
      </c>
      <c r="J180" s="61" t="n">
        <v>0.7</v>
      </c>
      <c r="K180" s="61" t="n">
        <v>0.7</v>
      </c>
      <c r="L180" s="61" t="n">
        <v>0.7</v>
      </c>
      <c r="M180" s="2" t="s">
        <v>481</v>
      </c>
    </row>
    <row r="181" customFormat="false" ht="15" hidden="false" customHeight="false" outlineLevel="0" collapsed="false">
      <c r="A181" s="55" t="s">
        <v>482</v>
      </c>
      <c r="B181" s="56" t="s">
        <v>317</v>
      </c>
      <c r="H181" s="53" t="n">
        <v>0.081</v>
      </c>
      <c r="I181" s="53" t="n">
        <v>0.081</v>
      </c>
      <c r="J181" s="53" t="n">
        <v>0.081</v>
      </c>
      <c r="K181" s="53" t="n">
        <v>0.081</v>
      </c>
      <c r="L181" s="53" t="n">
        <v>0.081</v>
      </c>
    </row>
    <row r="182" customFormat="false" ht="15" hidden="false" customHeight="false" outlineLevel="0" collapsed="false">
      <c r="A182" s="9" t="s">
        <v>483</v>
      </c>
      <c r="B182" s="4" t="s">
        <v>317</v>
      </c>
      <c r="E182" s="67" t="n">
        <f aca="false">资本开支与折旧!E41</f>
        <v>0.0826797386263357</v>
      </c>
      <c r="F182" s="67" t="n">
        <f aca="false">资本开支与折旧!F41</f>
        <v>0.0796873908464722</v>
      </c>
      <c r="G182" s="67" t="n">
        <f aca="false">资本开支与折旧!G41</f>
        <v>0.0811882623046642</v>
      </c>
      <c r="H182" s="72" t="n">
        <f aca="false">H181*(1+$C$57*$C$61)</f>
        <v>0.081</v>
      </c>
      <c r="I182" s="72" t="n">
        <f aca="false">I181*(1+$C$57)</f>
        <v>0.081</v>
      </c>
      <c r="J182" s="72" t="n">
        <f aca="false">J181*(1+$C$57)</f>
        <v>0.081</v>
      </c>
      <c r="K182" s="72" t="n">
        <f aca="false">K181*(1+$C$57)</f>
        <v>0.081</v>
      </c>
      <c r="L182" s="72" t="n">
        <f aca="false">L181*(1+$C$57)</f>
        <v>0.081</v>
      </c>
      <c r="M182" s="37" t="s">
        <v>484</v>
      </c>
    </row>
    <row r="183" customFormat="false" ht="15" hidden="false" customHeight="false" outlineLevel="0" collapsed="false">
      <c r="A183" s="9" t="s">
        <v>485</v>
      </c>
      <c r="B183" s="4" t="s">
        <v>317</v>
      </c>
      <c r="H183" s="68" t="n">
        <v>0.015</v>
      </c>
      <c r="I183" s="68" t="n">
        <v>0.015</v>
      </c>
      <c r="J183" s="68" t="n">
        <v>0.015</v>
      </c>
      <c r="K183" s="68" t="n">
        <v>0.015</v>
      </c>
      <c r="L183" s="68" t="n">
        <v>0.015</v>
      </c>
      <c r="M183" s="2" t="s">
        <v>479</v>
      </c>
    </row>
    <row r="184" customFormat="false" ht="15" hidden="false" customHeight="false" outlineLevel="0" collapsed="false">
      <c r="A184" s="9" t="s">
        <v>486</v>
      </c>
      <c r="B184" s="4" t="s">
        <v>317</v>
      </c>
      <c r="H184" s="61" t="n">
        <v>0.8</v>
      </c>
      <c r="I184" s="61" t="n">
        <v>0.8</v>
      </c>
      <c r="J184" s="61" t="n">
        <v>0.8</v>
      </c>
      <c r="K184" s="61" t="n">
        <v>0.8</v>
      </c>
      <c r="L184" s="61" t="n">
        <v>0.8</v>
      </c>
      <c r="M184" s="2" t="s">
        <v>481</v>
      </c>
    </row>
    <row r="185" customFormat="false" ht="15" hidden="false" customHeight="false" outlineLevel="0" collapsed="false">
      <c r="A185" s="55" t="s">
        <v>487</v>
      </c>
      <c r="B185" s="56" t="s">
        <v>317</v>
      </c>
      <c r="H185" s="53" t="n">
        <v>0.096</v>
      </c>
      <c r="I185" s="53" t="n">
        <v>0.096</v>
      </c>
      <c r="J185" s="53" t="n">
        <v>0.096</v>
      </c>
      <c r="K185" s="53" t="n">
        <v>0.096</v>
      </c>
      <c r="L185" s="53" t="n">
        <v>0.096</v>
      </c>
    </row>
    <row r="186" customFormat="false" ht="15" hidden="false" customHeight="false" outlineLevel="0" collapsed="false">
      <c r="A186" s="9" t="s">
        <v>488</v>
      </c>
      <c r="B186" s="4" t="s">
        <v>317</v>
      </c>
      <c r="E186" s="67" t="n">
        <f aca="false">资本开支与折旧!E53</f>
        <v>0.0957702806904255</v>
      </c>
      <c r="F186" s="67" t="n">
        <f aca="false">资本开支与折旧!F53</f>
        <v>0.0982707291664596</v>
      </c>
      <c r="G186" s="67" t="n">
        <f aca="false">资本开支与折旧!G53</f>
        <v>0.0937823758248986</v>
      </c>
      <c r="H186" s="72" t="n">
        <f aca="false">H185*(1+$C$57*$C$61)</f>
        <v>0.096</v>
      </c>
      <c r="I186" s="72" t="n">
        <f aca="false">I185*(1+$C$57)</f>
        <v>0.096</v>
      </c>
      <c r="J186" s="72" t="n">
        <f aca="false">J185*(1+$C$57)</f>
        <v>0.096</v>
      </c>
      <c r="K186" s="72" t="n">
        <f aca="false">K185*(1+$C$57)</f>
        <v>0.096</v>
      </c>
      <c r="L186" s="72" t="n">
        <f aca="false">L185*(1+$C$57)</f>
        <v>0.096</v>
      </c>
      <c r="M186" s="37" t="s">
        <v>489</v>
      </c>
    </row>
    <row r="187" customFormat="false" ht="15" hidden="false" customHeight="false" outlineLevel="0" collapsed="false">
      <c r="A187" s="9" t="s">
        <v>490</v>
      </c>
      <c r="B187" s="4" t="s">
        <v>317</v>
      </c>
      <c r="H187" s="68" t="n">
        <v>0.1</v>
      </c>
      <c r="I187" s="68" t="n">
        <v>0.1</v>
      </c>
      <c r="J187" s="68" t="n">
        <v>0.1</v>
      </c>
      <c r="K187" s="68" t="n">
        <v>0.1</v>
      </c>
      <c r="L187" s="68" t="n">
        <v>0.1</v>
      </c>
      <c r="M187" s="2" t="s">
        <v>479</v>
      </c>
    </row>
    <row r="188" customFormat="false" ht="15" hidden="false" customHeight="false" outlineLevel="0" collapsed="false">
      <c r="A188" s="9" t="s">
        <v>491</v>
      </c>
      <c r="B188" s="4" t="s">
        <v>317</v>
      </c>
      <c r="H188" s="61" t="n">
        <v>0.88</v>
      </c>
      <c r="I188" s="61" t="n">
        <v>0.88</v>
      </c>
      <c r="J188" s="61" t="n">
        <v>0.88</v>
      </c>
      <c r="K188" s="61" t="n">
        <v>0.88</v>
      </c>
      <c r="L188" s="61" t="n">
        <v>0.88</v>
      </c>
      <c r="M188" s="2" t="s">
        <v>481</v>
      </c>
    </row>
    <row r="189" customFormat="false" ht="15" hidden="false" customHeight="false" outlineLevel="0" collapsed="false">
      <c r="A189" s="55" t="s">
        <v>492</v>
      </c>
      <c r="B189" s="56" t="s">
        <v>317</v>
      </c>
      <c r="H189" s="53" t="n">
        <v>0.11</v>
      </c>
      <c r="I189" s="53" t="n">
        <v>0.11</v>
      </c>
      <c r="J189" s="53" t="n">
        <v>0.11</v>
      </c>
      <c r="K189" s="53" t="n">
        <v>0.11</v>
      </c>
      <c r="L189" s="53" t="n">
        <v>0.11</v>
      </c>
    </row>
    <row r="190" customFormat="false" ht="15" hidden="false" customHeight="false" outlineLevel="0" collapsed="false">
      <c r="A190" s="9" t="s">
        <v>493</v>
      </c>
      <c r="B190" s="4" t="s">
        <v>317</v>
      </c>
      <c r="E190" s="67" t="n">
        <f aca="false">资本开支与折旧!E65</f>
        <v>0.0892624393981098</v>
      </c>
      <c r="F190" s="67" t="n">
        <f aca="false">资本开支与折旧!F65</f>
        <v>0.100665327952724</v>
      </c>
      <c r="G190" s="67" t="n">
        <f aca="false">资本开支与折旧!G65</f>
        <v>0.112613556738542</v>
      </c>
      <c r="H190" s="72" t="n">
        <f aca="false">H189*(1+$C$57*$C$61)</f>
        <v>0.11</v>
      </c>
      <c r="I190" s="72" t="n">
        <f aca="false">I189*(1+$C$57)</f>
        <v>0.11</v>
      </c>
      <c r="J190" s="72" t="n">
        <f aca="false">J189*(1+$C$57)</f>
        <v>0.11</v>
      </c>
      <c r="K190" s="72" t="n">
        <f aca="false">K189*(1+$C$57)</f>
        <v>0.11</v>
      </c>
      <c r="L190" s="72" t="n">
        <f aca="false">L189*(1+$C$57)</f>
        <v>0.11</v>
      </c>
      <c r="M190" s="37" t="s">
        <v>494</v>
      </c>
    </row>
    <row r="191" customFormat="false" ht="15" hidden="false" customHeight="false" outlineLevel="0" collapsed="false">
      <c r="A191" s="9" t="s">
        <v>495</v>
      </c>
      <c r="B191" s="4" t="s">
        <v>317</v>
      </c>
      <c r="H191" s="68" t="n">
        <v>0.03</v>
      </c>
      <c r="I191" s="68" t="n">
        <v>0.03</v>
      </c>
      <c r="J191" s="68" t="n">
        <v>0.03</v>
      </c>
      <c r="K191" s="68" t="n">
        <v>0.03</v>
      </c>
      <c r="L191" s="68" t="n">
        <v>0.03</v>
      </c>
      <c r="M191" s="2" t="s">
        <v>479</v>
      </c>
    </row>
    <row r="192" customFormat="false" ht="15" hidden="false" customHeight="false" outlineLevel="0" collapsed="false">
      <c r="A192" s="9" t="s">
        <v>496</v>
      </c>
      <c r="B192" s="4" t="s">
        <v>317</v>
      </c>
      <c r="H192" s="61" t="n">
        <v>0.7</v>
      </c>
      <c r="I192" s="61" t="n">
        <v>0.7</v>
      </c>
      <c r="J192" s="61" t="n">
        <v>0.7</v>
      </c>
      <c r="K192" s="61" t="n">
        <v>0.7</v>
      </c>
      <c r="L192" s="61" t="n">
        <v>0.7</v>
      </c>
      <c r="M192" s="2" t="s">
        <v>481</v>
      </c>
    </row>
    <row r="193" customFormat="false" ht="15" hidden="false" customHeight="false" outlineLevel="0" collapsed="false">
      <c r="A193" s="9" t="s">
        <v>497</v>
      </c>
      <c r="B193" s="4" t="s">
        <v>317</v>
      </c>
      <c r="H193" s="68" t="n">
        <v>0.052</v>
      </c>
      <c r="I193" s="68" t="n">
        <v>0.052</v>
      </c>
      <c r="J193" s="68" t="n">
        <v>0.052</v>
      </c>
      <c r="K193" s="68" t="n">
        <v>0.052</v>
      </c>
      <c r="L193" s="68" t="n">
        <v>0.052</v>
      </c>
      <c r="M193" s="37" t="s">
        <v>498</v>
      </c>
    </row>
    <row r="194" customFormat="false" ht="15" hidden="false" customHeight="false" outlineLevel="0" collapsed="false">
      <c r="A194" s="9" t="s">
        <v>499</v>
      </c>
      <c r="B194" s="11" t="s">
        <v>353</v>
      </c>
      <c r="H194" s="69" t="n">
        <v>5</v>
      </c>
      <c r="I194" s="69" t="n">
        <v>5</v>
      </c>
      <c r="J194" s="69" t="n">
        <v>5</v>
      </c>
      <c r="K194" s="69" t="n">
        <v>5</v>
      </c>
      <c r="L194" s="69" t="n">
        <v>5</v>
      </c>
      <c r="M194" s="37" t="s">
        <v>500</v>
      </c>
    </row>
    <row r="195" customFormat="false" ht="15" hidden="false" customHeight="false" outlineLevel="0" collapsed="false">
      <c r="A195" s="5" t="s">
        <v>501</v>
      </c>
      <c r="B195" s="6"/>
      <c r="C195" s="6"/>
      <c r="D195" s="6"/>
      <c r="E195" s="6"/>
      <c r="F195" s="6"/>
      <c r="G195" s="6"/>
      <c r="H195" s="6"/>
      <c r="I195" s="6"/>
      <c r="J195" s="6"/>
      <c r="K195" s="6"/>
      <c r="L195" s="6"/>
      <c r="M195" s="6"/>
    </row>
    <row r="196" customFormat="false" ht="15" hidden="false" customHeight="false" outlineLevel="0" collapsed="false">
      <c r="A196" s="9" t="s">
        <v>502</v>
      </c>
      <c r="B196" s="11" t="s">
        <v>503</v>
      </c>
      <c r="E196" s="73" t="n">
        <f aca="false">营运资金!E38</f>
        <v>29.4796140037999</v>
      </c>
      <c r="F196" s="73" t="n">
        <f aca="false">营运资金!F38</f>
        <v>31.7773454714005</v>
      </c>
      <c r="G196" s="73" t="n">
        <f aca="false">营运资金!G38</f>
        <v>30.5919480292215</v>
      </c>
      <c r="H196" s="74" t="n">
        <v>28</v>
      </c>
      <c r="I196" s="74" t="n">
        <v>28</v>
      </c>
      <c r="J196" s="74" t="n">
        <v>28</v>
      </c>
      <c r="K196" s="74" t="n">
        <v>28</v>
      </c>
      <c r="L196" s="74" t="n">
        <v>28</v>
      </c>
      <c r="M196" s="37" t="s">
        <v>504</v>
      </c>
    </row>
    <row r="197" customFormat="false" ht="15" hidden="false" customHeight="false" outlineLevel="0" collapsed="false">
      <c r="A197" s="9" t="s">
        <v>505</v>
      </c>
      <c r="B197" s="11" t="s">
        <v>503</v>
      </c>
      <c r="E197" s="73" t="n">
        <f aca="false">营运资金!E37</f>
        <v>103.673924293246</v>
      </c>
      <c r="F197" s="73" t="n">
        <f aca="false">营运资金!F37</f>
        <v>92.6359129153083</v>
      </c>
      <c r="G197" s="73" t="n">
        <f aca="false">营运资金!G37</f>
        <v>87.508055124938</v>
      </c>
      <c r="H197" s="74" t="n">
        <v>88</v>
      </c>
      <c r="I197" s="74" t="n">
        <v>88</v>
      </c>
      <c r="J197" s="74" t="n">
        <v>88</v>
      </c>
      <c r="K197" s="74" t="n">
        <v>88</v>
      </c>
      <c r="L197" s="74" t="n">
        <v>88</v>
      </c>
      <c r="M197" s="37" t="s">
        <v>506</v>
      </c>
    </row>
    <row r="198" customFormat="false" ht="15" hidden="false" customHeight="false" outlineLevel="0" collapsed="false">
      <c r="A198" s="9" t="s">
        <v>507</v>
      </c>
      <c r="B198" s="11" t="s">
        <v>503</v>
      </c>
      <c r="E198" s="73" t="n">
        <f aca="false">营运资金!E39</f>
        <v>10.8448437521964</v>
      </c>
      <c r="F198" s="73" t="n">
        <f aca="false">营运资金!F39</f>
        <v>8.53770461652644</v>
      </c>
      <c r="G198" s="73" t="n">
        <f aca="false">营运资金!G39</f>
        <v>14.0029267735727</v>
      </c>
      <c r="H198" s="74" t="n">
        <v>12</v>
      </c>
      <c r="I198" s="74" t="n">
        <v>12</v>
      </c>
      <c r="J198" s="74" t="n">
        <v>12</v>
      </c>
      <c r="K198" s="74" t="n">
        <v>12</v>
      </c>
      <c r="L198" s="74" t="n">
        <v>12</v>
      </c>
      <c r="M198" s="37" t="s">
        <v>508</v>
      </c>
    </row>
    <row r="199" customFormat="false" ht="15" hidden="false" customHeight="false" outlineLevel="0" collapsed="false">
      <c r="A199" s="9" t="s">
        <v>509</v>
      </c>
      <c r="B199" s="11" t="s">
        <v>503</v>
      </c>
      <c r="E199" s="73" t="n">
        <f aca="false">营运资金!E40</f>
        <v>81.5009686014836</v>
      </c>
      <c r="F199" s="73" t="n">
        <f aca="false">营运资金!F40</f>
        <v>50.321770873329</v>
      </c>
      <c r="G199" s="73" t="n">
        <f aca="false">营运资金!G40</f>
        <v>44.7905367345252</v>
      </c>
      <c r="H199" s="74" t="n">
        <v>50</v>
      </c>
      <c r="I199" s="74" t="n">
        <v>50</v>
      </c>
      <c r="J199" s="74" t="n">
        <v>50</v>
      </c>
      <c r="K199" s="74" t="n">
        <v>50</v>
      </c>
      <c r="L199" s="74" t="n">
        <v>50</v>
      </c>
      <c r="M199" s="37" t="s">
        <v>510</v>
      </c>
    </row>
    <row r="200" customFormat="false" ht="15" hidden="false" customHeight="false" outlineLevel="0" collapsed="false">
      <c r="A200" s="9" t="s">
        <v>511</v>
      </c>
      <c r="B200" s="11" t="s">
        <v>503</v>
      </c>
      <c r="E200" s="73" t="n">
        <f aca="false">营运资金!E41</f>
        <v>79.3792755477176</v>
      </c>
      <c r="F200" s="73" t="n">
        <f aca="false">营运资金!F41</f>
        <v>92.9994837395086</v>
      </c>
      <c r="G200" s="73" t="n">
        <f aca="false">营运资金!G41</f>
        <v>81.5687470265573</v>
      </c>
      <c r="H200" s="74" t="n">
        <v>72</v>
      </c>
      <c r="I200" s="74" t="n">
        <v>72</v>
      </c>
      <c r="J200" s="74" t="n">
        <v>72</v>
      </c>
      <c r="K200" s="74" t="n">
        <v>72</v>
      </c>
      <c r="L200" s="74" t="n">
        <v>72</v>
      </c>
      <c r="M200" s="37" t="s">
        <v>512</v>
      </c>
    </row>
    <row r="201" customFormat="false" ht="15" hidden="false" customHeight="false" outlineLevel="0" collapsed="false">
      <c r="A201" s="9" t="s">
        <v>513</v>
      </c>
      <c r="B201" s="11" t="s">
        <v>503</v>
      </c>
      <c r="E201" s="73" t="n">
        <f aca="false">营运资金!E42</f>
        <v>64.8155592308167</v>
      </c>
      <c r="F201" s="73" t="n">
        <f aca="false">营运资金!F42</f>
        <v>72.9574293775563</v>
      </c>
      <c r="G201" s="73" t="n">
        <f aca="false">营运资金!G42</f>
        <v>62.329415022947</v>
      </c>
      <c r="H201" s="74" t="n">
        <v>55</v>
      </c>
      <c r="I201" s="74" t="n">
        <v>55</v>
      </c>
      <c r="J201" s="74" t="n">
        <v>55</v>
      </c>
      <c r="K201" s="74" t="n">
        <v>55</v>
      </c>
      <c r="L201" s="74" t="n">
        <v>55</v>
      </c>
      <c r="M201" s="37" t="s">
        <v>514</v>
      </c>
    </row>
    <row r="202" customFormat="false" ht="15" hidden="false" customHeight="false" outlineLevel="0" collapsed="false">
      <c r="A202" s="9" t="s">
        <v>515</v>
      </c>
      <c r="B202" s="11" t="s">
        <v>503</v>
      </c>
      <c r="E202" s="73" t="n">
        <f aca="false">营运资金!E43</f>
        <v>25.6905332616617</v>
      </c>
      <c r="F202" s="73" t="n">
        <f aca="false">营运资金!F43</f>
        <v>45.26673611323</v>
      </c>
      <c r="G202" s="73" t="n">
        <f aca="false">营运资金!G43</f>
        <v>78.3811429828037</v>
      </c>
      <c r="H202" s="74" t="n">
        <v>75</v>
      </c>
      <c r="I202" s="74" t="n">
        <v>75</v>
      </c>
      <c r="J202" s="74" t="n">
        <v>75</v>
      </c>
      <c r="K202" s="74" t="n">
        <v>75</v>
      </c>
      <c r="L202" s="74" t="n">
        <v>75</v>
      </c>
      <c r="M202" s="37" t="s">
        <v>516</v>
      </c>
    </row>
    <row r="203" customFormat="false" ht="15" hidden="false" customHeight="false" outlineLevel="0" collapsed="false">
      <c r="A203" s="9" t="s">
        <v>517</v>
      </c>
      <c r="B203" s="11" t="s">
        <v>503</v>
      </c>
      <c r="E203" s="73" t="n">
        <f aca="false">营运资金!E44</f>
        <v>78.1992392519943</v>
      </c>
      <c r="F203" s="73" t="n">
        <f aca="false">营运资金!F44</f>
        <v>67.1711351785315</v>
      </c>
      <c r="G203" s="73" t="n">
        <f aca="false">营运资金!G44</f>
        <v>56.6431805583129</v>
      </c>
      <c r="H203" s="74" t="n">
        <v>60</v>
      </c>
      <c r="I203" s="74" t="n">
        <v>60</v>
      </c>
      <c r="J203" s="74" t="n">
        <v>60</v>
      </c>
      <c r="K203" s="74" t="n">
        <v>60</v>
      </c>
      <c r="L203" s="74" t="n">
        <v>60</v>
      </c>
      <c r="M203" s="37" t="s">
        <v>518</v>
      </c>
    </row>
    <row r="204" customFormat="false" ht="15" hidden="false" customHeight="false" outlineLevel="0" collapsed="false">
      <c r="A204" s="9" t="s">
        <v>519</v>
      </c>
      <c r="B204" s="4" t="s">
        <v>317</v>
      </c>
      <c r="H204" s="61" t="n">
        <v>0</v>
      </c>
      <c r="I204" s="61" t="n">
        <v>0</v>
      </c>
      <c r="J204" s="61" t="n">
        <v>0</v>
      </c>
      <c r="K204" s="61" t="n">
        <v>0</v>
      </c>
      <c r="L204" s="61" t="n">
        <v>0</v>
      </c>
      <c r="M204" s="2" t="s">
        <v>520</v>
      </c>
    </row>
    <row r="205" customFormat="false" ht="15" hidden="false" customHeight="false" outlineLevel="0" collapsed="false">
      <c r="A205" s="9" t="s">
        <v>521</v>
      </c>
      <c r="B205" s="4" t="s">
        <v>317</v>
      </c>
      <c r="E205" s="60" t="n">
        <f aca="false">营运资金!E45</f>
        <v>0.0266639933269962</v>
      </c>
      <c r="F205" s="60" t="n">
        <f aca="false">营运资金!F45</f>
        <v>0.0329866343133881</v>
      </c>
      <c r="G205" s="60" t="n">
        <f aca="false">营运资金!G45</f>
        <v>0.028354413894494</v>
      </c>
      <c r="H205" s="61" t="n">
        <v>0.035</v>
      </c>
      <c r="I205" s="61" t="n">
        <v>0.035</v>
      </c>
      <c r="J205" s="61" t="n">
        <v>0.035</v>
      </c>
      <c r="K205" s="61" t="n">
        <v>0.035</v>
      </c>
      <c r="L205" s="61" t="n">
        <v>0.035</v>
      </c>
      <c r="M205" s="37" t="s">
        <v>522</v>
      </c>
    </row>
    <row r="206" customFormat="false" ht="15" hidden="false" customHeight="false" outlineLevel="0" collapsed="false">
      <c r="A206" s="9" t="s">
        <v>523</v>
      </c>
      <c r="B206" s="4" t="s">
        <v>317</v>
      </c>
      <c r="H206" s="68" t="n">
        <v>0.016</v>
      </c>
      <c r="I206" s="68" t="n">
        <v>0.016</v>
      </c>
      <c r="J206" s="68" t="n">
        <v>0.016</v>
      </c>
      <c r="K206" s="68" t="n">
        <v>0.016</v>
      </c>
      <c r="L206" s="68" t="n">
        <v>0.016</v>
      </c>
      <c r="M206" s="37" t="s">
        <v>524</v>
      </c>
    </row>
    <row r="207" customFormat="false" ht="15" hidden="false" customHeight="false" outlineLevel="0" collapsed="false">
      <c r="A207" s="9" t="s">
        <v>525</v>
      </c>
      <c r="B207" s="4" t="s">
        <v>317</v>
      </c>
      <c r="H207" s="68" t="n">
        <v>0.002</v>
      </c>
      <c r="I207" s="68" t="n">
        <v>0.002</v>
      </c>
      <c r="J207" s="68" t="n">
        <v>0.002</v>
      </c>
      <c r="K207" s="68" t="n">
        <v>0.002</v>
      </c>
      <c r="L207" s="68" t="n">
        <v>0.002</v>
      </c>
      <c r="M207" s="37" t="s">
        <v>526</v>
      </c>
    </row>
    <row r="208" customFormat="false" ht="15" hidden="false" customHeight="false" outlineLevel="0" collapsed="false">
      <c r="A208" s="9" t="s">
        <v>527</v>
      </c>
      <c r="B208" s="4" t="s">
        <v>317</v>
      </c>
      <c r="H208" s="68" t="n">
        <v>0.04</v>
      </c>
      <c r="I208" s="68" t="n">
        <v>0.04</v>
      </c>
      <c r="J208" s="68" t="n">
        <v>0.04</v>
      </c>
      <c r="K208" s="68" t="n">
        <v>0.04</v>
      </c>
      <c r="L208" s="68" t="n">
        <v>0.04</v>
      </c>
      <c r="M208" s="37" t="s">
        <v>528</v>
      </c>
    </row>
    <row r="209" customFormat="false" ht="15" hidden="false" customHeight="false" outlineLevel="0" collapsed="false">
      <c r="A209" s="9" t="s">
        <v>529</v>
      </c>
      <c r="B209" s="4" t="s">
        <v>317</v>
      </c>
      <c r="H209" s="68" t="n">
        <v>0.004</v>
      </c>
      <c r="I209" s="68" t="n">
        <v>0.004</v>
      </c>
      <c r="J209" s="68" t="n">
        <v>0.004</v>
      </c>
      <c r="K209" s="68" t="n">
        <v>0.004</v>
      </c>
      <c r="L209" s="68" t="n">
        <v>0.004</v>
      </c>
      <c r="M209" s="37" t="s">
        <v>530</v>
      </c>
    </row>
    <row r="210" customFormat="false" ht="15" hidden="false" customHeight="false" outlineLevel="0" collapsed="false">
      <c r="A210" s="9" t="s">
        <v>531</v>
      </c>
      <c r="B210" s="4" t="s">
        <v>317</v>
      </c>
      <c r="H210" s="68" t="n">
        <v>0.188</v>
      </c>
      <c r="I210" s="68" t="n">
        <v>0.188</v>
      </c>
      <c r="J210" s="68" t="n">
        <v>0.188</v>
      </c>
      <c r="K210" s="68" t="n">
        <v>0.188</v>
      </c>
      <c r="L210" s="68" t="n">
        <v>0.188</v>
      </c>
      <c r="M210" s="37" t="s">
        <v>532</v>
      </c>
    </row>
    <row r="211" customFormat="false" ht="15" hidden="false" customHeight="false" outlineLevel="0" collapsed="false">
      <c r="A211" s="9" t="s">
        <v>533</v>
      </c>
      <c r="B211" s="4" t="s">
        <v>317</v>
      </c>
      <c r="H211" s="68" t="n">
        <v>0.021</v>
      </c>
      <c r="I211" s="68" t="n">
        <v>0.021</v>
      </c>
      <c r="J211" s="68" t="n">
        <v>0.021</v>
      </c>
      <c r="K211" s="68" t="n">
        <v>0.021</v>
      </c>
      <c r="L211" s="68" t="n">
        <v>0.021</v>
      </c>
      <c r="M211" s="37" t="s">
        <v>534</v>
      </c>
    </row>
    <row r="212" customFormat="false" ht="15" hidden="false" customHeight="false" outlineLevel="0" collapsed="false">
      <c r="A212" s="9" t="s">
        <v>535</v>
      </c>
      <c r="B212" s="4" t="s">
        <v>317</v>
      </c>
      <c r="H212" s="68" t="n">
        <v>0.013</v>
      </c>
      <c r="I212" s="68" t="n">
        <v>0.013</v>
      </c>
      <c r="J212" s="68" t="n">
        <v>0.013</v>
      </c>
      <c r="K212" s="68" t="n">
        <v>0.013</v>
      </c>
      <c r="L212" s="68" t="n">
        <v>0.013</v>
      </c>
      <c r="M212" s="37" t="s">
        <v>536</v>
      </c>
    </row>
    <row r="213" customFormat="false" ht="15" hidden="false" customHeight="false" outlineLevel="0" collapsed="false">
      <c r="A213" s="9" t="s">
        <v>537</v>
      </c>
      <c r="B213" s="4" t="s">
        <v>317</v>
      </c>
      <c r="H213" s="68" t="n">
        <v>0.023</v>
      </c>
      <c r="I213" s="68" t="n">
        <v>0.023</v>
      </c>
      <c r="J213" s="68" t="n">
        <v>0.023</v>
      </c>
      <c r="K213" s="68" t="n">
        <v>0.023</v>
      </c>
      <c r="L213" s="68" t="n">
        <v>0.023</v>
      </c>
      <c r="M213" s="37" t="s">
        <v>538</v>
      </c>
    </row>
    <row r="214" customFormat="false" ht="15" hidden="false" customHeight="false" outlineLevel="0" collapsed="false">
      <c r="A214" s="5" t="s">
        <v>539</v>
      </c>
      <c r="B214" s="6"/>
      <c r="C214" s="6"/>
      <c r="D214" s="6"/>
      <c r="E214" s="6"/>
      <c r="F214" s="6"/>
      <c r="G214" s="6"/>
      <c r="H214" s="6"/>
      <c r="I214" s="6"/>
      <c r="J214" s="6"/>
      <c r="K214" s="6"/>
      <c r="L214" s="6"/>
      <c r="M214" s="6"/>
    </row>
    <row r="215" customFormat="false" ht="15" hidden="false" customHeight="false" outlineLevel="0" collapsed="false">
      <c r="A215" s="55" t="s">
        <v>540</v>
      </c>
      <c r="B215" s="56" t="s">
        <v>317</v>
      </c>
      <c r="H215" s="53" t="n">
        <v>0.022</v>
      </c>
      <c r="I215" s="53" t="n">
        <v>0.018</v>
      </c>
      <c r="J215" s="53" t="n">
        <v>0.017</v>
      </c>
      <c r="K215" s="53" t="n">
        <v>0.016</v>
      </c>
      <c r="L215" s="53" t="n">
        <v>0.016</v>
      </c>
    </row>
    <row r="216" customFormat="false" ht="15" hidden="false" customHeight="false" outlineLevel="0" collapsed="false">
      <c r="A216" s="9" t="s">
        <v>541</v>
      </c>
      <c r="B216" s="4" t="s">
        <v>317</v>
      </c>
      <c r="H216" s="70" t="n">
        <f aca="false">H215+$C$59*$C$61</f>
        <v>0.022</v>
      </c>
      <c r="I216" s="70" t="n">
        <f aca="false">I215+$C$59</f>
        <v>0.018</v>
      </c>
      <c r="J216" s="70" t="n">
        <f aca="false">J215+$C$59</f>
        <v>0.017</v>
      </c>
      <c r="K216" s="70" t="n">
        <f aca="false">K215+$C$59</f>
        <v>0.016</v>
      </c>
      <c r="L216" s="70" t="n">
        <f aca="false">L215+$C$59</f>
        <v>0.016</v>
      </c>
      <c r="M216" s="2" t="s">
        <v>542</v>
      </c>
    </row>
    <row r="217" customFormat="false" ht="15" hidden="false" customHeight="false" outlineLevel="0" collapsed="false">
      <c r="A217" s="55" t="s">
        <v>543</v>
      </c>
      <c r="B217" s="56" t="s">
        <v>317</v>
      </c>
      <c r="H217" s="53" t="n">
        <v>0.023</v>
      </c>
      <c r="I217" s="53" t="n">
        <v>0.021</v>
      </c>
      <c r="J217" s="53" t="n">
        <v>0.02</v>
      </c>
      <c r="K217" s="53" t="n">
        <v>0.019</v>
      </c>
      <c r="L217" s="53" t="n">
        <v>0.019</v>
      </c>
    </row>
    <row r="218" customFormat="false" ht="15" hidden="false" customHeight="false" outlineLevel="0" collapsed="false">
      <c r="A218" s="9" t="s">
        <v>544</v>
      </c>
      <c r="B218" s="4" t="s">
        <v>317</v>
      </c>
      <c r="H218" s="70" t="n">
        <f aca="false">H217+$C$59*$C$61</f>
        <v>0.023</v>
      </c>
      <c r="I218" s="70" t="n">
        <f aca="false">I217+$C$59</f>
        <v>0.021</v>
      </c>
      <c r="J218" s="70" t="n">
        <f aca="false">J217+$C$59</f>
        <v>0.02</v>
      </c>
      <c r="K218" s="70" t="n">
        <f aca="false">K217+$C$59</f>
        <v>0.019</v>
      </c>
      <c r="L218" s="70" t="n">
        <f aca="false">L217+$C$59</f>
        <v>0.019</v>
      </c>
      <c r="M218" s="37" t="s">
        <v>545</v>
      </c>
    </row>
    <row r="219" customFormat="false" ht="15" hidden="false" customHeight="false" outlineLevel="0" collapsed="false">
      <c r="A219" s="55" t="s">
        <v>546</v>
      </c>
      <c r="B219" s="56" t="s">
        <v>317</v>
      </c>
      <c r="H219" s="53" t="n">
        <v>0.016</v>
      </c>
      <c r="I219" s="53" t="n">
        <v>0.015</v>
      </c>
      <c r="J219" s="53" t="n">
        <v>0.015</v>
      </c>
      <c r="K219" s="53" t="n">
        <v>0.015</v>
      </c>
      <c r="L219" s="53" t="n">
        <v>0.015</v>
      </c>
    </row>
    <row r="220" customFormat="false" ht="15" hidden="false" customHeight="false" outlineLevel="0" collapsed="false">
      <c r="A220" s="9" t="s">
        <v>547</v>
      </c>
      <c r="B220" s="4" t="s">
        <v>317</v>
      </c>
      <c r="H220" s="70" t="n">
        <f aca="false">H219+$C$59*$C$61</f>
        <v>0.016</v>
      </c>
      <c r="I220" s="70" t="n">
        <f aca="false">I219+$C$59</f>
        <v>0.015</v>
      </c>
      <c r="J220" s="70" t="n">
        <f aca="false">J219+$C$59</f>
        <v>0.015</v>
      </c>
      <c r="K220" s="70" t="n">
        <f aca="false">K219+$C$59</f>
        <v>0.015</v>
      </c>
      <c r="L220" s="70" t="n">
        <f aca="false">L219+$C$59</f>
        <v>0.015</v>
      </c>
      <c r="M220" s="37" t="s">
        <v>548</v>
      </c>
    </row>
    <row r="221" customFormat="false" ht="15" hidden="false" customHeight="false" outlineLevel="0" collapsed="false">
      <c r="A221" s="9" t="s">
        <v>549</v>
      </c>
      <c r="B221" s="11" t="s">
        <v>353</v>
      </c>
      <c r="H221" s="69" t="n">
        <v>0</v>
      </c>
      <c r="I221" s="69" t="n">
        <v>0</v>
      </c>
      <c r="J221" s="69" t="n">
        <v>0</v>
      </c>
      <c r="K221" s="69" t="n">
        <v>0</v>
      </c>
      <c r="L221" s="69" t="n">
        <v>0</v>
      </c>
      <c r="M221" s="2" t="s">
        <v>550</v>
      </c>
    </row>
    <row r="222" customFormat="false" ht="15" hidden="false" customHeight="false" outlineLevel="0" collapsed="false">
      <c r="A222" s="9" t="s">
        <v>551</v>
      </c>
      <c r="B222" s="11" t="s">
        <v>353</v>
      </c>
      <c r="H222" s="69" t="n">
        <v>0</v>
      </c>
      <c r="I222" s="69" t="n">
        <v>0</v>
      </c>
      <c r="J222" s="69" t="n">
        <v>0</v>
      </c>
      <c r="K222" s="69" t="n">
        <v>0</v>
      </c>
      <c r="L222" s="69" t="n">
        <v>0</v>
      </c>
      <c r="M222" s="2" t="s">
        <v>552</v>
      </c>
    </row>
    <row r="223" customFormat="false" ht="15" hidden="false" customHeight="false" outlineLevel="0" collapsed="false">
      <c r="A223" s="9" t="s">
        <v>553</v>
      </c>
      <c r="B223" s="11" t="s">
        <v>353</v>
      </c>
      <c r="H223" s="69" t="n">
        <v>0</v>
      </c>
      <c r="I223" s="69" t="n">
        <v>0</v>
      </c>
      <c r="J223" s="69" t="n">
        <v>0</v>
      </c>
      <c r="K223" s="69" t="n">
        <v>0</v>
      </c>
      <c r="L223" s="69" t="n">
        <v>0</v>
      </c>
      <c r="M223" s="2" t="s">
        <v>554</v>
      </c>
    </row>
    <row r="224" customFormat="false" ht="15" hidden="false" customHeight="false" outlineLevel="0" collapsed="false">
      <c r="A224" s="9" t="s">
        <v>555</v>
      </c>
      <c r="B224" s="11" t="s">
        <v>353</v>
      </c>
      <c r="H224" s="69" t="n">
        <v>0</v>
      </c>
      <c r="I224" s="69" t="n">
        <v>0</v>
      </c>
      <c r="J224" s="69" t="n">
        <v>0</v>
      </c>
      <c r="K224" s="69" t="n">
        <v>0</v>
      </c>
      <c r="L224" s="69" t="n">
        <v>0</v>
      </c>
      <c r="M224" s="37" t="s">
        <v>556</v>
      </c>
    </row>
    <row r="225" customFormat="false" ht="15" hidden="false" customHeight="false" outlineLevel="0" collapsed="false">
      <c r="A225" s="9" t="s">
        <v>557</v>
      </c>
      <c r="B225" s="4" t="s">
        <v>317</v>
      </c>
      <c r="H225" s="68" t="n">
        <v>0.03</v>
      </c>
      <c r="I225" s="68" t="n">
        <v>0.03</v>
      </c>
      <c r="J225" s="68" t="n">
        <v>0.03</v>
      </c>
      <c r="K225" s="68" t="n">
        <v>0.03</v>
      </c>
      <c r="L225" s="68" t="n">
        <v>0.03</v>
      </c>
      <c r="M225" s="37" t="s">
        <v>558</v>
      </c>
    </row>
    <row r="226" customFormat="false" ht="15" hidden="false" customHeight="false" outlineLevel="0" collapsed="false">
      <c r="A226" s="9" t="s">
        <v>559</v>
      </c>
      <c r="B226" s="4" t="s">
        <v>317</v>
      </c>
      <c r="H226" s="68" t="n">
        <v>0.03</v>
      </c>
      <c r="I226" s="68" t="n">
        <v>0.03</v>
      </c>
      <c r="J226" s="68" t="n">
        <v>0.03</v>
      </c>
      <c r="K226" s="68" t="n">
        <v>0.03</v>
      </c>
      <c r="L226" s="68" t="n">
        <v>0.03</v>
      </c>
      <c r="M226" s="2" t="s">
        <v>262</v>
      </c>
    </row>
    <row r="227" customFormat="false" ht="15" hidden="false" customHeight="false" outlineLevel="0" collapsed="false">
      <c r="A227" s="9" t="s">
        <v>560</v>
      </c>
      <c r="B227" s="4" t="s">
        <v>317</v>
      </c>
      <c r="H227" s="68" t="n">
        <v>0.05</v>
      </c>
      <c r="I227" s="68" t="n">
        <v>0.05</v>
      </c>
      <c r="J227" s="68" t="n">
        <v>0.05</v>
      </c>
      <c r="K227" s="68" t="n">
        <v>0.05</v>
      </c>
      <c r="L227" s="68" t="n">
        <v>0.05</v>
      </c>
      <c r="M227" s="37" t="s">
        <v>561</v>
      </c>
    </row>
    <row r="228" customFormat="false" ht="15" hidden="false" customHeight="false" outlineLevel="0" collapsed="false">
      <c r="A228" s="9" t="s">
        <v>562</v>
      </c>
      <c r="B228" s="11" t="s">
        <v>353</v>
      </c>
      <c r="E228" s="58" t="n">
        <f aca="false">融资与资金!E27</f>
        <v>-9.0564</v>
      </c>
      <c r="F228" s="58" t="n">
        <f aca="false">融资与资金!F27</f>
        <v>3.3965</v>
      </c>
      <c r="G228" s="58" t="n">
        <f aca="false">融资与资金!G27</f>
        <v>48.712</v>
      </c>
      <c r="H228" s="69" t="n">
        <v>60</v>
      </c>
      <c r="I228" s="69" t="n">
        <v>10</v>
      </c>
      <c r="J228" s="69" t="n">
        <v>10</v>
      </c>
      <c r="K228" s="69" t="n">
        <v>10</v>
      </c>
      <c r="L228" s="69" t="n">
        <v>10</v>
      </c>
      <c r="M228" s="37" t="s">
        <v>563</v>
      </c>
    </row>
    <row r="229" customFormat="false" ht="15" hidden="false" customHeight="false" outlineLevel="0" collapsed="false">
      <c r="A229" s="9" t="s">
        <v>564</v>
      </c>
      <c r="B229" s="11" t="s">
        <v>353</v>
      </c>
      <c r="H229" s="69" t="n">
        <v>0</v>
      </c>
      <c r="I229" s="69" t="n">
        <v>0</v>
      </c>
      <c r="J229" s="69" t="n">
        <v>0</v>
      </c>
      <c r="K229" s="69" t="n">
        <v>0</v>
      </c>
      <c r="L229" s="69" t="n">
        <v>0</v>
      </c>
      <c r="M229" s="37" t="s">
        <v>565</v>
      </c>
    </row>
    <row r="230" customFormat="false" ht="15" hidden="false" customHeight="false" outlineLevel="0" collapsed="false">
      <c r="A230" s="5" t="s">
        <v>566</v>
      </c>
      <c r="B230" s="6"/>
      <c r="C230" s="6"/>
      <c r="D230" s="6"/>
      <c r="E230" s="6"/>
      <c r="F230" s="6"/>
      <c r="G230" s="6"/>
      <c r="H230" s="6"/>
      <c r="I230" s="6"/>
      <c r="J230" s="6"/>
      <c r="K230" s="6"/>
      <c r="L230" s="6"/>
      <c r="M230" s="6"/>
    </row>
    <row r="231" customFormat="false" ht="15" hidden="false" customHeight="false" outlineLevel="0" collapsed="false">
      <c r="A231" s="9" t="s">
        <v>567</v>
      </c>
      <c r="B231" s="4" t="s">
        <v>317</v>
      </c>
      <c r="E231" s="67" t="n">
        <f aca="false">税务与其他损益!E7</f>
        <v>0.0147176155993119</v>
      </c>
      <c r="F231" s="67" t="n">
        <f aca="false">税务与其他损益!F7</f>
        <v>0.0107355388158586</v>
      </c>
      <c r="G231" s="67" t="n">
        <f aca="false">税务与其他损益!G7</f>
        <v>0.0119663437748077</v>
      </c>
      <c r="H231" s="68" t="n">
        <v>0.01</v>
      </c>
      <c r="I231" s="68" t="n">
        <v>0.01</v>
      </c>
      <c r="J231" s="68" t="n">
        <v>0.01</v>
      </c>
      <c r="K231" s="68" t="n">
        <v>0.01</v>
      </c>
      <c r="L231" s="68" t="n">
        <v>0.01</v>
      </c>
      <c r="M231" s="37" t="s">
        <v>568</v>
      </c>
    </row>
    <row r="232" customFormat="false" ht="15" hidden="false" customHeight="false" outlineLevel="0" collapsed="false">
      <c r="A232" s="9" t="s">
        <v>569</v>
      </c>
      <c r="B232" s="11" t="s">
        <v>353</v>
      </c>
      <c r="H232" s="69" t="n">
        <v>190</v>
      </c>
      <c r="I232" s="69" t="n">
        <v>185</v>
      </c>
      <c r="J232" s="69" t="n">
        <v>180</v>
      </c>
      <c r="K232" s="69" t="n">
        <v>175</v>
      </c>
      <c r="L232" s="69" t="n">
        <v>170</v>
      </c>
      <c r="M232" s="37" t="s">
        <v>570</v>
      </c>
    </row>
    <row r="233" customFormat="false" ht="15" hidden="false" customHeight="false" outlineLevel="0" collapsed="false">
      <c r="A233" s="9" t="s">
        <v>571</v>
      </c>
      <c r="B233" s="4" t="s">
        <v>317</v>
      </c>
      <c r="H233" s="68" t="n">
        <v>0.009</v>
      </c>
      <c r="I233" s="68" t="n">
        <v>0.009</v>
      </c>
      <c r="J233" s="68" t="n">
        <v>0</v>
      </c>
      <c r="K233" s="68" t="n">
        <v>0</v>
      </c>
      <c r="L233" s="68" t="n">
        <v>0</v>
      </c>
      <c r="M233" s="2" t="s">
        <v>572</v>
      </c>
    </row>
    <row r="234" customFormat="false" ht="15" hidden="false" customHeight="false" outlineLevel="0" collapsed="false">
      <c r="A234" s="55" t="s">
        <v>573</v>
      </c>
      <c r="B234" s="56" t="s">
        <v>317</v>
      </c>
      <c r="H234" s="53" t="n">
        <v>0.0035</v>
      </c>
      <c r="I234" s="53" t="n">
        <v>0.004</v>
      </c>
      <c r="J234" s="53" t="n">
        <v>0.004</v>
      </c>
      <c r="K234" s="53" t="n">
        <v>0.004</v>
      </c>
      <c r="L234" s="53" t="n">
        <v>0.004</v>
      </c>
    </row>
    <row r="235" customFormat="false" ht="15" hidden="false" customHeight="false" outlineLevel="0" collapsed="false">
      <c r="A235" s="9" t="s">
        <v>574</v>
      </c>
      <c r="B235" s="4" t="s">
        <v>317</v>
      </c>
      <c r="H235" s="70" t="n">
        <f aca="false">H234+$C$55*$C$61</f>
        <v>0.0035</v>
      </c>
      <c r="I235" s="70" t="n">
        <f aca="false">I234+$C$55</f>
        <v>0.004</v>
      </c>
      <c r="J235" s="70" t="n">
        <f aca="false">J234+$C$55</f>
        <v>0.004</v>
      </c>
      <c r="K235" s="70" t="n">
        <f aca="false">K234+$C$55</f>
        <v>0.004</v>
      </c>
      <c r="L235" s="70" t="n">
        <f aca="false">L234+$C$55</f>
        <v>0.004</v>
      </c>
      <c r="M235" s="37" t="s">
        <v>575</v>
      </c>
    </row>
    <row r="236" customFormat="false" ht="15" hidden="false" customHeight="false" outlineLevel="0" collapsed="false">
      <c r="A236" s="9" t="s">
        <v>576</v>
      </c>
      <c r="B236" s="4" t="s">
        <v>317</v>
      </c>
      <c r="H236" s="68" t="n">
        <v>0.034</v>
      </c>
      <c r="I236" s="68" t="n">
        <v>0.012</v>
      </c>
      <c r="J236" s="68" t="n">
        <v>0.012</v>
      </c>
      <c r="K236" s="68" t="n">
        <v>0.012</v>
      </c>
      <c r="L236" s="68" t="n">
        <v>0.012</v>
      </c>
      <c r="M236" s="37" t="s">
        <v>577</v>
      </c>
    </row>
    <row r="237" customFormat="false" ht="15" hidden="false" customHeight="false" outlineLevel="0" collapsed="false">
      <c r="A237" s="9" t="s">
        <v>578</v>
      </c>
      <c r="B237" s="4" t="s">
        <v>317</v>
      </c>
      <c r="H237" s="68" t="n">
        <v>0.025</v>
      </c>
      <c r="I237" s="68" t="n">
        <v>0.007</v>
      </c>
      <c r="J237" s="68" t="n">
        <v>0.007</v>
      </c>
      <c r="K237" s="68" t="n">
        <v>0.007</v>
      </c>
      <c r="L237" s="68" t="n">
        <v>0.007</v>
      </c>
      <c r="M237" s="37" t="s">
        <v>579</v>
      </c>
    </row>
    <row r="238" customFormat="false" ht="15" hidden="false" customHeight="false" outlineLevel="0" collapsed="false">
      <c r="A238" s="9" t="s">
        <v>580</v>
      </c>
      <c r="B238" s="11" t="s">
        <v>353</v>
      </c>
      <c r="H238" s="69" t="n">
        <v>19.44</v>
      </c>
      <c r="I238" s="69" t="n">
        <v>0</v>
      </c>
      <c r="J238" s="69" t="n">
        <v>0</v>
      </c>
      <c r="K238" s="69" t="n">
        <v>0</v>
      </c>
      <c r="L238" s="69" t="n">
        <v>0</v>
      </c>
      <c r="M238" s="37" t="s">
        <v>581</v>
      </c>
    </row>
    <row r="239" customFormat="false" ht="15" hidden="false" customHeight="false" outlineLevel="0" collapsed="false">
      <c r="A239" s="9" t="s">
        <v>582</v>
      </c>
      <c r="B239" s="4" t="s">
        <v>317</v>
      </c>
      <c r="E239" s="67" t="n">
        <f aca="false">税务与其他损益!E29</f>
        <v>0.00742317683238881</v>
      </c>
      <c r="F239" s="67" t="n">
        <f aca="false">税务与其他损益!F29</f>
        <v>0.00608243041855756</v>
      </c>
      <c r="G239" s="67" t="n">
        <f aca="false">税务与其他损益!G29</f>
        <v>0.00690708164587688</v>
      </c>
      <c r="H239" s="68" t="n">
        <v>0.007</v>
      </c>
      <c r="I239" s="68" t="n">
        <v>0.007</v>
      </c>
      <c r="J239" s="68" t="n">
        <v>0.007</v>
      </c>
      <c r="K239" s="68" t="n">
        <v>0.007</v>
      </c>
      <c r="L239" s="68" t="n">
        <v>0.007</v>
      </c>
      <c r="M239" s="37" t="s">
        <v>583</v>
      </c>
    </row>
    <row r="240" customFormat="false" ht="15" hidden="false" customHeight="false" outlineLevel="0" collapsed="false">
      <c r="A240" s="9" t="s">
        <v>584</v>
      </c>
      <c r="B240" s="4" t="s">
        <v>317</v>
      </c>
      <c r="H240" s="61" t="n">
        <v>0.9</v>
      </c>
      <c r="I240" s="61" t="n">
        <v>0.9</v>
      </c>
      <c r="J240" s="61" t="n">
        <v>0.9</v>
      </c>
      <c r="K240" s="61" t="n">
        <v>0.9</v>
      </c>
      <c r="L240" s="61" t="n">
        <v>0.9</v>
      </c>
      <c r="M240" s="37" t="s">
        <v>585</v>
      </c>
    </row>
    <row r="241" customFormat="false" ht="15" hidden="false" customHeight="false" outlineLevel="0" collapsed="false">
      <c r="A241" s="9" t="s">
        <v>586</v>
      </c>
      <c r="B241" s="4" t="s">
        <v>317</v>
      </c>
      <c r="E241" s="67" t="n">
        <f aca="false">税务与其他损益!E31</f>
        <v>2.81471057873889E-005</v>
      </c>
      <c r="F241" s="67" t="n">
        <f aca="false">税务与其他损益!F31</f>
        <v>0.004655305741426</v>
      </c>
      <c r="G241" s="67" t="n">
        <f aca="false">税务与其他损益!G31</f>
        <v>0.00293903442630559</v>
      </c>
      <c r="H241" s="68" t="n">
        <v>-0.003</v>
      </c>
      <c r="I241" s="68" t="n">
        <v>0.002</v>
      </c>
      <c r="J241" s="68" t="n">
        <v>0.002</v>
      </c>
      <c r="K241" s="68" t="n">
        <v>0.002</v>
      </c>
      <c r="L241" s="68" t="n">
        <v>0.002</v>
      </c>
      <c r="M241" s="37" t="s">
        <v>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21.6" hidden="false" customHeight="false" outlineLevel="0" collapsed="false">
      <c r="A1" s="1" t="s">
        <v>588</v>
      </c>
    </row>
    <row r="2" customFormat="false" ht="15" hidden="false" customHeight="false" outlineLevel="0" collapsed="false">
      <c r="A2" s="2" t="s">
        <v>589</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591</v>
      </c>
      <c r="B5" s="6"/>
      <c r="C5" s="6"/>
      <c r="D5" s="6"/>
      <c r="E5" s="6"/>
      <c r="F5" s="6"/>
      <c r="G5" s="6"/>
      <c r="H5" s="6"/>
      <c r="I5" s="6"/>
      <c r="J5" s="6"/>
      <c r="K5" s="6"/>
      <c r="L5" s="6"/>
      <c r="M5" s="6"/>
    </row>
    <row r="6" customFormat="false" ht="15" hidden="false" customHeight="false" outlineLevel="0" collapsed="false">
      <c r="A6" s="11" t="s">
        <v>592</v>
      </c>
      <c r="B6" s="55" t="s">
        <v>593</v>
      </c>
      <c r="D6" s="30" t="n">
        <v>1593.20218</v>
      </c>
      <c r="E6" s="30" t="n">
        <v>2872.560891</v>
      </c>
      <c r="F6" s="30" t="n">
        <v>3816.106907</v>
      </c>
      <c r="G6" s="30" t="n">
        <v>5329.909248</v>
      </c>
      <c r="M6" s="2" t="s">
        <v>594</v>
      </c>
    </row>
    <row r="7" customFormat="false" ht="15" hidden="false" customHeight="false" outlineLevel="0" collapsed="false">
      <c r="A7" s="11" t="s">
        <v>595</v>
      </c>
      <c r="B7" s="55" t="s">
        <v>593</v>
      </c>
      <c r="D7" s="30" t="n">
        <v>1848.419814</v>
      </c>
      <c r="E7" s="30" t="n">
        <v>2827.291226</v>
      </c>
      <c r="F7" s="30" t="n">
        <v>4078.601518</v>
      </c>
      <c r="G7" s="30" t="n">
        <v>5623.278954</v>
      </c>
    </row>
    <row r="8" customFormat="false" ht="15" hidden="false" customHeight="false" outlineLevel="0" collapsed="false">
      <c r="A8" s="11" t="s">
        <v>596</v>
      </c>
      <c r="B8" s="55" t="s">
        <v>593</v>
      </c>
      <c r="D8" s="30" t="n">
        <v>808.393377</v>
      </c>
      <c r="E8" s="30" t="n">
        <v>763.123712</v>
      </c>
      <c r="F8" s="30" t="n">
        <v>1025.618323</v>
      </c>
      <c r="G8" s="30" t="n">
        <v>1318.988029</v>
      </c>
    </row>
    <row r="9" customFormat="false" ht="15" hidden="false" customHeight="false" outlineLevel="0" collapsed="false">
      <c r="A9" s="11" t="s">
        <v>597</v>
      </c>
      <c r="B9" s="55" t="s">
        <v>598</v>
      </c>
      <c r="D9" s="75" t="n">
        <f aca="false">IFERROR(三表预测!D6*10/D6,0)</f>
        <v>32.3209882878769</v>
      </c>
      <c r="E9" s="75" t="n">
        <f aca="false">IFERROR(三表预测!E6*10/E6,0)</f>
        <v>19.9358297954353</v>
      </c>
      <c r="F9" s="75" t="n">
        <f aca="false">IFERROR(三表预测!F6*10/F6,0)</f>
        <v>19.3259543816024</v>
      </c>
      <c r="G9" s="75" t="n">
        <f aca="false">IFERROR(三表预测!G6*10/G6,0)</f>
        <v>16.8992631598368</v>
      </c>
      <c r="M9" s="2" t="s">
        <v>599</v>
      </c>
    </row>
    <row r="10" customFormat="false" ht="15" hidden="false" customHeight="false" outlineLevel="0" collapsed="false">
      <c r="A10" s="11" t="s">
        <v>600</v>
      </c>
      <c r="B10" s="56" t="s">
        <v>317</v>
      </c>
      <c r="E10" s="31" t="n">
        <f aca="false">IFERROR(E6/D6-1,0)</f>
        <v>0.803010896583132</v>
      </c>
      <c r="F10" s="31" t="n">
        <f aca="false">IFERROR(F6/E6-1,0)</f>
        <v>0.328468586673382</v>
      </c>
      <c r="G10" s="31" t="n">
        <f aca="false">IFERROR(G6/F6-1,0)</f>
        <v>0.396687613290704</v>
      </c>
    </row>
    <row r="11" customFormat="false" ht="15" hidden="false" customHeight="false" outlineLevel="0" collapsed="false">
      <c r="A11" s="11" t="s">
        <v>601</v>
      </c>
      <c r="B11" s="56" t="s">
        <v>317</v>
      </c>
      <c r="E11" s="31" t="n">
        <f aca="false">IFERROR(E9/D9-1,0)</f>
        <v>-0.383192443935481</v>
      </c>
      <c r="F11" s="31" t="n">
        <f aca="false">IFERROR(F9/E9-1,0)</f>
        <v>-0.0305919251965379</v>
      </c>
      <c r="G11" s="31" t="n">
        <f aca="false">IFERROR(G9/F9-1,0)</f>
        <v>-0.125566436402009</v>
      </c>
    </row>
    <row r="12" customFormat="false" ht="15" hidden="false" customHeight="false" outlineLevel="0" collapsed="false">
      <c r="A12" s="5" t="s">
        <v>602</v>
      </c>
      <c r="B12" s="6"/>
      <c r="C12" s="6"/>
      <c r="D12" s="6"/>
      <c r="E12" s="6"/>
      <c r="F12" s="6"/>
      <c r="G12" s="6"/>
      <c r="H12" s="6"/>
      <c r="I12" s="6"/>
      <c r="J12" s="6"/>
      <c r="K12" s="6"/>
      <c r="L12" s="6"/>
      <c r="M12" s="6"/>
    </row>
    <row r="13" customFormat="false" ht="15" hidden="false" customHeight="false" outlineLevel="0" collapsed="false">
      <c r="A13" s="11" t="s">
        <v>603</v>
      </c>
      <c r="B13" s="56" t="s">
        <v>317</v>
      </c>
      <c r="H13" s="25" t="n">
        <f aca="false">假设!H68</f>
        <v>0.52</v>
      </c>
      <c r="I13" s="25" t="n">
        <f aca="false">假设!I68</f>
        <v>0.25</v>
      </c>
      <c r="J13" s="25" t="n">
        <f aca="false">假设!J68</f>
        <v>0.16</v>
      </c>
      <c r="K13" s="25" t="n">
        <f aca="false">假设!K68</f>
        <v>0.12</v>
      </c>
      <c r="L13" s="25" t="n">
        <f aca="false">假设!L68</f>
        <v>0.1</v>
      </c>
    </row>
    <row r="14" customFormat="false" ht="15" hidden="false" customHeight="false" outlineLevel="0" collapsed="false">
      <c r="A14" s="11" t="s">
        <v>604</v>
      </c>
      <c r="B14" s="56" t="s">
        <v>317</v>
      </c>
      <c r="H14" s="25" t="n">
        <f aca="false">假设!H72</f>
        <v>0.19</v>
      </c>
      <c r="I14" s="25" t="n">
        <f aca="false">假设!I72</f>
        <v>0.08</v>
      </c>
      <c r="J14" s="25" t="n">
        <f aca="false">假设!J72</f>
        <v>0.035</v>
      </c>
      <c r="K14" s="25" t="n">
        <f aca="false">假设!K72</f>
        <v>0</v>
      </c>
      <c r="L14" s="25" t="n">
        <f aca="false">假设!L72</f>
        <v>-0.02</v>
      </c>
    </row>
    <row r="15" customFormat="false" ht="15" hidden="false" customHeight="false" outlineLevel="0" collapsed="false">
      <c r="A15" s="11" t="s">
        <v>605</v>
      </c>
      <c r="B15" s="55"/>
      <c r="G15" s="30" t="n">
        <v>100</v>
      </c>
      <c r="H15" s="34" t="n">
        <f aca="false">G15*(1+H13)</f>
        <v>152</v>
      </c>
      <c r="I15" s="34" t="n">
        <f aca="false">H15*(1+I13)</f>
        <v>190</v>
      </c>
      <c r="J15" s="34" t="n">
        <f aca="false">I15*(1+J13)</f>
        <v>220.4</v>
      </c>
      <c r="K15" s="34" t="n">
        <f aca="false">J15*(1+K13)</f>
        <v>246.848</v>
      </c>
      <c r="L15" s="34" t="n">
        <f aca="false">K15*(1+L13)</f>
        <v>271.5328</v>
      </c>
    </row>
    <row r="16" customFormat="false" ht="15" hidden="false" customHeight="false" outlineLevel="0" collapsed="false">
      <c r="A16" s="11" t="s">
        <v>606</v>
      </c>
      <c r="B16" s="55"/>
      <c r="G16" s="30" t="n">
        <v>100</v>
      </c>
      <c r="H16" s="34" t="n">
        <f aca="false">G16*(1+H14)</f>
        <v>119</v>
      </c>
      <c r="I16" s="34" t="n">
        <f aca="false">H16*(1+I14)</f>
        <v>128.52</v>
      </c>
      <c r="J16" s="34" t="n">
        <f aca="false">I16*(1+J14)</f>
        <v>133.0182</v>
      </c>
      <c r="K16" s="34" t="n">
        <f aca="false">J16*(1+K14)</f>
        <v>133.0182</v>
      </c>
      <c r="L16" s="34" t="n">
        <f aca="false">K16*(1+L14)</f>
        <v>130.357836</v>
      </c>
    </row>
    <row r="17" customFormat="false" ht="15" hidden="false" customHeight="false" outlineLevel="0" collapsed="false">
      <c r="A17" s="9" t="s">
        <v>607</v>
      </c>
      <c r="B17" s="55" t="s">
        <v>353</v>
      </c>
      <c r="F17" s="69" t="n">
        <v>2298.159034</v>
      </c>
      <c r="G17" s="69" t="n">
        <v>3308.089586</v>
      </c>
      <c r="H17" s="76" t="n">
        <f aca="false">G17*(1+H13)*(1+H14)</f>
        <v>5983.6724431568</v>
      </c>
      <c r="I17" s="76" t="n">
        <f aca="false">H17*(1+I13)*(1+I14)</f>
        <v>8077.95779826168</v>
      </c>
      <c r="J17" s="76" t="n">
        <f aca="false">I17*(1+J13)*(1+J14)</f>
        <v>9698.39613259297</v>
      </c>
      <c r="K17" s="76" t="n">
        <f aca="false">J17*(1+K13)*(1+K14)</f>
        <v>10862.2036685041</v>
      </c>
      <c r="L17" s="76" t="n">
        <f aca="false">K17*(1+L13)*(1+L14)</f>
        <v>11709.4555546475</v>
      </c>
      <c r="M17" s="37" t="s">
        <v>608</v>
      </c>
    </row>
    <row r="18" customFormat="false" ht="15" hidden="false" customHeight="false" outlineLevel="0" collapsed="false">
      <c r="A18" s="11" t="s">
        <v>609</v>
      </c>
      <c r="B18" s="55" t="s">
        <v>353</v>
      </c>
      <c r="H18" s="34" t="n">
        <f aca="false">G17*H13</f>
        <v>1720.20658472</v>
      </c>
      <c r="I18" s="34" t="n">
        <f aca="false">H17*I13</f>
        <v>1495.9181107892</v>
      </c>
      <c r="J18" s="34" t="n">
        <f aca="false">I17*J13</f>
        <v>1292.47324772187</v>
      </c>
      <c r="K18" s="34" t="n">
        <f aca="false">J17*K13</f>
        <v>1163.80753591116</v>
      </c>
      <c r="L18" s="34" t="n">
        <f aca="false">K17*L13</f>
        <v>1086.22036685041</v>
      </c>
    </row>
    <row r="19" customFormat="false" ht="15" hidden="false" customHeight="false" outlineLevel="0" collapsed="false">
      <c r="A19" s="11" t="s">
        <v>610</v>
      </c>
      <c r="B19" s="55" t="s">
        <v>353</v>
      </c>
      <c r="H19" s="34" t="n">
        <f aca="false">G17*(1+H13)*H14</f>
        <v>955.3762724368</v>
      </c>
      <c r="I19" s="34" t="n">
        <f aca="false">H17*(1+I13)*I14</f>
        <v>598.36724431568</v>
      </c>
      <c r="J19" s="34" t="n">
        <f aca="false">I17*(1+J13)*J14</f>
        <v>327.965086609424</v>
      </c>
      <c r="K19" s="34" t="n">
        <f aca="false">J17*(1+K13)*K14</f>
        <v>0</v>
      </c>
      <c r="L19" s="34" t="n">
        <f aca="false">K17*(1+L13)*L14</f>
        <v>-238.968480707091</v>
      </c>
    </row>
    <row r="20" customFormat="false" ht="15" hidden="false" customHeight="false" outlineLevel="0" collapsed="false">
      <c r="A20" s="11" t="s">
        <v>18</v>
      </c>
      <c r="B20" s="56" t="s">
        <v>317</v>
      </c>
      <c r="G20" s="31" t="n">
        <f aca="false">IFERROR(G17/F17-1,0)</f>
        <v>0.439451986158761</v>
      </c>
      <c r="H20" s="32" t="n">
        <f aca="false">IFERROR(H17/G17-1,0)</f>
        <v>0.8088</v>
      </c>
      <c r="I20" s="32" t="n">
        <f aca="false">IFERROR(I17/H17-1,0)</f>
        <v>0.35</v>
      </c>
      <c r="J20" s="32" t="n">
        <f aca="false">IFERROR(J17/I17-1,0)</f>
        <v>0.2006</v>
      </c>
      <c r="K20" s="32" t="n">
        <f aca="false">IFERROR(K17/J17-1,0)</f>
        <v>0.12</v>
      </c>
      <c r="L20" s="32" t="n">
        <f aca="false">IFERROR(L17/K17-1,0)</f>
        <v>0.0780000000000001</v>
      </c>
    </row>
    <row r="21" customFormat="false" ht="15" hidden="false" customHeight="false" outlineLevel="0" collapsed="false">
      <c r="A21" s="5" t="s">
        <v>611</v>
      </c>
      <c r="B21" s="6"/>
      <c r="C21" s="6"/>
      <c r="D21" s="6"/>
      <c r="E21" s="6"/>
      <c r="F21" s="6"/>
      <c r="G21" s="6"/>
      <c r="H21" s="6"/>
      <c r="I21" s="6"/>
      <c r="J21" s="6"/>
      <c r="K21" s="6"/>
      <c r="L21" s="6"/>
      <c r="M21" s="6"/>
    </row>
    <row r="22" customFormat="false" ht="15" hidden="false" customHeight="false" outlineLevel="0" collapsed="false">
      <c r="A22" s="11" t="s">
        <v>603</v>
      </c>
      <c r="B22" s="56" t="s">
        <v>317</v>
      </c>
      <c r="H22" s="25" t="n">
        <f aca="false">假设!H76</f>
        <v>0.58</v>
      </c>
      <c r="I22" s="25" t="n">
        <f aca="false">假设!I76</f>
        <v>0.3</v>
      </c>
      <c r="J22" s="25" t="n">
        <f aca="false">假设!J76</f>
        <v>0.2</v>
      </c>
      <c r="K22" s="25" t="n">
        <f aca="false">假设!K76</f>
        <v>0.14</v>
      </c>
      <c r="L22" s="25" t="n">
        <f aca="false">假设!L76</f>
        <v>0.11</v>
      </c>
    </row>
    <row r="23" customFormat="false" ht="15" hidden="false" customHeight="false" outlineLevel="0" collapsed="false">
      <c r="A23" s="11" t="s">
        <v>604</v>
      </c>
      <c r="B23" s="56" t="s">
        <v>317</v>
      </c>
      <c r="H23" s="25" t="n">
        <f aca="false">假设!H80</f>
        <v>-0.035</v>
      </c>
      <c r="I23" s="25" t="n">
        <f aca="false">假设!I80</f>
        <v>-0.04</v>
      </c>
      <c r="J23" s="25" t="n">
        <f aca="false">假设!J80</f>
        <v>-0.04</v>
      </c>
      <c r="K23" s="25" t="n">
        <f aca="false">假设!K80</f>
        <v>-0.035</v>
      </c>
      <c r="L23" s="25" t="n">
        <f aca="false">假设!L80</f>
        <v>-0.03</v>
      </c>
    </row>
    <row r="24" customFormat="false" ht="15" hidden="false" customHeight="false" outlineLevel="0" collapsed="false">
      <c r="A24" s="11" t="s">
        <v>605</v>
      </c>
      <c r="B24" s="55"/>
      <c r="G24" s="30" t="n">
        <v>100</v>
      </c>
      <c r="H24" s="34" t="n">
        <f aca="false">G24*(1+H22)</f>
        <v>158</v>
      </c>
      <c r="I24" s="34" t="n">
        <f aca="false">H24*(1+I22)</f>
        <v>205.4</v>
      </c>
      <c r="J24" s="34" t="n">
        <f aca="false">I24*(1+J22)</f>
        <v>246.48</v>
      </c>
      <c r="K24" s="34" t="n">
        <f aca="false">J24*(1+K22)</f>
        <v>280.9872</v>
      </c>
      <c r="L24" s="34" t="n">
        <f aca="false">K24*(1+L22)</f>
        <v>311.895792</v>
      </c>
    </row>
    <row r="25" customFormat="false" ht="15" hidden="false" customHeight="false" outlineLevel="0" collapsed="false">
      <c r="A25" s="11" t="s">
        <v>606</v>
      </c>
      <c r="B25" s="55"/>
      <c r="G25" s="30" t="n">
        <v>100</v>
      </c>
      <c r="H25" s="34" t="n">
        <f aca="false">G25*(1+H23)</f>
        <v>96.5</v>
      </c>
      <c r="I25" s="34" t="n">
        <f aca="false">H25*(1+I23)</f>
        <v>92.64</v>
      </c>
      <c r="J25" s="34" t="n">
        <f aca="false">I25*(1+J23)</f>
        <v>88.9344</v>
      </c>
      <c r="K25" s="34" t="n">
        <f aca="false">J25*(1+K23)</f>
        <v>85.821696</v>
      </c>
      <c r="L25" s="34" t="n">
        <f aca="false">K25*(1+L23)</f>
        <v>83.24704512</v>
      </c>
    </row>
    <row r="26" customFormat="false" ht="15" hidden="false" customHeight="false" outlineLevel="0" collapsed="false">
      <c r="A26" s="9" t="s">
        <v>612</v>
      </c>
      <c r="B26" s="55" t="s">
        <v>353</v>
      </c>
      <c r="F26" s="69" t="n">
        <v>2305.984656</v>
      </c>
      <c r="G26" s="69" t="n">
        <v>2594.309892</v>
      </c>
      <c r="H26" s="76" t="n">
        <f aca="false">G26*(1+H22)*(1+H23)</f>
        <v>3955.5442923324</v>
      </c>
      <c r="I26" s="76" t="n">
        <f aca="false">H26*(1+I22)*(1+I23)</f>
        <v>4936.51927683084</v>
      </c>
      <c r="J26" s="76" t="n">
        <f aca="false">I26*(1+J22)*(1+J23)</f>
        <v>5686.87020690912</v>
      </c>
      <c r="K26" s="76" t="n">
        <f aca="false">J26*(1+K22)*(1+K23)</f>
        <v>6256.12591462073</v>
      </c>
      <c r="L26" s="76" t="n">
        <f aca="false">K26*(1+L22)*(1+L23)</f>
        <v>6735.97077227214</v>
      </c>
      <c r="M26" s="37" t="s">
        <v>613</v>
      </c>
    </row>
    <row r="27" customFormat="false" ht="15" hidden="false" customHeight="false" outlineLevel="0" collapsed="false">
      <c r="A27" s="11" t="s">
        <v>609</v>
      </c>
      <c r="B27" s="55" t="s">
        <v>353</v>
      </c>
      <c r="H27" s="34" t="n">
        <f aca="false">G26*H22</f>
        <v>1504.69973736</v>
      </c>
      <c r="I27" s="34" t="n">
        <f aca="false">H26*I22</f>
        <v>1186.66328769972</v>
      </c>
      <c r="J27" s="34" t="n">
        <f aca="false">I26*J22</f>
        <v>987.303855366167</v>
      </c>
      <c r="K27" s="34" t="n">
        <f aca="false">J26*K22</f>
        <v>796.161828967277</v>
      </c>
      <c r="L27" s="34" t="n">
        <f aca="false">K26*L22</f>
        <v>688.17385060828</v>
      </c>
    </row>
    <row r="28" customFormat="false" ht="15" hidden="false" customHeight="false" outlineLevel="0" collapsed="false">
      <c r="A28" s="11" t="s">
        <v>610</v>
      </c>
      <c r="B28" s="55" t="s">
        <v>353</v>
      </c>
      <c r="H28" s="34" t="n">
        <f aca="false">G26*(1+H22)*H23</f>
        <v>-143.4653370276</v>
      </c>
      <c r="I28" s="34" t="n">
        <f aca="false">H26*(1+I22)*I23</f>
        <v>-205.688303201285</v>
      </c>
      <c r="J28" s="34" t="n">
        <f aca="false">I26*(1+J22)*J23</f>
        <v>-236.95292528788</v>
      </c>
      <c r="K28" s="34" t="n">
        <f aca="false">J26*(1+K22)*K23</f>
        <v>-226.906121255674</v>
      </c>
      <c r="L28" s="34" t="n">
        <f aca="false">K26*(1+L22)*L23</f>
        <v>-208.32899295687</v>
      </c>
    </row>
    <row r="29" customFormat="false" ht="15" hidden="false" customHeight="false" outlineLevel="0" collapsed="false">
      <c r="A29" s="11" t="s">
        <v>18</v>
      </c>
      <c r="B29" s="56" t="s">
        <v>317</v>
      </c>
      <c r="G29" s="31" t="n">
        <f aca="false">IFERROR(G26/F26-1,0)</f>
        <v>0.125033458158448</v>
      </c>
      <c r="H29" s="32" t="n">
        <f aca="false">IFERROR(H26/G26-1,0)</f>
        <v>0.5247</v>
      </c>
      <c r="I29" s="32" t="n">
        <f aca="false">IFERROR(I26/H26-1,0)</f>
        <v>0.248</v>
      </c>
      <c r="J29" s="32" t="n">
        <f aca="false">IFERROR(J26/I26-1,0)</f>
        <v>0.152</v>
      </c>
      <c r="K29" s="32" t="n">
        <f aca="false">IFERROR(K26/J26-1,0)</f>
        <v>0.1001</v>
      </c>
      <c r="L29" s="32" t="n">
        <f aca="false">IFERROR(L26/K26-1,0)</f>
        <v>0.0767</v>
      </c>
    </row>
    <row r="30" customFormat="false" ht="15" hidden="false" customHeight="false" outlineLevel="0" collapsed="false">
      <c r="A30" s="5" t="s">
        <v>614</v>
      </c>
      <c r="B30" s="6"/>
      <c r="C30" s="6"/>
      <c r="D30" s="6"/>
      <c r="E30" s="6"/>
      <c r="F30" s="6"/>
      <c r="G30" s="6"/>
      <c r="H30" s="6"/>
      <c r="I30" s="6"/>
      <c r="J30" s="6"/>
      <c r="K30" s="6"/>
      <c r="L30" s="6"/>
      <c r="M30" s="6"/>
    </row>
    <row r="31" customFormat="false" ht="15" hidden="false" customHeight="false" outlineLevel="0" collapsed="false">
      <c r="A31" s="4" t="s">
        <v>615</v>
      </c>
      <c r="B31" s="56" t="s">
        <v>362</v>
      </c>
      <c r="G31" s="75" t="n">
        <f aca="false">假设!G102</f>
        <v>0.725</v>
      </c>
      <c r="H31" s="77" t="n">
        <f aca="false">假设!H102</f>
        <v>1.45</v>
      </c>
      <c r="I31" s="77" t="n">
        <f aca="false">假设!I102</f>
        <v>2.5</v>
      </c>
      <c r="J31" s="77" t="n">
        <f aca="false">假设!J102</f>
        <v>3.2</v>
      </c>
      <c r="K31" s="77" t="n">
        <f aca="false">假设!K102</f>
        <v>3.8</v>
      </c>
      <c r="L31" s="77" t="n">
        <f aca="false">假设!L102</f>
        <v>4.4</v>
      </c>
      <c r="M31" s="2" t="s">
        <v>616</v>
      </c>
    </row>
    <row r="32" customFormat="false" ht="15" hidden="false" customHeight="false" outlineLevel="0" collapsed="false">
      <c r="A32" s="11" t="s">
        <v>617</v>
      </c>
      <c r="B32" s="56" t="s">
        <v>368</v>
      </c>
      <c r="H32" s="78" t="n">
        <f aca="false">假设!H106</f>
        <v>30</v>
      </c>
      <c r="I32" s="78" t="n">
        <f aca="false">假设!I106</f>
        <v>30</v>
      </c>
      <c r="J32" s="78" t="n">
        <f aca="false">假设!J106</f>
        <v>32.5</v>
      </c>
      <c r="K32" s="78" t="n">
        <f aca="false">假设!K106</f>
        <v>32.5</v>
      </c>
      <c r="L32" s="78" t="n">
        <f aca="false">假设!L106</f>
        <v>35</v>
      </c>
    </row>
    <row r="33" customFormat="false" ht="15" hidden="false" customHeight="false" outlineLevel="0" collapsed="false">
      <c r="A33" s="11" t="s">
        <v>618</v>
      </c>
      <c r="B33" s="55" t="s">
        <v>619</v>
      </c>
      <c r="H33" s="34" t="n">
        <f aca="false">IFERROR(1000/H32,0)</f>
        <v>33.3333333333333</v>
      </c>
      <c r="I33" s="34" t="n">
        <f aca="false">IFERROR(1000/I32,0)</f>
        <v>33.3333333333333</v>
      </c>
      <c r="J33" s="34" t="n">
        <f aca="false">IFERROR(1000/J32,0)</f>
        <v>30.7692307692308</v>
      </c>
      <c r="K33" s="34" t="n">
        <f aca="false">IFERROR(1000/K32,0)</f>
        <v>30.7692307692308</v>
      </c>
      <c r="L33" s="34" t="n">
        <f aca="false">IFERROR(1000/L32,0)</f>
        <v>28.5714285714286</v>
      </c>
    </row>
    <row r="34" customFormat="false" ht="15" hidden="false" customHeight="false" outlineLevel="0" collapsed="false">
      <c r="A34" s="4" t="s">
        <v>620</v>
      </c>
      <c r="B34" s="55" t="s">
        <v>621</v>
      </c>
      <c r="H34" s="34" t="n">
        <f aca="false">H31*H33</f>
        <v>48.3333333333333</v>
      </c>
      <c r="I34" s="34" t="n">
        <f aca="false">I31*I33</f>
        <v>83.3333333333333</v>
      </c>
      <c r="J34" s="34" t="n">
        <f aca="false">J31*J33</f>
        <v>98.4615384615385</v>
      </c>
      <c r="K34" s="34" t="n">
        <f aca="false">K31*K33</f>
        <v>116.923076923077</v>
      </c>
      <c r="L34" s="34" t="n">
        <f aca="false">L31*L33</f>
        <v>125.714285714286</v>
      </c>
    </row>
    <row r="35" customFormat="false" ht="15" hidden="false" customHeight="false" outlineLevel="0" collapsed="false">
      <c r="A35" s="11" t="s">
        <v>622</v>
      </c>
      <c r="B35" s="56" t="s">
        <v>317</v>
      </c>
      <c r="H35" s="25" t="n">
        <f aca="false">假设!H110</f>
        <v>0.75</v>
      </c>
      <c r="I35" s="25" t="n">
        <f aca="false">假设!I110</f>
        <v>0.65</v>
      </c>
      <c r="J35" s="25" t="n">
        <f aca="false">假设!J110</f>
        <v>0.52</v>
      </c>
      <c r="K35" s="25" t="n">
        <f aca="false">假设!K110</f>
        <v>0.47</v>
      </c>
      <c r="L35" s="25" t="n">
        <f aca="false">假设!L110</f>
        <v>0.42</v>
      </c>
    </row>
    <row r="36" customFormat="false" ht="15" hidden="false" customHeight="false" outlineLevel="0" collapsed="false">
      <c r="A36" s="11" t="s">
        <v>623</v>
      </c>
      <c r="B36" s="55" t="s">
        <v>621</v>
      </c>
      <c r="H36" s="34" t="n">
        <f aca="false">H34*H35</f>
        <v>36.25</v>
      </c>
      <c r="I36" s="34" t="n">
        <f aca="false">I34*I35</f>
        <v>54.1666666666667</v>
      </c>
      <c r="J36" s="34" t="n">
        <f aca="false">J34*J35</f>
        <v>51.2</v>
      </c>
      <c r="K36" s="34" t="n">
        <f aca="false">K34*K35</f>
        <v>54.9538461538462</v>
      </c>
      <c r="L36" s="34" t="n">
        <f aca="false">L34*L35</f>
        <v>52.8</v>
      </c>
    </row>
    <row r="37" customFormat="false" ht="15" hidden="false" customHeight="false" outlineLevel="0" collapsed="false">
      <c r="A37" s="11" t="s">
        <v>624</v>
      </c>
      <c r="B37" s="55" t="s">
        <v>380</v>
      </c>
      <c r="H37" s="77" t="n">
        <f aca="false">假设!H114</f>
        <v>18</v>
      </c>
      <c r="I37" s="77" t="n">
        <f aca="false">假设!I114</f>
        <v>17</v>
      </c>
      <c r="J37" s="77" t="n">
        <f aca="false">假设!J114</f>
        <v>16.2</v>
      </c>
      <c r="K37" s="77" t="n">
        <f aca="false">假设!K114</f>
        <v>15.4</v>
      </c>
      <c r="L37" s="77" t="n">
        <f aca="false">假设!L114</f>
        <v>14.6</v>
      </c>
    </row>
    <row r="38" customFormat="false" ht="15" hidden="false" customHeight="false" outlineLevel="0" collapsed="false">
      <c r="A38" s="13" t="s">
        <v>625</v>
      </c>
      <c r="B38" s="55" t="s">
        <v>353</v>
      </c>
      <c r="E38" s="69" t="n">
        <v>449.318728</v>
      </c>
      <c r="F38" s="69" t="n">
        <v>323.869648</v>
      </c>
      <c r="G38" s="69" t="n">
        <v>330.717999</v>
      </c>
      <c r="H38" s="76" t="n">
        <f aca="false">H36*H37</f>
        <v>652.5</v>
      </c>
      <c r="I38" s="76" t="n">
        <f aca="false">I36*I37</f>
        <v>920.833333333333</v>
      </c>
      <c r="J38" s="76" t="n">
        <f aca="false">J36*J37</f>
        <v>829.44</v>
      </c>
      <c r="K38" s="76" t="n">
        <f aca="false">K36*K37</f>
        <v>846.289230769231</v>
      </c>
      <c r="L38" s="76" t="n">
        <f aca="false">L36*L37</f>
        <v>770.88</v>
      </c>
      <c r="M38" s="2" t="s">
        <v>626</v>
      </c>
    </row>
    <row r="39" customFormat="false" ht="15" hidden="false" customHeight="false" outlineLevel="0" collapsed="false">
      <c r="A39" s="11" t="s">
        <v>627</v>
      </c>
      <c r="B39" s="55" t="s">
        <v>628</v>
      </c>
      <c r="H39" s="34" t="n">
        <f aca="false">H33*H37</f>
        <v>600</v>
      </c>
      <c r="I39" s="34" t="n">
        <f aca="false">I33*I37</f>
        <v>566.666666666667</v>
      </c>
      <c r="J39" s="34" t="n">
        <f aca="false">J33*J37</f>
        <v>498.461538461538</v>
      </c>
      <c r="K39" s="34" t="n">
        <f aca="false">K33*K37</f>
        <v>473.846153846154</v>
      </c>
      <c r="L39" s="34" t="n">
        <f aca="false">L33*L37</f>
        <v>417.142857142857</v>
      </c>
    </row>
    <row r="40" customFormat="false" ht="15" hidden="false" customHeight="false" outlineLevel="0" collapsed="false">
      <c r="A40" s="11" t="s">
        <v>629</v>
      </c>
      <c r="B40" s="55" t="s">
        <v>353</v>
      </c>
      <c r="F40" s="33" t="n">
        <f aca="false">F41-F38</f>
        <v>1353.363133</v>
      </c>
      <c r="G40" s="33" t="n">
        <f aca="false">G41-G38</f>
        <v>1628.660018</v>
      </c>
      <c r="H40" s="24" t="n">
        <f aca="false">G40*(1+假设!H84)</f>
        <v>1872.9590207</v>
      </c>
      <c r="I40" s="24" t="n">
        <f aca="false">H40*(1+假设!I84)</f>
        <v>2097.714103184</v>
      </c>
      <c r="J40" s="24" t="n">
        <f aca="false">I40*(1+假设!J84)</f>
        <v>2307.4855135024</v>
      </c>
      <c r="K40" s="24" t="n">
        <f aca="false">J40*(1+假设!K84)</f>
        <v>2492.08435458259</v>
      </c>
      <c r="L40" s="24" t="n">
        <f aca="false">K40*(1+假设!L84)</f>
        <v>2641.60941585755</v>
      </c>
    </row>
    <row r="41" customFormat="false" ht="15" hidden="false" customHeight="false" outlineLevel="0" collapsed="false">
      <c r="A41" s="9" t="s">
        <v>115</v>
      </c>
      <c r="B41" s="55" t="s">
        <v>353</v>
      </c>
      <c r="F41" s="69" t="n">
        <v>1677.232781</v>
      </c>
      <c r="G41" s="69" t="n">
        <v>1959.378017</v>
      </c>
      <c r="H41" s="76" t="n">
        <f aca="false">H40+H38</f>
        <v>2525.4590207</v>
      </c>
      <c r="I41" s="76" t="n">
        <f aca="false">I40+I38</f>
        <v>3018.54743651733</v>
      </c>
      <c r="J41" s="76" t="n">
        <f aca="false">J40+J38</f>
        <v>3136.9255135024</v>
      </c>
      <c r="K41" s="76" t="n">
        <f aca="false">K40+K38</f>
        <v>3338.37358535182</v>
      </c>
      <c r="L41" s="76" t="n">
        <f aca="false">L40+L38</f>
        <v>3412.48941585755</v>
      </c>
      <c r="M41" s="37" t="s">
        <v>630</v>
      </c>
    </row>
    <row r="42" customFormat="false" ht="15" hidden="false" customHeight="false" outlineLevel="0" collapsed="false">
      <c r="A42" s="5" t="s">
        <v>631</v>
      </c>
      <c r="B42" s="6"/>
      <c r="C42" s="6"/>
      <c r="D42" s="6"/>
      <c r="E42" s="6"/>
      <c r="F42" s="6"/>
      <c r="G42" s="6"/>
      <c r="H42" s="6"/>
      <c r="I42" s="6"/>
      <c r="J42" s="6"/>
      <c r="K42" s="6"/>
      <c r="L42" s="6"/>
      <c r="M42" s="6"/>
    </row>
    <row r="43" customFormat="false" ht="15" hidden="false" customHeight="false" outlineLevel="0" collapsed="false">
      <c r="A43" s="9" t="s">
        <v>117</v>
      </c>
      <c r="B43" s="55" t="s">
        <v>353</v>
      </c>
      <c r="F43" s="69" t="n">
        <v>536.82473</v>
      </c>
      <c r="G43" s="69" t="n">
        <v>601.75341</v>
      </c>
      <c r="H43" s="79" t="n">
        <f aca="false">G43*(1+假设!H88)</f>
        <v>692.0164215</v>
      </c>
      <c r="I43" s="79" t="n">
        <f aca="false">H43*(1+假设!I88)</f>
        <v>775.05839208</v>
      </c>
      <c r="J43" s="79" t="n">
        <f aca="false">I43*(1+假设!J88)</f>
        <v>852.564231288</v>
      </c>
      <c r="K43" s="79" t="n">
        <f aca="false">J43*(1+假设!K88)</f>
        <v>920.76936979104</v>
      </c>
      <c r="L43" s="79" t="n">
        <f aca="false">K43*(1+假设!L88)</f>
        <v>976.015531978503</v>
      </c>
      <c r="M43" s="37" t="s">
        <v>632</v>
      </c>
    </row>
    <row r="44" customFormat="false" ht="15" hidden="false" customHeight="false" outlineLevel="0" collapsed="false">
      <c r="A44" s="9" t="s">
        <v>633</v>
      </c>
      <c r="B44" s="55" t="s">
        <v>353</v>
      </c>
      <c r="F44" s="69" t="n">
        <v>447.931467</v>
      </c>
      <c r="G44" s="69" t="n">
        <v>404.996373</v>
      </c>
      <c r="H44" s="79" t="n">
        <f aca="false">G44*(1+假设!H92)</f>
        <v>526.4952849</v>
      </c>
      <c r="I44" s="79" t="n">
        <f aca="false">H44*(1+假设!I92)</f>
        <v>552.820049145</v>
      </c>
      <c r="J44" s="79" t="n">
        <f aca="false">I44*(1+假设!J92)</f>
        <v>580.46105160225</v>
      </c>
      <c r="K44" s="79" t="n">
        <f aca="false">J44*(1+假设!K92)</f>
        <v>609.484104182363</v>
      </c>
      <c r="L44" s="79" t="n">
        <f aca="false">K44*(1+假设!L92)</f>
        <v>639.958309391481</v>
      </c>
      <c r="M44" s="37" t="s">
        <v>634</v>
      </c>
    </row>
    <row r="45" customFormat="false" ht="15" hidden="false" customHeight="false" outlineLevel="0" collapsed="false">
      <c r="A45" s="9" t="s">
        <v>635</v>
      </c>
      <c r="B45" s="55" t="s">
        <v>353</v>
      </c>
      <c r="F45" s="69" t="n">
        <v>108.858154</v>
      </c>
      <c r="G45" s="69" t="n">
        <v>138.626616</v>
      </c>
      <c r="H45" s="79" t="n">
        <f aca="false">假设!H96</f>
        <v>180</v>
      </c>
      <c r="I45" s="79" t="n">
        <f aca="false">假设!I96</f>
        <v>190</v>
      </c>
      <c r="J45" s="79" t="n">
        <f aca="false">假设!J96</f>
        <v>200</v>
      </c>
      <c r="K45" s="79" t="n">
        <f aca="false">假设!K96</f>
        <v>210</v>
      </c>
      <c r="L45" s="79" t="n">
        <f aca="false">假设!L96</f>
        <v>220</v>
      </c>
      <c r="M45" s="37" t="s">
        <v>636</v>
      </c>
    </row>
    <row r="46" customFormat="false" ht="15" hidden="false" customHeight="false" outlineLevel="0" collapsed="false">
      <c r="A46" s="5" t="s">
        <v>637</v>
      </c>
      <c r="B46" s="6"/>
      <c r="C46" s="6"/>
      <c r="D46" s="6"/>
      <c r="E46" s="6"/>
      <c r="F46" s="6"/>
      <c r="G46" s="6"/>
      <c r="H46" s="6"/>
      <c r="I46" s="6"/>
      <c r="J46" s="6"/>
      <c r="K46" s="6"/>
      <c r="L46" s="6"/>
      <c r="M46" s="6"/>
    </row>
    <row r="47" customFormat="false" ht="15" hidden="false" customHeight="false" outlineLevel="0" collapsed="false">
      <c r="A47" s="9" t="s">
        <v>638</v>
      </c>
      <c r="B47" s="55" t="s">
        <v>353</v>
      </c>
      <c r="F47" s="80" t="n">
        <f aca="false">F17+F26+F41+F43+F44+F45</f>
        <v>7374.990822</v>
      </c>
      <c r="G47" s="80" t="n">
        <f aca="false">G17+G26+G41+G43+G44+G45</f>
        <v>9007.153894</v>
      </c>
      <c r="H47" s="76" t="n">
        <f aca="false">H17+H26+H41+H43+H44+H45</f>
        <v>13863.1874625892</v>
      </c>
      <c r="I47" s="76" t="n">
        <f aca="false">I17+I26+I41+I43+I44+I45</f>
        <v>17550.9029528349</v>
      </c>
      <c r="J47" s="76" t="n">
        <f aca="false">J17+J26+J41+J43+J44+J45</f>
        <v>20155.2171358948</v>
      </c>
      <c r="K47" s="76" t="n">
        <f aca="false">K17+K26+K41+K43+K44+K45</f>
        <v>22196.9566424501</v>
      </c>
      <c r="L47" s="76" t="n">
        <f aca="false">L17+L26+L41+L43+L44+L45</f>
        <v>23693.8895841471</v>
      </c>
    </row>
    <row r="48" customFormat="false" ht="15" hidden="false" customHeight="false" outlineLevel="0" collapsed="false">
      <c r="A48" s="11" t="s">
        <v>18</v>
      </c>
      <c r="B48" s="56" t="s">
        <v>317</v>
      </c>
      <c r="G48" s="31" t="n">
        <f aca="false">IFERROR(G47/F47-1,0)</f>
        <v>0.221310522466166</v>
      </c>
      <c r="H48" s="32" t="n">
        <f aca="false">IFERROR(H47/G47-1,0)</f>
        <v>0.539130742711523</v>
      </c>
      <c r="I48" s="32" t="n">
        <f aca="false">IFERROR(I47/H47-1,0)</f>
        <v>0.266007763380335</v>
      </c>
      <c r="J48" s="32" t="n">
        <f aca="false">IFERROR(J47/I47-1,0)</f>
        <v>0.148386336022629</v>
      </c>
      <c r="K48" s="32" t="n">
        <f aca="false">IFERROR(K47/J47-1,0)</f>
        <v>0.101300794369472</v>
      </c>
      <c r="L48" s="32" t="n">
        <f aca="false">IFERROR(L47/K47-1,0)</f>
        <v>0.0674386568307415</v>
      </c>
    </row>
    <row r="49" customFormat="false" ht="15" hidden="false" customHeight="false" outlineLevel="0" collapsed="false">
      <c r="A49" s="11" t="s">
        <v>639</v>
      </c>
      <c r="B49" s="56" t="s">
        <v>317</v>
      </c>
      <c r="F49" s="31" t="n">
        <f aca="false">IFERROR(F17/F47,0)</f>
        <v>0.311615172068346</v>
      </c>
      <c r="G49" s="31" t="n">
        <f aca="false">IFERROR(G17/G47,0)</f>
        <v>0.367273572199498</v>
      </c>
      <c r="H49" s="32" t="n">
        <f aca="false">IFERROR(H17/H47,0)</f>
        <v>0.43162313568248</v>
      </c>
      <c r="I49" s="32" t="n">
        <f aca="false">IFERROR(I17/I47,0)</f>
        <v>0.460258815171496</v>
      </c>
      <c r="J49" s="32" t="n">
        <f aca="false">IFERROR(J17/J47,0)</f>
        <v>0.481185395682041</v>
      </c>
      <c r="K49" s="32" t="n">
        <f aca="false">IFERROR(K17/K47,0)</f>
        <v>0.489355538395338</v>
      </c>
      <c r="L49" s="32" t="n">
        <f aca="false">IFERROR(L17/L47,0)</f>
        <v>0.49419727027351</v>
      </c>
    </row>
    <row r="50" customFormat="false" ht="15" hidden="false" customHeight="false" outlineLevel="0" collapsed="false">
      <c r="A50" s="11" t="s">
        <v>640</v>
      </c>
      <c r="B50" s="56" t="s">
        <v>317</v>
      </c>
      <c r="F50" s="31" t="n">
        <f aca="false">IFERROR(F26/F47,0)</f>
        <v>0.312676274676997</v>
      </c>
      <c r="G50" s="31" t="n">
        <f aca="false">IFERROR(G26/G47,0)</f>
        <v>0.288027708034185</v>
      </c>
      <c r="H50" s="32" t="n">
        <f aca="false">IFERROR(H26/H47,0)</f>
        <v>0.285327187777466</v>
      </c>
      <c r="I50" s="32" t="n">
        <f aca="false">IFERROR(I26/I47,0)</f>
        <v>0.281268678317971</v>
      </c>
      <c r="J50" s="32" t="n">
        <f aca="false">IFERROR(J26/J47,0)</f>
        <v>0.28215375545527</v>
      </c>
      <c r="K50" s="32" t="n">
        <f aca="false">IFERROR(K26/K47,0)</f>
        <v>0.281846111401431</v>
      </c>
      <c r="L50" s="32" t="n">
        <f aca="false">IFERROR(L26/L47,0)</f>
        <v>0.284291473054681</v>
      </c>
    </row>
    <row r="51" customFormat="false" ht="15" hidden="false" customHeight="false" outlineLevel="0" collapsed="false">
      <c r="A51" s="11" t="s">
        <v>641</v>
      </c>
      <c r="B51" s="56" t="s">
        <v>317</v>
      </c>
      <c r="F51" s="31" t="n">
        <f aca="false">IFERROR(F41/F47,0)</f>
        <v>0.227421677054393</v>
      </c>
      <c r="G51" s="31" t="n">
        <f aca="false">IFERROR(G41/G47,0)</f>
        <v>0.217535754363564</v>
      </c>
      <c r="H51" s="32" t="n">
        <f aca="false">IFERROR(H41/H47,0)</f>
        <v>0.182170155854498</v>
      </c>
      <c r="I51" s="32" t="n">
        <f aca="false">IFERROR(I41/I47,0)</f>
        <v>0.171988156086851</v>
      </c>
      <c r="J51" s="32" t="n">
        <f aca="false">IFERROR(J41/J47,0)</f>
        <v>0.155638388430745</v>
      </c>
      <c r="K51" s="32" t="n">
        <f aca="false">IFERROR(K41/K47,0)</f>
        <v>0.15039780629059</v>
      </c>
      <c r="L51" s="32" t="n">
        <f aca="false">IFERROR(L41/L47,0)</f>
        <v>0.144024027956167</v>
      </c>
    </row>
    <row r="52" customFormat="false" ht="15" hidden="false" customHeight="false" outlineLevel="0" collapsed="false">
      <c r="A52" s="11" t="s">
        <v>642</v>
      </c>
      <c r="B52" s="56" t="s">
        <v>317</v>
      </c>
      <c r="F52" s="31" t="n">
        <f aca="false">IFERROR(F38/F47,0)</f>
        <v>0.0439145831929552</v>
      </c>
      <c r="G52" s="31" t="n">
        <f aca="false">IFERROR(G38/G47,0)</f>
        <v>0.0367172586248697</v>
      </c>
      <c r="H52" s="32" t="n">
        <f aca="false">IFERROR(H38/H47,0)</f>
        <v>0.0470670977912416</v>
      </c>
      <c r="I52" s="32" t="n">
        <f aca="false">IFERROR(I38/I47,0)</f>
        <v>0.0524664363883682</v>
      </c>
      <c r="J52" s="32" t="n">
        <f aca="false">IFERROR(J38/J47,0)</f>
        <v>0.0411526204062985</v>
      </c>
      <c r="K52" s="32" t="n">
        <f aca="false">IFERROR(K38/K47,0)</f>
        <v>0.0381263631947978</v>
      </c>
      <c r="L52" s="32" t="n">
        <f aca="false">IFERROR(L38/L47,0)</f>
        <v>0.0325349705569563</v>
      </c>
    </row>
    <row r="53" customFormat="false" ht="15" hidden="false" customHeight="false" outlineLevel="0" collapsed="false">
      <c r="A53" s="11" t="s">
        <v>643</v>
      </c>
      <c r="B53" s="56" t="s">
        <v>317</v>
      </c>
      <c r="F53" s="31" t="n">
        <f aca="false">IFERROR(F43/F47,0)</f>
        <v>0.0727898844834657</v>
      </c>
      <c r="G53" s="31" t="n">
        <f aca="false">IFERROR(G43/G47,0)</f>
        <v>0.0668083855435012</v>
      </c>
      <c r="H53" s="32" t="n">
        <f aca="false">IFERROR(H43/H47,0)</f>
        <v>0.0499175549178323</v>
      </c>
      <c r="I53" s="32" t="n">
        <f aca="false">IFERROR(I43/I47,0)</f>
        <v>0.0441605992673335</v>
      </c>
      <c r="J53" s="32" t="n">
        <f aca="false">IFERROR(J43/J47,0)</f>
        <v>0.0422999278816826</v>
      </c>
      <c r="K53" s="32" t="n">
        <f aca="false">IFERROR(K43/K47,0)</f>
        <v>0.0414817844005757</v>
      </c>
      <c r="L53" s="32" t="n">
        <f aca="false">IFERROR(L43/L47,0)</f>
        <v>0.0411927104037627</v>
      </c>
    </row>
    <row r="54" customFormat="false" ht="15" hidden="false" customHeight="false" outlineLevel="0" collapsed="false">
      <c r="A54" s="5" t="s">
        <v>644</v>
      </c>
      <c r="B54" s="6"/>
      <c r="C54" s="6"/>
      <c r="D54" s="6"/>
      <c r="E54" s="6"/>
      <c r="F54" s="6"/>
      <c r="G54" s="6"/>
      <c r="H54" s="6"/>
      <c r="I54" s="6"/>
      <c r="J54" s="6"/>
      <c r="K54" s="6"/>
      <c r="L54" s="6"/>
      <c r="M54" s="6"/>
    </row>
    <row r="55" customFormat="false" ht="15" hidden="false" customHeight="false" outlineLevel="0" collapsed="false">
      <c r="A55" s="11" t="s">
        <v>19</v>
      </c>
      <c r="B55" s="55" t="s">
        <v>353</v>
      </c>
      <c r="G55" s="33" t="n">
        <f aca="false">G17-F17</f>
        <v>1009.930552</v>
      </c>
      <c r="H55" s="34" t="n">
        <f aca="false">H17-G17</f>
        <v>2675.5828571568</v>
      </c>
      <c r="I55" s="34" t="n">
        <f aca="false">I17-H17</f>
        <v>2094.28535510488</v>
      </c>
      <c r="J55" s="34" t="n">
        <f aca="false">J17-I17</f>
        <v>1620.43833433129</v>
      </c>
      <c r="K55" s="34" t="n">
        <f aca="false">K17-J17</f>
        <v>1163.80753591116</v>
      </c>
      <c r="L55" s="34" t="n">
        <f aca="false">L17-K17</f>
        <v>847.251886143322</v>
      </c>
    </row>
    <row r="56" customFormat="false" ht="15" hidden="false" customHeight="false" outlineLevel="0" collapsed="false">
      <c r="A56" s="11" t="s">
        <v>20</v>
      </c>
      <c r="B56" s="55" t="s">
        <v>353</v>
      </c>
      <c r="G56" s="33" t="n">
        <f aca="false">G26-F26</f>
        <v>288.325236</v>
      </c>
      <c r="H56" s="34" t="n">
        <f aca="false">H26-G26</f>
        <v>1361.2344003324</v>
      </c>
      <c r="I56" s="34" t="n">
        <f aca="false">I26-H26</f>
        <v>980.974984498435</v>
      </c>
      <c r="J56" s="34" t="n">
        <f aca="false">J26-I26</f>
        <v>750.350930078287</v>
      </c>
      <c r="K56" s="34" t="n">
        <f aca="false">K26-J26</f>
        <v>569.255707711604</v>
      </c>
      <c r="L56" s="34" t="n">
        <f aca="false">L26-K26</f>
        <v>479.84485765141</v>
      </c>
    </row>
    <row r="57" customFormat="false" ht="15" hidden="false" customHeight="false" outlineLevel="0" collapsed="false">
      <c r="A57" s="11" t="s">
        <v>21</v>
      </c>
      <c r="B57" s="55" t="s">
        <v>353</v>
      </c>
      <c r="G57" s="33" t="n">
        <f aca="false">G41-F41</f>
        <v>282.145236</v>
      </c>
      <c r="H57" s="34" t="n">
        <f aca="false">H41-G41</f>
        <v>566.0810037</v>
      </c>
      <c r="I57" s="34" t="n">
        <f aca="false">I41-H41</f>
        <v>493.088415817334</v>
      </c>
      <c r="J57" s="34" t="n">
        <f aca="false">J41-I41</f>
        <v>118.378076985067</v>
      </c>
      <c r="K57" s="34" t="n">
        <f aca="false">K41-J41</f>
        <v>201.448071849423</v>
      </c>
      <c r="L57" s="34" t="n">
        <f aca="false">L41-K41</f>
        <v>74.1158305057247</v>
      </c>
    </row>
    <row r="58" customFormat="false" ht="15" hidden="false" customHeight="false" outlineLevel="0" collapsed="false">
      <c r="A58" s="11" t="s">
        <v>645</v>
      </c>
      <c r="B58" s="55" t="s">
        <v>353</v>
      </c>
      <c r="G58" s="33" t="n">
        <f aca="false">G43-F43</f>
        <v>64.92868</v>
      </c>
      <c r="H58" s="34" t="n">
        <f aca="false">H43-G43</f>
        <v>90.2630115</v>
      </c>
      <c r="I58" s="34" t="n">
        <f aca="false">I43-H43</f>
        <v>83.0419705800001</v>
      </c>
      <c r="J58" s="34" t="n">
        <f aca="false">J43-I43</f>
        <v>77.5058392080001</v>
      </c>
      <c r="K58" s="34" t="n">
        <f aca="false">K43-J43</f>
        <v>68.2051385030401</v>
      </c>
      <c r="L58" s="34" t="n">
        <f aca="false">L43-K43</f>
        <v>55.2461621874625</v>
      </c>
    </row>
    <row r="59" customFormat="false" ht="15" hidden="false" customHeight="false" outlineLevel="0" collapsed="false">
      <c r="A59" s="11" t="s">
        <v>646</v>
      </c>
      <c r="B59" s="55" t="s">
        <v>353</v>
      </c>
      <c r="G59" s="33" t="n">
        <f aca="false">G44-F44</f>
        <v>-42.935094</v>
      </c>
      <c r="H59" s="34" t="n">
        <f aca="false">H44-G44</f>
        <v>121.4989119</v>
      </c>
      <c r="I59" s="34" t="n">
        <f aca="false">I44-H44</f>
        <v>26.324764245</v>
      </c>
      <c r="J59" s="34" t="n">
        <f aca="false">J44-I44</f>
        <v>27.64100245725</v>
      </c>
      <c r="K59" s="34" t="n">
        <f aca="false">K44-J44</f>
        <v>29.0230525801126</v>
      </c>
      <c r="L59" s="34" t="n">
        <f aca="false">L44-K44</f>
        <v>30.4742052091182</v>
      </c>
    </row>
    <row r="60" customFormat="false" ht="15" hidden="false" customHeight="false" outlineLevel="0" collapsed="false">
      <c r="A60" s="11" t="s">
        <v>647</v>
      </c>
      <c r="B60" s="55" t="s">
        <v>353</v>
      </c>
      <c r="G60" s="33" t="n">
        <f aca="false">G45-F45</f>
        <v>29.768462</v>
      </c>
      <c r="H60" s="34" t="n">
        <f aca="false">H45-G45</f>
        <v>41.373384</v>
      </c>
      <c r="I60" s="34" t="n">
        <f aca="false">I45-H45</f>
        <v>10</v>
      </c>
      <c r="J60" s="34" t="n">
        <f aca="false">J45-I45</f>
        <v>10</v>
      </c>
      <c r="K60" s="34" t="n">
        <f aca="false">K45-J45</f>
        <v>10</v>
      </c>
      <c r="L60" s="34" t="n">
        <f aca="false">L45-K45</f>
        <v>10</v>
      </c>
    </row>
    <row r="61" customFormat="false" ht="15" hidden="false" customHeight="false" outlineLevel="0" collapsed="false">
      <c r="A61" s="9" t="s">
        <v>648</v>
      </c>
      <c r="B61" s="55" t="s">
        <v>353</v>
      </c>
      <c r="G61" s="80" t="n">
        <f aca="false">SUM(G55:G60)</f>
        <v>1632.163072</v>
      </c>
      <c r="H61" s="76" t="n">
        <f aca="false">SUM(H55:H60)</f>
        <v>4856.0335685892</v>
      </c>
      <c r="I61" s="76" t="n">
        <f aca="false">SUM(I55:I60)</f>
        <v>3687.71549024565</v>
      </c>
      <c r="J61" s="76" t="n">
        <f aca="false">SUM(J55:J60)</f>
        <v>2604.3141830599</v>
      </c>
      <c r="K61" s="76" t="n">
        <f aca="false">SUM(K55:K60)</f>
        <v>2041.73950655534</v>
      </c>
      <c r="L61" s="76" t="n">
        <f aca="false">SUM(L55:L60)</f>
        <v>1496.93294169704</v>
      </c>
    </row>
    <row r="62" customFormat="false" ht="15" hidden="false" customHeight="false" outlineLevel="0" collapsed="false">
      <c r="A62" s="5" t="s">
        <v>649</v>
      </c>
      <c r="B62" s="6"/>
      <c r="C62" s="6"/>
      <c r="D62" s="6"/>
      <c r="E62" s="6"/>
      <c r="F62" s="6"/>
      <c r="G62" s="6"/>
      <c r="H62" s="6"/>
      <c r="I62" s="6"/>
      <c r="J62" s="6"/>
      <c r="K62" s="6"/>
      <c r="L62" s="6"/>
      <c r="M62" s="6"/>
    </row>
    <row r="63" customFormat="false" ht="15" hidden="false" customHeight="false" outlineLevel="0" collapsed="false">
      <c r="A63" s="11" t="s">
        <v>358</v>
      </c>
      <c r="B63" s="56" t="s">
        <v>317</v>
      </c>
      <c r="D63" s="46" t="n">
        <v>0.2112</v>
      </c>
      <c r="E63" s="46" t="n">
        <v>0.2011</v>
      </c>
      <c r="F63" s="46" t="n">
        <v>0.179</v>
      </c>
      <c r="G63" s="46" t="n">
        <v>0.174</v>
      </c>
      <c r="H63" s="25" t="n">
        <f aca="false">假设!H97</f>
        <v>0.18</v>
      </c>
      <c r="I63" s="25" t="n">
        <f aca="false">假设!I97</f>
        <v>0.19</v>
      </c>
      <c r="J63" s="25" t="n">
        <f aca="false">假设!J97</f>
        <v>0.2</v>
      </c>
      <c r="K63" s="25" t="n">
        <f aca="false">假设!K97</f>
        <v>0.2</v>
      </c>
      <c r="L63" s="25" t="n">
        <f aca="false">假设!L97</f>
        <v>0.2</v>
      </c>
      <c r="M63" s="2" t="s">
        <v>650</v>
      </c>
    </row>
    <row r="64" customFormat="false" ht="15" hidden="false" customHeight="false" outlineLevel="0" collapsed="false">
      <c r="A64" s="11" t="s">
        <v>651</v>
      </c>
      <c r="B64" s="55" t="s">
        <v>353</v>
      </c>
      <c r="H64" s="34" t="n">
        <f aca="false">H47*H63</f>
        <v>2495.37374326606</v>
      </c>
      <c r="I64" s="34" t="n">
        <f aca="false">I47*I63</f>
        <v>3334.67156103862</v>
      </c>
      <c r="J64" s="34" t="n">
        <f aca="false">J47*J63</f>
        <v>4031.04342717895</v>
      </c>
      <c r="K64" s="34" t="n">
        <f aca="false">K47*K63</f>
        <v>4439.39132849002</v>
      </c>
      <c r="L64" s="34" t="n">
        <f aca="false">L47*L63</f>
        <v>4738.77791682943</v>
      </c>
    </row>
    <row r="65" customFormat="false" ht="15" hidden="false" customHeight="false" outlineLevel="0" collapsed="false">
      <c r="A65" s="11" t="s">
        <v>652</v>
      </c>
      <c r="B65" s="55" t="s">
        <v>353</v>
      </c>
      <c r="H65" s="34" t="n">
        <f aca="false">H47-H64</f>
        <v>11367.8137193231</v>
      </c>
      <c r="I65" s="34" t="n">
        <f aca="false">I47-I64</f>
        <v>14216.2313917962</v>
      </c>
      <c r="J65" s="34" t="n">
        <f aca="false">J47-J64</f>
        <v>16124.1737087158</v>
      </c>
      <c r="K65" s="34" t="n">
        <f aca="false">K47-K64</f>
        <v>17757.5653139601</v>
      </c>
      <c r="L65" s="34" t="n">
        <f aca="false">L47-L64</f>
        <v>18955.1116673177</v>
      </c>
    </row>
    <row r="66" customFormat="false" ht="15" hidden="false" customHeight="false" outlineLevel="0" collapsed="false">
      <c r="A66" s="5" t="s">
        <v>653</v>
      </c>
      <c r="B66" s="6"/>
      <c r="C66" s="6"/>
      <c r="D66" s="6"/>
      <c r="E66" s="6"/>
      <c r="F66" s="6"/>
      <c r="G66" s="6"/>
      <c r="H66" s="6"/>
      <c r="I66" s="6"/>
      <c r="J66" s="6"/>
      <c r="K66" s="6"/>
      <c r="L66" s="6"/>
      <c r="M66" s="6"/>
    </row>
    <row r="67" customFormat="false" ht="15" hidden="false" customHeight="false" outlineLevel="0" collapsed="false">
      <c r="A67" s="4" t="s">
        <v>654</v>
      </c>
      <c r="B67" s="55" t="s">
        <v>353</v>
      </c>
      <c r="H67" s="81" t="n">
        <v>6080.743359</v>
      </c>
      <c r="M67" s="37" t="s">
        <v>655</v>
      </c>
    </row>
    <row r="68" customFormat="false" ht="15" hidden="false" customHeight="false" outlineLevel="0" collapsed="false">
      <c r="A68" s="4" t="s">
        <v>656</v>
      </c>
      <c r="B68" s="55" t="s">
        <v>353</v>
      </c>
      <c r="H68" s="34" t="n">
        <f aca="false">H71-H67</f>
        <v>342.588441</v>
      </c>
    </row>
    <row r="69" customFormat="false" ht="15" hidden="false" customHeight="false" outlineLevel="0" collapsed="false">
      <c r="A69" s="4" t="s">
        <v>657</v>
      </c>
      <c r="B69" s="55" t="s">
        <v>353</v>
      </c>
      <c r="H69" s="34" t="n">
        <f aca="false">H17+H26+H41+H43-H67</f>
        <v>7075.9488186892</v>
      </c>
    </row>
    <row r="70" customFormat="false" ht="15" hidden="false" customHeight="false" outlineLevel="0" collapsed="false">
      <c r="A70" s="4" t="s">
        <v>658</v>
      </c>
      <c r="B70" s="55" t="s">
        <v>353</v>
      </c>
      <c r="H70" s="34" t="n">
        <f aca="false">H44+H45-H68</f>
        <v>363.9068439</v>
      </c>
      <c r="M70" s="37" t="s">
        <v>659</v>
      </c>
    </row>
    <row r="71" customFormat="false" ht="15" hidden="false" customHeight="false" outlineLevel="0" collapsed="false">
      <c r="A71" s="4" t="s">
        <v>660</v>
      </c>
      <c r="B71" s="55" t="s">
        <v>353</v>
      </c>
      <c r="H71" s="24" t="n">
        <f aca="false">历史利润表!K6</f>
        <v>6423.3318</v>
      </c>
    </row>
    <row r="72" customFormat="false" ht="15" hidden="false" customHeight="false" outlineLevel="0" collapsed="false">
      <c r="A72" s="4" t="s">
        <v>661</v>
      </c>
      <c r="B72" s="55" t="s">
        <v>353</v>
      </c>
      <c r="H72" s="34" t="n">
        <f aca="false">H47-H71</f>
        <v>7439.8556625892</v>
      </c>
    </row>
    <row r="73" customFormat="false" ht="15" hidden="false" customHeight="false" outlineLevel="0" collapsed="false">
      <c r="A73" s="4" t="s">
        <v>662</v>
      </c>
      <c r="B73" s="56" t="s">
        <v>663</v>
      </c>
      <c r="H73" s="82" t="n">
        <f aca="false">IFERROR(H72/H71,0)</f>
        <v>1.15825492038092</v>
      </c>
      <c r="M73" s="2" t="s">
        <v>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665</v>
      </c>
    </row>
    <row r="2" customFormat="false" ht="15" hidden="false" customHeight="false" outlineLevel="0" collapsed="false">
      <c r="A2" s="2" t="s">
        <v>666</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667</v>
      </c>
      <c r="B5" s="6"/>
      <c r="C5" s="6"/>
      <c r="D5" s="6"/>
      <c r="E5" s="6"/>
      <c r="F5" s="6"/>
      <c r="G5" s="6"/>
      <c r="H5" s="6"/>
      <c r="I5" s="6"/>
      <c r="J5" s="6"/>
      <c r="K5" s="6"/>
      <c r="L5" s="6"/>
      <c r="M5" s="6"/>
    </row>
    <row r="6" customFormat="false" ht="15" hidden="false" customHeight="false" outlineLevel="0" collapsed="false">
      <c r="A6" s="11" t="s">
        <v>668</v>
      </c>
      <c r="B6" s="56" t="s">
        <v>317</v>
      </c>
      <c r="F6" s="46" t="n">
        <v>0.4437</v>
      </c>
      <c r="G6" s="46" t="n">
        <v>0.423</v>
      </c>
      <c r="H6" s="25" t="n">
        <f aca="false">假设!H119</f>
        <v>0.46</v>
      </c>
      <c r="I6" s="25" t="n">
        <f aca="false">假设!I119</f>
        <v>0.47</v>
      </c>
      <c r="J6" s="25" t="n">
        <f aca="false">假设!J119</f>
        <v>0.46</v>
      </c>
      <c r="K6" s="25" t="n">
        <f aca="false">假设!K119</f>
        <v>0.45</v>
      </c>
      <c r="L6" s="25" t="n">
        <f aca="false">假设!L119</f>
        <v>0.44</v>
      </c>
      <c r="M6" s="37" t="s">
        <v>669</v>
      </c>
    </row>
    <row r="7" customFormat="false" ht="15" hidden="false" customHeight="false" outlineLevel="0" collapsed="false">
      <c r="A7" s="11" t="s">
        <v>670</v>
      </c>
      <c r="B7" s="56" t="s">
        <v>317</v>
      </c>
      <c r="F7" s="46" t="n">
        <v>0.4393</v>
      </c>
      <c r="G7" s="46" t="n">
        <v>0.4436</v>
      </c>
      <c r="H7" s="25" t="n">
        <f aca="false">假设!H123</f>
        <v>0.46</v>
      </c>
      <c r="I7" s="25" t="n">
        <f aca="false">假设!I123</f>
        <v>0.46</v>
      </c>
      <c r="J7" s="25" t="n">
        <f aca="false">假设!J123</f>
        <v>0.45</v>
      </c>
      <c r="K7" s="25" t="n">
        <f aca="false">假设!K123</f>
        <v>0.44</v>
      </c>
      <c r="L7" s="25" t="n">
        <f aca="false">假设!L123</f>
        <v>0.44</v>
      </c>
      <c r="M7" s="37" t="s">
        <v>669</v>
      </c>
    </row>
    <row r="8" customFormat="false" ht="15" hidden="false" customHeight="false" outlineLevel="0" collapsed="false">
      <c r="A8" s="11" t="s">
        <v>671</v>
      </c>
      <c r="B8" s="56" t="s">
        <v>317</v>
      </c>
      <c r="H8" s="25" t="n">
        <f aca="false">假设!H127</f>
        <v>0.38</v>
      </c>
      <c r="I8" s="25" t="n">
        <f aca="false">假设!I127</f>
        <v>0.38</v>
      </c>
      <c r="J8" s="25" t="n">
        <f aca="false">假设!J127</f>
        <v>0.38</v>
      </c>
      <c r="K8" s="25" t="n">
        <f aca="false">假设!K127</f>
        <v>0.37</v>
      </c>
      <c r="L8" s="25" t="n">
        <f aca="false">假设!L127</f>
        <v>0.37</v>
      </c>
    </row>
    <row r="9" customFormat="false" ht="15" hidden="false" customHeight="false" outlineLevel="0" collapsed="false">
      <c r="A9" s="4" t="s">
        <v>672</v>
      </c>
      <c r="B9" s="56" t="s">
        <v>317</v>
      </c>
      <c r="H9" s="25" t="n">
        <f aca="false">假设!H131</f>
        <v>0.4</v>
      </c>
      <c r="I9" s="25" t="n">
        <f aca="false">假设!I131</f>
        <v>0.4</v>
      </c>
      <c r="J9" s="25" t="n">
        <f aca="false">假设!J131</f>
        <v>0.39</v>
      </c>
      <c r="K9" s="25" t="n">
        <f aca="false">假设!K131</f>
        <v>0.38</v>
      </c>
      <c r="L9" s="25" t="n">
        <f aca="false">假设!L131</f>
        <v>0.38</v>
      </c>
    </row>
    <row r="10" customFormat="false" ht="15" hidden="false" customHeight="false" outlineLevel="0" collapsed="false">
      <c r="A10" s="11" t="s">
        <v>673</v>
      </c>
      <c r="B10" s="56" t="s">
        <v>317</v>
      </c>
      <c r="G10" s="46" t="n">
        <v>0.5846</v>
      </c>
      <c r="H10" s="25" t="n">
        <f aca="false">假设!H135</f>
        <v>0.58</v>
      </c>
      <c r="I10" s="25" t="n">
        <f aca="false">假设!I135</f>
        <v>0.58</v>
      </c>
      <c r="J10" s="25" t="n">
        <f aca="false">假设!J135</f>
        <v>0.57</v>
      </c>
      <c r="K10" s="25" t="n">
        <f aca="false">假设!K135</f>
        <v>0.57</v>
      </c>
      <c r="L10" s="25" t="n">
        <f aca="false">假设!L135</f>
        <v>0.56</v>
      </c>
      <c r="M10" s="37" t="s">
        <v>669</v>
      </c>
    </row>
    <row r="11" customFormat="false" ht="15" hidden="false" customHeight="false" outlineLevel="0" collapsed="false">
      <c r="A11" s="11" t="s">
        <v>674</v>
      </c>
      <c r="B11" s="56" t="s">
        <v>317</v>
      </c>
      <c r="G11" s="46" t="n">
        <v>0.0911</v>
      </c>
      <c r="H11" s="25" t="n">
        <f aca="false">假设!H137</f>
        <v>0.28</v>
      </c>
      <c r="I11" s="25" t="n">
        <f aca="false">假设!I137</f>
        <v>0.2</v>
      </c>
      <c r="J11" s="25" t="n">
        <f aca="false">假设!J137</f>
        <v>0.15</v>
      </c>
      <c r="K11" s="25" t="n">
        <f aca="false">假设!K137</f>
        <v>0.12</v>
      </c>
      <c r="L11" s="25" t="n">
        <f aca="false">假设!L137</f>
        <v>0.1</v>
      </c>
    </row>
    <row r="12" customFormat="false" ht="15" hidden="false" customHeight="false" outlineLevel="0" collapsed="false">
      <c r="A12" s="11" t="s">
        <v>675</v>
      </c>
      <c r="B12" s="56" t="s">
        <v>317</v>
      </c>
      <c r="G12" s="46" t="n">
        <v>0.7957</v>
      </c>
      <c r="H12" s="25" t="n">
        <f aca="false">假设!H139</f>
        <v>0.75</v>
      </c>
      <c r="I12" s="25" t="n">
        <f aca="false">假设!I139</f>
        <v>0.75</v>
      </c>
      <c r="J12" s="25" t="n">
        <f aca="false">假设!J139</f>
        <v>0.75</v>
      </c>
      <c r="K12" s="25" t="n">
        <f aca="false">假设!K139</f>
        <v>0.75</v>
      </c>
      <c r="L12" s="25" t="n">
        <f aca="false">假设!L139</f>
        <v>0.75</v>
      </c>
    </row>
    <row r="13" customFormat="false" ht="15" hidden="false" customHeight="false" outlineLevel="0" collapsed="false">
      <c r="A13" s="11" t="s">
        <v>676</v>
      </c>
      <c r="B13" s="56" t="s">
        <v>317</v>
      </c>
      <c r="F13" s="46" t="n">
        <v>0.4057</v>
      </c>
      <c r="G13" s="46" t="n">
        <v>0.3809</v>
      </c>
      <c r="H13" s="25" t="n">
        <f aca="false">IFERROR(1-H22/收入拆解!H41,0)</f>
        <v>0.385167377452192</v>
      </c>
      <c r="I13" s="25" t="n">
        <f aca="false">IFERROR(1-I22/收入拆解!I41,0)</f>
        <v>0.386101168543475</v>
      </c>
      <c r="J13" s="25" t="n">
        <f aca="false">IFERROR(1-J22/收入拆解!J41,0)</f>
        <v>0.382644117612707</v>
      </c>
      <c r="K13" s="25" t="n">
        <f aca="false">IFERROR(1-K22/收入拆解!K41,0)</f>
        <v>0.372535034528438</v>
      </c>
      <c r="L13" s="25" t="n">
        <f aca="false">IFERROR(1-L22/收入拆解!L41,0)</f>
        <v>0.372258996017446</v>
      </c>
    </row>
    <row r="14" customFormat="false" ht="15" hidden="false" customHeight="false" outlineLevel="0" collapsed="false">
      <c r="A14" s="40" t="s">
        <v>677</v>
      </c>
      <c r="B14" s="6"/>
      <c r="C14" s="6"/>
      <c r="D14" s="6"/>
      <c r="E14" s="6"/>
      <c r="F14" s="6"/>
      <c r="G14" s="6"/>
      <c r="H14" s="6"/>
      <c r="I14" s="6"/>
      <c r="J14" s="6"/>
      <c r="K14" s="6"/>
      <c r="L14" s="6"/>
      <c r="M14" s="6"/>
    </row>
    <row r="15" customFormat="false" ht="15" hidden="false" customHeight="false" outlineLevel="0" collapsed="false">
      <c r="A15" s="11" t="s">
        <v>678</v>
      </c>
      <c r="B15" s="55" t="s">
        <v>353</v>
      </c>
      <c r="G15" s="30" t="n">
        <v>1908.641599</v>
      </c>
      <c r="H15" s="24" t="n">
        <f aca="false">收入拆解!H17*(1-H6)</f>
        <v>3231.18311930467</v>
      </c>
      <c r="I15" s="24" t="n">
        <f aca="false">收入拆解!I17*(1-I6)</f>
        <v>4281.31763307869</v>
      </c>
      <c r="J15" s="24" t="n">
        <f aca="false">收入拆解!J17*(1-J6)</f>
        <v>5237.13391160021</v>
      </c>
      <c r="K15" s="24" t="n">
        <f aca="false">收入拆解!K17*(1-K6)</f>
        <v>5974.21201767727</v>
      </c>
      <c r="L15" s="24" t="n">
        <f aca="false">收入拆解!L17*(1-L6)</f>
        <v>6557.29511060257</v>
      </c>
    </row>
    <row r="16" customFormat="false" ht="15" hidden="false" customHeight="false" outlineLevel="0" collapsed="false">
      <c r="A16" s="11" t="s">
        <v>679</v>
      </c>
      <c r="B16" s="55" t="s">
        <v>353</v>
      </c>
      <c r="G16" s="30" t="n">
        <v>1443.603418</v>
      </c>
      <c r="H16" s="24" t="n">
        <f aca="false">收入拆解!H26*(1-H7)</f>
        <v>2135.9939178595</v>
      </c>
      <c r="I16" s="24" t="n">
        <f aca="false">收入拆解!I26*(1-I7)</f>
        <v>2665.72040948865</v>
      </c>
      <c r="J16" s="24" t="n">
        <f aca="false">收入拆解!J26*(1-J7)</f>
        <v>3127.77861380002</v>
      </c>
      <c r="K16" s="24" t="n">
        <f aca="false">收入拆解!K26*(1-K7)</f>
        <v>3503.43051218761</v>
      </c>
      <c r="L16" s="24" t="n">
        <f aca="false">收入拆解!L26*(1-L7)</f>
        <v>3772.1436324724</v>
      </c>
    </row>
    <row r="17" customFormat="false" ht="15" hidden="false" customHeight="false" outlineLevel="0" collapsed="false">
      <c r="A17" s="11" t="s">
        <v>680</v>
      </c>
      <c r="B17" s="55" t="s">
        <v>353</v>
      </c>
      <c r="H17" s="24" t="n">
        <f aca="false">收入拆解!H40*(1-H8)</f>
        <v>1161.234592834</v>
      </c>
      <c r="I17" s="24" t="n">
        <f aca="false">收入拆解!I40*(1-I8)</f>
        <v>1300.58274397408</v>
      </c>
      <c r="J17" s="24" t="n">
        <f aca="false">收入拆解!J40*(1-J8)</f>
        <v>1430.64101837149</v>
      </c>
      <c r="K17" s="24" t="n">
        <f aca="false">收入拆解!K40*(1-K8)</f>
        <v>1570.01314338703</v>
      </c>
      <c r="L17" s="24" t="n">
        <f aca="false">收入拆解!L40*(1-L8)</f>
        <v>1664.21393199026</v>
      </c>
    </row>
    <row r="18" customFormat="false" ht="15" hidden="false" customHeight="false" outlineLevel="0" collapsed="false">
      <c r="A18" s="4" t="s">
        <v>681</v>
      </c>
      <c r="B18" s="55" t="s">
        <v>353</v>
      </c>
      <c r="H18" s="24" t="n">
        <f aca="false">收入拆解!H38*(1-H9)</f>
        <v>391.5</v>
      </c>
      <c r="I18" s="24" t="n">
        <f aca="false">收入拆解!I38*(1-I9)</f>
        <v>552.5</v>
      </c>
      <c r="J18" s="24" t="n">
        <f aca="false">收入拆解!J38*(1-J9)</f>
        <v>505.9584</v>
      </c>
      <c r="K18" s="24" t="n">
        <f aca="false">收入拆解!K38*(1-K9)</f>
        <v>524.699323076923</v>
      </c>
      <c r="L18" s="24" t="n">
        <f aca="false">收入拆解!L38*(1-L9)</f>
        <v>477.9456</v>
      </c>
    </row>
    <row r="19" customFormat="false" ht="15" hidden="false" customHeight="false" outlineLevel="0" collapsed="false">
      <c r="A19" s="11" t="s">
        <v>682</v>
      </c>
      <c r="B19" s="55" t="s">
        <v>353</v>
      </c>
      <c r="G19" s="30" t="n">
        <v>249.9511</v>
      </c>
      <c r="H19" s="24" t="n">
        <f aca="false">收入拆解!H43*(1-H10)</f>
        <v>290.64689703</v>
      </c>
      <c r="I19" s="24" t="n">
        <f aca="false">收入拆解!I43*(1-I10)</f>
        <v>325.5245246736</v>
      </c>
      <c r="J19" s="24" t="n">
        <f aca="false">收入拆解!J43*(1-J10)</f>
        <v>366.60261945384</v>
      </c>
      <c r="K19" s="24" t="n">
        <f aca="false">收入拆解!K43*(1-K10)</f>
        <v>395.930829010147</v>
      </c>
      <c r="L19" s="24" t="n">
        <f aca="false">收入拆解!L43*(1-L10)</f>
        <v>429.446834070541</v>
      </c>
    </row>
    <row r="20" customFormat="false" ht="15" hidden="false" customHeight="false" outlineLevel="0" collapsed="false">
      <c r="A20" s="11" t="s">
        <v>683</v>
      </c>
      <c r="B20" s="55" t="s">
        <v>353</v>
      </c>
      <c r="G20" s="30" t="n">
        <v>368.116</v>
      </c>
      <c r="H20" s="24" t="n">
        <f aca="false">收入拆解!H44*(1-H11)</f>
        <v>379.076605128</v>
      </c>
      <c r="I20" s="24" t="n">
        <f aca="false">收入拆解!I44*(1-I11)</f>
        <v>442.256039316</v>
      </c>
      <c r="J20" s="24" t="n">
        <f aca="false">收入拆解!J44*(1-J11)</f>
        <v>493.391893861913</v>
      </c>
      <c r="K20" s="24" t="n">
        <f aca="false">收入拆解!K44*(1-K11)</f>
        <v>536.346011680479</v>
      </c>
      <c r="L20" s="24" t="n">
        <f aca="false">收入拆解!L44*(1-L11)</f>
        <v>575.962478452333</v>
      </c>
    </row>
    <row r="21" customFormat="false" ht="15" hidden="false" customHeight="false" outlineLevel="0" collapsed="false">
      <c r="A21" s="11" t="s">
        <v>684</v>
      </c>
      <c r="B21" s="55" t="s">
        <v>353</v>
      </c>
      <c r="G21" s="30" t="n">
        <v>28.3312</v>
      </c>
      <c r="H21" s="24" t="n">
        <f aca="false">收入拆解!H45*(1-H12)</f>
        <v>45</v>
      </c>
      <c r="I21" s="24" t="n">
        <f aca="false">收入拆解!I45*(1-I12)</f>
        <v>47.5</v>
      </c>
      <c r="J21" s="24" t="n">
        <f aca="false">收入拆解!J45*(1-J12)</f>
        <v>50</v>
      </c>
      <c r="K21" s="24" t="n">
        <f aca="false">收入拆解!K45*(1-K12)</f>
        <v>52.5</v>
      </c>
      <c r="L21" s="24" t="n">
        <f aca="false">收入拆解!L45*(1-L12)</f>
        <v>55</v>
      </c>
    </row>
    <row r="22" customFormat="false" ht="15" hidden="false" customHeight="false" outlineLevel="0" collapsed="false">
      <c r="A22" s="11" t="s">
        <v>685</v>
      </c>
      <c r="B22" s="55" t="s">
        <v>353</v>
      </c>
      <c r="G22" s="30" t="n">
        <v>1213.118348</v>
      </c>
      <c r="H22" s="34" t="n">
        <f aca="false">H17+H18</f>
        <v>1552.734592834</v>
      </c>
      <c r="I22" s="34" t="n">
        <f aca="false">I17+I18</f>
        <v>1853.08274397408</v>
      </c>
      <c r="J22" s="34" t="n">
        <f aca="false">J17+J18</f>
        <v>1936.59941837149</v>
      </c>
      <c r="K22" s="34" t="n">
        <f aca="false">K17+K18</f>
        <v>2094.71246646396</v>
      </c>
      <c r="L22" s="34" t="n">
        <f aca="false">L17+L18</f>
        <v>2142.15953199026</v>
      </c>
    </row>
    <row r="23" customFormat="false" ht="15" hidden="false" customHeight="false" outlineLevel="0" collapsed="false">
      <c r="A23" s="11" t="s">
        <v>686</v>
      </c>
      <c r="B23" s="55" t="s">
        <v>353</v>
      </c>
      <c r="G23" s="33" t="n">
        <f aca="false">G15+G16+G22+G19+G20+G21</f>
        <v>5211.761665</v>
      </c>
      <c r="H23" s="34" t="n">
        <f aca="false">H15+H16+H22+H19+H20+H21</f>
        <v>7634.63513215617</v>
      </c>
      <c r="I23" s="34" t="n">
        <f aca="false">I15+I16+I22+I19+I20+I21</f>
        <v>9615.40135053102</v>
      </c>
      <c r="J23" s="34" t="n">
        <f aca="false">J15+J16+J22+J19+J20+J21</f>
        <v>11211.5064570875</v>
      </c>
      <c r="K23" s="34" t="n">
        <f aca="false">K15+K16+K22+K19+K20+K21</f>
        <v>12557.1318370195</v>
      </c>
      <c r="L23" s="34" t="n">
        <f aca="false">L15+L16+L22+L19+L20+L21</f>
        <v>13532.0075875881</v>
      </c>
    </row>
    <row r="24" customFormat="false" ht="15" hidden="false" customHeight="false" outlineLevel="0" collapsed="false">
      <c r="A24" s="11" t="s">
        <v>687</v>
      </c>
      <c r="B24" s="55" t="s">
        <v>353</v>
      </c>
      <c r="H24" s="24" t="n">
        <f aca="false">H33-假设!H141</f>
        <v>-1.93764435607591E-007</v>
      </c>
      <c r="I24" s="24" t="n">
        <f aca="false">I33-假设!I141</f>
        <v>3.33000571117736E-007</v>
      </c>
      <c r="J24" s="24" t="n">
        <f aca="false">J33-假设!J141</f>
        <v>-2.48966898652725E-007</v>
      </c>
      <c r="K24" s="24" t="n">
        <f aca="false">K33-假设!K141</f>
        <v>4.14793248637579E-007</v>
      </c>
      <c r="L24" s="24" t="n">
        <f aca="false">L33-假设!L141</f>
        <v>-1.61013758770423E-007</v>
      </c>
      <c r="M24" s="2" t="s">
        <v>688</v>
      </c>
    </row>
    <row r="25" customFormat="false" ht="15" hidden="false" customHeight="false" outlineLevel="0" collapsed="false">
      <c r="A25" s="11" t="s">
        <v>689</v>
      </c>
      <c r="B25" s="55" t="s">
        <v>353</v>
      </c>
      <c r="H25" s="24" t="n">
        <f aca="false">H35-假设!H142</f>
        <v>1.43532361107646E-007</v>
      </c>
      <c r="I25" s="24" t="n">
        <f aca="false">I35-假设!I142</f>
        <v>-4.59155444332282E-007</v>
      </c>
      <c r="J25" s="24" t="n">
        <f aca="false">J35-假设!J142</f>
        <v>3.38330210070126E-007</v>
      </c>
      <c r="K25" s="24" t="n">
        <f aca="false">K35-假设!K142</f>
        <v>4.56303155260684E-007</v>
      </c>
      <c r="L25" s="24" t="n">
        <f aca="false">L35-假设!L142</f>
        <v>-4.34130697613E-007</v>
      </c>
      <c r="M25" s="2" t="s">
        <v>690</v>
      </c>
    </row>
    <row r="26" customFormat="false" ht="15" hidden="false" customHeight="false" outlineLevel="0" collapsed="false">
      <c r="A26" s="9" t="s">
        <v>691</v>
      </c>
      <c r="B26" s="55" t="s">
        <v>353</v>
      </c>
      <c r="C26" s="23" t="n">
        <f aca="false">历史利润表!E8</f>
        <v>3186.5095</v>
      </c>
      <c r="D26" s="23" t="n">
        <f aca="false">历史利润表!F8</f>
        <v>2878.3209</v>
      </c>
      <c r="E26" s="23" t="n">
        <f aca="false">历史利润表!G8</f>
        <v>3445.5299</v>
      </c>
      <c r="F26" s="23" t="n">
        <f aca="false">历史利润表!H8</f>
        <v>4204.8637</v>
      </c>
      <c r="G26" s="23" t="n">
        <f aca="false">历史利润表!I8</f>
        <v>5211.7617</v>
      </c>
      <c r="H26" s="76" t="n">
        <f aca="false">H23+H24+H25</f>
        <v>7634.63513210594</v>
      </c>
      <c r="I26" s="76" t="n">
        <f aca="false">I23+I24+I25</f>
        <v>9615.40135040487</v>
      </c>
      <c r="J26" s="76" t="n">
        <f aca="false">J23+J24+J25</f>
        <v>11211.5064571768</v>
      </c>
      <c r="K26" s="76" t="n">
        <f aca="false">K23+K24+K25</f>
        <v>12557.1318378906</v>
      </c>
      <c r="L26" s="76" t="n">
        <f aca="false">L23+L24+L25</f>
        <v>13532.007586993</v>
      </c>
    </row>
    <row r="27" customFormat="false" ht="15" hidden="false" customHeight="false" outlineLevel="0" collapsed="false">
      <c r="A27" s="9" t="s">
        <v>692</v>
      </c>
      <c r="B27" s="55" t="s">
        <v>353</v>
      </c>
      <c r="C27" s="23" t="n">
        <f aca="false">历史利润表!E6-历史利润表!E8</f>
        <v>3031.5325</v>
      </c>
      <c r="D27" s="23" t="n">
        <f aca="false">历史利润表!F6-历史利润表!F8</f>
        <v>2271.066</v>
      </c>
      <c r="E27" s="23" t="n">
        <f aca="false">历史利润表!G6-历史利润表!G8</f>
        <v>2281.1586</v>
      </c>
      <c r="F27" s="23" t="n">
        <f aca="false">收入拆解!F47-F26</f>
        <v>3170.127122</v>
      </c>
      <c r="G27" s="23" t="n">
        <f aca="false">收入拆解!G47-G26</f>
        <v>3795.392194</v>
      </c>
      <c r="H27" s="79" t="n">
        <f aca="false">收入拆解!H47-H26</f>
        <v>6228.55233048326</v>
      </c>
      <c r="I27" s="79" t="n">
        <f aca="false">收入拆解!I47-I26</f>
        <v>7935.50160242998</v>
      </c>
      <c r="J27" s="79" t="n">
        <f aca="false">收入拆解!J47-J26</f>
        <v>8943.71067871792</v>
      </c>
      <c r="K27" s="79" t="n">
        <f aca="false">收入拆解!K47-K26</f>
        <v>9639.82480455953</v>
      </c>
      <c r="L27" s="79" t="n">
        <f aca="false">收入拆解!L47-L26</f>
        <v>10161.8819971542</v>
      </c>
    </row>
    <row r="28" customFormat="false" ht="15" hidden="false" customHeight="false" outlineLevel="0" collapsed="false">
      <c r="A28" s="9" t="s">
        <v>693</v>
      </c>
      <c r="B28" s="56" t="s">
        <v>317</v>
      </c>
      <c r="C28" s="19" t="n">
        <f aca="false">IFERROR(C27/历史利润表!E6,0)</f>
        <v>0.487538118912674</v>
      </c>
      <c r="D28" s="19" t="n">
        <f aca="false">IFERROR(D27/历史利润表!F6,0)</f>
        <v>0.441036194037003</v>
      </c>
      <c r="E28" s="19" t="n">
        <f aca="false">IFERROR(E27/历史利润表!G6,0)</f>
        <v>0.39833816698778</v>
      </c>
      <c r="F28" s="19" t="n">
        <f aca="false">IFERROR(F27/历史利润表!H6,0)</f>
        <v>0.42984828157345</v>
      </c>
      <c r="G28" s="19" t="n">
        <f aca="false">IFERROR(G27/历史利润表!I6,0)</f>
        <v>0.421375301914182</v>
      </c>
      <c r="H28" s="83" t="n">
        <f aca="false">IFERROR(H27/收入拆解!H47,0)</f>
        <v>0.449287174922178</v>
      </c>
      <c r="I28" s="83" t="n">
        <f aca="false">IFERROR(I27/收入拆解!I47,0)</f>
        <v>0.452142070624818</v>
      </c>
      <c r="J28" s="83" t="n">
        <f aca="false">IFERROR(J27/收入拆解!J47,0)</f>
        <v>0.443741718008581</v>
      </c>
      <c r="K28" s="83" t="n">
        <f aca="false">IFERROR(K27/收入拆解!K47,0)</f>
        <v>0.434285878007441</v>
      </c>
      <c r="L28" s="83" t="n">
        <f aca="false">IFERROR(L27/收入拆解!L47,0)</f>
        <v>0.428881968115238</v>
      </c>
    </row>
    <row r="29" customFormat="false" ht="15" hidden="false" customHeight="false" outlineLevel="0" collapsed="false">
      <c r="A29" s="4" t="s">
        <v>694</v>
      </c>
      <c r="B29" s="55" t="s">
        <v>353</v>
      </c>
      <c r="H29" s="24" t="n">
        <f aca="false">收入拆解!H38-H18</f>
        <v>261</v>
      </c>
      <c r="I29" s="24" t="n">
        <f aca="false">收入拆解!I38-I18</f>
        <v>368.333333333333</v>
      </c>
      <c r="J29" s="24" t="n">
        <f aca="false">收入拆解!J38-J18</f>
        <v>323.4816</v>
      </c>
      <c r="K29" s="24" t="n">
        <f aca="false">收入拆解!K38-K18</f>
        <v>321.589907692308</v>
      </c>
      <c r="L29" s="24" t="n">
        <f aca="false">收入拆解!L38-L18</f>
        <v>292.9344</v>
      </c>
    </row>
    <row r="30" customFormat="false" ht="15" hidden="false" customHeight="false" outlineLevel="0" collapsed="false">
      <c r="A30" s="4" t="s">
        <v>695</v>
      </c>
      <c r="B30" s="56" t="s">
        <v>317</v>
      </c>
      <c r="H30" s="32" t="n">
        <f aca="false">IFERROR(H29/H27,0)</f>
        <v>0.0419037982104823</v>
      </c>
      <c r="I30" s="32" t="n">
        <f aca="false">IFERROR(I29/I27,0)</f>
        <v>0.0464158854457976</v>
      </c>
      <c r="J30" s="32" t="n">
        <f aca="false">IFERROR(J29/J27,0)</f>
        <v>0.0361686118458352</v>
      </c>
      <c r="K30" s="32" t="n">
        <f aca="false">IFERROR(K29/K27,0)</f>
        <v>0.0333605552188251</v>
      </c>
      <c r="L30" s="32" t="n">
        <f aca="false">IFERROR(L29/L27,0)</f>
        <v>0.0288267862273973</v>
      </c>
    </row>
    <row r="31" customFormat="false" ht="15" hidden="false" customHeight="false" outlineLevel="0" collapsed="false">
      <c r="A31" s="40" t="s">
        <v>696</v>
      </c>
      <c r="B31" s="6"/>
      <c r="C31" s="6"/>
      <c r="D31" s="6"/>
      <c r="E31" s="6"/>
      <c r="F31" s="6"/>
      <c r="G31" s="6"/>
      <c r="H31" s="6"/>
      <c r="I31" s="6"/>
      <c r="J31" s="6"/>
      <c r="K31" s="6"/>
      <c r="L31" s="6"/>
      <c r="M31" s="6"/>
    </row>
    <row r="32" customFormat="false" ht="15" hidden="false" customHeight="false" outlineLevel="0" collapsed="false">
      <c r="A32" s="11" t="s">
        <v>697</v>
      </c>
      <c r="B32" s="55" t="s">
        <v>353</v>
      </c>
      <c r="D32" s="30" t="n">
        <v>1542.673464</v>
      </c>
      <c r="E32" s="30" t="n">
        <v>1972.611577</v>
      </c>
      <c r="F32" s="30" t="n">
        <v>2489.681203</v>
      </c>
      <c r="G32" s="30" t="n">
        <v>3315.228584</v>
      </c>
      <c r="H32" s="34" t="n">
        <f aca="false">H26-H33-H34</f>
        <v>5307.87592804037</v>
      </c>
      <c r="I32" s="34" t="n">
        <f aca="false">I26-I33-I34</f>
        <v>6880.15631227613</v>
      </c>
      <c r="J32" s="34" t="n">
        <f aca="false">J26-J33-J34</f>
        <v>8092.05458805936</v>
      </c>
      <c r="K32" s="34" t="n">
        <f aca="false">K26-K33-K34</f>
        <v>9088.11688124881</v>
      </c>
      <c r="L32" s="34" t="n">
        <f aca="false">L26-L33-L34</f>
        <v>9755.11920797466</v>
      </c>
      <c r="M32" s="2" t="s">
        <v>698</v>
      </c>
    </row>
    <row r="33" customFormat="false" ht="15" hidden="false" customHeight="false" outlineLevel="0" collapsed="false">
      <c r="A33" s="11" t="s">
        <v>699</v>
      </c>
      <c r="B33" s="55" t="s">
        <v>353</v>
      </c>
      <c r="D33" s="30" t="n">
        <v>657.556857</v>
      </c>
      <c r="E33" s="30" t="n">
        <v>673.310806</v>
      </c>
      <c r="F33" s="30" t="n">
        <v>879.762239</v>
      </c>
      <c r="G33" s="30" t="n">
        <v>955.388954</v>
      </c>
      <c r="H33" s="24" t="n">
        <f aca="false">人员与费用!H25</f>
        <v>1128.72213980624</v>
      </c>
      <c r="I33" s="24" t="n">
        <f aca="false">人员与费用!I25</f>
        <v>1315.435878333</v>
      </c>
      <c r="J33" s="24" t="n">
        <f aca="false">人员与费用!J25</f>
        <v>1481.16285175103</v>
      </c>
      <c r="K33" s="24" t="n">
        <f aca="false">人员与费用!K25</f>
        <v>1626.67807941479</v>
      </c>
      <c r="L33" s="24" t="n">
        <f aca="false">人员与费用!L25</f>
        <v>1765.01430783899</v>
      </c>
    </row>
    <row r="34" customFormat="false" ht="15" hidden="false" customHeight="false" outlineLevel="0" collapsed="false">
      <c r="A34" s="11" t="s">
        <v>700</v>
      </c>
      <c r="B34" s="55" t="s">
        <v>353</v>
      </c>
      <c r="D34" s="30" t="n">
        <v>678.090573</v>
      </c>
      <c r="E34" s="30" t="n">
        <v>799.60748</v>
      </c>
      <c r="F34" s="30" t="n">
        <v>835.420275</v>
      </c>
      <c r="G34" s="30" t="n">
        <v>941.144112</v>
      </c>
      <c r="H34" s="34" t="n">
        <f aca="false">H35+H36</f>
        <v>1198.03706425933</v>
      </c>
      <c r="I34" s="34" t="n">
        <f aca="false">I35+I36</f>
        <v>1419.80915979573</v>
      </c>
      <c r="J34" s="34" t="n">
        <f aca="false">J35+J36</f>
        <v>1638.28901736644</v>
      </c>
      <c r="K34" s="34" t="n">
        <f aca="false">K35+K36</f>
        <v>1842.33687722696</v>
      </c>
      <c r="L34" s="34" t="n">
        <f aca="false">L35+L36</f>
        <v>2011.87407117931</v>
      </c>
    </row>
    <row r="35" customFormat="false" ht="15" hidden="false" customHeight="false" outlineLevel="0" collapsed="false">
      <c r="A35" s="11" t="s">
        <v>701</v>
      </c>
      <c r="B35" s="55" t="s">
        <v>353</v>
      </c>
      <c r="E35" s="10" t="n">
        <f aca="false">资本开支与折旧!E91*假设!$C$38</f>
        <v>513.142085852</v>
      </c>
      <c r="F35" s="10" t="n">
        <f aca="false">资本开支与折旧!F91*假设!$C$38</f>
        <v>548.3779284</v>
      </c>
      <c r="G35" s="10" t="n">
        <f aca="false">资本开支与折旧!G91*假设!$C$38</f>
        <v>623.44465757</v>
      </c>
      <c r="H35" s="24" t="n">
        <f aca="false">资本开支与折旧!H93</f>
        <v>685.099128143532</v>
      </c>
      <c r="I35" s="24" t="n">
        <f aca="false">资本开支与折旧!I93</f>
        <v>770.425750540845</v>
      </c>
      <c r="J35" s="24" t="n">
        <f aca="false">资本开支与折旧!J93</f>
        <v>892.54598333833</v>
      </c>
      <c r="K35" s="24" t="n">
        <f aca="false">资本开支与折旧!K93</f>
        <v>1021.0494814563</v>
      </c>
      <c r="L35" s="24" t="n">
        <f aca="false">资本开支与折旧!L93</f>
        <v>1135.20015656587</v>
      </c>
      <c r="M35" s="2" t="s">
        <v>702</v>
      </c>
    </row>
    <row r="36" customFormat="false" ht="15" hidden="false" customHeight="false" outlineLevel="0" collapsed="false">
      <c r="A36" s="11" t="s">
        <v>703</v>
      </c>
      <c r="B36" s="55" t="s">
        <v>353</v>
      </c>
      <c r="E36" s="33" t="n">
        <f aca="false">E34-E35</f>
        <v>286.465394148</v>
      </c>
      <c r="F36" s="33" t="n">
        <f aca="false">F34-F35</f>
        <v>287.0423466</v>
      </c>
      <c r="G36" s="33" t="n">
        <f aca="false">G34-G35</f>
        <v>317.69945443</v>
      </c>
      <c r="H36" s="24" t="n">
        <f aca="false">收入拆解!H47*假设!H140</f>
        <v>512.9379361158</v>
      </c>
      <c r="I36" s="24" t="n">
        <f aca="false">收入拆解!I47*假设!I140</f>
        <v>649.383409254889</v>
      </c>
      <c r="J36" s="24" t="n">
        <f aca="false">收入拆解!J47*假设!J140</f>
        <v>745.743034028106</v>
      </c>
      <c r="K36" s="24" t="n">
        <f aca="false">收入拆解!K47*假设!K140</f>
        <v>821.287395770653</v>
      </c>
      <c r="L36" s="24" t="n">
        <f aca="false">收入拆解!L47*假设!L140</f>
        <v>876.673914613444</v>
      </c>
    </row>
    <row r="37" customFormat="false" ht="15" hidden="false" customHeight="false" outlineLevel="0" collapsed="false">
      <c r="A37" s="11" t="s">
        <v>704</v>
      </c>
      <c r="B37" s="55" t="s">
        <v>353</v>
      </c>
      <c r="E37" s="33" t="n">
        <f aca="false">ROUND(E32+E33+E34-E26,1)</f>
        <v>-0</v>
      </c>
      <c r="F37" s="33" t="n">
        <f aca="false">ROUND(F32+F33+F34-F26,1)</f>
        <v>0</v>
      </c>
      <c r="G37" s="33" t="n">
        <f aca="false">ROUND(G32+G33+G34-G26,1)</f>
        <v>-0</v>
      </c>
      <c r="H37" s="34" t="n">
        <f aca="false">ROUND(H32+H33+H34-H26,4)</f>
        <v>0</v>
      </c>
      <c r="I37" s="34" t="n">
        <f aca="false">ROUND(I32+I33+I34-I26,4)</f>
        <v>0</v>
      </c>
      <c r="J37" s="34" t="n">
        <f aca="false">ROUND(J32+J33+J34-J26,4)</f>
        <v>0</v>
      </c>
      <c r="K37" s="34" t="n">
        <f aca="false">ROUND(K32+K33+K34-K26,4)</f>
        <v>0</v>
      </c>
      <c r="L37" s="34" t="n">
        <f aca="false">ROUND(L32+L33+L34-L26,4)</f>
        <v>0</v>
      </c>
    </row>
    <row r="38" customFormat="false" ht="15" hidden="false" customHeight="false" outlineLevel="0" collapsed="false">
      <c r="A38" s="11" t="s">
        <v>705</v>
      </c>
      <c r="B38" s="56" t="s">
        <v>317</v>
      </c>
      <c r="E38" s="31" t="n">
        <f aca="false">IFERROR(E32/E26,0)</f>
        <v>0.572513266246797</v>
      </c>
      <c r="F38" s="31" t="n">
        <f aca="false">IFERROR(F32/F26,0)</f>
        <v>0.592095578032648</v>
      </c>
      <c r="G38" s="31" t="n">
        <f aca="false">IFERROR(G32/G26,0)</f>
        <v>0.63610517418707</v>
      </c>
      <c r="H38" s="32" t="n">
        <f aca="false">IFERROR(H32/H26,0)</f>
        <v>0.695236358541766</v>
      </c>
      <c r="I38" s="32" t="n">
        <f aca="false">IFERROR(I32/I26,0)</f>
        <v>0.715535011129456</v>
      </c>
      <c r="J38" s="32" t="n">
        <f aca="false">IFERROR(J32/J26,0)</f>
        <v>0.721763361504322</v>
      </c>
      <c r="K38" s="32" t="n">
        <f aca="false">IFERROR(K32/K26,0)</f>
        <v>0.723741456136173</v>
      </c>
      <c r="L38" s="32" t="n">
        <f aca="false">IFERROR(L32/L26,0)</f>
        <v>0.720892236075254</v>
      </c>
    </row>
    <row r="39" customFormat="false" ht="15" hidden="false" customHeight="false" outlineLevel="0" collapsed="false">
      <c r="A39" s="11" t="s">
        <v>706</v>
      </c>
      <c r="B39" s="56" t="s">
        <v>317</v>
      </c>
      <c r="E39" s="31" t="n">
        <f aca="false">IFERROR(E33/E26,0)</f>
        <v>0.19541574896796</v>
      </c>
      <c r="F39" s="31" t="n">
        <f aca="false">IFERROR(F33/F26,0)</f>
        <v>0.209224912331879</v>
      </c>
      <c r="G39" s="31" t="n">
        <f aca="false">IFERROR(G33/G26,0)</f>
        <v>0.183314013378624</v>
      </c>
      <c r="H39" s="32" t="n">
        <f aca="false">IFERROR(H33/H26,0)</f>
        <v>0.147842316007954</v>
      </c>
      <c r="I39" s="32" t="n">
        <f aca="false">IFERROR(I33/I26,0)</f>
        <v>0.136805093245287</v>
      </c>
      <c r="J39" s="32" t="n">
        <f aca="false">IFERROR(J33/J26,0)</f>
        <v>0.132110957381904</v>
      </c>
      <c r="K39" s="32" t="n">
        <f aca="false">IFERROR(K33/K26,0)</f>
        <v>0.129542167782803</v>
      </c>
      <c r="L39" s="32" t="n">
        <f aca="false">IFERROR(L33/L26,0)</f>
        <v>0.13043255381674</v>
      </c>
    </row>
    <row r="40" customFormat="false" ht="15" hidden="false" customHeight="false" outlineLevel="0" collapsed="false">
      <c r="A40" s="11" t="s">
        <v>707</v>
      </c>
      <c r="B40" s="56" t="s">
        <v>317</v>
      </c>
      <c r="E40" s="31" t="n">
        <f aca="false">IFERROR(E34/E26,0)</f>
        <v>0.232070974046692</v>
      </c>
      <c r="F40" s="31" t="n">
        <f aca="false">IFERROR(F34/F26,0)</f>
        <v>0.19867951367841</v>
      </c>
      <c r="G40" s="31" t="n">
        <f aca="false">IFERROR(G34/G26,0)</f>
        <v>0.180580802840621</v>
      </c>
      <c r="H40" s="32" t="n">
        <f aca="false">IFERROR(H34/H26,0)</f>
        <v>0.156921325450279</v>
      </c>
      <c r="I40" s="32" t="n">
        <f aca="false">IFERROR(I34/I26,0)</f>
        <v>0.147659895625257</v>
      </c>
      <c r="J40" s="32" t="n">
        <f aca="false">IFERROR(J34/J26,0)</f>
        <v>0.146125681113774</v>
      </c>
      <c r="K40" s="32" t="n">
        <f aca="false">IFERROR(K34/K26,0)</f>
        <v>0.146716376081024</v>
      </c>
      <c r="L40" s="32" t="n">
        <f aca="false">IFERROR(L34/L26,0)</f>
        <v>0.148675210108006</v>
      </c>
    </row>
    <row r="41" customFormat="false" ht="15" hidden="false" customHeight="false" outlineLevel="0" collapsed="false">
      <c r="A41" s="11" t="s">
        <v>708</v>
      </c>
      <c r="B41" s="56" t="s">
        <v>317</v>
      </c>
      <c r="E41" s="12" t="n">
        <f aca="false">IFERROR(E36/历史利润表!G6,0)</f>
        <v>0.0500228699619335</v>
      </c>
      <c r="F41" s="12" t="n">
        <f aca="false">IFERROR(F36/历史利润表!H6,0)</f>
        <v>0.0389210447015066</v>
      </c>
      <c r="G41" s="12" t="n">
        <f aca="false">IFERROR(G36/历史利润表!I6,0)</f>
        <v>0.0352719025296104</v>
      </c>
      <c r="H41" s="25" t="n">
        <f aca="false">IFERROR(H36/收入拆解!H47,0)</f>
        <v>0.037</v>
      </c>
      <c r="I41" s="25" t="n">
        <f aca="false">IFERROR(I36/收入拆解!I47,0)</f>
        <v>0.037</v>
      </c>
      <c r="J41" s="25" t="n">
        <f aca="false">IFERROR(J36/收入拆解!J47,0)</f>
        <v>0.037</v>
      </c>
      <c r="K41" s="25" t="n">
        <f aca="false">IFERROR(K36/收入拆解!K47,0)</f>
        <v>0.037</v>
      </c>
      <c r="L41" s="25" t="n">
        <f aca="false">IFERROR(L36/收入拆解!L47,0)</f>
        <v>0.037</v>
      </c>
      <c r="M41" s="2" t="s">
        <v>709</v>
      </c>
    </row>
    <row r="42" customFormat="false" ht="15" hidden="false" customHeight="false" outlineLevel="0" collapsed="false">
      <c r="A42" s="11" t="s">
        <v>710</v>
      </c>
      <c r="B42" s="56" t="s">
        <v>317</v>
      </c>
      <c r="E42" s="12" t="n">
        <f aca="false">IFERROR(E32/历史利润表!G6,0)</f>
        <v>0.344459381193861</v>
      </c>
      <c r="F42" s="12" t="n">
        <f aca="false">IFERROR(F32/历史利润表!H6,0)</f>
        <v>0.33758431305433</v>
      </c>
      <c r="G42" s="12" t="n">
        <f aca="false">IFERROR(G32/历史利润表!I6,0)</f>
        <v>0.368066163941087</v>
      </c>
      <c r="H42" s="25" t="n">
        <f aca="false">IFERROR(H32/收入拆解!H47,0)</f>
        <v>0.382875579109354</v>
      </c>
      <c r="I42" s="25" t="n">
        <f aca="false">IFERROR(I32/收入拆解!I47,0)</f>
        <v>0.392011529592832</v>
      </c>
      <c r="J42" s="25" t="n">
        <f aca="false">IFERROR(J32/收入拆解!J47,0)</f>
        <v>0.401486847474746</v>
      </c>
      <c r="K42" s="25" t="n">
        <f aca="false">IFERROR(K32/收入拆解!K47,0)</f>
        <v>0.409430762407691</v>
      </c>
      <c r="L42" s="25" t="n">
        <f aca="false">IFERROR(L32/收入拆解!L47,0)</f>
        <v>0.411714555068304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21.6" hidden="false" customHeight="false" outlineLevel="0" collapsed="false">
      <c r="A1" s="1" t="s">
        <v>711</v>
      </c>
    </row>
    <row r="2" customFormat="false" ht="15" hidden="false" customHeight="false" outlineLevel="0" collapsed="false">
      <c r="A2" s="2" t="s">
        <v>712</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713</v>
      </c>
      <c r="B5" s="6"/>
      <c r="C5" s="6"/>
      <c r="D5" s="6"/>
      <c r="E5" s="6"/>
      <c r="F5" s="6"/>
      <c r="G5" s="6"/>
      <c r="H5" s="6"/>
      <c r="I5" s="6"/>
      <c r="J5" s="6"/>
      <c r="K5" s="6"/>
      <c r="L5" s="6"/>
      <c r="M5" s="6"/>
    </row>
    <row r="6" customFormat="false" ht="15" hidden="false" customHeight="false" outlineLevel="0" collapsed="false">
      <c r="A6" s="11" t="s">
        <v>714</v>
      </c>
      <c r="B6" s="55" t="s">
        <v>715</v>
      </c>
      <c r="E6" s="45" t="n">
        <v>9657</v>
      </c>
      <c r="F6" s="45" t="n">
        <v>10438</v>
      </c>
      <c r="G6" s="45" t="n">
        <v>13906</v>
      </c>
      <c r="H6" s="27" t="n">
        <f aca="false">G6*(1+假设!H145)</f>
        <v>15991.9</v>
      </c>
      <c r="I6" s="27" t="n">
        <f aca="false">H6*(1+假设!I145)</f>
        <v>17591.09</v>
      </c>
      <c r="J6" s="27" t="n">
        <f aca="false">I6*(1+假设!J145)</f>
        <v>18822.4663</v>
      </c>
      <c r="K6" s="27" t="n">
        <f aca="false">J6*(1+假设!K145)</f>
        <v>19763.589615</v>
      </c>
      <c r="L6" s="27" t="n">
        <f aca="false">K6*(1+假设!L145)</f>
        <v>20554.1331996</v>
      </c>
    </row>
    <row r="7" customFormat="false" ht="15" hidden="false" customHeight="false" outlineLevel="0" collapsed="false">
      <c r="A7" s="11" t="s">
        <v>716</v>
      </c>
      <c r="B7" s="55" t="s">
        <v>715</v>
      </c>
      <c r="E7" s="45" t="n">
        <v>211</v>
      </c>
      <c r="F7" s="45" t="n">
        <v>188</v>
      </c>
      <c r="G7" s="45" t="n">
        <v>208</v>
      </c>
      <c r="H7" s="27" t="n">
        <f aca="false">G7*(1+假设!H147)</f>
        <v>218.4</v>
      </c>
      <c r="I7" s="27" t="n">
        <f aca="false">H7*(1+假设!I147)</f>
        <v>229.32</v>
      </c>
      <c r="J7" s="27" t="n">
        <f aca="false">I7*(1+假设!J147)</f>
        <v>238.4928</v>
      </c>
      <c r="K7" s="27" t="n">
        <f aca="false">J7*(1+假设!K147)</f>
        <v>245.647584</v>
      </c>
      <c r="L7" s="27" t="n">
        <f aca="false">K7*(1+假设!L147)</f>
        <v>253.01701152</v>
      </c>
    </row>
    <row r="8" customFormat="false" ht="15" hidden="false" customHeight="false" outlineLevel="0" collapsed="false">
      <c r="A8" s="11" t="s">
        <v>717</v>
      </c>
      <c r="B8" s="55" t="s">
        <v>715</v>
      </c>
      <c r="E8" s="45" t="n">
        <v>2675</v>
      </c>
      <c r="F8" s="45" t="n">
        <v>3918</v>
      </c>
      <c r="G8" s="45" t="n">
        <v>1975</v>
      </c>
      <c r="H8" s="27" t="n">
        <f aca="false">G8*(1+假设!H149)</f>
        <v>2093.5</v>
      </c>
      <c r="I8" s="27" t="n">
        <f aca="false">H8*(1+假设!I149)</f>
        <v>2219.11</v>
      </c>
      <c r="J8" s="27" t="n">
        <f aca="false">I8*(1+假设!J149)</f>
        <v>2330.0655</v>
      </c>
      <c r="K8" s="27" t="n">
        <f aca="false">J8*(1+假设!K149)</f>
        <v>2423.26812</v>
      </c>
      <c r="L8" s="27" t="n">
        <f aca="false">K8*(1+假设!L149)</f>
        <v>2520.1988448</v>
      </c>
    </row>
    <row r="9" customFormat="false" ht="15" hidden="false" customHeight="false" outlineLevel="0" collapsed="false">
      <c r="A9" s="11" t="s">
        <v>718</v>
      </c>
      <c r="B9" s="55" t="s">
        <v>715</v>
      </c>
      <c r="E9" s="45" t="n">
        <v>50</v>
      </c>
      <c r="F9" s="45" t="n">
        <v>44</v>
      </c>
      <c r="G9" s="45" t="n">
        <v>52</v>
      </c>
      <c r="H9" s="27" t="n">
        <f aca="false">G9*(1+假设!H151)</f>
        <v>53.56</v>
      </c>
      <c r="I9" s="27" t="n">
        <f aca="false">H9*(1+假设!I151)</f>
        <v>55.1668</v>
      </c>
      <c r="J9" s="27" t="n">
        <f aca="false">I9*(1+假设!J151)</f>
        <v>56.821804</v>
      </c>
      <c r="K9" s="27" t="n">
        <f aca="false">J9*(1+假设!K151)</f>
        <v>58.52645812</v>
      </c>
      <c r="L9" s="27" t="n">
        <f aca="false">K9*(1+假设!L151)</f>
        <v>60.2822518636</v>
      </c>
    </row>
    <row r="10" customFormat="false" ht="15" hidden="false" customHeight="false" outlineLevel="0" collapsed="false">
      <c r="A10" s="11" t="s">
        <v>719</v>
      </c>
      <c r="B10" s="55" t="s">
        <v>715</v>
      </c>
      <c r="E10" s="45" t="n">
        <v>908</v>
      </c>
      <c r="F10" s="45" t="n">
        <v>927</v>
      </c>
      <c r="G10" s="45" t="n">
        <v>1211</v>
      </c>
      <c r="H10" s="27" t="n">
        <f aca="false">G10*(1+假设!H153)</f>
        <v>1271.55</v>
      </c>
      <c r="I10" s="27" t="n">
        <f aca="false">H10*(1+假设!I153)</f>
        <v>1322.412</v>
      </c>
      <c r="J10" s="27" t="n">
        <f aca="false">I10*(1+假设!J153)</f>
        <v>1362.08436</v>
      </c>
      <c r="K10" s="27" t="n">
        <f aca="false">J10*(1+假设!K153)</f>
        <v>1402.9468908</v>
      </c>
      <c r="L10" s="27" t="n">
        <f aca="false">K10*(1+假设!L153)</f>
        <v>1445.035297524</v>
      </c>
    </row>
    <row r="11" customFormat="false" ht="15" hidden="false" customHeight="false" outlineLevel="0" collapsed="false">
      <c r="A11" s="9" t="s">
        <v>720</v>
      </c>
      <c r="B11" s="55" t="s">
        <v>715</v>
      </c>
      <c r="E11" s="84" t="n">
        <f aca="false">SUM(E6:E10)</f>
        <v>13501</v>
      </c>
      <c r="F11" s="84" t="n">
        <f aca="false">SUM(F6:F10)</f>
        <v>15515</v>
      </c>
      <c r="G11" s="84" t="n">
        <f aca="false">SUM(G6:G10)</f>
        <v>17352</v>
      </c>
      <c r="H11" s="85" t="n">
        <f aca="false">SUM(H6:H10)</f>
        <v>19628.91</v>
      </c>
      <c r="I11" s="85" t="n">
        <f aca="false">SUM(I6:I10)</f>
        <v>21417.0988</v>
      </c>
      <c r="J11" s="85" t="n">
        <f aca="false">SUM(J6:J10)</f>
        <v>22809.930764</v>
      </c>
      <c r="K11" s="85" t="n">
        <f aca="false">SUM(K6:K10)</f>
        <v>23893.97866792</v>
      </c>
      <c r="L11" s="85" t="n">
        <f aca="false">SUM(L6:L10)</f>
        <v>24832.6666053076</v>
      </c>
    </row>
    <row r="12" customFormat="false" ht="15" hidden="false" customHeight="false" outlineLevel="0" collapsed="false">
      <c r="A12" s="11" t="s">
        <v>721</v>
      </c>
      <c r="B12" s="56" t="s">
        <v>317</v>
      </c>
      <c r="F12" s="31" t="n">
        <f aca="false">IFERROR(F11/E11-1,0)</f>
        <v>0.149174135249241</v>
      </c>
      <c r="G12" s="31" t="n">
        <f aca="false">IFERROR(G11/F11-1,0)</f>
        <v>0.118401546890106</v>
      </c>
      <c r="H12" s="32" t="n">
        <f aca="false">IFERROR(H11/G11-1,0)</f>
        <v>0.13121887966805</v>
      </c>
      <c r="I12" s="32" t="n">
        <f aca="false">IFERROR(I11/H11-1,0)</f>
        <v>0.0910997503172617</v>
      </c>
      <c r="J12" s="32" t="n">
        <f aca="false">IFERROR(J11/I11-1,0)</f>
        <v>0.0650336433056002</v>
      </c>
      <c r="K12" s="32" t="n">
        <f aca="false">IFERROR(K11/J11-1,0)</f>
        <v>0.0475252606040748</v>
      </c>
      <c r="L12" s="32" t="n">
        <f aca="false">IFERROR(L11/K11-1,0)</f>
        <v>0.0392855434598625</v>
      </c>
    </row>
    <row r="13" customFormat="false" ht="15" hidden="false" customHeight="false" outlineLevel="0" collapsed="false">
      <c r="A13" s="11" t="s">
        <v>722</v>
      </c>
      <c r="B13" s="55" t="s">
        <v>723</v>
      </c>
      <c r="F13" s="10" t="n">
        <f aca="false">IFERROR(历史利润表!H6*100/AVERAGE(E11,F11),0)</f>
        <v>50.8339591949269</v>
      </c>
      <c r="G13" s="10" t="n">
        <f aca="false">IFERROR(历史利润表!I6*100/AVERAGE(F11,G11),0)</f>
        <v>54.8097112605349</v>
      </c>
      <c r="H13" s="24" t="n">
        <f aca="false">IFERROR(收入拆解!H47*100/AVERAGE(G11,H11),0)</f>
        <v>74.9748314067404</v>
      </c>
      <c r="I13" s="24" t="n">
        <f aca="false">IFERROR(收入拆解!I47*100/AVERAGE(H11,I11),0)</f>
        <v>85.5181951470753</v>
      </c>
      <c r="J13" s="24" t="n">
        <f aca="false">IFERROR(收入拆解!J47*100/AVERAGE(I11,J11),0)</f>
        <v>91.1443401674922</v>
      </c>
      <c r="K13" s="24" t="n">
        <f aca="false">IFERROR(收入拆解!K47*100/AVERAGE(J11,K11),0)</f>
        <v>95.0539554929826</v>
      </c>
      <c r="L13" s="24" t="n">
        <f aca="false">IFERROR(收入拆解!L47*100/AVERAGE(K11,L11),0)</f>
        <v>97.2522916416144</v>
      </c>
    </row>
    <row r="14" customFormat="false" ht="15" hidden="false" customHeight="false" outlineLevel="0" collapsed="false">
      <c r="A14" s="11" t="s">
        <v>724</v>
      </c>
      <c r="B14" s="55" t="s">
        <v>715</v>
      </c>
      <c r="F14" s="86" t="n">
        <f aca="false">AVERAGE(E6,F6)</f>
        <v>10047.5</v>
      </c>
      <c r="G14" s="86" t="n">
        <f aca="false">AVERAGE(F6,G6)</f>
        <v>12172</v>
      </c>
      <c r="H14" s="87" t="n">
        <f aca="false">AVERAGE(G6,H6)</f>
        <v>14948.95</v>
      </c>
      <c r="I14" s="87" t="n">
        <f aca="false">AVERAGE(H6,I6)</f>
        <v>16791.495</v>
      </c>
      <c r="J14" s="87" t="n">
        <f aca="false">AVERAGE(I6,J6)</f>
        <v>18206.77815</v>
      </c>
      <c r="K14" s="87" t="n">
        <f aca="false">AVERAGE(J6,K6)</f>
        <v>19293.0279575</v>
      </c>
      <c r="L14" s="87" t="n">
        <f aca="false">AVERAGE(K6,L6)</f>
        <v>20158.8614073</v>
      </c>
    </row>
    <row r="15" customFormat="false" ht="15" hidden="false" customHeight="false" outlineLevel="0" collapsed="false">
      <c r="A15" s="11" t="s">
        <v>725</v>
      </c>
      <c r="B15" s="55" t="s">
        <v>715</v>
      </c>
      <c r="F15" s="86" t="n">
        <f aca="false">AVERAGE(E7,F7)</f>
        <v>199.5</v>
      </c>
      <c r="G15" s="86" t="n">
        <f aca="false">AVERAGE(F7,G7)</f>
        <v>198</v>
      </c>
      <c r="H15" s="87" t="n">
        <f aca="false">AVERAGE(G7,H7)</f>
        <v>213.2</v>
      </c>
      <c r="I15" s="87" t="n">
        <f aca="false">AVERAGE(H7,I7)</f>
        <v>223.86</v>
      </c>
      <c r="J15" s="87" t="n">
        <f aca="false">AVERAGE(I7,J7)</f>
        <v>233.9064</v>
      </c>
      <c r="K15" s="87" t="n">
        <f aca="false">AVERAGE(J7,K7)</f>
        <v>242.070192</v>
      </c>
      <c r="L15" s="87" t="n">
        <f aca="false">AVERAGE(K7,L7)</f>
        <v>249.33229776</v>
      </c>
    </row>
    <row r="16" customFormat="false" ht="15" hidden="false" customHeight="false" outlineLevel="0" collapsed="false">
      <c r="A16" s="11" t="s">
        <v>726</v>
      </c>
      <c r="B16" s="55" t="s">
        <v>715</v>
      </c>
      <c r="F16" s="86" t="n">
        <f aca="false">AVERAGE(E8,F8)</f>
        <v>3296.5</v>
      </c>
      <c r="G16" s="86" t="n">
        <f aca="false">AVERAGE(F8,G8)</f>
        <v>2946.5</v>
      </c>
      <c r="H16" s="87" t="n">
        <f aca="false">AVERAGE(G8,H8)</f>
        <v>2034.25</v>
      </c>
      <c r="I16" s="87" t="n">
        <f aca="false">AVERAGE(H8,I8)</f>
        <v>2156.305</v>
      </c>
      <c r="J16" s="87" t="n">
        <f aca="false">AVERAGE(I8,J8)</f>
        <v>2274.58775</v>
      </c>
      <c r="K16" s="87" t="n">
        <f aca="false">AVERAGE(J8,K8)</f>
        <v>2376.66681</v>
      </c>
      <c r="L16" s="87" t="n">
        <f aca="false">AVERAGE(K8,L8)</f>
        <v>2471.7334824</v>
      </c>
    </row>
    <row r="17" customFormat="false" ht="15" hidden="false" customHeight="false" outlineLevel="0" collapsed="false">
      <c r="A17" s="11" t="s">
        <v>727</v>
      </c>
      <c r="B17" s="55" t="s">
        <v>715</v>
      </c>
      <c r="F17" s="86" t="n">
        <f aca="false">AVERAGE(E9,F9)</f>
        <v>47</v>
      </c>
      <c r="G17" s="86" t="n">
        <f aca="false">AVERAGE(F9,G9)</f>
        <v>48</v>
      </c>
      <c r="H17" s="87" t="n">
        <f aca="false">AVERAGE(G9,H9)</f>
        <v>52.78</v>
      </c>
      <c r="I17" s="87" t="n">
        <f aca="false">AVERAGE(H9,I9)</f>
        <v>54.3634</v>
      </c>
      <c r="J17" s="87" t="n">
        <f aca="false">AVERAGE(I9,J9)</f>
        <v>55.994302</v>
      </c>
      <c r="K17" s="87" t="n">
        <f aca="false">AVERAGE(J9,K9)</f>
        <v>57.67413106</v>
      </c>
      <c r="L17" s="87" t="n">
        <f aca="false">AVERAGE(K9,L9)</f>
        <v>59.4043549918</v>
      </c>
    </row>
    <row r="18" customFormat="false" ht="15" hidden="false" customHeight="false" outlineLevel="0" collapsed="false">
      <c r="A18" s="11" t="s">
        <v>728</v>
      </c>
      <c r="B18" s="55" t="s">
        <v>715</v>
      </c>
      <c r="F18" s="86" t="n">
        <f aca="false">AVERAGE(E10,F10)</f>
        <v>917.5</v>
      </c>
      <c r="G18" s="86" t="n">
        <f aca="false">AVERAGE(F10,G10)</f>
        <v>1069</v>
      </c>
      <c r="H18" s="87" t="n">
        <f aca="false">AVERAGE(G10,H10)</f>
        <v>1241.275</v>
      </c>
      <c r="I18" s="87" t="n">
        <f aca="false">AVERAGE(H10,I10)</f>
        <v>1296.981</v>
      </c>
      <c r="J18" s="87" t="n">
        <f aca="false">AVERAGE(I10,J10)</f>
        <v>1342.24818</v>
      </c>
      <c r="K18" s="87" t="n">
        <f aca="false">AVERAGE(J10,K10)</f>
        <v>1382.5156254</v>
      </c>
      <c r="L18" s="87" t="n">
        <f aca="false">AVERAGE(K10,L10)</f>
        <v>1423.991094162</v>
      </c>
    </row>
    <row r="19" customFormat="false" ht="15" hidden="false" customHeight="false" outlineLevel="0" collapsed="false">
      <c r="A19" s="11" t="s">
        <v>729</v>
      </c>
      <c r="B19" s="55" t="s">
        <v>715</v>
      </c>
      <c r="F19" s="86" t="n">
        <f aca="false">SUM(F14:F18)</f>
        <v>14508</v>
      </c>
      <c r="G19" s="86" t="n">
        <f aca="false">SUM(G14:G18)</f>
        <v>16433.5</v>
      </c>
      <c r="H19" s="87" t="n">
        <f aca="false">SUM(H14:H18)</f>
        <v>18490.455</v>
      </c>
      <c r="I19" s="87" t="n">
        <f aca="false">SUM(I14:I18)</f>
        <v>20523.0044</v>
      </c>
      <c r="J19" s="87" t="n">
        <f aca="false">SUM(J14:J18)</f>
        <v>22113.514782</v>
      </c>
      <c r="K19" s="87" t="n">
        <f aca="false">SUM(K14:K18)</f>
        <v>23351.95471596</v>
      </c>
      <c r="L19" s="87" t="n">
        <f aca="false">SUM(L14:L18)</f>
        <v>24363.3226366138</v>
      </c>
    </row>
    <row r="20" customFormat="false" ht="15" hidden="false" customHeight="false" outlineLevel="0" collapsed="false">
      <c r="A20" s="40" t="s">
        <v>730</v>
      </c>
      <c r="B20" s="6"/>
      <c r="C20" s="6"/>
      <c r="D20" s="6"/>
      <c r="E20" s="6"/>
      <c r="F20" s="6"/>
      <c r="G20" s="6"/>
      <c r="H20" s="6"/>
      <c r="I20" s="6"/>
      <c r="J20" s="6"/>
      <c r="K20" s="6"/>
      <c r="L20" s="6"/>
      <c r="M20" s="6"/>
    </row>
    <row r="21" customFormat="false" ht="15" hidden="false" customHeight="false" outlineLevel="0" collapsed="false">
      <c r="A21" s="9" t="s">
        <v>731</v>
      </c>
      <c r="B21" s="55" t="s">
        <v>353</v>
      </c>
      <c r="E21" s="69" t="n">
        <v>1427.964997</v>
      </c>
      <c r="F21" s="69" t="n">
        <v>1875.670773</v>
      </c>
      <c r="G21" s="69" t="n">
        <v>2102.380311</v>
      </c>
      <c r="H21" s="76" t="n">
        <f aca="false">H22*H19/100</f>
        <v>2483.8084985002</v>
      </c>
      <c r="I21" s="76" t="n">
        <f aca="false">I22*I19/100</f>
        <v>2894.68124936087</v>
      </c>
      <c r="J21" s="76" t="n">
        <f aca="false">J22*J19/100</f>
        <v>3259.37159297111</v>
      </c>
      <c r="K21" s="76" t="n">
        <f aca="false">K22*K19/100</f>
        <v>3579.58499748047</v>
      </c>
      <c r="L21" s="76" t="n">
        <f aca="false">L22*L19/100</f>
        <v>3884.00066161324</v>
      </c>
      <c r="M21" s="2" t="s">
        <v>732</v>
      </c>
    </row>
    <row r="22" customFormat="false" ht="15" hidden="false" customHeight="false" outlineLevel="0" collapsed="false">
      <c r="A22" s="11" t="s">
        <v>733</v>
      </c>
      <c r="B22" s="55" t="s">
        <v>723</v>
      </c>
      <c r="F22" s="88" t="n">
        <f aca="false">IFERROR(F21*100/F19,0)</f>
        <v>12.9285275227461</v>
      </c>
      <c r="G22" s="88" t="n">
        <f aca="false">IFERROR(G21*100/G19,0)</f>
        <v>12.7932595673472</v>
      </c>
      <c r="H22" s="77" t="n">
        <f aca="false">G22*(1+假设!H155)</f>
        <v>13.4329225457145</v>
      </c>
      <c r="I22" s="77" t="n">
        <f aca="false">H22*(1+假设!I155)</f>
        <v>14.1045686730003</v>
      </c>
      <c r="J22" s="77" t="n">
        <f aca="false">I22*(1+假设!J155)</f>
        <v>14.7392742632853</v>
      </c>
      <c r="K22" s="77" t="n">
        <f aca="false">J22*(1+假设!K155)</f>
        <v>15.3288452338167</v>
      </c>
      <c r="L22" s="77" t="n">
        <f aca="false">K22*(1+假设!L155)</f>
        <v>15.9419990431694</v>
      </c>
    </row>
    <row r="23" customFormat="false" ht="15" hidden="false" customHeight="false" outlineLevel="0" collapsed="false">
      <c r="A23" s="11" t="s">
        <v>734</v>
      </c>
      <c r="B23" s="56" t="s">
        <v>317</v>
      </c>
      <c r="G23" s="31" t="n">
        <f aca="false">IFERROR(G22/F22-1,0)</f>
        <v>-0.0104627503140553</v>
      </c>
      <c r="H23" s="25" t="n">
        <f aca="false">假设!H155</f>
        <v>0.05</v>
      </c>
      <c r="I23" s="25" t="n">
        <f aca="false">假设!I155</f>
        <v>0.05</v>
      </c>
      <c r="J23" s="25" t="n">
        <f aca="false">假设!J155</f>
        <v>0.045</v>
      </c>
      <c r="K23" s="25" t="n">
        <f aca="false">假设!K155</f>
        <v>0.04</v>
      </c>
      <c r="L23" s="25" t="n">
        <f aca="false">假设!L155</f>
        <v>0.04</v>
      </c>
    </row>
    <row r="24" customFormat="false" ht="15" hidden="false" customHeight="false" outlineLevel="0" collapsed="false">
      <c r="A24" s="40" t="s">
        <v>735</v>
      </c>
      <c r="B24" s="6"/>
      <c r="C24" s="6"/>
      <c r="D24" s="6"/>
      <c r="E24" s="6"/>
      <c r="F24" s="6"/>
      <c r="G24" s="6"/>
      <c r="H24" s="6"/>
      <c r="I24" s="6"/>
      <c r="J24" s="6"/>
      <c r="K24" s="6"/>
      <c r="L24" s="6"/>
      <c r="M24" s="6"/>
    </row>
    <row r="25" customFormat="false" ht="15" hidden="false" customHeight="false" outlineLevel="0" collapsed="false">
      <c r="A25" s="11" t="s">
        <v>736</v>
      </c>
      <c r="B25" s="55" t="s">
        <v>353</v>
      </c>
      <c r="D25" s="30" t="n">
        <v>657.556857</v>
      </c>
      <c r="E25" s="30" t="n">
        <v>673.310806</v>
      </c>
      <c r="F25" s="30" t="n">
        <v>879.762239</v>
      </c>
      <c r="G25" s="30" t="n">
        <v>955.388954</v>
      </c>
      <c r="H25" s="24" t="n">
        <f aca="false">G25*IFERROR((H14+H15+H16+H17+H18)/(G14+G15+G16+G17+G18),1)*(1+假设!H155)</f>
        <v>1128.72213980624</v>
      </c>
      <c r="I25" s="24" t="n">
        <f aca="false">H25*IFERROR((I14+I15+I16+I17+I18)/(H14+H15+H16+H17+H18),1)*(1+假设!I155)</f>
        <v>1315.435878333</v>
      </c>
      <c r="J25" s="24" t="n">
        <f aca="false">I25*IFERROR((J14+J15+J16+J17+J18)/(I14+I15+I16+I17+I18),1)*(1+假设!J155)</f>
        <v>1481.16285175103</v>
      </c>
      <c r="K25" s="24" t="n">
        <f aca="false">J25*IFERROR((K14+K15+K16+K17+K18)/(J14+J15+J16+J17+J18),1)*(1+假设!K155)</f>
        <v>1626.67807941479</v>
      </c>
      <c r="L25" s="24" t="n">
        <f aca="false">K25*IFERROR((L14+L15+L16+L17+L18)/(K14+K15+K16+K17+K18),1)*(1+假设!L155)</f>
        <v>1765.01430783899</v>
      </c>
    </row>
    <row r="26" customFormat="false" ht="15" hidden="false" customHeight="false" outlineLevel="0" collapsed="false">
      <c r="A26" s="11" t="s">
        <v>737</v>
      </c>
      <c r="B26" s="55" t="s">
        <v>353</v>
      </c>
      <c r="D26" s="30" t="n">
        <v>291.783399</v>
      </c>
      <c r="E26" s="30" t="n">
        <v>365.285063</v>
      </c>
      <c r="F26" s="30" t="n">
        <v>451.138675</v>
      </c>
      <c r="G26" s="30" t="n">
        <v>474.304861</v>
      </c>
      <c r="H26" s="24" t="n">
        <f aca="false">G26*IFERROR((H14+H15+H16+H17+H18)/(G14+G15+G16+G17+G18),1)*(1+假设!H155)</f>
        <v>560.356486629862</v>
      </c>
      <c r="I26" s="24" t="n">
        <f aca="false">H26*IFERROR((I14+I15+I16+I17+I18)/(H14+H15+H16+H17+H18),1)*(1+假设!I155)</f>
        <v>653.050915875616</v>
      </c>
      <c r="J26" s="24" t="n">
        <f aca="false">I26*IFERROR((J14+J15+J16+J17+J18)/(I14+I15+I16+I17+I18),1)*(1+假设!J155)</f>
        <v>735.326421324877</v>
      </c>
      <c r="K26" s="24" t="n">
        <f aca="false">J26*IFERROR((K14+K15+K16+K17+K18)/(J14+J15+J16+J17+J18),1)*(1+假设!K155)</f>
        <v>807.567762970578</v>
      </c>
      <c r="L26" s="24" t="n">
        <f aca="false">K26*IFERROR((L14+L15+L16+L17+L18)/(K14+K15+K16+K17+K18),1)*(1+假设!L155)</f>
        <v>876.245075304253</v>
      </c>
    </row>
    <row r="27" customFormat="false" ht="15" hidden="false" customHeight="false" outlineLevel="0" collapsed="false">
      <c r="A27" s="11" t="s">
        <v>738</v>
      </c>
      <c r="B27" s="55" t="s">
        <v>353</v>
      </c>
      <c r="D27" s="30" t="n">
        <v>318.437829</v>
      </c>
      <c r="E27" s="30" t="n">
        <v>267.220888</v>
      </c>
      <c r="F27" s="30" t="n">
        <v>218.721905</v>
      </c>
      <c r="G27" s="30" t="n">
        <v>271.230445</v>
      </c>
      <c r="H27" s="24" t="n">
        <f aca="false">G27*IFERROR((H14+H15+H16+H17+H18)/(G14+G15+G16+G17+G18),1)*(1+假设!H155)</f>
        <v>320.438923832269</v>
      </c>
      <c r="I27" s="24" t="n">
        <f aca="false">H27*IFERROR((I14+I15+I16+I17+I18)/(H14+H15+H16+H17+H18),1)*(1+假设!I155)</f>
        <v>373.446078851384</v>
      </c>
      <c r="J27" s="24" t="n">
        <f aca="false">I27*IFERROR((J14+J15+J16+J17+J18)/(I14+I15+I16+I17+I18),1)*(1+假设!J155)</f>
        <v>420.495189645977</v>
      </c>
      <c r="K27" s="24" t="n">
        <f aca="false">J27*IFERROR((K14+K15+K16+K17+K18)/(J14+J15+J16+J17+J18),1)*(1+假设!K155)</f>
        <v>461.806280577345</v>
      </c>
      <c r="L27" s="24" t="n">
        <f aca="false">K27*IFERROR((L14+L15+L16+L17+L18)/(K14+K15+K16+K17+K18),1)*(1+假设!L155)</f>
        <v>501.079287281079</v>
      </c>
    </row>
    <row r="28" customFormat="false" ht="15" hidden="false" customHeight="false" outlineLevel="0" collapsed="false">
      <c r="A28" s="11" t="s">
        <v>739</v>
      </c>
      <c r="B28" s="55" t="s">
        <v>353</v>
      </c>
      <c r="D28" s="30" t="n">
        <v>46.110385</v>
      </c>
      <c r="E28" s="30" t="n">
        <v>54.158358</v>
      </c>
      <c r="F28" s="30" t="n">
        <v>59.992823</v>
      </c>
      <c r="G28" s="30" t="n">
        <v>67.791417</v>
      </c>
      <c r="H28" s="24" t="n">
        <f aca="false">G28*IFERROR((H14+H15+H16+H17+H18)/(G14+G15+G16+G17+G18),1)*(1+假设!H155)</f>
        <v>80.0905986366855</v>
      </c>
      <c r="I28" s="24" t="n">
        <f aca="false">H28*IFERROR((I14+I15+I16+I17+I18)/(H14+H15+H16+H17+H18),1)*(1+假设!I155)</f>
        <v>93.3392225140105</v>
      </c>
      <c r="J28" s="24" t="n">
        <f aca="false">I28*IFERROR((J14+J15+J16+J17+J18)/(I14+I15+I16+I17+I18),1)*(1+假设!J155)</f>
        <v>105.098691069819</v>
      </c>
      <c r="K28" s="24" t="n">
        <f aca="false">J28*IFERROR((K14+K15+K16+K17+K18)/(J14+J15+J16+J17+J18),1)*(1+假设!K155)</f>
        <v>115.423997257527</v>
      </c>
      <c r="L28" s="24" t="n">
        <f aca="false">K28*IFERROR((L14+L15+L16+L17+L18)/(K14+K15+K16+K17+K18),1)*(1+假设!L155)</f>
        <v>125.239904075423</v>
      </c>
    </row>
    <row r="29" customFormat="false" ht="15" hidden="false" customHeight="false" outlineLevel="0" collapsed="false">
      <c r="A29" s="11" t="s">
        <v>740</v>
      </c>
      <c r="B29" s="55" t="s">
        <v>353</v>
      </c>
      <c r="E29" s="33" t="n">
        <f aca="false">E21-E25-E26-E27-E28</f>
        <v>67.9898820000001</v>
      </c>
      <c r="F29" s="33" t="n">
        <f aca="false">F21-F25-F26-F27-F28</f>
        <v>266.055131</v>
      </c>
      <c r="G29" s="33" t="n">
        <f aca="false">G21-G25-G26-G27-G28</f>
        <v>333.664634</v>
      </c>
      <c r="H29" s="34" t="n">
        <f aca="false">H21-H25-H26-H27-H28</f>
        <v>394.20034959515</v>
      </c>
      <c r="I29" s="34" t="n">
        <f aca="false">I21-I25-I26-I27-I28</f>
        <v>459.409153786856</v>
      </c>
      <c r="J29" s="34" t="n">
        <f aca="false">J21-J25-J26-J27-J28</f>
        <v>517.288439179406</v>
      </c>
      <c r="K29" s="34" t="n">
        <f aca="false">K21-K25-K26-K27-K28</f>
        <v>568.108877260225</v>
      </c>
      <c r="L29" s="34" t="n">
        <f aca="false">L21-L25-L26-L27-L28</f>
        <v>616.422087113496</v>
      </c>
      <c r="M29" s="2" t="s">
        <v>741</v>
      </c>
    </row>
    <row r="30" customFormat="false" ht="15" hidden="false" customHeight="false" outlineLevel="0" collapsed="false">
      <c r="A30" s="40" t="s">
        <v>742</v>
      </c>
      <c r="B30" s="6"/>
      <c r="C30" s="6"/>
      <c r="D30" s="6"/>
      <c r="E30" s="6"/>
      <c r="F30" s="6"/>
      <c r="G30" s="6"/>
      <c r="H30" s="6"/>
      <c r="I30" s="6"/>
      <c r="J30" s="6"/>
      <c r="K30" s="6"/>
      <c r="L30" s="6"/>
      <c r="M30" s="6"/>
    </row>
    <row r="31" customFormat="false" ht="15" hidden="false" customHeight="false" outlineLevel="0" collapsed="false">
      <c r="A31" s="11" t="s">
        <v>743</v>
      </c>
      <c r="B31" s="55" t="s">
        <v>353</v>
      </c>
      <c r="D31" s="33" t="n">
        <f aca="false">D28</f>
        <v>46.110385</v>
      </c>
      <c r="E31" s="33" t="n">
        <f aca="false">E28</f>
        <v>54.158358</v>
      </c>
      <c r="F31" s="33" t="n">
        <f aca="false">F28</f>
        <v>59.992823</v>
      </c>
      <c r="G31" s="33" t="n">
        <f aca="false">G28</f>
        <v>67.791417</v>
      </c>
      <c r="H31" s="34" t="n">
        <f aca="false">H28</f>
        <v>80.0905986366855</v>
      </c>
      <c r="I31" s="34" t="n">
        <f aca="false">I28</f>
        <v>93.3392225140105</v>
      </c>
      <c r="J31" s="34" t="n">
        <f aca="false">J28</f>
        <v>105.098691069819</v>
      </c>
      <c r="K31" s="34" t="n">
        <f aca="false">K28</f>
        <v>115.423997257527</v>
      </c>
      <c r="L31" s="34" t="n">
        <f aca="false">L28</f>
        <v>125.239904075423</v>
      </c>
    </row>
    <row r="32" customFormat="false" ht="15" hidden="false" customHeight="false" outlineLevel="0" collapsed="false">
      <c r="A32" s="11" t="s">
        <v>744</v>
      </c>
      <c r="B32" s="55" t="s">
        <v>353</v>
      </c>
      <c r="H32" s="24" t="n">
        <f aca="false">资本开支与折旧!H95</f>
        <v>0</v>
      </c>
      <c r="I32" s="24" t="n">
        <f aca="false">资本开支与折旧!I95</f>
        <v>0</v>
      </c>
      <c r="J32" s="24" t="n">
        <f aca="false">资本开支与折旧!J95</f>
        <v>0</v>
      </c>
      <c r="K32" s="24" t="n">
        <f aca="false">资本开支与折旧!K95</f>
        <v>0</v>
      </c>
      <c r="L32" s="24" t="n">
        <f aca="false">资本开支与折旧!L95</f>
        <v>0</v>
      </c>
    </row>
    <row r="33" customFormat="false" ht="15" hidden="false" customHeight="false" outlineLevel="0" collapsed="false">
      <c r="A33" s="11" t="s">
        <v>745</v>
      </c>
      <c r="B33" s="55" t="s">
        <v>353</v>
      </c>
      <c r="D33" s="10" t="n">
        <f aca="false">历史利润表!F10-D31-D32</f>
        <v>11.197615</v>
      </c>
      <c r="E33" s="10" t="n">
        <f aca="false">历史利润表!G10-E31-E32</f>
        <v>20.184742</v>
      </c>
      <c r="F33" s="10" t="n">
        <f aca="false">历史利润表!H10-F31-F32</f>
        <v>19.398977</v>
      </c>
      <c r="G33" s="10" t="n">
        <f aca="false">历史利润表!I10-G31-G32</f>
        <v>25.407883</v>
      </c>
      <c r="H33" s="24" t="n">
        <f aca="false">收入拆解!H47*假设!H157</f>
        <v>24.9537374326606</v>
      </c>
      <c r="I33" s="24" t="n">
        <f aca="false">收入拆解!I47*假设!I157</f>
        <v>31.5916253151027</v>
      </c>
      <c r="J33" s="24" t="n">
        <f aca="false">收入拆解!J47*假设!J157</f>
        <v>36.2793908446105</v>
      </c>
      <c r="K33" s="24" t="n">
        <f aca="false">收入拆解!K47*假设!K157</f>
        <v>39.9545219564102</v>
      </c>
      <c r="L33" s="24" t="n">
        <f aca="false">收入拆解!L47*假设!L157</f>
        <v>42.6490012514648</v>
      </c>
    </row>
    <row r="34" customFormat="false" ht="15" hidden="false" customHeight="false" outlineLevel="0" collapsed="false">
      <c r="A34" s="9" t="s">
        <v>746</v>
      </c>
      <c r="B34" s="55" t="s">
        <v>353</v>
      </c>
      <c r="C34" s="23" t="n">
        <f aca="false">历史利润表!E10</f>
        <v>51.3154</v>
      </c>
      <c r="D34" s="23" t="n">
        <f aca="false">历史利润表!F10</f>
        <v>57.308</v>
      </c>
      <c r="E34" s="23" t="n">
        <f aca="false">历史利润表!G10</f>
        <v>74.3431</v>
      </c>
      <c r="F34" s="23" t="n">
        <f aca="false">历史利润表!H10</f>
        <v>79.3918</v>
      </c>
      <c r="G34" s="23" t="n">
        <f aca="false">历史利润表!I10</f>
        <v>93.1993</v>
      </c>
      <c r="H34" s="76" t="n">
        <f aca="false">H31+H32+H33</f>
        <v>105.044336069346</v>
      </c>
      <c r="I34" s="76" t="n">
        <f aca="false">I31+I32+I33</f>
        <v>124.930847829113</v>
      </c>
      <c r="J34" s="76" t="n">
        <f aca="false">J31+J32+J33</f>
        <v>141.37808191443</v>
      </c>
      <c r="K34" s="76" t="n">
        <f aca="false">K31+K32+K33</f>
        <v>155.378519213937</v>
      </c>
      <c r="L34" s="76" t="n">
        <f aca="false">L31+L32+L33</f>
        <v>167.888905326888</v>
      </c>
    </row>
    <row r="35" customFormat="false" ht="15" hidden="false" customHeight="false" outlineLevel="0" collapsed="false">
      <c r="A35" s="11" t="s">
        <v>747</v>
      </c>
      <c r="B35" s="56" t="s">
        <v>317</v>
      </c>
      <c r="C35" s="12" t="n">
        <f aca="false">IFERROR(C34/历史利润表!E6,0)</f>
        <v>0.00825266217243306</v>
      </c>
      <c r="D35" s="12" t="n">
        <f aca="false">IFERROR(D34/历史利润表!F6,0)</f>
        <v>0.0111290918924736</v>
      </c>
      <c r="E35" s="12" t="n">
        <f aca="false">IFERROR(E34/历史利润表!G6,0)</f>
        <v>0.0129818655231553</v>
      </c>
      <c r="F35" s="12" t="n">
        <f aca="false">IFERROR(F34/历史利润表!H6,0)</f>
        <v>0.0107650032593939</v>
      </c>
      <c r="G35" s="12" t="n">
        <f aca="false">IFERROR(G34/历史利润表!I6,0)</f>
        <v>0.0103472529763259</v>
      </c>
      <c r="H35" s="25" t="n">
        <f aca="false">IFERROR(H34/收入拆解!H47,0)</f>
        <v>0.00757721385163518</v>
      </c>
      <c r="I35" s="25" t="n">
        <f aca="false">IFERROR(I34/收入拆解!I47,0)</f>
        <v>0.00711820059428533</v>
      </c>
      <c r="J35" s="25" t="n">
        <f aca="false">IFERROR(J34/收入拆解!J47,0)</f>
        <v>0.00701446583091616</v>
      </c>
      <c r="K35" s="25" t="n">
        <f aca="false">IFERROR(K34/收入拆解!K47,0)</f>
        <v>0.00699999201317476</v>
      </c>
      <c r="L35" s="25" t="n">
        <f aca="false">IFERROR(L34/收入拆解!L47,0)</f>
        <v>0.00708574692773185</v>
      </c>
    </row>
    <row r="36" customFormat="false" ht="15" hidden="false" customHeight="false" outlineLevel="0" collapsed="false">
      <c r="A36" s="40" t="s">
        <v>748</v>
      </c>
      <c r="B36" s="6"/>
      <c r="C36" s="6"/>
      <c r="D36" s="6"/>
      <c r="E36" s="6"/>
      <c r="F36" s="6"/>
      <c r="G36" s="6"/>
      <c r="H36" s="6"/>
      <c r="I36" s="6"/>
      <c r="J36" s="6"/>
      <c r="K36" s="6"/>
      <c r="L36" s="6"/>
      <c r="M36" s="6"/>
    </row>
    <row r="37" customFormat="false" ht="15" hidden="false" customHeight="false" outlineLevel="0" collapsed="false">
      <c r="A37" s="11" t="s">
        <v>743</v>
      </c>
      <c r="B37" s="55" t="s">
        <v>353</v>
      </c>
      <c r="D37" s="33" t="n">
        <f aca="false">D27</f>
        <v>318.437829</v>
      </c>
      <c r="E37" s="33" t="n">
        <f aca="false">E27</f>
        <v>267.220888</v>
      </c>
      <c r="F37" s="33" t="n">
        <f aca="false">F27</f>
        <v>218.721905</v>
      </c>
      <c r="G37" s="33" t="n">
        <f aca="false">G27</f>
        <v>271.230445</v>
      </c>
      <c r="H37" s="34" t="n">
        <f aca="false">H27</f>
        <v>320.438923832269</v>
      </c>
      <c r="I37" s="34" t="n">
        <f aca="false">I27</f>
        <v>373.446078851384</v>
      </c>
      <c r="J37" s="34" t="n">
        <f aca="false">J27</f>
        <v>420.495189645977</v>
      </c>
      <c r="K37" s="34" t="n">
        <f aca="false">K27</f>
        <v>461.806280577345</v>
      </c>
      <c r="L37" s="34" t="n">
        <f aca="false">L27</f>
        <v>501.079287281079</v>
      </c>
    </row>
    <row r="38" customFormat="false" ht="15" hidden="false" customHeight="false" outlineLevel="0" collapsed="false">
      <c r="A38" s="11" t="s">
        <v>744</v>
      </c>
      <c r="B38" s="55" t="s">
        <v>353</v>
      </c>
      <c r="D38" s="30" t="n">
        <v>43.384565</v>
      </c>
      <c r="E38" s="30" t="n">
        <v>52.321879</v>
      </c>
      <c r="F38" s="30" t="n">
        <v>69.846522</v>
      </c>
      <c r="G38" s="30" t="n">
        <v>79.79976</v>
      </c>
      <c r="H38" s="24" t="n">
        <f aca="false">资本开支与折旧!H96</f>
        <v>87.8749475528521</v>
      </c>
      <c r="I38" s="24" t="n">
        <f aca="false">资本开支与折旧!I96</f>
        <v>98.8194549387307</v>
      </c>
      <c r="J38" s="24" t="n">
        <f aca="false">资本开支与折旧!J96</f>
        <v>114.483332779738</v>
      </c>
      <c r="K38" s="24" t="n">
        <f aca="false">资本开支与折旧!K96</f>
        <v>130.965966742614</v>
      </c>
      <c r="L38" s="24" t="n">
        <f aca="false">资本开支与折旧!L96</f>
        <v>145.607621032202</v>
      </c>
    </row>
    <row r="39" customFormat="false" ht="15" hidden="false" customHeight="false" outlineLevel="0" collapsed="false">
      <c r="A39" s="11" t="s">
        <v>745</v>
      </c>
      <c r="B39" s="55" t="s">
        <v>353</v>
      </c>
      <c r="D39" s="10" t="n">
        <f aca="false">历史利润表!F11-D37-D38</f>
        <v>117.526706</v>
      </c>
      <c r="E39" s="10" t="n">
        <f aca="false">历史利润表!G11-E37-E38</f>
        <v>109.871333</v>
      </c>
      <c r="F39" s="10" t="n">
        <f aca="false">历史利润表!H11-F37-F38</f>
        <v>121.276073</v>
      </c>
      <c r="G39" s="10" t="n">
        <f aca="false">历史利润表!I11-G37-G38</f>
        <v>129.919995</v>
      </c>
      <c r="H39" s="24" t="n">
        <f aca="false">收入拆解!H47*假设!H159</f>
        <v>201.016218207543</v>
      </c>
      <c r="I39" s="24" t="n">
        <f aca="false">收入拆解!I47*假设!I159</f>
        <v>228.161738386853</v>
      </c>
      <c r="J39" s="24" t="n">
        <f aca="false">收入拆解!J47*假设!J159</f>
        <v>241.862605630737</v>
      </c>
      <c r="K39" s="24" t="n">
        <f aca="false">收入拆解!K47*假设!K159</f>
        <v>255.265001388176</v>
      </c>
      <c r="L39" s="24" t="n">
        <f aca="false">收入拆解!L47*假设!L159</f>
        <v>260.632785425618</v>
      </c>
    </row>
    <row r="40" customFormat="false" ht="15" hidden="false" customHeight="false" outlineLevel="0" collapsed="false">
      <c r="A40" s="9" t="s">
        <v>749</v>
      </c>
      <c r="B40" s="55" t="s">
        <v>353</v>
      </c>
      <c r="C40" s="23" t="n">
        <f aca="false">历史利润表!E11</f>
        <v>453.2391</v>
      </c>
      <c r="D40" s="23" t="n">
        <f aca="false">历史利润表!F11</f>
        <v>479.3491</v>
      </c>
      <c r="E40" s="23" t="n">
        <f aca="false">历史利润表!G11</f>
        <v>429.4141</v>
      </c>
      <c r="F40" s="23" t="n">
        <f aca="false">历史利润表!H11</f>
        <v>409.8445</v>
      </c>
      <c r="G40" s="23" t="n">
        <f aca="false">历史利润表!I11</f>
        <v>480.9502</v>
      </c>
      <c r="H40" s="76" t="n">
        <f aca="false">H37+H38+H39</f>
        <v>609.330089592665</v>
      </c>
      <c r="I40" s="76" t="n">
        <f aca="false">I37+I38+I39</f>
        <v>700.427272176968</v>
      </c>
      <c r="J40" s="76" t="n">
        <f aca="false">J37+J38+J39</f>
        <v>776.841128056453</v>
      </c>
      <c r="K40" s="76" t="n">
        <f aca="false">K37+K38+K39</f>
        <v>848.037248708134</v>
      </c>
      <c r="L40" s="76" t="n">
        <f aca="false">L37+L38+L39</f>
        <v>907.319693738899</v>
      </c>
    </row>
    <row r="41" customFormat="false" ht="15" hidden="false" customHeight="false" outlineLevel="0" collapsed="false">
      <c r="A41" s="11" t="s">
        <v>750</v>
      </c>
      <c r="B41" s="56" t="s">
        <v>317</v>
      </c>
      <c r="C41" s="12" t="n">
        <f aca="false">IFERROR(C40/历史利润表!E6,0)</f>
        <v>0.0728909679284894</v>
      </c>
      <c r="D41" s="12" t="n">
        <f aca="false">IFERROR(D40/历史利润表!F6,0)</f>
        <v>0.0930885772051815</v>
      </c>
      <c r="E41" s="12" t="n">
        <f aca="false">IFERROR(E40/历史利润表!G6,0)</f>
        <v>0.0749847141153216</v>
      </c>
      <c r="F41" s="12" t="n">
        <f aca="false">IFERROR(F40/历史利润表!H6,0)</f>
        <v>0.0555722049171912</v>
      </c>
      <c r="G41" s="12" t="n">
        <f aca="false">IFERROR(G40/历史利润表!I6,0)</f>
        <v>0.0533964674457267</v>
      </c>
      <c r="H41" s="25" t="n">
        <f aca="false">IFERROR(H40/收入拆解!H47,0)</f>
        <v>0.0439531017839141</v>
      </c>
      <c r="I41" s="25" t="n">
        <f aca="false">IFERROR(I40/收入拆解!I47,0)</f>
        <v>0.0399083325831868</v>
      </c>
      <c r="J41" s="25" t="n">
        <f aca="false">IFERROR(J40/收入拆解!J47,0)</f>
        <v>0.0385429302407744</v>
      </c>
      <c r="K41" s="25" t="n">
        <f aca="false">IFERROR(K40/收入拆解!K47,0)</f>
        <v>0.0382051135373362</v>
      </c>
      <c r="L41" s="25" t="n">
        <f aca="false">IFERROR(L40/收入拆解!L47,0)</f>
        <v>0.0382934043191439</v>
      </c>
    </row>
    <row r="42" customFormat="false" ht="15" hidden="false" customHeight="false" outlineLevel="0" collapsed="false">
      <c r="A42" s="40" t="s">
        <v>751</v>
      </c>
      <c r="B42" s="6"/>
      <c r="C42" s="6"/>
      <c r="D42" s="6"/>
      <c r="E42" s="6"/>
      <c r="F42" s="6"/>
      <c r="G42" s="6"/>
      <c r="H42" s="6"/>
      <c r="I42" s="6"/>
      <c r="J42" s="6"/>
      <c r="K42" s="6"/>
      <c r="L42" s="6"/>
      <c r="M42" s="6"/>
    </row>
    <row r="43" customFormat="false" ht="15" hidden="false" customHeight="false" outlineLevel="0" collapsed="false">
      <c r="A43" s="11" t="s">
        <v>743</v>
      </c>
      <c r="B43" s="55" t="s">
        <v>353</v>
      </c>
      <c r="D43" s="33" t="n">
        <f aca="false">D26</f>
        <v>291.783399</v>
      </c>
      <c r="E43" s="33" t="n">
        <f aca="false">E26</f>
        <v>365.285063</v>
      </c>
      <c r="F43" s="33" t="n">
        <f aca="false">F26</f>
        <v>451.138675</v>
      </c>
      <c r="G43" s="33" t="n">
        <f aca="false">G26</f>
        <v>474.304861</v>
      </c>
      <c r="H43" s="34" t="n">
        <f aca="false">H26</f>
        <v>560.356486629862</v>
      </c>
      <c r="I43" s="34" t="n">
        <f aca="false">I26</f>
        <v>653.050915875616</v>
      </c>
      <c r="J43" s="34" t="n">
        <f aca="false">J26</f>
        <v>735.326421324877</v>
      </c>
      <c r="K43" s="34" t="n">
        <f aca="false">K26</f>
        <v>807.567762970578</v>
      </c>
      <c r="L43" s="34" t="n">
        <f aca="false">L26</f>
        <v>876.245075304253</v>
      </c>
    </row>
    <row r="44" customFormat="false" ht="15" hidden="false" customHeight="false" outlineLevel="0" collapsed="false">
      <c r="A44" s="11" t="s">
        <v>744</v>
      </c>
      <c r="B44" s="55" t="s">
        <v>353</v>
      </c>
      <c r="D44" s="30" t="n">
        <v>21.055212</v>
      </c>
      <c r="E44" s="30" t="n">
        <v>35.140623</v>
      </c>
      <c r="F44" s="30" t="n">
        <v>40.153356</v>
      </c>
      <c r="G44" s="30" t="n">
        <v>37.257676</v>
      </c>
      <c r="H44" s="24" t="n">
        <f aca="false">资本开支与折旧!H94</f>
        <v>40.6828460892834</v>
      </c>
      <c r="I44" s="24" t="n">
        <f aca="false">资本开支与折旧!I94</f>
        <v>45.7497476568198</v>
      </c>
      <c r="J44" s="24" t="n">
        <f aca="false">资本开支与折旧!J94</f>
        <v>53.0015429535826</v>
      </c>
      <c r="K44" s="24" t="n">
        <f aca="false">资本开支与折旧!K94</f>
        <v>60.6323920104693</v>
      </c>
      <c r="L44" s="24" t="n">
        <f aca="false">资本开支与折旧!L94</f>
        <v>67.4109356630564</v>
      </c>
    </row>
    <row r="45" customFormat="false" ht="15" hidden="false" customHeight="false" outlineLevel="0" collapsed="false">
      <c r="A45" s="11" t="s">
        <v>752</v>
      </c>
      <c r="B45" s="55" t="s">
        <v>353</v>
      </c>
      <c r="D45" s="30" t="n">
        <v>134.822899</v>
      </c>
      <c r="E45" s="30" t="n">
        <v>138.174614</v>
      </c>
      <c r="F45" s="30" t="n">
        <v>77.627928</v>
      </c>
      <c r="G45" s="30" t="n">
        <v>116.935657</v>
      </c>
      <c r="H45" s="24" t="n">
        <f aca="false">收入拆解!H47*假设!H160</f>
        <v>152.495062088481</v>
      </c>
      <c r="I45" s="24" t="n">
        <f aca="false">收入拆解!I47*假设!I160</f>
        <v>210.610835434018</v>
      </c>
      <c r="J45" s="24" t="n">
        <f aca="false">收入拆解!J47*假设!J160</f>
        <v>241.862605630737</v>
      </c>
      <c r="K45" s="24" t="n">
        <f aca="false">收入拆解!K47*假设!K160</f>
        <v>266.363479709401</v>
      </c>
      <c r="L45" s="24" t="n">
        <f aca="false">收入拆解!L47*假设!L160</f>
        <v>284.326675009765</v>
      </c>
    </row>
    <row r="46" customFormat="false" ht="15" hidden="false" customHeight="false" outlineLevel="0" collapsed="false">
      <c r="A46" s="11" t="s">
        <v>745</v>
      </c>
      <c r="B46" s="55" t="s">
        <v>353</v>
      </c>
      <c r="D46" s="10" t="n">
        <f aca="false">历史利润表!F12-D43-D44-D45</f>
        <v>4.51088999999999</v>
      </c>
      <c r="E46" s="10" t="n">
        <f aca="false">历史利润表!G12-E43-E44-E45</f>
        <v>7.20590000000001</v>
      </c>
      <c r="F46" s="10" t="n">
        <f aca="false">历史利润表!H12-F43-F44-F45</f>
        <v>14.152441</v>
      </c>
      <c r="G46" s="10" t="n">
        <f aca="false">历史利润表!I12-G43-G44-G45</f>
        <v>24.9385059999999</v>
      </c>
      <c r="H46" s="24" t="n">
        <f aca="false">收入拆解!H47*假设!H161</f>
        <v>27.7263749251784</v>
      </c>
      <c r="I46" s="24" t="n">
        <f aca="false">收入拆解!I47*假设!I161</f>
        <v>35.1018059056697</v>
      </c>
      <c r="J46" s="24" t="n">
        <f aca="false">收入拆解!J47*假设!J161</f>
        <v>40.3104342717895</v>
      </c>
      <c r="K46" s="24" t="n">
        <f aca="false">收入拆解!K47*假设!K161</f>
        <v>44.3939132849002</v>
      </c>
      <c r="L46" s="24" t="n">
        <f aca="false">收入拆解!L47*假设!L161</f>
        <v>47.3877791682942</v>
      </c>
    </row>
    <row r="47" customFormat="false" ht="15" hidden="false" customHeight="false" outlineLevel="0" collapsed="false">
      <c r="A47" s="9" t="s">
        <v>753</v>
      </c>
      <c r="B47" s="55" t="s">
        <v>353</v>
      </c>
      <c r="C47" s="23" t="n">
        <f aca="false">历史利润表!E12</f>
        <v>418.5388</v>
      </c>
      <c r="D47" s="23" t="n">
        <f aca="false">历史利润表!F12</f>
        <v>452.1724</v>
      </c>
      <c r="E47" s="23" t="n">
        <f aca="false">历史利润表!G12</f>
        <v>545.8062</v>
      </c>
      <c r="F47" s="23" t="n">
        <f aca="false">历史利润表!H12</f>
        <v>583.0724</v>
      </c>
      <c r="G47" s="23" t="n">
        <f aca="false">历史利润表!I12</f>
        <v>653.4367</v>
      </c>
      <c r="H47" s="76" t="n">
        <f aca="false">H43+H44+H45+H46</f>
        <v>781.260769732805</v>
      </c>
      <c r="I47" s="76" t="n">
        <f aca="false">I43+I44+I45+I46</f>
        <v>944.513304872124</v>
      </c>
      <c r="J47" s="76" t="n">
        <f aca="false">J43+J44+J45+J46</f>
        <v>1070.50100418099</v>
      </c>
      <c r="K47" s="76" t="n">
        <f aca="false">K43+K44+K45+K46</f>
        <v>1178.95754797535</v>
      </c>
      <c r="L47" s="76" t="n">
        <f aca="false">L43+L44+L45+L46</f>
        <v>1275.37046514537</v>
      </c>
    </row>
    <row r="48" customFormat="false" ht="15" hidden="false" customHeight="false" outlineLevel="0" collapsed="false">
      <c r="A48" s="11" t="s">
        <v>754</v>
      </c>
      <c r="B48" s="56" t="s">
        <v>317</v>
      </c>
      <c r="C48" s="12" t="n">
        <f aca="false">IFERROR(C47/历史利润表!E6,0)</f>
        <v>0.0673103848446183</v>
      </c>
      <c r="D48" s="12" t="n">
        <f aca="false">IFERROR(D47/历史利润表!F6,0)</f>
        <v>0.0878109197815375</v>
      </c>
      <c r="E48" s="12" t="n">
        <f aca="false">IFERROR(E47/历史利润表!G6,0)</f>
        <v>0.0953092175347061</v>
      </c>
      <c r="F48" s="12" t="n">
        <f aca="false">IFERROR(F47/历史利润表!H6,0)</f>
        <v>0.0790607630317315</v>
      </c>
      <c r="G48" s="12" t="n">
        <f aca="false">IFERROR(G47/历史利润表!I6,0)</f>
        <v>0.0725464122468253</v>
      </c>
      <c r="H48" s="25" t="n">
        <f aca="false">IFERROR(H47/收入拆解!H47,0)</f>
        <v>0.0563550606122216</v>
      </c>
      <c r="I48" s="25" t="n">
        <f aca="false">IFERROR(I47/收入拆解!I47,0)</f>
        <v>0.0538156530983247</v>
      </c>
      <c r="J48" s="25" t="n">
        <f aca="false">IFERROR(J47/收入拆解!J47,0)</f>
        <v>0.053112848994046</v>
      </c>
      <c r="K48" s="25" t="n">
        <f aca="false">IFERROR(K47/收入拆解!K47,0)</f>
        <v>0.0531134770845422</v>
      </c>
      <c r="L48" s="25" t="n">
        <f aca="false">IFERROR(L47/收入拆解!L47,0)</f>
        <v>0.0538269776524443</v>
      </c>
    </row>
    <row r="49" customFormat="false" ht="15" hidden="false" customHeight="false" outlineLevel="0" collapsed="false">
      <c r="A49" s="40" t="s">
        <v>755</v>
      </c>
      <c r="B49" s="6"/>
      <c r="C49" s="6"/>
      <c r="D49" s="6"/>
      <c r="E49" s="6"/>
      <c r="F49" s="6"/>
      <c r="G49" s="6"/>
      <c r="H49" s="6"/>
      <c r="I49" s="6"/>
      <c r="J49" s="6"/>
      <c r="K49" s="6"/>
      <c r="L49" s="6"/>
      <c r="M49" s="6"/>
    </row>
    <row r="50" customFormat="false" ht="15" hidden="false" customHeight="false" outlineLevel="0" collapsed="false">
      <c r="A50" s="9" t="s">
        <v>756</v>
      </c>
      <c r="B50" s="55" t="s">
        <v>353</v>
      </c>
      <c r="C50" s="80" t="n">
        <f aca="false">C34+C40+C47</f>
        <v>923.0933</v>
      </c>
      <c r="D50" s="80" t="n">
        <f aca="false">D34+D40+D47</f>
        <v>988.8295</v>
      </c>
      <c r="E50" s="80" t="n">
        <f aca="false">E34+E40+E47</f>
        <v>1049.5634</v>
      </c>
      <c r="F50" s="80" t="n">
        <f aca="false">F34+F40+F47</f>
        <v>1072.3087</v>
      </c>
      <c r="G50" s="80" t="n">
        <f aca="false">G34+G40+G47</f>
        <v>1227.5862</v>
      </c>
      <c r="H50" s="76" t="n">
        <f aca="false">H34+H40+H47</f>
        <v>1495.63519539482</v>
      </c>
      <c r="I50" s="76" t="n">
        <f aca="false">I34+I40+I47</f>
        <v>1769.87142487821</v>
      </c>
      <c r="J50" s="76" t="n">
        <f aca="false">J34+J40+J47</f>
        <v>1988.72021415187</v>
      </c>
      <c r="K50" s="76" t="n">
        <f aca="false">K34+K40+K47</f>
        <v>2182.37331589742</v>
      </c>
      <c r="L50" s="76" t="n">
        <f aca="false">L34+L40+L47</f>
        <v>2350.57906421116</v>
      </c>
    </row>
    <row r="51" customFormat="false" ht="15" hidden="false" customHeight="false" outlineLevel="0" collapsed="false">
      <c r="A51" s="11" t="s">
        <v>101</v>
      </c>
      <c r="B51" s="56" t="s">
        <v>317</v>
      </c>
      <c r="C51" s="12" t="n">
        <f aca="false">IFERROR(C50/历史利润表!E6,0)</f>
        <v>0.148454014945541</v>
      </c>
      <c r="D51" s="12" t="n">
        <f aca="false">IFERROR(D50/历史利润表!F6,0)</f>
        <v>0.192028588879193</v>
      </c>
      <c r="E51" s="12" t="n">
        <f aca="false">IFERROR(E50/历史利润表!G6,0)</f>
        <v>0.183275797173183</v>
      </c>
      <c r="F51" s="12" t="n">
        <f aca="false">IFERROR(F50/历史利润表!H6,0)</f>
        <v>0.145397971208317</v>
      </c>
      <c r="G51" s="12" t="n">
        <f aca="false">IFERROR(G50/历史利润表!I6,0)</f>
        <v>0.136290132668878</v>
      </c>
      <c r="H51" s="25" t="n">
        <f aca="false">IFERROR(H50/收入拆解!H47,0)</f>
        <v>0.107885376247771</v>
      </c>
      <c r="I51" s="25" t="n">
        <f aca="false">IFERROR(I50/收入拆解!I47,0)</f>
        <v>0.100842186275797</v>
      </c>
      <c r="J51" s="25" t="n">
        <f aca="false">IFERROR(J50/收入拆解!J47,0)</f>
        <v>0.0986702450657366</v>
      </c>
      <c r="K51" s="25" t="n">
        <f aca="false">IFERROR(K50/收入拆解!K47,0)</f>
        <v>0.0983185826350532</v>
      </c>
      <c r="L51" s="25" t="n">
        <f aca="false">IFERROR(L50/收入拆解!L47,0)</f>
        <v>0.0992061288993201</v>
      </c>
    </row>
    <row r="52" customFormat="false" ht="15" hidden="false" customHeight="false" outlineLevel="0" collapsed="false">
      <c r="A52" s="11" t="s">
        <v>757</v>
      </c>
      <c r="B52" s="56" t="s">
        <v>317</v>
      </c>
      <c r="E52" s="12" t="n">
        <f aca="false">IFERROR(E21/历史利润表!G6,0)</f>
        <v>0.249352657648482</v>
      </c>
      <c r="F52" s="12" t="n">
        <f aca="false">IFERROR(F21/历史利润表!H6,0)</f>
        <v>0.254328557670879</v>
      </c>
      <c r="G52" s="12" t="n">
        <f aca="false">IFERROR(G21/历史利润表!I6,0)</f>
        <v>0.233412278100411</v>
      </c>
      <c r="H52" s="25" t="n">
        <f aca="false">IFERROR(H21/收入拆解!H47,0)</f>
        <v>0.179165758610921</v>
      </c>
      <c r="I52" s="25" t="n">
        <f aca="false">IFERROR(I21/收入拆解!I47,0)</f>
        <v>0.164930616797315</v>
      </c>
      <c r="J52" s="25" t="n">
        <f aca="false">IFERROR(J21/收入拆解!J47,0)</f>
        <v>0.161713543991865</v>
      </c>
      <c r="K52" s="25" t="n">
        <f aca="false">IFERROR(K21/收入拆解!K47,0)</f>
        <v>0.161264674934525</v>
      </c>
      <c r="L52" s="25" t="n">
        <f aca="false">IFERROR(L21/收入拆解!L47,0)</f>
        <v>0.163924147946224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758</v>
      </c>
    </row>
    <row r="2" customFormat="false" ht="15" hidden="false" customHeight="false" outlineLevel="0" collapsed="false">
      <c r="A2" s="2" t="s">
        <v>759</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760</v>
      </c>
      <c r="B5" s="6"/>
      <c r="C5" s="6"/>
      <c r="D5" s="6"/>
      <c r="E5" s="6"/>
      <c r="F5" s="6"/>
      <c r="G5" s="6"/>
      <c r="H5" s="6"/>
      <c r="I5" s="6"/>
      <c r="J5" s="6"/>
      <c r="K5" s="6"/>
      <c r="L5" s="6"/>
      <c r="M5" s="6"/>
    </row>
    <row r="6" customFormat="false" ht="15" hidden="false" customHeight="false" outlineLevel="0" collapsed="false">
      <c r="A6" s="11" t="s">
        <v>761</v>
      </c>
      <c r="B6" s="55" t="s">
        <v>353</v>
      </c>
      <c r="H6" s="24" t="n">
        <f aca="false">G78*假设!H163</f>
        <v>426.858111</v>
      </c>
      <c r="I6" s="24" t="n">
        <f aca="false">H78*假设!I163</f>
        <v>470.985616911401</v>
      </c>
      <c r="J6" s="24" t="n">
        <f aca="false">I78*假设!J163</f>
        <v>531.279279602157</v>
      </c>
      <c r="K6" s="24" t="n">
        <f aca="false">J78*假设!K163</f>
        <v>617.818143161854</v>
      </c>
      <c r="L6" s="24" t="n">
        <f aca="false">K78*假设!L163</f>
        <v>709.086751203114</v>
      </c>
    </row>
    <row r="7" customFormat="false" ht="15" hidden="false" customHeight="false" outlineLevel="0" collapsed="false">
      <c r="A7" s="11" t="s">
        <v>762</v>
      </c>
      <c r="B7" s="55" t="s">
        <v>353</v>
      </c>
      <c r="H7" s="24" t="n">
        <f aca="false">假设!H167</f>
        <v>900</v>
      </c>
      <c r="I7" s="24" t="n">
        <f aca="false">假设!I167</f>
        <v>1100</v>
      </c>
      <c r="J7" s="24" t="n">
        <f aca="false">假设!J167</f>
        <v>950</v>
      </c>
      <c r="K7" s="24" t="n">
        <f aca="false">假设!K167</f>
        <v>850</v>
      </c>
      <c r="L7" s="24" t="n">
        <f aca="false">假设!L167</f>
        <v>800</v>
      </c>
    </row>
    <row r="8" customFormat="false" ht="15" hidden="false" customHeight="false" outlineLevel="0" collapsed="false">
      <c r="A8" s="4" t="s">
        <v>763</v>
      </c>
      <c r="B8" s="55" t="s">
        <v>353</v>
      </c>
      <c r="H8" s="24" t="n">
        <f aca="false">股本与每股!$H$7*假设!$C$12</f>
        <v>2807.4481486213</v>
      </c>
      <c r="M8" s="37" t="s">
        <v>764</v>
      </c>
    </row>
    <row r="9" customFormat="false" ht="15" hidden="false" customHeight="false" outlineLevel="0" collapsed="false">
      <c r="A9" s="4" t="s">
        <v>765</v>
      </c>
      <c r="B9" s="55" t="s">
        <v>353</v>
      </c>
      <c r="H9" s="24" t="n">
        <f aca="false">$H8*假设!H168</f>
        <v>421.117222293195</v>
      </c>
      <c r="I9" s="24" t="n">
        <f aca="false">$H8*假设!I168</f>
        <v>982.606852017456</v>
      </c>
      <c r="J9" s="24" t="n">
        <f aca="false">$H8*假设!J168</f>
        <v>842.234444586391</v>
      </c>
      <c r="K9" s="24" t="n">
        <f aca="false">$H8*假设!K168</f>
        <v>421.117222293195</v>
      </c>
      <c r="L9" s="24" t="n">
        <f aca="false">$H8*假设!L168</f>
        <v>140.372407431065</v>
      </c>
    </row>
    <row r="10" customFormat="false" ht="15" hidden="false" customHeight="false" outlineLevel="0" collapsed="false">
      <c r="A10" s="11" t="s">
        <v>460</v>
      </c>
      <c r="B10" s="55" t="s">
        <v>353</v>
      </c>
      <c r="H10" s="24" t="n">
        <f aca="false">假设!H169</f>
        <v>40</v>
      </c>
      <c r="I10" s="24" t="n">
        <f aca="false">假设!I169</f>
        <v>40</v>
      </c>
      <c r="J10" s="24" t="n">
        <f aca="false">假设!J169</f>
        <v>35</v>
      </c>
      <c r="K10" s="24" t="n">
        <f aca="false">假设!K169</f>
        <v>30</v>
      </c>
      <c r="L10" s="24" t="n">
        <f aca="false">假设!L169</f>
        <v>30</v>
      </c>
    </row>
    <row r="11" customFormat="false" ht="15" hidden="false" customHeight="false" outlineLevel="0" collapsed="false">
      <c r="A11" s="9" t="s">
        <v>766</v>
      </c>
      <c r="B11" s="55" t="s">
        <v>353</v>
      </c>
      <c r="C11" s="23" t="n">
        <f aca="false">历史现金流量表!E20</f>
        <v>1910.3652</v>
      </c>
      <c r="D11" s="23" t="n">
        <f aca="false">历史现金流量表!F20</f>
        <v>1124.8091</v>
      </c>
      <c r="E11" s="23" t="n">
        <f aca="false">历史现金流量表!G20</f>
        <v>545.8847</v>
      </c>
      <c r="F11" s="23" t="n">
        <f aca="false">历史现金流量表!H20</f>
        <v>639.0352</v>
      </c>
      <c r="G11" s="23" t="n">
        <f aca="false">历史现金流量表!I20</f>
        <v>580.092</v>
      </c>
      <c r="H11" s="79" t="n">
        <f aca="false">(H6+H7+H9+H10)*(1+假设!$C$56*假设!$C$61)</f>
        <v>1787.9753332932</v>
      </c>
      <c r="I11" s="79" t="n">
        <f aca="false">(I6+I7+I9+I10)*(1+假设!$C$56)</f>
        <v>2593.59246892886</v>
      </c>
      <c r="J11" s="79" t="n">
        <f aca="false">(J6+J7+J9+J10)*(1+假设!$C$56)</f>
        <v>2358.51372418855</v>
      </c>
      <c r="K11" s="79" t="n">
        <f aca="false">(K6+K7+K9+K10)*(1+假设!$C$56)</f>
        <v>1918.93536545505</v>
      </c>
      <c r="L11" s="79" t="n">
        <f aca="false">(L6+L7+L9+L10)*(1+假设!$C$56)</f>
        <v>1679.45915863418</v>
      </c>
    </row>
    <row r="12" customFormat="false" ht="15" hidden="false" customHeight="false" outlineLevel="0" collapsed="false">
      <c r="A12" s="11" t="s">
        <v>767</v>
      </c>
      <c r="B12" s="55" t="s">
        <v>353</v>
      </c>
      <c r="E12" s="33" t="n">
        <f aca="false">E18</f>
        <v>497.605176</v>
      </c>
      <c r="F12" s="33" t="n">
        <f aca="false">F18</f>
        <v>1000.027028</v>
      </c>
      <c r="G12" s="33" t="n">
        <f aca="false">G18</f>
        <v>452.254015</v>
      </c>
      <c r="H12" s="24" t="n">
        <f aca="false">(H11-H10)*假设!H170</f>
        <v>1310.9814999699</v>
      </c>
      <c r="I12" s="24" t="n">
        <f aca="false">(I11-I10)*假设!I170</f>
        <v>1915.19435169664</v>
      </c>
      <c r="J12" s="24" t="n">
        <f aca="false">(J11-J10)*假设!J170</f>
        <v>1626.45960693198</v>
      </c>
      <c r="K12" s="24" t="n">
        <f aca="false">(K11-K10)*假设!K170</f>
        <v>1227.80798754578</v>
      </c>
      <c r="L12" s="24" t="n">
        <f aca="false">(L11-L10)*假设!L170</f>
        <v>989.675495180508</v>
      </c>
    </row>
    <row r="13" customFormat="false" ht="15" hidden="false" customHeight="false" outlineLevel="0" collapsed="false">
      <c r="A13" s="11" t="s">
        <v>768</v>
      </c>
      <c r="B13" s="55" t="s">
        <v>353</v>
      </c>
      <c r="E13" s="30" t="n">
        <v>146.590247</v>
      </c>
      <c r="F13" s="30" t="n">
        <v>98.255611</v>
      </c>
      <c r="G13" s="30" t="n">
        <v>528.810315</v>
      </c>
      <c r="H13" s="34" t="n">
        <f aca="false">H11-H10-H12</f>
        <v>436.993833323299</v>
      </c>
      <c r="I13" s="34" t="n">
        <f aca="false">I11-I10-I12</f>
        <v>638.398117232214</v>
      </c>
      <c r="J13" s="34" t="n">
        <f aca="false">J11-J10-J12</f>
        <v>697.054117256565</v>
      </c>
      <c r="K13" s="34" t="n">
        <f aca="false">K11-K10-K12</f>
        <v>661.127377909267</v>
      </c>
      <c r="L13" s="34" t="n">
        <f aca="false">L11-L10-L12</f>
        <v>659.783663453672</v>
      </c>
    </row>
    <row r="14" customFormat="false" ht="15" hidden="false" customHeight="false" outlineLevel="0" collapsed="false">
      <c r="A14" s="11" t="s">
        <v>769</v>
      </c>
      <c r="B14" s="56" t="s">
        <v>317</v>
      </c>
      <c r="C14" s="12" t="n">
        <f aca="false">IFERROR(C11/历史利润表!E6,0)</f>
        <v>0.307229381853645</v>
      </c>
      <c r="D14" s="12" t="n">
        <f aca="false">IFERROR(D11/历史利润表!F6,0)</f>
        <v>0.218435538413321</v>
      </c>
      <c r="E14" s="12" t="n">
        <f aca="false">IFERROR(E11/历史利润表!G6,0)</f>
        <v>0.0953229252822115</v>
      </c>
      <c r="F14" s="12" t="n">
        <f aca="false">IFERROR(F11/历史利润表!H6,0)</f>
        <v>0.0866489487688581</v>
      </c>
      <c r="G14" s="12" t="n">
        <f aca="false">IFERROR(G11/历史利润表!I6,0)</f>
        <v>0.06440347377655</v>
      </c>
      <c r="H14" s="25" t="n">
        <f aca="false">IFERROR(H11/收入拆解!H47,0)</f>
        <v>0.128972888675002</v>
      </c>
      <c r="I14" s="25" t="n">
        <f aca="false">IFERROR(I11/收入拆解!I47,0)</f>
        <v>0.14777544357112</v>
      </c>
      <c r="J14" s="25" t="n">
        <f aca="false">IFERROR(J11/收入拆解!J47,0)</f>
        <v>0.117017529917266</v>
      </c>
      <c r="K14" s="25" t="n">
        <f aca="false">IFERROR(K11/收入拆解!K47,0)</f>
        <v>0.0864503813007061</v>
      </c>
      <c r="L14" s="25" t="n">
        <f aca="false">IFERROR(L11/收入拆解!L47,0)</f>
        <v>0.070881530559586</v>
      </c>
    </row>
    <row r="15" customFormat="false" ht="15" hidden="false" customHeight="false" outlineLevel="0" collapsed="false">
      <c r="A15" s="11" t="s">
        <v>770</v>
      </c>
      <c r="B15" s="56" t="s">
        <v>663</v>
      </c>
      <c r="C15" s="89" t="n">
        <f aca="false">IFERROR(C11/C91,0)</f>
        <v>4.92986275408455</v>
      </c>
      <c r="D15" s="89" t="n">
        <f aca="false">IFERROR(D11/D91,0)</f>
        <v>2.06623906934759</v>
      </c>
      <c r="E15" s="89" t="n">
        <f aca="false">IFERROR(E11/E91,0)</f>
        <v>0.895726408089957</v>
      </c>
      <c r="F15" s="89" t="n">
        <f aca="false">IFERROR(F11/F91,0)</f>
        <v>0.981198568603805</v>
      </c>
      <c r="G15" s="89" t="n">
        <f aca="false">IFERROR(G11/G91,0)</f>
        <v>0.783449594233083</v>
      </c>
      <c r="H15" s="82" t="n">
        <f aca="false">IFERROR(H11/H91,0)</f>
        <v>2.19745605969807</v>
      </c>
      <c r="I15" s="82" t="n">
        <f aca="false">IFERROR(I11/I91,0)</f>
        <v>2.83454292292937</v>
      </c>
      <c r="J15" s="82" t="n">
        <f aca="false">IFERROR(J11/J91,0)</f>
        <v>2.22494817391833</v>
      </c>
      <c r="K15" s="82" t="n">
        <f aca="false">IFERROR(K11/K91,0)</f>
        <v>1.58243415922277</v>
      </c>
      <c r="L15" s="82" t="n">
        <f aca="false">IFERROR(L11/L91,0)</f>
        <v>1.24568747052311</v>
      </c>
    </row>
    <row r="16" customFormat="false" ht="15" hidden="false" customHeight="false" outlineLevel="0" collapsed="false">
      <c r="A16" s="40" t="s">
        <v>771</v>
      </c>
      <c r="B16" s="6"/>
      <c r="C16" s="6"/>
      <c r="D16" s="6"/>
      <c r="E16" s="6"/>
      <c r="F16" s="6"/>
      <c r="G16" s="6"/>
      <c r="H16" s="6"/>
      <c r="I16" s="6"/>
      <c r="J16" s="6"/>
      <c r="K16" s="6"/>
      <c r="L16" s="6"/>
      <c r="M16" s="6"/>
    </row>
    <row r="17" customFormat="false" ht="15" hidden="false" customHeight="false" outlineLevel="0" collapsed="false">
      <c r="A17" s="11" t="s">
        <v>772</v>
      </c>
      <c r="B17" s="55" t="s">
        <v>353</v>
      </c>
      <c r="D17" s="10" t="n">
        <f aca="false">历史资产负债表!E25</f>
        <v>725.0642</v>
      </c>
      <c r="E17" s="10" t="n">
        <f aca="false">历史资产负债表!F25</f>
        <v>690.5385</v>
      </c>
      <c r="F17" s="10" t="n">
        <f aca="false">历史资产负债表!G25</f>
        <v>681.2029</v>
      </c>
      <c r="G17" s="10" t="n">
        <f aca="false">历史资产负债表!H25</f>
        <v>593.6648</v>
      </c>
      <c r="H17" s="34" t="n">
        <f aca="false">G20</f>
        <v>400.1746</v>
      </c>
      <c r="I17" s="34" t="n">
        <f aca="false">H20</f>
        <v>1037.73942997893</v>
      </c>
      <c r="J17" s="34" t="n">
        <f aca="false">I20</f>
        <v>1651.95787518133</v>
      </c>
      <c r="K17" s="34" t="n">
        <f aca="false">J20</f>
        <v>1634.10908740679</v>
      </c>
      <c r="L17" s="34" t="n">
        <f aca="false">K20</f>
        <v>1349.69831750408</v>
      </c>
    </row>
    <row r="18" customFormat="false" ht="15" hidden="false" customHeight="false" outlineLevel="0" collapsed="false">
      <c r="A18" s="11" t="s">
        <v>773</v>
      </c>
      <c r="B18" s="55" t="s">
        <v>353</v>
      </c>
      <c r="E18" s="33" t="n">
        <f aca="false">E20-E17+E19</f>
        <v>497.605176</v>
      </c>
      <c r="F18" s="33" t="n">
        <f aca="false">F20-F17+F19</f>
        <v>1000.027028</v>
      </c>
      <c r="G18" s="33" t="n">
        <f aca="false">G20-G17+G19</f>
        <v>452.254015</v>
      </c>
      <c r="H18" s="34" t="n">
        <f aca="false">H12</f>
        <v>1310.9814999699</v>
      </c>
      <c r="I18" s="34" t="n">
        <f aca="false">I12</f>
        <v>1915.19435169664</v>
      </c>
      <c r="J18" s="34" t="n">
        <f aca="false">J12</f>
        <v>1626.45960693198</v>
      </c>
      <c r="K18" s="34" t="n">
        <f aca="false">K12</f>
        <v>1227.80798754578</v>
      </c>
      <c r="L18" s="34" t="n">
        <f aca="false">L12</f>
        <v>989.675495180508</v>
      </c>
    </row>
    <row r="19" customFormat="false" ht="15" hidden="false" customHeight="false" outlineLevel="0" collapsed="false">
      <c r="A19" s="11" t="s">
        <v>774</v>
      </c>
      <c r="B19" s="55" t="s">
        <v>353</v>
      </c>
      <c r="E19" s="30" t="n">
        <v>506.940776</v>
      </c>
      <c r="F19" s="30" t="n">
        <v>1087.565128</v>
      </c>
      <c r="G19" s="30" t="n">
        <v>645.744215</v>
      </c>
      <c r="H19" s="24" t="n">
        <f aca="false">H17*假设!H171+H18*假设!H172</f>
        <v>673.416669990969</v>
      </c>
      <c r="I19" s="24" t="n">
        <f aca="false">I17*假设!I171+I18*假设!I172</f>
        <v>1300.97590649424</v>
      </c>
      <c r="J19" s="24" t="n">
        <f aca="false">J17*假设!J171+J18*假设!J172</f>
        <v>1644.30839470652</v>
      </c>
      <c r="K19" s="24" t="n">
        <f aca="false">K17*假设!K171+K18*假设!K172</f>
        <v>1512.21875744849</v>
      </c>
      <c r="L19" s="24" t="n">
        <f aca="false">L17*假设!L171+L18*假设!L172</f>
        <v>1241.69147080701</v>
      </c>
    </row>
    <row r="20" customFormat="false" ht="15" hidden="false" customHeight="false" outlineLevel="0" collapsed="false">
      <c r="A20" s="9" t="s">
        <v>775</v>
      </c>
      <c r="B20" s="55" t="s">
        <v>353</v>
      </c>
      <c r="C20" s="23" t="n">
        <f aca="false">历史资产负债表!E25</f>
        <v>725.0642</v>
      </c>
      <c r="D20" s="23" t="n">
        <f aca="false">历史资产负债表!F25</f>
        <v>690.5385</v>
      </c>
      <c r="E20" s="23" t="n">
        <f aca="false">历史资产负债表!G25</f>
        <v>681.2029</v>
      </c>
      <c r="F20" s="23" t="n">
        <f aca="false">历史资产负债表!H25</f>
        <v>593.6648</v>
      </c>
      <c r="G20" s="23" t="n">
        <f aca="false">历史资产负债表!I25</f>
        <v>400.1746</v>
      </c>
      <c r="H20" s="76" t="n">
        <f aca="false">H17+H18-H19</f>
        <v>1037.73942997893</v>
      </c>
      <c r="I20" s="76" t="n">
        <f aca="false">I17+I18-I19</f>
        <v>1651.95787518133</v>
      </c>
      <c r="J20" s="76" t="n">
        <f aca="false">J17+J18-J19</f>
        <v>1634.10908740679</v>
      </c>
      <c r="K20" s="76" t="n">
        <f aca="false">K17+K18-K19</f>
        <v>1349.69831750408</v>
      </c>
      <c r="L20" s="76" t="n">
        <f aca="false">L17+L18-L19</f>
        <v>1097.68234187758</v>
      </c>
    </row>
    <row r="21" customFormat="false" ht="15" hidden="false" customHeight="false" outlineLevel="0" collapsed="false">
      <c r="A21" s="11" t="s">
        <v>776</v>
      </c>
      <c r="B21" s="56" t="s">
        <v>317</v>
      </c>
      <c r="E21" s="31" t="n">
        <f aca="false">IFERROR(E19/(E17+E18),0)</f>
        <v>0.42666622416126</v>
      </c>
      <c r="F21" s="31" t="n">
        <f aca="false">IFERROR(F19/(F17+F18),0)</f>
        <v>0.646886609551243</v>
      </c>
      <c r="G21" s="31" t="n">
        <f aca="false">IFERROR(G19/(G17+G18),0)</f>
        <v>0.61739420473089</v>
      </c>
      <c r="H21" s="32" t="n">
        <f aca="false">IFERROR(H19/(H17+H18),0)</f>
        <v>0.393544849591931</v>
      </c>
      <c r="I21" s="32" t="n">
        <f aca="false">IFERROR(I19/(I17+I18),0)</f>
        <v>0.440570633370598</v>
      </c>
      <c r="J21" s="32" t="n">
        <f aca="false">IFERROR(J19/(J17+J18),0)</f>
        <v>0.501555522955112</v>
      </c>
      <c r="K21" s="32" t="n">
        <f aca="false">IFERROR(K19/(K17+K18),0)</f>
        <v>0.528393631906175</v>
      </c>
      <c r="L21" s="32" t="n">
        <f aca="false">IFERROR(L19/(L17+L18),0)</f>
        <v>0.530779418011047</v>
      </c>
    </row>
    <row r="22" customFormat="false" ht="15" hidden="false" customHeight="false" outlineLevel="0" collapsed="false">
      <c r="A22" s="40" t="s">
        <v>777</v>
      </c>
      <c r="B22" s="6"/>
      <c r="C22" s="6"/>
      <c r="D22" s="6"/>
      <c r="E22" s="6"/>
      <c r="F22" s="6"/>
      <c r="G22" s="6"/>
      <c r="H22" s="6"/>
      <c r="I22" s="6"/>
      <c r="J22" s="6"/>
      <c r="K22" s="6"/>
      <c r="L22" s="6"/>
      <c r="M22" s="6"/>
    </row>
    <row r="23" customFormat="false" ht="15" hidden="false" customHeight="false" outlineLevel="0" collapsed="false">
      <c r="A23" s="90" t="s">
        <v>778</v>
      </c>
      <c r="B23" s="91"/>
      <c r="C23" s="91" t="s">
        <v>312</v>
      </c>
      <c r="D23" s="91" t="s">
        <v>313</v>
      </c>
      <c r="E23" s="91" t="s">
        <v>87</v>
      </c>
      <c r="F23" s="91" t="s">
        <v>88</v>
      </c>
      <c r="G23" s="91" t="s">
        <v>11</v>
      </c>
      <c r="H23" s="91" t="s">
        <v>12</v>
      </c>
      <c r="I23" s="91" t="s">
        <v>13</v>
      </c>
      <c r="J23" s="91" t="s">
        <v>14</v>
      </c>
      <c r="K23" s="91" t="s">
        <v>15</v>
      </c>
      <c r="L23" s="91" t="s">
        <v>16</v>
      </c>
      <c r="M23" s="91"/>
    </row>
    <row r="24" customFormat="false" ht="15" hidden="false" customHeight="false" outlineLevel="0" collapsed="false">
      <c r="A24" s="11" t="s">
        <v>779</v>
      </c>
      <c r="B24" s="55" t="s">
        <v>353</v>
      </c>
      <c r="E24" s="30" t="n">
        <v>2027.604176</v>
      </c>
      <c r="F24" s="30" t="n">
        <v>2321.739963</v>
      </c>
      <c r="G24" s="30" t="n">
        <v>2736.048023</v>
      </c>
      <c r="H24" s="34" t="n">
        <f aca="false">G27</f>
        <v>3077.821091</v>
      </c>
      <c r="I24" s="34" t="n">
        <f aca="false">H27</f>
        <v>3401.71077872128</v>
      </c>
      <c r="J24" s="34" t="n">
        <f aca="false">I27</f>
        <v>4012.10533397758</v>
      </c>
      <c r="K24" s="34" t="n">
        <f aca="false">J27</f>
        <v>4702.47777156458</v>
      </c>
      <c r="L24" s="34" t="n">
        <f aca="false">K27</f>
        <v>5296.90725615005</v>
      </c>
    </row>
    <row r="25" customFormat="false" ht="15" hidden="false" customHeight="false" outlineLevel="0" collapsed="false">
      <c r="A25" s="11" t="s">
        <v>780</v>
      </c>
      <c r="B25" s="55" t="s">
        <v>353</v>
      </c>
      <c r="E25" s="30" t="n">
        <v>434.428427</v>
      </c>
      <c r="F25" s="30" t="n">
        <v>450.082072</v>
      </c>
      <c r="G25" s="30" t="n">
        <v>341.773067</v>
      </c>
      <c r="H25" s="24" t="n">
        <f aca="false">(H19+H13)*假设!H173</f>
        <v>333.12315099428</v>
      </c>
      <c r="I25" s="24" t="n">
        <f aca="false">(I19+I13)*假设!I173</f>
        <v>620.599687592466</v>
      </c>
      <c r="J25" s="24" t="n">
        <f aca="false">(J19+J13)*假设!J173</f>
        <v>702.408753588927</v>
      </c>
      <c r="K25" s="24" t="n">
        <f aca="false">(K19+K13)*假设!K173</f>
        <v>608.536917900171</v>
      </c>
      <c r="L25" s="24" t="n">
        <f aca="false">(L19+L13)*假设!L173</f>
        <v>475.368783565171</v>
      </c>
    </row>
    <row r="26" customFormat="false" ht="15" hidden="false" customHeight="false" outlineLevel="0" collapsed="false">
      <c r="A26" s="11" t="s">
        <v>781</v>
      </c>
      <c r="B26" s="55" t="s">
        <v>353</v>
      </c>
      <c r="E26" s="30" t="n">
        <v>140.29264</v>
      </c>
      <c r="F26" s="30" t="n">
        <v>35.774012</v>
      </c>
      <c r="G26" s="30" t="n">
        <v>0</v>
      </c>
      <c r="H26" s="24" t="n">
        <f aca="false">H24*假设!H179</f>
        <v>9.233463273</v>
      </c>
      <c r="I26" s="24" t="n">
        <f aca="false">I24*假设!I179</f>
        <v>10.2051323361638</v>
      </c>
      <c r="J26" s="24" t="n">
        <f aca="false">J24*假设!J179</f>
        <v>12.0363160019327</v>
      </c>
      <c r="K26" s="24" t="n">
        <f aca="false">K24*假设!K179</f>
        <v>14.1074333146937</v>
      </c>
      <c r="L26" s="24" t="n">
        <f aca="false">L24*假设!L179</f>
        <v>15.8907217684502</v>
      </c>
    </row>
    <row r="27" customFormat="false" ht="15" hidden="false" customHeight="false" outlineLevel="0" collapsed="false">
      <c r="A27" s="9" t="s">
        <v>782</v>
      </c>
      <c r="B27" s="55" t="s">
        <v>353</v>
      </c>
      <c r="D27" s="69" t="n">
        <v>2027.604176</v>
      </c>
      <c r="E27" s="69" t="n">
        <v>2321.739963</v>
      </c>
      <c r="F27" s="69" t="n">
        <v>2736.048023</v>
      </c>
      <c r="G27" s="69" t="n">
        <v>3077.821091</v>
      </c>
      <c r="H27" s="76" t="n">
        <f aca="false">H24+H25-H26</f>
        <v>3401.71077872128</v>
      </c>
      <c r="I27" s="76" t="n">
        <f aca="false">I24+I25-I26</f>
        <v>4012.10533397758</v>
      </c>
      <c r="J27" s="76" t="n">
        <f aca="false">J24+J25-J26</f>
        <v>4702.47777156458</v>
      </c>
      <c r="K27" s="76" t="n">
        <f aca="false">K24+K25-K26</f>
        <v>5296.90725615005</v>
      </c>
      <c r="L27" s="76" t="n">
        <f aca="false">L24+L25-L26</f>
        <v>5756.38531794678</v>
      </c>
    </row>
    <row r="28" customFormat="false" ht="15" hidden="false" customHeight="false" outlineLevel="0" collapsed="false">
      <c r="A28" s="11" t="s">
        <v>783</v>
      </c>
      <c r="B28" s="55" t="s">
        <v>353</v>
      </c>
      <c r="E28" s="30" t="n">
        <v>101.185109</v>
      </c>
      <c r="F28" s="30" t="n">
        <v>124.757035</v>
      </c>
      <c r="G28" s="30" t="n">
        <v>140.193845</v>
      </c>
      <c r="H28" s="24" t="n">
        <f aca="false">(H24+0.5*H25-0.5*H26)*假设!H178</f>
        <v>155.508764873311</v>
      </c>
      <c r="I28" s="24" t="n">
        <f aca="false">(I24+0.5*I25-0.5*I26)*假设!I178</f>
        <v>177.931586704773</v>
      </c>
      <c r="J28" s="24" t="n">
        <f aca="false">(J24+0.5*J25-0.5*J26)*假设!J178</f>
        <v>209.149994533012</v>
      </c>
      <c r="K28" s="24" t="n">
        <f aca="false">(K24+0.5*K25-0.5*K26)*假设!K178</f>
        <v>239.985240665151</v>
      </c>
      <c r="L28" s="24" t="n">
        <f aca="false">(L24+0.5*L25-0.5*L26)*假设!L178</f>
        <v>265.279021778324</v>
      </c>
    </row>
    <row r="29" customFormat="false" ht="15" hidden="false" customHeight="false" outlineLevel="0" collapsed="false">
      <c r="A29" s="11" t="s">
        <v>784</v>
      </c>
      <c r="B29" s="56" t="s">
        <v>317</v>
      </c>
      <c r="E29" s="92" t="n">
        <f aca="false">IFERROR(E28/(E24+0.5*E25-0.5*E26),0)</f>
        <v>0.0465289044813384</v>
      </c>
      <c r="F29" s="92" t="n">
        <f aca="false">IFERROR(F28/(F24+0.5*F25-0.5*F26),0)</f>
        <v>0.049332647135597</v>
      </c>
      <c r="G29" s="92" t="n">
        <f aca="false">IFERROR(G28/(G24+0.5*G25-0.5*G26),0)</f>
        <v>0.0482273825829763</v>
      </c>
      <c r="H29" s="93" t="n">
        <f aca="false">假设!H178</f>
        <v>0.048</v>
      </c>
      <c r="I29" s="93" t="n">
        <f aca="false">假设!I178</f>
        <v>0.048</v>
      </c>
      <c r="J29" s="93" t="n">
        <f aca="false">假设!J178</f>
        <v>0.048</v>
      </c>
      <c r="K29" s="93" t="n">
        <f aca="false">假设!K178</f>
        <v>0.048</v>
      </c>
      <c r="L29" s="93" t="n">
        <f aca="false">假设!L178</f>
        <v>0.048</v>
      </c>
    </row>
    <row r="30" customFormat="false" ht="15" hidden="false" customHeight="false" outlineLevel="0" collapsed="false">
      <c r="A30" s="11" t="s">
        <v>785</v>
      </c>
      <c r="B30" s="55" t="s">
        <v>353</v>
      </c>
      <c r="E30" s="30" t="n">
        <v>388.90767</v>
      </c>
      <c r="F30" s="30" t="n">
        <v>479.504352</v>
      </c>
      <c r="G30" s="30" t="n">
        <v>581.843098</v>
      </c>
      <c r="H30" s="34" t="n">
        <f aca="false">G32</f>
        <v>723.24495</v>
      </c>
      <c r="I30" s="34" t="n">
        <f aca="false">H32</f>
        <v>872.290290582211</v>
      </c>
      <c r="J30" s="34" t="n">
        <f aca="false">I32</f>
        <v>1043.07828465167</v>
      </c>
      <c r="K30" s="34" t="n">
        <f aca="false">J32</f>
        <v>1243.80285798333</v>
      </c>
      <c r="L30" s="34" t="n">
        <f aca="false">K32</f>
        <v>1473.91289532819</v>
      </c>
    </row>
    <row r="31" customFormat="false" ht="15" hidden="false" customHeight="false" outlineLevel="0" collapsed="false">
      <c r="A31" s="11" t="s">
        <v>786</v>
      </c>
      <c r="B31" s="55" t="s">
        <v>353</v>
      </c>
      <c r="E31" s="30" t="n">
        <v>10.588428</v>
      </c>
      <c r="F31" s="30" t="n">
        <v>22.418288</v>
      </c>
      <c r="G31" s="30" t="n">
        <v>-1.208007</v>
      </c>
      <c r="H31" s="24" t="n">
        <f aca="false">H26*假设!H180</f>
        <v>6.4634242911</v>
      </c>
      <c r="I31" s="24" t="n">
        <f aca="false">I26*假设!I180</f>
        <v>7.14359263531469</v>
      </c>
      <c r="J31" s="24" t="n">
        <f aca="false">J26*假设!J180</f>
        <v>8.42542120135292</v>
      </c>
      <c r="K31" s="24" t="n">
        <f aca="false">K26*假设!K180</f>
        <v>9.87520332028561</v>
      </c>
      <c r="L31" s="24" t="n">
        <f aca="false">L26*假设!L180</f>
        <v>11.1235052379151</v>
      </c>
    </row>
    <row r="32" customFormat="false" ht="15" hidden="false" customHeight="false" outlineLevel="0" collapsed="false">
      <c r="A32" s="11" t="s">
        <v>787</v>
      </c>
      <c r="B32" s="55" t="s">
        <v>353</v>
      </c>
      <c r="D32" s="30" t="n">
        <v>388.90767</v>
      </c>
      <c r="E32" s="30" t="n">
        <v>479.504352</v>
      </c>
      <c r="F32" s="30" t="n">
        <v>581.843098</v>
      </c>
      <c r="G32" s="30" t="n">
        <v>723.24495</v>
      </c>
      <c r="H32" s="34" t="n">
        <f aca="false">H30+H28-H31</f>
        <v>872.290290582211</v>
      </c>
      <c r="I32" s="34" t="n">
        <f aca="false">I30+I28-I31</f>
        <v>1043.07828465167</v>
      </c>
      <c r="J32" s="34" t="n">
        <f aca="false">J30+J28-J31</f>
        <v>1243.80285798333</v>
      </c>
      <c r="K32" s="34" t="n">
        <f aca="false">K30+K28-K31</f>
        <v>1473.91289532819</v>
      </c>
      <c r="L32" s="34" t="n">
        <f aca="false">L30+L28-L31</f>
        <v>1728.0684118686</v>
      </c>
    </row>
    <row r="33" customFormat="false" ht="15" hidden="false" customHeight="false" outlineLevel="0" collapsed="false">
      <c r="A33" s="11" t="s">
        <v>788</v>
      </c>
      <c r="B33" s="55" t="s">
        <v>353</v>
      </c>
      <c r="D33" s="33" t="n">
        <f aca="false">D27-D32</f>
        <v>1638.696506</v>
      </c>
      <c r="E33" s="33" t="n">
        <f aca="false">E27-E32</f>
        <v>1842.235611</v>
      </c>
      <c r="F33" s="33" t="n">
        <f aca="false">F27-F32</f>
        <v>2154.204925</v>
      </c>
      <c r="G33" s="33" t="n">
        <f aca="false">G27-G32</f>
        <v>2354.576141</v>
      </c>
      <c r="H33" s="34" t="n">
        <f aca="false">H27-H32</f>
        <v>2529.42048813907</v>
      </c>
      <c r="I33" s="34" t="n">
        <f aca="false">I27-I32</f>
        <v>2969.02704932591</v>
      </c>
      <c r="J33" s="34" t="n">
        <f aca="false">J27-J32</f>
        <v>3458.67491358125</v>
      </c>
      <c r="K33" s="34" t="n">
        <f aca="false">K27-K32</f>
        <v>3822.99436082186</v>
      </c>
      <c r="L33" s="34" t="n">
        <f aca="false">L27-L32</f>
        <v>4028.31690607817</v>
      </c>
    </row>
    <row r="34" customFormat="false" ht="15" hidden="false" customHeight="false" outlineLevel="0" collapsed="false">
      <c r="A34" s="11" t="s">
        <v>789</v>
      </c>
      <c r="B34" s="56" t="s">
        <v>317</v>
      </c>
      <c r="D34" s="31" t="n">
        <f aca="false">IFERROR(D33/D27,0)</f>
        <v>0.808193495257429</v>
      </c>
      <c r="E34" s="31" t="n">
        <f aca="false">IFERROR(E33/E27,0)</f>
        <v>0.793471982374626</v>
      </c>
      <c r="F34" s="31" t="n">
        <f aca="false">IFERROR(F33/F27,0)</f>
        <v>0.787341781610242</v>
      </c>
      <c r="G34" s="31" t="n">
        <f aca="false">IFERROR(G33/G27,0)</f>
        <v>0.765013972997042</v>
      </c>
      <c r="H34" s="32" t="n">
        <f aca="false">IFERROR(H33/H27,0)</f>
        <v>0.743573058580216</v>
      </c>
      <c r="I34" s="32" t="n">
        <f aca="false">IFERROR(I33/I27,0)</f>
        <v>0.740017223421807</v>
      </c>
      <c r="J34" s="32" t="n">
        <f aca="false">IFERROR(J33/J27,0)</f>
        <v>0.735500534313106</v>
      </c>
      <c r="K34" s="32" t="n">
        <f aca="false">IFERROR(K33/K27,0)</f>
        <v>0.721740852906782</v>
      </c>
      <c r="L34" s="32" t="n">
        <f aca="false">IFERROR(L33/L27,0)</f>
        <v>0.699799732571589</v>
      </c>
    </row>
    <row r="35" customFormat="false" ht="15" hidden="false" customHeight="false" outlineLevel="0" collapsed="false">
      <c r="A35" s="90" t="s">
        <v>790</v>
      </c>
      <c r="B35" s="91"/>
      <c r="C35" s="91" t="s">
        <v>312</v>
      </c>
      <c r="D35" s="91" t="s">
        <v>313</v>
      </c>
      <c r="E35" s="91" t="s">
        <v>87</v>
      </c>
      <c r="F35" s="91" t="s">
        <v>88</v>
      </c>
      <c r="G35" s="91" t="s">
        <v>11</v>
      </c>
      <c r="H35" s="91" t="s">
        <v>12</v>
      </c>
      <c r="I35" s="91" t="s">
        <v>13</v>
      </c>
      <c r="J35" s="91" t="s">
        <v>14</v>
      </c>
      <c r="K35" s="91" t="s">
        <v>15</v>
      </c>
      <c r="L35" s="91" t="s">
        <v>16</v>
      </c>
      <c r="M35" s="91"/>
    </row>
    <row r="36" customFormat="false" ht="15" hidden="false" customHeight="false" outlineLevel="0" collapsed="false">
      <c r="A36" s="11" t="s">
        <v>779</v>
      </c>
      <c r="B36" s="55" t="s">
        <v>353</v>
      </c>
      <c r="E36" s="30" t="n">
        <v>5551.777205</v>
      </c>
      <c r="F36" s="30" t="n">
        <v>5649.363841</v>
      </c>
      <c r="G36" s="30" t="n">
        <v>6350.36284</v>
      </c>
      <c r="H36" s="34" t="n">
        <f aca="false">G39</f>
        <v>7000.624277</v>
      </c>
      <c r="I36" s="34" t="n">
        <f aca="false">H39</f>
        <v>7584.06942489985</v>
      </c>
      <c r="J36" s="34" t="n">
        <f aca="false">I39</f>
        <v>8633.93279776222</v>
      </c>
      <c r="K36" s="34" t="n">
        <f aca="false">J39</f>
        <v>9956.0685632129</v>
      </c>
      <c r="L36" s="34" t="n">
        <f aca="false">K39</f>
        <v>11197.6690613937</v>
      </c>
    </row>
    <row r="37" customFormat="false" ht="15" hidden="false" customHeight="false" outlineLevel="0" collapsed="false">
      <c r="A37" s="11" t="s">
        <v>780</v>
      </c>
      <c r="B37" s="55" t="s">
        <v>353</v>
      </c>
      <c r="E37" s="30" t="n">
        <v>211.3066</v>
      </c>
      <c r="F37" s="30" t="n">
        <v>804.917092</v>
      </c>
      <c r="G37" s="30" t="n">
        <v>733.840997</v>
      </c>
      <c r="H37" s="24" t="n">
        <f aca="false">(H19+H13)*假设!H174</f>
        <v>688.454512054846</v>
      </c>
      <c r="I37" s="24" t="n">
        <f aca="false">(I19+I13)*假设!I174</f>
        <v>1163.62441423587</v>
      </c>
      <c r="J37" s="24" t="n">
        <f aca="false">(J19+J13)*假设!J174</f>
        <v>1451.64475741712</v>
      </c>
      <c r="K37" s="24" t="n">
        <f aca="false">(K19+K13)*假设!K174</f>
        <v>1390.94152662896</v>
      </c>
      <c r="L37" s="24" t="n">
        <f aca="false">(L19+L13)*假设!L174</f>
        <v>1273.98833995466</v>
      </c>
    </row>
    <row r="38" customFormat="false" ht="15" hidden="false" customHeight="false" outlineLevel="0" collapsed="false">
      <c r="A38" s="11" t="s">
        <v>781</v>
      </c>
      <c r="B38" s="55" t="s">
        <v>353</v>
      </c>
      <c r="E38" s="30" t="n">
        <v>113.719964</v>
      </c>
      <c r="F38" s="30" t="n">
        <v>103.918094</v>
      </c>
      <c r="G38" s="30" t="n">
        <v>83.579561</v>
      </c>
      <c r="H38" s="24" t="n">
        <f aca="false">H36*假设!H183</f>
        <v>105.009364155</v>
      </c>
      <c r="I38" s="24" t="n">
        <f aca="false">I36*假设!I183</f>
        <v>113.761041373498</v>
      </c>
      <c r="J38" s="24" t="n">
        <f aca="false">J36*假设!J183</f>
        <v>129.508991966433</v>
      </c>
      <c r="K38" s="24" t="n">
        <f aca="false">K36*假设!K183</f>
        <v>149.341028448194</v>
      </c>
      <c r="L38" s="24" t="n">
        <f aca="false">L36*假设!L183</f>
        <v>167.965035920905</v>
      </c>
    </row>
    <row r="39" customFormat="false" ht="15" hidden="false" customHeight="false" outlineLevel="0" collapsed="false">
      <c r="A39" s="9" t="s">
        <v>782</v>
      </c>
      <c r="B39" s="55" t="s">
        <v>353</v>
      </c>
      <c r="D39" s="69" t="n">
        <v>5551.777205</v>
      </c>
      <c r="E39" s="69" t="n">
        <v>5649.363841</v>
      </c>
      <c r="F39" s="69" t="n">
        <v>6350.36284</v>
      </c>
      <c r="G39" s="69" t="n">
        <v>7000.624277</v>
      </c>
      <c r="H39" s="76" t="n">
        <f aca="false">H36+H37-H38</f>
        <v>7584.06942489985</v>
      </c>
      <c r="I39" s="76" t="n">
        <f aca="false">I36+I37-I38</f>
        <v>8633.93279776222</v>
      </c>
      <c r="J39" s="76" t="n">
        <f aca="false">J36+J37-J38</f>
        <v>9956.0685632129</v>
      </c>
      <c r="K39" s="76" t="n">
        <f aca="false">K36+K37-K38</f>
        <v>11197.6690613937</v>
      </c>
      <c r="L39" s="76" t="n">
        <f aca="false">L36+L37-L38</f>
        <v>12303.6923654274</v>
      </c>
    </row>
    <row r="40" customFormat="false" ht="15" hidden="false" customHeight="false" outlineLevel="0" collapsed="false">
      <c r="A40" s="11" t="s">
        <v>783</v>
      </c>
      <c r="B40" s="55" t="s">
        <v>353</v>
      </c>
      <c r="E40" s="30" t="n">
        <v>463.053707</v>
      </c>
      <c r="F40" s="30" t="n">
        <v>478.113455</v>
      </c>
      <c r="G40" s="30" t="n">
        <v>541.971722</v>
      </c>
      <c r="H40" s="24" t="n">
        <f aca="false">(H36+0.5*H37-0.5*H38)*假设!H182</f>
        <v>590.680094926944</v>
      </c>
      <c r="I40" s="24" t="n">
        <f aca="false">(I36+0.5*I37-0.5*I38)*假设!I182</f>
        <v>656.829090017814</v>
      </c>
      <c r="J40" s="24" t="n">
        <f aca="false">(J36+0.5*J37-0.5*J38)*假设!J182</f>
        <v>752.895055119492</v>
      </c>
      <c r="K40" s="24" t="n">
        <f aca="false">(K36+0.5*K37-0.5*K38)*假设!K182</f>
        <v>856.726373796566</v>
      </c>
      <c r="L40" s="24" t="n">
        <f aca="false">(L36+0.5*L37-0.5*L38)*假设!L182</f>
        <v>951.805137786254</v>
      </c>
    </row>
    <row r="41" customFormat="false" ht="15" hidden="false" customHeight="false" outlineLevel="0" collapsed="false">
      <c r="A41" s="11" t="s">
        <v>784</v>
      </c>
      <c r="B41" s="56" t="s">
        <v>317</v>
      </c>
      <c r="E41" s="92" t="n">
        <f aca="false">IFERROR(E40/(E36+0.5*E37-0.5*E38),0)</f>
        <v>0.0826797386263357</v>
      </c>
      <c r="F41" s="92" t="n">
        <f aca="false">IFERROR(F40/(F36+0.5*F37-0.5*F38),0)</f>
        <v>0.0796873908464722</v>
      </c>
      <c r="G41" s="92" t="n">
        <f aca="false">IFERROR(G40/(G36+0.5*G37-0.5*G38),0)</f>
        <v>0.0811882623046642</v>
      </c>
      <c r="H41" s="93" t="n">
        <f aca="false">假设!H182</f>
        <v>0.081</v>
      </c>
      <c r="I41" s="93" t="n">
        <f aca="false">假设!I182</f>
        <v>0.081</v>
      </c>
      <c r="J41" s="93" t="n">
        <f aca="false">假设!J182</f>
        <v>0.081</v>
      </c>
      <c r="K41" s="93" t="n">
        <f aca="false">假设!K182</f>
        <v>0.081</v>
      </c>
      <c r="L41" s="93" t="n">
        <f aca="false">假设!L182</f>
        <v>0.081</v>
      </c>
    </row>
    <row r="42" customFormat="false" ht="15" hidden="false" customHeight="false" outlineLevel="0" collapsed="false">
      <c r="A42" s="11" t="s">
        <v>785</v>
      </c>
      <c r="B42" s="55" t="s">
        <v>353</v>
      </c>
      <c r="E42" s="30" t="n">
        <v>2092.906359</v>
      </c>
      <c r="F42" s="30" t="n">
        <v>2476.809351</v>
      </c>
      <c r="G42" s="30" t="n">
        <v>2866.933767</v>
      </c>
      <c r="H42" s="34" t="n">
        <f aca="false">G44</f>
        <v>3343.804028</v>
      </c>
      <c r="I42" s="34" t="n">
        <f aca="false">H44</f>
        <v>3850.47663160294</v>
      </c>
      <c r="J42" s="34" t="n">
        <f aca="false">I44</f>
        <v>4416.29688852196</v>
      </c>
      <c r="K42" s="34" t="n">
        <f aca="false">J44</f>
        <v>5065.58475006831</v>
      </c>
      <c r="L42" s="34" t="n">
        <f aca="false">K44</f>
        <v>5802.83830110632</v>
      </c>
    </row>
    <row r="43" customFormat="false" ht="15" hidden="false" customHeight="false" outlineLevel="0" collapsed="false">
      <c r="A43" s="11" t="s">
        <v>786</v>
      </c>
      <c r="B43" s="55" t="s">
        <v>353</v>
      </c>
      <c r="E43" s="30" t="n">
        <v>79.150714</v>
      </c>
      <c r="F43" s="30" t="n">
        <v>87.989039</v>
      </c>
      <c r="G43" s="30" t="n">
        <v>65.101462</v>
      </c>
      <c r="H43" s="24" t="n">
        <f aca="false">H38*假设!H184</f>
        <v>84.007491324</v>
      </c>
      <c r="I43" s="24" t="n">
        <f aca="false">I38*假设!I184</f>
        <v>91.0088330987982</v>
      </c>
      <c r="J43" s="24" t="n">
        <f aca="false">J38*假设!J184</f>
        <v>103.607193573147</v>
      </c>
      <c r="K43" s="24" t="n">
        <f aca="false">K38*假设!K184</f>
        <v>119.472822758555</v>
      </c>
      <c r="L43" s="24" t="n">
        <f aca="false">L38*假设!L184</f>
        <v>134.372028736724</v>
      </c>
    </row>
    <row r="44" customFormat="false" ht="15" hidden="false" customHeight="false" outlineLevel="0" collapsed="false">
      <c r="A44" s="11" t="s">
        <v>787</v>
      </c>
      <c r="B44" s="55" t="s">
        <v>353</v>
      </c>
      <c r="D44" s="30" t="n">
        <v>2092.906359</v>
      </c>
      <c r="E44" s="30" t="n">
        <v>2476.809351</v>
      </c>
      <c r="F44" s="30" t="n">
        <v>2866.933767</v>
      </c>
      <c r="G44" s="30" t="n">
        <v>3343.804028</v>
      </c>
      <c r="H44" s="34" t="n">
        <f aca="false">H42+H40-H43</f>
        <v>3850.47663160294</v>
      </c>
      <c r="I44" s="34" t="n">
        <f aca="false">I42+I40-I43</f>
        <v>4416.29688852196</v>
      </c>
      <c r="J44" s="34" t="n">
        <f aca="false">J42+J40-J43</f>
        <v>5065.58475006831</v>
      </c>
      <c r="K44" s="34" t="n">
        <f aca="false">K42+K40-K43</f>
        <v>5802.83830110632</v>
      </c>
      <c r="L44" s="34" t="n">
        <f aca="false">L42+L40-L43</f>
        <v>6620.27141015585</v>
      </c>
    </row>
    <row r="45" customFormat="false" ht="15" hidden="false" customHeight="false" outlineLevel="0" collapsed="false">
      <c r="A45" s="11" t="s">
        <v>788</v>
      </c>
      <c r="B45" s="55" t="s">
        <v>353</v>
      </c>
      <c r="D45" s="33" t="n">
        <f aca="false">D39-D44</f>
        <v>3458.870846</v>
      </c>
      <c r="E45" s="33" t="n">
        <f aca="false">E39-E44</f>
        <v>3172.55449</v>
      </c>
      <c r="F45" s="33" t="n">
        <f aca="false">F39-F44</f>
        <v>3483.429073</v>
      </c>
      <c r="G45" s="33" t="n">
        <f aca="false">G39-G44</f>
        <v>3656.820249</v>
      </c>
      <c r="H45" s="34" t="n">
        <f aca="false">H39-H44</f>
        <v>3733.5927932969</v>
      </c>
      <c r="I45" s="34" t="n">
        <f aca="false">I39-I44</f>
        <v>4217.63590924026</v>
      </c>
      <c r="J45" s="34" t="n">
        <f aca="false">J39-J44</f>
        <v>4890.4838131446</v>
      </c>
      <c r="K45" s="34" t="n">
        <f aca="false">K39-K44</f>
        <v>5394.83076028735</v>
      </c>
      <c r="L45" s="34" t="n">
        <f aca="false">L39-L44</f>
        <v>5683.42095527158</v>
      </c>
    </row>
    <row r="46" customFormat="false" ht="15" hidden="false" customHeight="false" outlineLevel="0" collapsed="false">
      <c r="A46" s="11" t="s">
        <v>789</v>
      </c>
      <c r="B46" s="56" t="s">
        <v>317</v>
      </c>
      <c r="D46" s="31" t="n">
        <f aca="false">IFERROR(D45/D39,0)</f>
        <v>0.623020470433305</v>
      </c>
      <c r="E46" s="31" t="n">
        <f aca="false">IFERROR(E45/E39,0)</f>
        <v>0.561577299549257</v>
      </c>
      <c r="F46" s="31" t="n">
        <f aca="false">IFERROR(F45/F39,0)</f>
        <v>0.548540163887706</v>
      </c>
      <c r="G46" s="31" t="n">
        <f aca="false">IFERROR(G45/G39,0)</f>
        <v>0.522356307710185</v>
      </c>
      <c r="H46" s="32" t="n">
        <f aca="false">IFERROR(H45/H39,0)</f>
        <v>0.492294121285184</v>
      </c>
      <c r="I46" s="32" t="n">
        <f aca="false">IFERROR(I45/I39,0)</f>
        <v>0.488495336717632</v>
      </c>
      <c r="J46" s="32" t="n">
        <f aca="false">IFERROR(J45/J39,0)</f>
        <v>0.491206321259644</v>
      </c>
      <c r="K46" s="32" t="n">
        <f aca="false">IFERROR(K45/K39,0)</f>
        <v>0.48178158603447</v>
      </c>
      <c r="L46" s="32" t="n">
        <f aca="false">IFERROR(L45/L39,0)</f>
        <v>0.46192807707397</v>
      </c>
    </row>
    <row r="47" customFormat="false" ht="15" hidden="false" customHeight="false" outlineLevel="0" collapsed="false">
      <c r="A47" s="90" t="s">
        <v>791</v>
      </c>
      <c r="B47" s="91"/>
      <c r="C47" s="91" t="s">
        <v>312</v>
      </c>
      <c r="D47" s="91" t="s">
        <v>313</v>
      </c>
      <c r="E47" s="91" t="s">
        <v>87</v>
      </c>
      <c r="F47" s="91" t="s">
        <v>88</v>
      </c>
      <c r="G47" s="91" t="s">
        <v>11</v>
      </c>
      <c r="H47" s="91" t="s">
        <v>12</v>
      </c>
      <c r="I47" s="91" t="s">
        <v>13</v>
      </c>
      <c r="J47" s="91" t="s">
        <v>14</v>
      </c>
      <c r="K47" s="91" t="s">
        <v>15</v>
      </c>
      <c r="L47" s="91" t="s">
        <v>16</v>
      </c>
      <c r="M47" s="91"/>
    </row>
    <row r="48" customFormat="false" ht="15" hidden="false" customHeight="false" outlineLevel="0" collapsed="false">
      <c r="A48" s="11" t="s">
        <v>779</v>
      </c>
      <c r="B48" s="55" t="s">
        <v>353</v>
      </c>
      <c r="E48" s="30" t="n">
        <v>47.974716</v>
      </c>
      <c r="F48" s="30" t="n">
        <v>48.942447</v>
      </c>
      <c r="G48" s="30" t="n">
        <v>44.624967</v>
      </c>
      <c r="H48" s="34" t="n">
        <f aca="false">G51</f>
        <v>41.13057</v>
      </c>
      <c r="I48" s="34" t="n">
        <f aca="false">H51</f>
        <v>40.3487445099428</v>
      </c>
      <c r="J48" s="34" t="n">
        <f aca="false">I51</f>
        <v>42.1319921301279</v>
      </c>
      <c r="K48" s="34" t="n">
        <f aca="false">J51</f>
        <v>44.9428804530044</v>
      </c>
      <c r="L48" s="34" t="n">
        <f aca="false">K51</f>
        <v>46.9686308137772</v>
      </c>
    </row>
    <row r="49" customFormat="false" ht="15" hidden="false" customHeight="false" outlineLevel="0" collapsed="false">
      <c r="A49" s="11" t="s">
        <v>780</v>
      </c>
      <c r="B49" s="55" t="s">
        <v>353</v>
      </c>
      <c r="E49" s="30" t="n">
        <v>3.479764</v>
      </c>
      <c r="F49" s="30" t="n">
        <v>1.921547</v>
      </c>
      <c r="G49" s="30" t="n">
        <v>2.30162</v>
      </c>
      <c r="H49" s="24" t="n">
        <f aca="false">(H19+H13)*假设!H175</f>
        <v>3.3312315099428</v>
      </c>
      <c r="I49" s="24" t="n">
        <f aca="false">(I19+I13)*假设!I175</f>
        <v>5.81812207117937</v>
      </c>
      <c r="J49" s="24" t="n">
        <f aca="false">(J19+J13)*假设!J175</f>
        <v>7.02408753588927</v>
      </c>
      <c r="K49" s="24" t="n">
        <f aca="false">(K19+K13)*假设!K175</f>
        <v>6.52003840607326</v>
      </c>
      <c r="L49" s="24" t="n">
        <f aca="false">(L19+L13)*假设!L175</f>
        <v>5.70442540278205</v>
      </c>
    </row>
    <row r="50" customFormat="false" ht="15" hidden="false" customHeight="false" outlineLevel="0" collapsed="false">
      <c r="A50" s="11" t="s">
        <v>781</v>
      </c>
      <c r="B50" s="55" t="s">
        <v>353</v>
      </c>
      <c r="E50" s="30" t="n">
        <v>2.512032</v>
      </c>
      <c r="F50" s="30" t="n">
        <v>6.239027</v>
      </c>
      <c r="G50" s="30" t="n">
        <v>5.796017</v>
      </c>
      <c r="H50" s="24" t="n">
        <f aca="false">H48*假设!H187</f>
        <v>4.113057</v>
      </c>
      <c r="I50" s="24" t="n">
        <f aca="false">I48*假设!I187</f>
        <v>4.03487445099428</v>
      </c>
      <c r="J50" s="24" t="n">
        <f aca="false">J48*假设!J187</f>
        <v>4.21319921301279</v>
      </c>
      <c r="K50" s="24" t="n">
        <f aca="false">K48*假设!K187</f>
        <v>4.49428804530044</v>
      </c>
      <c r="L50" s="24" t="n">
        <f aca="false">L48*假设!L187</f>
        <v>4.69686308137772</v>
      </c>
    </row>
    <row r="51" customFormat="false" ht="15" hidden="false" customHeight="false" outlineLevel="0" collapsed="false">
      <c r="A51" s="9" t="s">
        <v>782</v>
      </c>
      <c r="B51" s="55" t="s">
        <v>353</v>
      </c>
      <c r="D51" s="69" t="n">
        <v>47.974716</v>
      </c>
      <c r="E51" s="69" t="n">
        <v>48.942447</v>
      </c>
      <c r="F51" s="69" t="n">
        <v>44.624967</v>
      </c>
      <c r="G51" s="69" t="n">
        <v>41.13057</v>
      </c>
      <c r="H51" s="76" t="n">
        <f aca="false">H48+H49-H50</f>
        <v>40.3487445099428</v>
      </c>
      <c r="I51" s="76" t="n">
        <f aca="false">I48+I49-I50</f>
        <v>42.1319921301279</v>
      </c>
      <c r="J51" s="76" t="n">
        <f aca="false">J48+J49-J50</f>
        <v>44.9428804530044</v>
      </c>
      <c r="K51" s="76" t="n">
        <f aca="false">K48+K49-K50</f>
        <v>46.9686308137772</v>
      </c>
      <c r="L51" s="76" t="n">
        <f aca="false">L48+L49-L50</f>
        <v>47.9761931351815</v>
      </c>
    </row>
    <row r="52" customFormat="false" ht="15" hidden="false" customHeight="false" outlineLevel="0" collapsed="false">
      <c r="A52" s="11" t="s">
        <v>783</v>
      </c>
      <c r="B52" s="55" t="s">
        <v>353</v>
      </c>
      <c r="E52" s="30" t="n">
        <v>4.640892</v>
      </c>
      <c r="F52" s="30" t="n">
        <v>4.597469</v>
      </c>
      <c r="G52" s="30" t="n">
        <v>4.021179</v>
      </c>
      <c r="H52" s="24" t="n">
        <f aca="false">(H48+0.5*H49-0.5*H50)*假设!H186</f>
        <v>3.91100709647725</v>
      </c>
      <c r="I52" s="24" t="n">
        <f aca="false">(I48+0.5*I49-0.5*I50)*假设!I186</f>
        <v>3.95907535872339</v>
      </c>
      <c r="J52" s="24" t="n">
        <f aca="false">(J48+0.5*J49-0.5*J50)*假设!J186</f>
        <v>4.17959388399035</v>
      </c>
      <c r="K52" s="24" t="n">
        <f aca="false">(K48+0.5*K49-0.5*K50)*假设!K186</f>
        <v>4.41175254080551</v>
      </c>
      <c r="L52" s="24" t="n">
        <f aca="false">(L48+0.5*L49-0.5*L50)*假设!L186</f>
        <v>4.55735154955002</v>
      </c>
    </row>
    <row r="53" customFormat="false" ht="15" hidden="false" customHeight="false" outlineLevel="0" collapsed="false">
      <c r="A53" s="11" t="s">
        <v>784</v>
      </c>
      <c r="B53" s="56" t="s">
        <v>317</v>
      </c>
      <c r="E53" s="92" t="n">
        <f aca="false">IFERROR(E52/(E48+0.5*E49-0.5*E50),0)</f>
        <v>0.0957702806904255</v>
      </c>
      <c r="F53" s="92" t="n">
        <f aca="false">IFERROR(F52/(F48+0.5*F49-0.5*F50),0)</f>
        <v>0.0982707291664596</v>
      </c>
      <c r="G53" s="92" t="n">
        <f aca="false">IFERROR(G52/(G48+0.5*G49-0.5*G50),0)</f>
        <v>0.0937823758248986</v>
      </c>
      <c r="H53" s="93" t="n">
        <f aca="false">假设!H186</f>
        <v>0.096</v>
      </c>
      <c r="I53" s="93" t="n">
        <f aca="false">假设!I186</f>
        <v>0.096</v>
      </c>
      <c r="J53" s="93" t="n">
        <f aca="false">假设!J186</f>
        <v>0.096</v>
      </c>
      <c r="K53" s="93" t="n">
        <f aca="false">假设!K186</f>
        <v>0.096</v>
      </c>
      <c r="L53" s="93" t="n">
        <f aca="false">假设!L186</f>
        <v>0.096</v>
      </c>
    </row>
    <row r="54" customFormat="false" ht="15" hidden="false" customHeight="false" outlineLevel="0" collapsed="false">
      <c r="A54" s="11" t="s">
        <v>785</v>
      </c>
      <c r="B54" s="55" t="s">
        <v>353</v>
      </c>
      <c r="E54" s="30" t="n">
        <v>25.153365</v>
      </c>
      <c r="F54" s="30" t="n">
        <v>28.295518</v>
      </c>
      <c r="G54" s="30" t="n">
        <v>27.486288</v>
      </c>
      <c r="H54" s="34" t="n">
        <f aca="false">G56</f>
        <v>26.251633</v>
      </c>
      <c r="I54" s="34" t="n">
        <f aca="false">H56</f>
        <v>26.5431499364773</v>
      </c>
      <c r="J54" s="34" t="n">
        <f aca="false">I56</f>
        <v>26.9515357783257</v>
      </c>
      <c r="K54" s="34" t="n">
        <f aca="false">J56</f>
        <v>27.4235143548648</v>
      </c>
      <c r="L54" s="34" t="n">
        <f aca="false">K56</f>
        <v>27.8802934158059</v>
      </c>
    </row>
    <row r="55" customFormat="false" ht="15" hidden="false" customHeight="false" outlineLevel="0" collapsed="false">
      <c r="A55" s="11" t="s">
        <v>786</v>
      </c>
      <c r="B55" s="55" t="s">
        <v>353</v>
      </c>
      <c r="E55" s="30" t="n">
        <v>1.498738</v>
      </c>
      <c r="F55" s="30" t="n">
        <v>5.406699</v>
      </c>
      <c r="G55" s="30" t="n">
        <v>5.255834</v>
      </c>
      <c r="H55" s="24" t="n">
        <f aca="false">H50*假设!H188</f>
        <v>3.61949016</v>
      </c>
      <c r="I55" s="24" t="n">
        <f aca="false">I50*假设!I188</f>
        <v>3.55068951687497</v>
      </c>
      <c r="J55" s="24" t="n">
        <f aca="false">J50*假设!J188</f>
        <v>3.70761530745125</v>
      </c>
      <c r="K55" s="24" t="n">
        <f aca="false">K50*假设!K188</f>
        <v>3.95497347986438</v>
      </c>
      <c r="L55" s="24" t="n">
        <f aca="false">L50*假设!L188</f>
        <v>4.13323951161239</v>
      </c>
    </row>
    <row r="56" customFormat="false" ht="15" hidden="false" customHeight="false" outlineLevel="0" collapsed="false">
      <c r="A56" s="11" t="s">
        <v>787</v>
      </c>
      <c r="B56" s="55" t="s">
        <v>353</v>
      </c>
      <c r="D56" s="30" t="n">
        <v>25.153365</v>
      </c>
      <c r="E56" s="30" t="n">
        <v>28.295518</v>
      </c>
      <c r="F56" s="30" t="n">
        <v>27.486288</v>
      </c>
      <c r="G56" s="30" t="n">
        <v>26.251633</v>
      </c>
      <c r="H56" s="34" t="n">
        <f aca="false">H54+H52-H55</f>
        <v>26.5431499364773</v>
      </c>
      <c r="I56" s="34" t="n">
        <f aca="false">I54+I52-I55</f>
        <v>26.9515357783257</v>
      </c>
      <c r="J56" s="34" t="n">
        <f aca="false">J54+J52-J55</f>
        <v>27.4235143548648</v>
      </c>
      <c r="K56" s="34" t="n">
        <f aca="false">K54+K52-K55</f>
        <v>27.8802934158059</v>
      </c>
      <c r="L56" s="34" t="n">
        <f aca="false">L54+L52-L55</f>
        <v>28.3044054537435</v>
      </c>
    </row>
    <row r="57" customFormat="false" ht="15" hidden="false" customHeight="false" outlineLevel="0" collapsed="false">
      <c r="A57" s="11" t="s">
        <v>788</v>
      </c>
      <c r="B57" s="55" t="s">
        <v>353</v>
      </c>
      <c r="D57" s="33" t="n">
        <f aca="false">D51-D56</f>
        <v>22.821351</v>
      </c>
      <c r="E57" s="33" t="n">
        <f aca="false">E51-E56</f>
        <v>20.646929</v>
      </c>
      <c r="F57" s="33" t="n">
        <f aca="false">F51-F56</f>
        <v>17.138679</v>
      </c>
      <c r="G57" s="33" t="n">
        <f aca="false">G51-G56</f>
        <v>14.878937</v>
      </c>
      <c r="H57" s="34" t="n">
        <f aca="false">H51-H56</f>
        <v>13.8055945734655</v>
      </c>
      <c r="I57" s="34" t="n">
        <f aca="false">I51-I56</f>
        <v>15.1804563518022</v>
      </c>
      <c r="J57" s="34" t="n">
        <f aca="false">J51-J56</f>
        <v>17.5193660981396</v>
      </c>
      <c r="K57" s="34" t="n">
        <f aca="false">K51-K56</f>
        <v>19.0883373979713</v>
      </c>
      <c r="L57" s="34" t="n">
        <f aca="false">L51-L56</f>
        <v>19.671787681438</v>
      </c>
    </row>
    <row r="58" customFormat="false" ht="15" hidden="false" customHeight="false" outlineLevel="0" collapsed="false">
      <c r="A58" s="11" t="s">
        <v>789</v>
      </c>
      <c r="B58" s="56" t="s">
        <v>317</v>
      </c>
      <c r="D58" s="31" t="n">
        <f aca="false">IFERROR(D57/D51,0)</f>
        <v>0.475695385044072</v>
      </c>
      <c r="E58" s="31" t="n">
        <f aca="false">IFERROR(E57/E51,0)</f>
        <v>0.421861395691964</v>
      </c>
      <c r="F58" s="31" t="n">
        <f aca="false">IFERROR(F57/F51,0)</f>
        <v>0.384060317624437</v>
      </c>
      <c r="G58" s="31" t="n">
        <f aca="false">IFERROR(G57/G51,0)</f>
        <v>0.361748864652253</v>
      </c>
      <c r="H58" s="32" t="n">
        <f aca="false">IFERROR(H57/H51,0)</f>
        <v>0.342156732288499</v>
      </c>
      <c r="I58" s="32" t="n">
        <f aca="false">IFERROR(I57/I51,0)</f>
        <v>0.360307110684826</v>
      </c>
      <c r="J58" s="32" t="n">
        <f aca="false">IFERROR(J57/J51,0)</f>
        <v>0.389814046664391</v>
      </c>
      <c r="K58" s="32" t="n">
        <f aca="false">IFERROR(K57/K51,0)</f>
        <v>0.406406085662862</v>
      </c>
      <c r="L58" s="32" t="n">
        <f aca="false">IFERROR(L57/L51,0)</f>
        <v>0.410032276341918</v>
      </c>
    </row>
    <row r="59" customFormat="false" ht="15" hidden="false" customHeight="false" outlineLevel="0" collapsed="false">
      <c r="A59" s="90" t="s">
        <v>792</v>
      </c>
      <c r="B59" s="91"/>
      <c r="C59" s="91" t="s">
        <v>312</v>
      </c>
      <c r="D59" s="91" t="s">
        <v>313</v>
      </c>
      <c r="E59" s="91" t="s">
        <v>87</v>
      </c>
      <c r="F59" s="91" t="s">
        <v>88</v>
      </c>
      <c r="G59" s="91" t="s">
        <v>11</v>
      </c>
      <c r="H59" s="91" t="s">
        <v>12</v>
      </c>
      <c r="I59" s="91" t="s">
        <v>13</v>
      </c>
      <c r="J59" s="91" t="s">
        <v>14</v>
      </c>
      <c r="K59" s="91" t="s">
        <v>15</v>
      </c>
      <c r="L59" s="91" t="s">
        <v>16</v>
      </c>
      <c r="M59" s="91"/>
    </row>
    <row r="60" customFormat="false" ht="15" hidden="false" customHeight="false" outlineLevel="0" collapsed="false">
      <c r="A60" s="11" t="s">
        <v>779</v>
      </c>
      <c r="B60" s="55" t="s">
        <v>353</v>
      </c>
      <c r="E60" s="30" t="n">
        <v>156.850876</v>
      </c>
      <c r="F60" s="30" t="n">
        <v>163.577247</v>
      </c>
      <c r="G60" s="30" t="n">
        <v>169.837274</v>
      </c>
      <c r="H60" s="34" t="n">
        <f aca="false">G63</f>
        <v>278.482444</v>
      </c>
      <c r="I60" s="34" t="n">
        <f aca="false">H63</f>
        <v>355.629579435199</v>
      </c>
      <c r="J60" s="34" t="n">
        <f aca="false">I63</f>
        <v>494.29249187908</v>
      </c>
      <c r="K60" s="34" t="n">
        <f aca="false">J63</f>
        <v>659.748630543865</v>
      </c>
      <c r="L60" s="34" t="n">
        <f aca="false">K63</f>
        <v>807.303824050096</v>
      </c>
    </row>
    <row r="61" customFormat="false" ht="15" hidden="false" customHeight="false" outlineLevel="0" collapsed="false">
      <c r="A61" s="11" t="s">
        <v>780</v>
      </c>
      <c r="B61" s="55" t="s">
        <v>353</v>
      </c>
      <c r="E61" s="30" t="n">
        <v>10.706695</v>
      </c>
      <c r="F61" s="30" t="n">
        <v>30.189694</v>
      </c>
      <c r="G61" s="30" t="n">
        <v>110.721826</v>
      </c>
      <c r="H61" s="24" t="n">
        <f aca="false">(H19+H13)*假设!H176</f>
        <v>85.5016087551986</v>
      </c>
      <c r="I61" s="24" t="n">
        <f aca="false">(I19+I13)*假设!I176</f>
        <v>149.331799826937</v>
      </c>
      <c r="J61" s="24" t="n">
        <f aca="false">(J19+J13)*假设!J176</f>
        <v>180.284913421158</v>
      </c>
      <c r="K61" s="24" t="n">
        <f aca="false">(K19+K13)*假设!K176</f>
        <v>167.347652422547</v>
      </c>
      <c r="L61" s="24" t="n">
        <f aca="false">(L19+L13)*假设!L176</f>
        <v>146.413585338072</v>
      </c>
    </row>
    <row r="62" customFormat="false" ht="15" hidden="false" customHeight="false" outlineLevel="0" collapsed="false">
      <c r="A62" s="11" t="s">
        <v>781</v>
      </c>
      <c r="B62" s="55" t="s">
        <v>353</v>
      </c>
      <c r="E62" s="30" t="n">
        <v>3.980323</v>
      </c>
      <c r="F62" s="30" t="n">
        <v>23.929668</v>
      </c>
      <c r="G62" s="30" t="n">
        <v>2.076656</v>
      </c>
      <c r="H62" s="24" t="n">
        <f aca="false">H60*假设!H191</f>
        <v>8.35447332</v>
      </c>
      <c r="I62" s="24" t="n">
        <f aca="false">I60*假设!I191</f>
        <v>10.668887383056</v>
      </c>
      <c r="J62" s="24" t="n">
        <f aca="false">J60*假设!J191</f>
        <v>14.8287747563724</v>
      </c>
      <c r="K62" s="24" t="n">
        <f aca="false">K60*假设!K191</f>
        <v>19.792458916316</v>
      </c>
      <c r="L62" s="24" t="n">
        <f aca="false">L60*假设!L191</f>
        <v>24.2191147215029</v>
      </c>
    </row>
    <row r="63" customFormat="false" ht="15" hidden="false" customHeight="false" outlineLevel="0" collapsed="false">
      <c r="A63" s="9" t="s">
        <v>782</v>
      </c>
      <c r="B63" s="55" t="s">
        <v>353</v>
      </c>
      <c r="D63" s="69" t="n">
        <v>156.850876</v>
      </c>
      <c r="E63" s="69" t="n">
        <v>163.577247</v>
      </c>
      <c r="F63" s="69" t="n">
        <v>169.837274</v>
      </c>
      <c r="G63" s="69" t="n">
        <v>278.482444</v>
      </c>
      <c r="H63" s="76" t="n">
        <f aca="false">H60+H61-H62</f>
        <v>355.629579435199</v>
      </c>
      <c r="I63" s="76" t="n">
        <f aca="false">I60+I61-I62</f>
        <v>494.29249187908</v>
      </c>
      <c r="J63" s="76" t="n">
        <f aca="false">J60+J61-J62</f>
        <v>659.748630543865</v>
      </c>
      <c r="K63" s="76" t="n">
        <f aca="false">K60+K61-K62</f>
        <v>807.303824050096</v>
      </c>
      <c r="L63" s="76" t="n">
        <f aca="false">L60+L61-L62</f>
        <v>929.498294666666</v>
      </c>
    </row>
    <row r="64" customFormat="false" ht="15" hidden="false" customHeight="false" outlineLevel="0" collapsed="false">
      <c r="A64" s="11" t="s">
        <v>783</v>
      </c>
      <c r="B64" s="55" t="s">
        <v>353</v>
      </c>
      <c r="E64" s="30" t="n">
        <v>14.301098</v>
      </c>
      <c r="F64" s="30" t="n">
        <v>16.781641</v>
      </c>
      <c r="G64" s="30" t="n">
        <v>25.243439</v>
      </c>
      <c r="H64" s="24" t="n">
        <f aca="false">(H60+0.5*H61-0.5*H62)*假设!H190</f>
        <v>34.8761612889359</v>
      </c>
      <c r="I64" s="24" t="n">
        <f aca="false">(I60+0.5*I61-0.5*I62)*假设!I190</f>
        <v>46.7457139222853</v>
      </c>
      <c r="J64" s="24" t="n">
        <f aca="false">(J60+0.5*J61-0.5*J62)*假设!J190</f>
        <v>63.4722617332619</v>
      </c>
      <c r="K64" s="24" t="n">
        <f aca="false">(K60+0.5*K61-0.5*K62)*假设!K190</f>
        <v>80.6878850026679</v>
      </c>
      <c r="L64" s="24" t="n">
        <f aca="false">(L60+0.5*L61-0.5*L62)*假设!L190</f>
        <v>95.5241165294219</v>
      </c>
    </row>
    <row r="65" customFormat="false" ht="15" hidden="false" customHeight="false" outlineLevel="0" collapsed="false">
      <c r="A65" s="11" t="s">
        <v>784</v>
      </c>
      <c r="B65" s="56" t="s">
        <v>317</v>
      </c>
      <c r="E65" s="92" t="n">
        <f aca="false">IFERROR(E64/(E60+0.5*E61-0.5*E62),0)</f>
        <v>0.0892624393981098</v>
      </c>
      <c r="F65" s="92" t="n">
        <f aca="false">IFERROR(F64/(F60+0.5*F61-0.5*F62),0)</f>
        <v>0.100665327952724</v>
      </c>
      <c r="G65" s="92" t="n">
        <f aca="false">IFERROR(G64/(G60+0.5*G61-0.5*G62),0)</f>
        <v>0.112613556738542</v>
      </c>
      <c r="H65" s="93" t="n">
        <f aca="false">假设!H190</f>
        <v>0.11</v>
      </c>
      <c r="I65" s="93" t="n">
        <f aca="false">假设!I190</f>
        <v>0.11</v>
      </c>
      <c r="J65" s="93" t="n">
        <f aca="false">假设!J190</f>
        <v>0.11</v>
      </c>
      <c r="K65" s="93" t="n">
        <f aca="false">假设!K190</f>
        <v>0.11</v>
      </c>
      <c r="L65" s="93" t="n">
        <f aca="false">假设!L190</f>
        <v>0.11</v>
      </c>
    </row>
    <row r="66" customFormat="false" ht="15" hidden="false" customHeight="false" outlineLevel="0" collapsed="false">
      <c r="A66" s="11" t="s">
        <v>785</v>
      </c>
      <c r="B66" s="55" t="s">
        <v>353</v>
      </c>
      <c r="E66" s="30" t="n">
        <v>65.396865</v>
      </c>
      <c r="F66" s="30" t="n">
        <v>77.896045</v>
      </c>
      <c r="G66" s="30" t="n">
        <v>71.175755</v>
      </c>
      <c r="H66" s="34" t="n">
        <f aca="false">G68</f>
        <v>95.756225</v>
      </c>
      <c r="I66" s="34" t="n">
        <f aca="false">H68</f>
        <v>124.784254964936</v>
      </c>
      <c r="J66" s="34" t="n">
        <f aca="false">I68</f>
        <v>164.061747719082</v>
      </c>
      <c r="K66" s="34" t="n">
        <f aca="false">J68</f>
        <v>217.153867122883</v>
      </c>
      <c r="L66" s="34" t="n">
        <f aca="false">K68</f>
        <v>283.98703088413</v>
      </c>
    </row>
    <row r="67" customFormat="false" ht="15" hidden="false" customHeight="false" outlineLevel="0" collapsed="false">
      <c r="A67" s="11" t="s">
        <v>786</v>
      </c>
      <c r="B67" s="55" t="s">
        <v>353</v>
      </c>
      <c r="E67" s="30" t="n">
        <v>1.801918</v>
      </c>
      <c r="F67" s="30" t="n">
        <v>23.501931</v>
      </c>
      <c r="G67" s="30" t="n">
        <v>0.662968</v>
      </c>
      <c r="H67" s="24" t="n">
        <f aca="false">H62*假设!H192</f>
        <v>5.848131324</v>
      </c>
      <c r="I67" s="24" t="n">
        <f aca="false">I62*假设!I192</f>
        <v>7.46822116813917</v>
      </c>
      <c r="J67" s="24" t="n">
        <f aca="false">J62*假设!J192</f>
        <v>10.3801423294607</v>
      </c>
      <c r="K67" s="24" t="n">
        <f aca="false">K62*假设!K192</f>
        <v>13.8547212414212</v>
      </c>
      <c r="L67" s="24" t="n">
        <f aca="false">L62*假设!L192</f>
        <v>16.953380305052</v>
      </c>
    </row>
    <row r="68" customFormat="false" ht="15" hidden="false" customHeight="false" outlineLevel="0" collapsed="false">
      <c r="A68" s="11" t="s">
        <v>787</v>
      </c>
      <c r="B68" s="55" t="s">
        <v>353</v>
      </c>
      <c r="D68" s="30" t="n">
        <v>65.396865</v>
      </c>
      <c r="E68" s="30" t="n">
        <v>77.896045</v>
      </c>
      <c r="F68" s="30" t="n">
        <v>71.175755</v>
      </c>
      <c r="G68" s="30" t="n">
        <v>95.756225</v>
      </c>
      <c r="H68" s="34" t="n">
        <f aca="false">H66+H64-H67</f>
        <v>124.784254964936</v>
      </c>
      <c r="I68" s="34" t="n">
        <f aca="false">I66+I64-I67</f>
        <v>164.061747719082</v>
      </c>
      <c r="J68" s="34" t="n">
        <f aca="false">J66+J64-J67</f>
        <v>217.153867122883</v>
      </c>
      <c r="K68" s="34" t="n">
        <f aca="false">K66+K64-K67</f>
        <v>283.98703088413</v>
      </c>
      <c r="L68" s="34" t="n">
        <f aca="false">L66+L64-L67</f>
        <v>362.5577671085</v>
      </c>
    </row>
    <row r="69" customFormat="false" ht="15" hidden="false" customHeight="false" outlineLevel="0" collapsed="false">
      <c r="A69" s="11" t="s">
        <v>788</v>
      </c>
      <c r="B69" s="55" t="s">
        <v>353</v>
      </c>
      <c r="D69" s="33" t="n">
        <f aca="false">D63-D68</f>
        <v>91.454011</v>
      </c>
      <c r="E69" s="33" t="n">
        <f aca="false">E63-E68</f>
        <v>85.681202</v>
      </c>
      <c r="F69" s="33" t="n">
        <f aca="false">F63-F68</f>
        <v>98.661519</v>
      </c>
      <c r="G69" s="33" t="n">
        <f aca="false">G63-G68</f>
        <v>182.726219</v>
      </c>
      <c r="H69" s="34" t="n">
        <f aca="false">H63-H68</f>
        <v>230.845324470263</v>
      </c>
      <c r="I69" s="34" t="n">
        <f aca="false">I63-I68</f>
        <v>330.230744159998</v>
      </c>
      <c r="J69" s="34" t="n">
        <f aca="false">J63-J68</f>
        <v>442.594763420982</v>
      </c>
      <c r="K69" s="34" t="n">
        <f aca="false">K63-K68</f>
        <v>523.316793165966</v>
      </c>
      <c r="L69" s="34" t="n">
        <f aca="false">L63-L68</f>
        <v>566.940527558166</v>
      </c>
    </row>
    <row r="70" customFormat="false" ht="15" hidden="false" customHeight="false" outlineLevel="0" collapsed="false">
      <c r="A70" s="11" t="s">
        <v>789</v>
      </c>
      <c r="B70" s="56" t="s">
        <v>317</v>
      </c>
      <c r="D70" s="31" t="n">
        <f aca="false">IFERROR(D69/D63,0)</f>
        <v>0.583063437911561</v>
      </c>
      <c r="E70" s="31" t="n">
        <f aca="false">IFERROR(E69/E63,0)</f>
        <v>0.523796576671816</v>
      </c>
      <c r="F70" s="31" t="n">
        <f aca="false">IFERROR(F69/F63,0)</f>
        <v>0.580917937955128</v>
      </c>
      <c r="G70" s="31" t="n">
        <f aca="false">IFERROR(G69/G63,0)</f>
        <v>0.656149868463522</v>
      </c>
      <c r="H70" s="32" t="n">
        <f aca="false">IFERROR(H69/H63,0)</f>
        <v>0.649117333931798</v>
      </c>
      <c r="I70" s="32" t="n">
        <f aca="false">IFERROR(I69/I63,0)</f>
        <v>0.668087720500483</v>
      </c>
      <c r="J70" s="32" t="n">
        <f aca="false">IFERROR(J69/J63,0)</f>
        <v>0.670853629595454</v>
      </c>
      <c r="K70" s="32" t="n">
        <f aca="false">IFERROR(K69/K63,0)</f>
        <v>0.648227814084394</v>
      </c>
      <c r="L70" s="32" t="n">
        <f aca="false">IFERROR(L69/L63,0)</f>
        <v>0.609942515022559</v>
      </c>
    </row>
    <row r="71" customFormat="false" ht="15" hidden="false" customHeight="false" outlineLevel="0" collapsed="false">
      <c r="A71" s="40" t="s">
        <v>793</v>
      </c>
      <c r="B71" s="6"/>
      <c r="C71" s="6"/>
      <c r="D71" s="6"/>
      <c r="E71" s="6"/>
      <c r="F71" s="6"/>
      <c r="G71" s="6"/>
      <c r="H71" s="6"/>
      <c r="I71" s="6"/>
      <c r="J71" s="6"/>
      <c r="K71" s="6"/>
      <c r="L71" s="6"/>
      <c r="M71" s="6"/>
    </row>
    <row r="72" customFormat="false" ht="15" hidden="false" customHeight="false" outlineLevel="0" collapsed="false">
      <c r="A72" s="11" t="s">
        <v>794</v>
      </c>
      <c r="B72" s="55" t="s">
        <v>353</v>
      </c>
      <c r="D72" s="33" t="n">
        <f aca="false">D27+D39+D51+D63</f>
        <v>7784.206973</v>
      </c>
      <c r="E72" s="33" t="n">
        <f aca="false">E27+E39+E51+E63</f>
        <v>8183.623498</v>
      </c>
      <c r="F72" s="33" t="n">
        <f aca="false">F27+F39+F51+F63</f>
        <v>9300.873104</v>
      </c>
      <c r="G72" s="33" t="n">
        <f aca="false">G27+G39+G51+G63</f>
        <v>10398.058382</v>
      </c>
      <c r="H72" s="34" t="n">
        <f aca="false">H27+H39+H51+H63</f>
        <v>11381.7585275663</v>
      </c>
      <c r="I72" s="34" t="n">
        <f aca="false">I27+I39+I51+I63</f>
        <v>13182.462615749</v>
      </c>
      <c r="J72" s="34" t="n">
        <f aca="false">J27+J39+J51+J63</f>
        <v>15363.2378457743</v>
      </c>
      <c r="K72" s="34" t="n">
        <f aca="false">K27+K39+K51+K63</f>
        <v>17348.8487724076</v>
      </c>
      <c r="L72" s="34" t="n">
        <f aca="false">L27+L39+L51+L63</f>
        <v>19037.552171176</v>
      </c>
    </row>
    <row r="73" customFormat="false" ht="15" hidden="false" customHeight="false" outlineLevel="0" collapsed="false">
      <c r="A73" s="11" t="s">
        <v>795</v>
      </c>
      <c r="B73" s="55" t="s">
        <v>353</v>
      </c>
      <c r="D73" s="33" t="n">
        <f aca="false">D32+D44+D56+D68</f>
        <v>2572.364259</v>
      </c>
      <c r="E73" s="33" t="n">
        <f aca="false">E32+E44+E56+E68</f>
        <v>3062.505266</v>
      </c>
      <c r="F73" s="33" t="n">
        <f aca="false">F32+F44+F56+F68</f>
        <v>3547.438908</v>
      </c>
      <c r="G73" s="33" t="n">
        <f aca="false">G32+G44+G56+G68</f>
        <v>4189.056836</v>
      </c>
      <c r="H73" s="34" t="n">
        <f aca="false">H32+H44+H56+H68</f>
        <v>4874.09432708657</v>
      </c>
      <c r="I73" s="34" t="n">
        <f aca="false">I32+I44+I56+I68</f>
        <v>5650.38845667104</v>
      </c>
      <c r="J73" s="34" t="n">
        <f aca="false">J32+J44+J56+J68</f>
        <v>6553.96498952938</v>
      </c>
      <c r="K73" s="34" t="n">
        <f aca="false">K32+K44+K56+K68</f>
        <v>7588.61852073445</v>
      </c>
      <c r="L73" s="34" t="n">
        <f aca="false">L32+L44+L56+L68</f>
        <v>8739.20199458669</v>
      </c>
    </row>
    <row r="74" customFormat="false" ht="15" hidden="false" customHeight="false" outlineLevel="0" collapsed="false">
      <c r="A74" s="11" t="s">
        <v>796</v>
      </c>
      <c r="B74" s="55" t="s">
        <v>353</v>
      </c>
      <c r="D74" s="30" t="n">
        <v>21.29009</v>
      </c>
      <c r="E74" s="30" t="n">
        <v>20.360676</v>
      </c>
      <c r="F74" s="30" t="n">
        <v>19.647001</v>
      </c>
      <c r="G74" s="30" t="n">
        <v>19.460897</v>
      </c>
      <c r="H74" s="24" t="n">
        <f aca="false">G74-税务与其他损益!H17</f>
        <v>38.900897</v>
      </c>
      <c r="I74" s="24" t="n">
        <f aca="false">H74-税务与其他损益!I17</f>
        <v>38.900897</v>
      </c>
      <c r="J74" s="24" t="n">
        <f aca="false">I74-税务与其他损益!J17</f>
        <v>38.900897</v>
      </c>
      <c r="K74" s="24" t="n">
        <f aca="false">J74-税务与其他损益!K17</f>
        <v>38.900897</v>
      </c>
      <c r="L74" s="24" t="n">
        <f aca="false">K74-税务与其他损益!L17</f>
        <v>38.900897</v>
      </c>
      <c r="M74" s="2" t="s">
        <v>797</v>
      </c>
    </row>
    <row r="75" customFormat="false" ht="15" hidden="false" customHeight="false" outlineLevel="0" collapsed="false">
      <c r="A75" s="11" t="s">
        <v>798</v>
      </c>
      <c r="B75" s="55" t="s">
        <v>353</v>
      </c>
      <c r="E75" s="30" t="n">
        <v>1.924903</v>
      </c>
      <c r="M75" s="2" t="s">
        <v>799</v>
      </c>
    </row>
    <row r="76" customFormat="false" ht="15" hidden="false" customHeight="false" outlineLevel="0" collapsed="false">
      <c r="A76" s="9" t="s">
        <v>800</v>
      </c>
      <c r="B76" s="55" t="s">
        <v>353</v>
      </c>
      <c r="C76" s="23" t="n">
        <f aca="false">历史资产负债表!E22</f>
        <v>4312.4233</v>
      </c>
      <c r="D76" s="23" t="n">
        <f aca="false">历史资产负债表!F22</f>
        <v>5190.5526</v>
      </c>
      <c r="E76" s="23" t="n">
        <f aca="false">历史资产负债表!G22</f>
        <v>5102.6825</v>
      </c>
      <c r="F76" s="23" t="n">
        <f aca="false">历史资产负债表!H22</f>
        <v>5733.7872</v>
      </c>
      <c r="G76" s="23" t="n">
        <f aca="false">历史资产负债表!I22</f>
        <v>6189.5406</v>
      </c>
      <c r="H76" s="76" t="n">
        <f aca="false">H72-H73-H74</f>
        <v>6468.7633034797</v>
      </c>
      <c r="I76" s="76" t="n">
        <f aca="false">I72-I73-I74</f>
        <v>7493.17326207797</v>
      </c>
      <c r="J76" s="76" t="n">
        <f aca="false">J72-J73-J74</f>
        <v>8770.37195924497</v>
      </c>
      <c r="K76" s="76" t="n">
        <f aca="false">K72-K73-K74</f>
        <v>9721.32935467316</v>
      </c>
      <c r="L76" s="76" t="n">
        <f aca="false">L72-L73-L74</f>
        <v>10259.4492795894</v>
      </c>
    </row>
    <row r="77" customFormat="false" ht="15" hidden="false" customHeight="false" outlineLevel="0" collapsed="false">
      <c r="A77" s="11" t="s">
        <v>801</v>
      </c>
      <c r="B77" s="55" t="s">
        <v>353</v>
      </c>
      <c r="D77" s="33" t="n">
        <f aca="false">ROUND(D72-D73-D74+N(D75)-D76,1)</f>
        <v>0</v>
      </c>
      <c r="E77" s="33" t="n">
        <f aca="false">ROUND(E72-E73-E74+N(E75)-E76,1)</f>
        <v>-0</v>
      </c>
      <c r="F77" s="33" t="n">
        <f aca="false">ROUND(F72-F73-F74+N(F75)-F76,1)</f>
        <v>-0</v>
      </c>
      <c r="G77" s="33" t="n">
        <f aca="false">ROUND(G72-G73-G74+N(G75)-G76,1)</f>
        <v>0</v>
      </c>
    </row>
    <row r="78" customFormat="false" ht="15" hidden="false" customHeight="false" outlineLevel="0" collapsed="false">
      <c r="A78" s="9" t="s">
        <v>802</v>
      </c>
      <c r="B78" s="55" t="s">
        <v>353</v>
      </c>
      <c r="C78" s="23" t="n">
        <f aca="false">历史现金流量表!E43</f>
        <v>364.7864</v>
      </c>
      <c r="D78" s="23" t="n">
        <f aca="false">历史现金流量表!F43</f>
        <v>515.7214</v>
      </c>
      <c r="E78" s="80" t="n">
        <f aca="false">E28+E40+E52+E64</f>
        <v>583.180806</v>
      </c>
      <c r="F78" s="80" t="n">
        <f aca="false">F28+F40+F52+F64</f>
        <v>624.2496</v>
      </c>
      <c r="G78" s="80" t="n">
        <f aca="false">G28+G40+G52+G64</f>
        <v>711.430185</v>
      </c>
      <c r="H78" s="76" t="n">
        <f aca="false">H28+H40+H52+H64</f>
        <v>784.976028185668</v>
      </c>
      <c r="I78" s="76" t="n">
        <f aca="false">I28+I40+I52+I64</f>
        <v>885.465466003595</v>
      </c>
      <c r="J78" s="76" t="n">
        <f aca="false">J28+J40+J52+J64</f>
        <v>1029.69690526976</v>
      </c>
      <c r="K78" s="76" t="n">
        <f aca="false">K28+K40+K52+K64</f>
        <v>1181.81125200519</v>
      </c>
      <c r="L78" s="76" t="n">
        <f aca="false">L28+L40+L52+L64</f>
        <v>1317.16562764355</v>
      </c>
    </row>
    <row r="79" customFormat="false" ht="15" hidden="false" customHeight="false" outlineLevel="0" collapsed="false">
      <c r="A79" s="11" t="s">
        <v>803</v>
      </c>
      <c r="B79" s="55" t="s">
        <v>353</v>
      </c>
      <c r="H79" s="34" t="n">
        <f aca="false">(H26-H31)+(H38-H43)+(H50-H55)+(H62-H67)</f>
        <v>26.7718206489</v>
      </c>
      <c r="I79" s="34" t="n">
        <f aca="false">(I26-I31)+(I38-I43)+(I50-I55)+(I62-I67)</f>
        <v>29.4985991245848</v>
      </c>
      <c r="J79" s="34" t="n">
        <f aca="false">(J26-J31)+(J38-J43)+(J50-J55)+(J62-J67)</f>
        <v>34.4669095263397</v>
      </c>
      <c r="K79" s="34" t="n">
        <f aca="false">(K26-K31)+(K38-K43)+(K50-K55)+(K62-K67)</f>
        <v>40.5774879243777</v>
      </c>
      <c r="L79" s="34" t="n">
        <f aca="false">(L26-L31)+(L38-L43)+(L50-L55)+(L62-L67)</f>
        <v>46.1895817009323</v>
      </c>
    </row>
    <row r="80" customFormat="false" ht="15" hidden="false" customHeight="false" outlineLevel="0" collapsed="false">
      <c r="A80" s="9" t="s">
        <v>804</v>
      </c>
      <c r="B80" s="55" t="s">
        <v>353</v>
      </c>
      <c r="C80" s="80" t="n">
        <f aca="false">C76+C20</f>
        <v>5037.4875</v>
      </c>
      <c r="D80" s="80" t="n">
        <f aca="false">D76+D20</f>
        <v>5881.0911</v>
      </c>
      <c r="E80" s="80" t="n">
        <f aca="false">E76+E20</f>
        <v>5783.8854</v>
      </c>
      <c r="F80" s="80" t="n">
        <f aca="false">F76+F20</f>
        <v>6327.452</v>
      </c>
      <c r="G80" s="80" t="n">
        <f aca="false">G76+G20</f>
        <v>6589.7152</v>
      </c>
      <c r="H80" s="76" t="n">
        <f aca="false">H76+H20</f>
        <v>7506.50273345863</v>
      </c>
      <c r="I80" s="76" t="n">
        <f aca="false">I76+I20</f>
        <v>9145.1311372593</v>
      </c>
      <c r="J80" s="76" t="n">
        <f aca="false">J76+J20</f>
        <v>10404.4810466518</v>
      </c>
      <c r="K80" s="76" t="n">
        <f aca="false">K76+K20</f>
        <v>11071.0276721772</v>
      </c>
      <c r="L80" s="76" t="n">
        <f aca="false">L76+L20</f>
        <v>11357.1316214669</v>
      </c>
    </row>
    <row r="81" customFormat="false" ht="15" hidden="false" customHeight="false" outlineLevel="0" collapsed="false">
      <c r="A81" s="11" t="s">
        <v>805</v>
      </c>
      <c r="B81" s="56" t="s">
        <v>663</v>
      </c>
      <c r="E81" s="94" t="n">
        <f aca="false">IFERROR(历史利润表!G6/AVERAGE(E72,D72),0)</f>
        <v>0.717278218904006</v>
      </c>
      <c r="F81" s="94" t="n">
        <f aca="false">IFERROR(历史利润表!H6/AVERAGE(F72,E72),0)</f>
        <v>0.843603446856617</v>
      </c>
      <c r="G81" s="94" t="n">
        <f aca="false">IFERROR(历史利润表!I6/AVERAGE(G72,F72),0)</f>
        <v>0.91448146884529</v>
      </c>
      <c r="H81" s="95" t="n">
        <f aca="false">IFERROR(收入拆解!H47/AVERAGE(H72,G72),0)</f>
        <v>1.27303067056547</v>
      </c>
      <c r="I81" s="95" t="n">
        <f aca="false">IFERROR(收入拆解!I47/AVERAGE(I72,H72),0)</f>
        <v>1.42898102491729</v>
      </c>
      <c r="J81" s="95" t="n">
        <f aca="false">IFERROR(收入拆解!J47/AVERAGE(J72,I72),0)</f>
        <v>1.41213680589565</v>
      </c>
      <c r="K81" s="95" t="n">
        <f aca="false">IFERROR(收入拆解!K47/AVERAGE(K72,J72),0)</f>
        <v>1.35711041007776</v>
      </c>
      <c r="L81" s="95" t="n">
        <f aca="false">IFERROR(收入拆解!L47/AVERAGE(L72,K72),0)</f>
        <v>1.30234862309597</v>
      </c>
    </row>
    <row r="82" customFormat="false" ht="15" hidden="false" customHeight="false" outlineLevel="0" collapsed="false">
      <c r="A82" s="40" t="s">
        <v>806</v>
      </c>
      <c r="B82" s="6"/>
      <c r="C82" s="6"/>
      <c r="D82" s="6"/>
      <c r="E82" s="6"/>
      <c r="F82" s="6"/>
      <c r="G82" s="6"/>
      <c r="H82" s="6"/>
      <c r="I82" s="6"/>
      <c r="J82" s="6"/>
      <c r="K82" s="6"/>
      <c r="L82" s="6"/>
      <c r="M82" s="6"/>
    </row>
    <row r="83" customFormat="false" ht="15" hidden="false" customHeight="false" outlineLevel="0" collapsed="false">
      <c r="A83" s="11" t="s">
        <v>807</v>
      </c>
      <c r="B83" s="55" t="s">
        <v>353</v>
      </c>
      <c r="D83" s="33" t="n">
        <f aca="false">C86</f>
        <v>318.6494</v>
      </c>
      <c r="E83" s="33" t="n">
        <f aca="false">D86</f>
        <v>388.2714</v>
      </c>
      <c r="F83" s="33" t="n">
        <f aca="false">E86</f>
        <v>471.5778</v>
      </c>
      <c r="G83" s="33" t="n">
        <f aca="false">F86</f>
        <v>458.3921</v>
      </c>
      <c r="H83" s="34" t="n">
        <f aca="false">G86</f>
        <v>455.4018</v>
      </c>
      <c r="I83" s="34" t="n">
        <f aca="false">H86</f>
        <v>471.7209064</v>
      </c>
      <c r="J83" s="34" t="n">
        <f aca="false">I86</f>
        <v>487.1914192672</v>
      </c>
      <c r="K83" s="34" t="n">
        <f aca="false">J86</f>
        <v>496.857465465306</v>
      </c>
      <c r="L83" s="34" t="n">
        <f aca="false">K86</f>
        <v>501.02087726111</v>
      </c>
    </row>
    <row r="84" customFormat="false" ht="15" hidden="false" customHeight="false" outlineLevel="0" collapsed="false">
      <c r="A84" s="11" t="s">
        <v>808</v>
      </c>
      <c r="B84" s="55" t="s">
        <v>353</v>
      </c>
      <c r="H84" s="34" t="n">
        <f aca="false">H10</f>
        <v>40</v>
      </c>
      <c r="I84" s="34" t="n">
        <f aca="false">I10</f>
        <v>40</v>
      </c>
      <c r="J84" s="34" t="n">
        <f aca="false">J10</f>
        <v>35</v>
      </c>
      <c r="K84" s="34" t="n">
        <f aca="false">K10</f>
        <v>30</v>
      </c>
      <c r="L84" s="34" t="n">
        <f aca="false">L10</f>
        <v>30</v>
      </c>
    </row>
    <row r="85" customFormat="false" ht="15" hidden="false" customHeight="false" outlineLevel="0" collapsed="false">
      <c r="A85" s="11" t="s">
        <v>809</v>
      </c>
      <c r="B85" s="55" t="s">
        <v>353</v>
      </c>
      <c r="C85" s="10" t="n">
        <f aca="false">历史现金流量表!E44+历史现金流量表!E46</f>
        <v>15.1737</v>
      </c>
      <c r="D85" s="10" t="n">
        <f aca="false">历史现金流量表!F44+历史现金流量表!F46</f>
        <v>17.6565</v>
      </c>
      <c r="E85" s="10" t="n">
        <f aca="false">历史现金流量表!G44+历史现金流量表!G46</f>
        <v>18.8674</v>
      </c>
      <c r="F85" s="10" t="n">
        <f aca="false">历史现金流量表!H44+历史现金流量表!H46</f>
        <v>22.0671</v>
      </c>
      <c r="G85" s="10" t="n">
        <f aca="false">历史现金流量表!I44+历史现金流量表!I46</f>
        <v>24.3228</v>
      </c>
      <c r="H85" s="24" t="n">
        <f aca="false">H83*假设!H193</f>
        <v>23.6808936</v>
      </c>
      <c r="I85" s="24" t="n">
        <f aca="false">I83*假设!I193</f>
        <v>24.5294871328</v>
      </c>
      <c r="J85" s="24" t="n">
        <f aca="false">J83*假设!J193</f>
        <v>25.3339538018944</v>
      </c>
      <c r="K85" s="24" t="n">
        <f aca="false">K83*假设!K193</f>
        <v>25.8365882041959</v>
      </c>
      <c r="L85" s="24" t="n">
        <f aca="false">L83*假设!L193</f>
        <v>26.0530856175777</v>
      </c>
    </row>
    <row r="86" customFormat="false" ht="15" hidden="false" customHeight="false" outlineLevel="0" collapsed="false">
      <c r="A86" s="9" t="s">
        <v>810</v>
      </c>
      <c r="B86" s="55" t="s">
        <v>353</v>
      </c>
      <c r="C86" s="23" t="n">
        <f aca="false">历史资产负债表!E28+N(历史资产负债表!E30)</f>
        <v>318.6494</v>
      </c>
      <c r="D86" s="23" t="n">
        <f aca="false">历史资产负债表!F28+N(历史资产负债表!F30)</f>
        <v>388.2714</v>
      </c>
      <c r="E86" s="23" t="n">
        <f aca="false">历史资产负债表!G28+N(历史资产负债表!G30)</f>
        <v>471.5778</v>
      </c>
      <c r="F86" s="23" t="n">
        <f aca="false">历史资产负债表!H28+N(历史资产负债表!H30)</f>
        <v>458.3921</v>
      </c>
      <c r="G86" s="23" t="n">
        <f aca="false">历史资产负债表!I28+N(历史资产负债表!I30)</f>
        <v>455.4018</v>
      </c>
      <c r="H86" s="76" t="n">
        <f aca="false">H83+H84-H85</f>
        <v>471.7209064</v>
      </c>
      <c r="I86" s="76" t="n">
        <f aca="false">I83+I84-I85</f>
        <v>487.1914192672</v>
      </c>
      <c r="J86" s="76" t="n">
        <f aca="false">J83+J84-J85</f>
        <v>496.857465465306</v>
      </c>
      <c r="K86" s="76" t="n">
        <f aca="false">K83+K84-K85</f>
        <v>501.02087726111</v>
      </c>
      <c r="L86" s="76" t="n">
        <f aca="false">L83+L84-L85</f>
        <v>504.967791643532</v>
      </c>
    </row>
    <row r="87" customFormat="false" ht="15" hidden="false" customHeight="false" outlineLevel="0" collapsed="false">
      <c r="A87" s="11" t="s">
        <v>811</v>
      </c>
      <c r="B87" s="55" t="s">
        <v>353</v>
      </c>
      <c r="C87" s="10" t="n">
        <f aca="false">N(历史资产负债表!E27)</f>
        <v>9.2459</v>
      </c>
      <c r="D87" s="10" t="n">
        <f aca="false">N(历史资产负债表!F27)</f>
        <v>36.5573</v>
      </c>
      <c r="E87" s="10" t="n">
        <f aca="false">N(历史资产负债表!G27)</f>
        <v>29.9601</v>
      </c>
      <c r="F87" s="10" t="n">
        <f aca="false">N(历史资产负债表!H27)</f>
        <v>24.904</v>
      </c>
      <c r="G87" s="10" t="n">
        <f aca="false">N(历史资产负债表!I27)</f>
        <v>20.1651</v>
      </c>
      <c r="H87" s="34" t="n">
        <f aca="false">G87</f>
        <v>20.1651</v>
      </c>
      <c r="I87" s="34" t="n">
        <f aca="false">H87</f>
        <v>20.1651</v>
      </c>
      <c r="J87" s="34" t="n">
        <f aca="false">I87</f>
        <v>20.1651</v>
      </c>
      <c r="K87" s="34" t="n">
        <f aca="false">J87</f>
        <v>20.1651</v>
      </c>
      <c r="L87" s="34" t="n">
        <f aca="false">K87</f>
        <v>20.1651</v>
      </c>
    </row>
    <row r="88" customFormat="false" ht="15" hidden="false" customHeight="false" outlineLevel="0" collapsed="false">
      <c r="A88" s="11" t="s">
        <v>812</v>
      </c>
      <c r="B88" s="55" t="s">
        <v>353</v>
      </c>
      <c r="C88" s="10" t="n">
        <f aca="false">N(历史现金流量表!E45)</f>
        <v>7.5487</v>
      </c>
      <c r="D88" s="10" t="n">
        <f aca="false">N(历史现金流量表!F45)</f>
        <v>10.9972</v>
      </c>
      <c r="E88" s="10" t="n">
        <f aca="false">N(历史现金流量表!G45)</f>
        <v>7.3842</v>
      </c>
      <c r="F88" s="10" t="n">
        <f aca="false">N(历史现金流量表!H45)</f>
        <v>4.9635</v>
      </c>
      <c r="G88" s="10" t="n">
        <f aca="false">N(历史现金流量表!I45)</f>
        <v>4.6801</v>
      </c>
      <c r="H88" s="24" t="n">
        <f aca="false">假设!H194</f>
        <v>5</v>
      </c>
      <c r="I88" s="24" t="n">
        <f aca="false">假设!I194</f>
        <v>5</v>
      </c>
      <c r="J88" s="24" t="n">
        <f aca="false">假设!J194</f>
        <v>5</v>
      </c>
      <c r="K88" s="24" t="n">
        <f aca="false">假设!K194</f>
        <v>5</v>
      </c>
      <c r="L88" s="24" t="n">
        <f aca="false">假设!L194</f>
        <v>5</v>
      </c>
    </row>
    <row r="89" customFormat="false" ht="15" hidden="false" customHeight="false" outlineLevel="0" collapsed="false">
      <c r="A89" s="11" t="s">
        <v>813</v>
      </c>
      <c r="B89" s="55" t="s">
        <v>353</v>
      </c>
      <c r="C89" s="10" t="n">
        <f aca="false">N(历史资产负债表!E19)+N(历史资产负债表!E20)+N(历史资产负债表!E21)+N(历史资产负债表!E29)</f>
        <v>220.6149</v>
      </c>
      <c r="D89" s="10" t="n">
        <f aca="false">N(历史资产负债表!F19)+N(历史资产负债表!F20)+N(历史资产负债表!F21)+N(历史资产负债表!F29)</f>
        <v>226.9448</v>
      </c>
      <c r="E89" s="10" t="n">
        <f aca="false">N(历史资产负债表!G19)+N(历史资产负债表!G20)+N(历史资产负债表!G21)+N(历史资产负债表!G29)</f>
        <v>367.871</v>
      </c>
      <c r="F89" s="10" t="n">
        <f aca="false">N(历史资产负债表!H19)+N(历史资产负债表!H20)+N(历史资产负债表!H21)+N(历史资产负债表!H29)</f>
        <v>294.9521</v>
      </c>
      <c r="G89" s="10" t="n">
        <f aca="false">N(历史资产负债表!I19)+N(历史资产负债表!I20)+N(历史资产负债表!I21)+N(历史资产负债表!I29)</f>
        <v>311.2262</v>
      </c>
      <c r="H89" s="34" t="n">
        <f aca="false">G89</f>
        <v>311.2262</v>
      </c>
      <c r="I89" s="34" t="n">
        <f aca="false">H89</f>
        <v>311.2262</v>
      </c>
      <c r="J89" s="34" t="n">
        <f aca="false">I89</f>
        <v>311.2262</v>
      </c>
      <c r="K89" s="34" t="n">
        <f aca="false">J89</f>
        <v>311.2262</v>
      </c>
      <c r="L89" s="34" t="n">
        <f aca="false">K89</f>
        <v>311.2262</v>
      </c>
    </row>
    <row r="90" customFormat="false" ht="15" hidden="false" customHeight="false" outlineLevel="0" collapsed="false">
      <c r="A90" s="40" t="s">
        <v>814</v>
      </c>
      <c r="B90" s="6"/>
      <c r="C90" s="6"/>
      <c r="D90" s="6"/>
      <c r="E90" s="6"/>
      <c r="F90" s="6"/>
      <c r="G90" s="6"/>
      <c r="H90" s="6"/>
      <c r="I90" s="6"/>
      <c r="J90" s="6"/>
      <c r="K90" s="6"/>
      <c r="L90" s="6"/>
      <c r="M90" s="6"/>
    </row>
    <row r="91" customFormat="false" ht="15" hidden="false" customHeight="false" outlineLevel="0" collapsed="false">
      <c r="A91" s="9" t="s">
        <v>815</v>
      </c>
      <c r="B91" s="55" t="s">
        <v>353</v>
      </c>
      <c r="C91" s="80" t="n">
        <f aca="false">C78+C85+C88</f>
        <v>387.5088</v>
      </c>
      <c r="D91" s="80" t="n">
        <f aca="false">D78+D85+D88</f>
        <v>544.3751</v>
      </c>
      <c r="E91" s="80" t="n">
        <f aca="false">E78+E85+E88</f>
        <v>609.432406</v>
      </c>
      <c r="F91" s="80" t="n">
        <f aca="false">F78+F85+F88</f>
        <v>651.2802</v>
      </c>
      <c r="G91" s="80" t="n">
        <f aca="false">G78+G85+G88</f>
        <v>740.433085</v>
      </c>
      <c r="H91" s="76" t="n">
        <f aca="false">H78+H85+H88</f>
        <v>813.656921785668</v>
      </c>
      <c r="I91" s="76" t="n">
        <f aca="false">I78+I85+I88</f>
        <v>914.994953136395</v>
      </c>
      <c r="J91" s="76" t="n">
        <f aca="false">J78+J85+J88</f>
        <v>1060.03085907165</v>
      </c>
      <c r="K91" s="76" t="n">
        <f aca="false">K78+K85+K88</f>
        <v>1212.64784020939</v>
      </c>
      <c r="L91" s="76" t="n">
        <f aca="false">L78+L85+L88</f>
        <v>1348.21871326113</v>
      </c>
    </row>
    <row r="92" customFormat="false" ht="15" hidden="false" customHeight="false" outlineLevel="0" collapsed="false">
      <c r="A92" s="11" t="s">
        <v>816</v>
      </c>
      <c r="B92" s="56" t="s">
        <v>317</v>
      </c>
      <c r="C92" s="12" t="n">
        <f aca="false">IFERROR(C91/历史利润表!E6,0)</f>
        <v>0.0623200679570836</v>
      </c>
      <c r="D92" s="12" t="n">
        <f aca="false">IFERROR(D91/历史利润表!F6,0)</f>
        <v>0.105716488306598</v>
      </c>
      <c r="E92" s="12" t="n">
        <f aca="false">IFERROR(E91/历史利润表!G6,0)</f>
        <v>0.106419688446473</v>
      </c>
      <c r="F92" s="12" t="n">
        <f aca="false">IFERROR(F91/历史利润表!H6,0)</f>
        <v>0.0883092898231141</v>
      </c>
      <c r="G92" s="12" t="n">
        <f aca="false">IFERROR(G91/历史利润表!I6,0)</f>
        <v>0.0822049998501747</v>
      </c>
      <c r="H92" s="25" t="n">
        <f aca="false">IFERROR(H91/收入拆解!H47,0)</f>
        <v>0.0586919079022324</v>
      </c>
      <c r="I92" s="25" t="n">
        <f aca="false">IFERROR(I91/收入拆解!I47,0)</f>
        <v>0.0521337822672311</v>
      </c>
      <c r="J92" s="25" t="n">
        <f aca="false">IFERROR(J91/收入拆解!J47,0)</f>
        <v>0.0525933733149332</v>
      </c>
      <c r="K92" s="25" t="n">
        <f aca="false">IFERROR(K91/收入拆解!K47,0)</f>
        <v>0.0546312658867065</v>
      </c>
      <c r="L92" s="25" t="n">
        <f aca="false">IFERROR(L91/收入拆解!L47,0)</f>
        <v>0.056901536089</v>
      </c>
    </row>
    <row r="93" customFormat="false" ht="15" hidden="false" customHeight="false" outlineLevel="0" collapsed="false">
      <c r="A93" s="11" t="s">
        <v>817</v>
      </c>
      <c r="B93" s="55" t="s">
        <v>353</v>
      </c>
      <c r="H93" s="24" t="n">
        <f aca="false">H91*假设!$C$38</f>
        <v>685.099128143532</v>
      </c>
      <c r="I93" s="24" t="n">
        <f aca="false">I91*假设!$C$38</f>
        <v>770.425750540845</v>
      </c>
      <c r="J93" s="24" t="n">
        <f aca="false">J91*假设!$C$38</f>
        <v>892.54598333833</v>
      </c>
      <c r="K93" s="24" t="n">
        <f aca="false">K91*假设!$C$38</f>
        <v>1021.0494814563</v>
      </c>
      <c r="L93" s="24" t="n">
        <f aca="false">L91*假设!$C$38</f>
        <v>1135.20015656587</v>
      </c>
    </row>
    <row r="94" customFormat="false" ht="15" hidden="false" customHeight="false" outlineLevel="0" collapsed="false">
      <c r="A94" s="11" t="s">
        <v>818</v>
      </c>
      <c r="B94" s="55" t="s">
        <v>353</v>
      </c>
      <c r="H94" s="24" t="n">
        <f aca="false">H91*假设!$C$39</f>
        <v>40.6828460892834</v>
      </c>
      <c r="I94" s="24" t="n">
        <f aca="false">I91*假设!$C$39</f>
        <v>45.7497476568198</v>
      </c>
      <c r="J94" s="24" t="n">
        <f aca="false">J91*假设!$C$39</f>
        <v>53.0015429535826</v>
      </c>
      <c r="K94" s="24" t="n">
        <f aca="false">K91*假设!$C$39</f>
        <v>60.6323920104693</v>
      </c>
      <c r="L94" s="24" t="n">
        <f aca="false">L91*假设!$C$39</f>
        <v>67.4109356630564</v>
      </c>
    </row>
    <row r="95" customFormat="false" ht="15" hidden="false" customHeight="false" outlineLevel="0" collapsed="false">
      <c r="A95" s="11" t="s">
        <v>819</v>
      </c>
      <c r="B95" s="55" t="s">
        <v>353</v>
      </c>
      <c r="H95" s="24" t="n">
        <f aca="false">H91*假设!$C$40</f>
        <v>0</v>
      </c>
      <c r="I95" s="24" t="n">
        <f aca="false">I91*假设!$C$40</f>
        <v>0</v>
      </c>
      <c r="J95" s="24" t="n">
        <f aca="false">J91*假设!$C$40</f>
        <v>0</v>
      </c>
      <c r="K95" s="24" t="n">
        <f aca="false">K91*假设!$C$40</f>
        <v>0</v>
      </c>
      <c r="L95" s="24" t="n">
        <f aca="false">L91*假设!$C$40</f>
        <v>0</v>
      </c>
    </row>
    <row r="96" customFormat="false" ht="15" hidden="false" customHeight="false" outlineLevel="0" collapsed="false">
      <c r="A96" s="11" t="s">
        <v>820</v>
      </c>
      <c r="B96" s="55" t="s">
        <v>353</v>
      </c>
      <c r="H96" s="34" t="n">
        <f aca="false">H91-H93-H94-H95</f>
        <v>87.8749475528521</v>
      </c>
      <c r="I96" s="34" t="n">
        <f aca="false">I91-I93-I94-I95</f>
        <v>98.8194549387307</v>
      </c>
      <c r="J96" s="34" t="n">
        <f aca="false">J91-J93-J94-J95</f>
        <v>114.483332779738</v>
      </c>
      <c r="K96" s="34" t="n">
        <f aca="false">K91-K93-K94-K95</f>
        <v>130.965966742614</v>
      </c>
      <c r="L96" s="34" t="n">
        <f aca="false">L91-L93-L94-L95</f>
        <v>145.607621032202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821</v>
      </c>
    </row>
    <row r="2" customFormat="false" ht="15" hidden="false" customHeight="false" outlineLevel="0" collapsed="false">
      <c r="A2" s="2" t="s">
        <v>822</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823</v>
      </c>
      <c r="B5" s="6"/>
      <c r="C5" s="6"/>
      <c r="D5" s="6"/>
      <c r="E5" s="6"/>
      <c r="F5" s="6"/>
      <c r="G5" s="6"/>
      <c r="H5" s="6"/>
      <c r="I5" s="6"/>
      <c r="J5" s="6"/>
      <c r="K5" s="6"/>
      <c r="L5" s="6"/>
      <c r="M5" s="6"/>
    </row>
    <row r="6" customFormat="false" ht="15" hidden="false" customHeight="false" outlineLevel="0" collapsed="false">
      <c r="A6" s="11" t="s">
        <v>824</v>
      </c>
      <c r="B6" s="55" t="s">
        <v>353</v>
      </c>
      <c r="C6" s="10" t="n">
        <f aca="false">N(历史资产负债表!E8)</f>
        <v>611.4843</v>
      </c>
      <c r="D6" s="10" t="n">
        <f aca="false">N(历史资产负债表!F8)</f>
        <v>435.4813</v>
      </c>
      <c r="E6" s="10" t="n">
        <f aca="false">N(历史资产负债表!G8)</f>
        <v>462.5221</v>
      </c>
      <c r="F6" s="10" t="n">
        <f aca="false">N(历史资产负债表!H8)</f>
        <v>642.0757</v>
      </c>
      <c r="G6" s="10" t="n">
        <f aca="false">N(历史资产负债表!I8)</f>
        <v>754.9216</v>
      </c>
      <c r="H6" s="24" t="n">
        <f aca="false">收入拆解!H47*假设!H196/365</f>
        <v>1063.4773943904</v>
      </c>
      <c r="I6" s="24" t="n">
        <f aca="false">收入拆解!I47*假设!I196/365</f>
        <v>1346.37063747774</v>
      </c>
      <c r="J6" s="24" t="n">
        <f aca="false">收入拆解!J47*假设!J196/365</f>
        <v>1546.15364330151</v>
      </c>
      <c r="K6" s="24" t="n">
        <f aca="false">收入拆解!K47*假设!K196/365</f>
        <v>1702.78023558521</v>
      </c>
      <c r="L6" s="24" t="n">
        <f aca="false">收入拆解!L47*假设!L196/365</f>
        <v>1817.61344755101</v>
      </c>
    </row>
    <row r="7" customFormat="false" ht="15" hidden="false" customHeight="false" outlineLevel="0" collapsed="false">
      <c r="A7" s="11" t="s">
        <v>825</v>
      </c>
      <c r="B7" s="55" t="s">
        <v>353</v>
      </c>
      <c r="C7" s="10" t="n">
        <f aca="false">N(历史资产负债表!E9)</f>
        <v>1528.3267</v>
      </c>
      <c r="D7" s="10" t="n">
        <f aca="false">N(历史资产负债表!F9)</f>
        <v>1197.5819</v>
      </c>
      <c r="E7" s="10" t="n">
        <f aca="false">N(历史资产负债表!G9)</f>
        <v>1626.598</v>
      </c>
      <c r="F7" s="10" t="n">
        <f aca="false">N(历史资产负债表!H9)</f>
        <v>1871.7507</v>
      </c>
      <c r="G7" s="10" t="n">
        <f aca="false">N(历史资产负债表!I9)</f>
        <v>2159.448</v>
      </c>
      <c r="H7" s="24" t="n">
        <f aca="false">收入拆解!H47*(假设!H197+假设!$C$58)/365</f>
        <v>3342.35752522699</v>
      </c>
      <c r="I7" s="24" t="n">
        <f aca="false">收入拆解!I47*(假设!I197+假设!$C$58)/365</f>
        <v>4231.45057493005</v>
      </c>
      <c r="J7" s="24" t="n">
        <f aca="false">收入拆解!J47*(假设!J197+假设!$C$58)/365</f>
        <v>4859.34002180476</v>
      </c>
      <c r="K7" s="24" t="n">
        <f aca="false">收入拆解!K47*(假设!K197+假设!$C$58)/365</f>
        <v>5351.59502612495</v>
      </c>
      <c r="L7" s="24" t="n">
        <f aca="false">收入拆解!L47*(假设!L197+假设!$C$58)/365</f>
        <v>5712.4994065889</v>
      </c>
    </row>
    <row r="8" customFormat="false" ht="15" hidden="false" customHeight="false" outlineLevel="0" collapsed="false">
      <c r="A8" s="11" t="s">
        <v>826</v>
      </c>
      <c r="B8" s="55" t="s">
        <v>353</v>
      </c>
      <c r="C8" s="10" t="n">
        <f aca="false">N(历史资产负债表!E10)</f>
        <v>137.0218</v>
      </c>
      <c r="D8" s="10" t="n">
        <f aca="false">N(历史资产负债表!F10)</f>
        <v>81.9324</v>
      </c>
      <c r="E8" s="10" t="n">
        <f aca="false">N(历史资产负债表!G10)</f>
        <v>170.1508</v>
      </c>
      <c r="F8" s="10" t="n">
        <f aca="false">N(历史资产负债表!H10)</f>
        <v>172.5082</v>
      </c>
      <c r="G8" s="10" t="n">
        <f aca="false">N(历史资产负债表!I10)</f>
        <v>345.5521</v>
      </c>
      <c r="H8" s="24" t="n">
        <f aca="false">收入拆解!H47*假设!H198/365</f>
        <v>455.776026167316</v>
      </c>
      <c r="I8" s="24" t="n">
        <f aca="false">收入拆解!I47*假设!I198/365</f>
        <v>577.015987490461</v>
      </c>
      <c r="J8" s="24" t="n">
        <f aca="false">收入拆解!J47*假设!J198/365</f>
        <v>662.637275700649</v>
      </c>
      <c r="K8" s="24" t="n">
        <f aca="false">收入拆解!K47*假设!K198/365</f>
        <v>729.762958107948</v>
      </c>
      <c r="L8" s="24" t="n">
        <f aca="false">收入拆解!L47*假设!L198/365</f>
        <v>778.977191807577</v>
      </c>
    </row>
    <row r="9" customFormat="false" ht="15" hidden="false" customHeight="false" outlineLevel="0" collapsed="false">
      <c r="A9" s="11" t="s">
        <v>827</v>
      </c>
      <c r="B9" s="55" t="s">
        <v>353</v>
      </c>
      <c r="C9" s="10" t="n">
        <f aca="false">N(历史资产负债表!E11)</f>
        <v>56.4665</v>
      </c>
      <c r="D9" s="10" t="n">
        <f aca="false">N(历史资产负债表!F11)</f>
        <v>22.8533</v>
      </c>
      <c r="E9" s="10" t="n">
        <f aca="false">N(历史资产负债表!G11)</f>
        <v>45.7734</v>
      </c>
      <c r="F9" s="10" t="n">
        <f aca="false">N(历史资产负债表!H11)</f>
        <v>62.2607</v>
      </c>
      <c r="G9" s="10" t="n">
        <f aca="false">N(历史资产负债表!I11)</f>
        <v>75.5091</v>
      </c>
      <c r="H9" s="24" t="n">
        <f aca="false">成本拆解!H26*假设!H206</f>
        <v>122.154162113695</v>
      </c>
      <c r="I9" s="24" t="n">
        <f aca="false">成本拆解!I26*假设!I206</f>
        <v>153.846421606478</v>
      </c>
      <c r="J9" s="24" t="n">
        <f aca="false">成本拆解!J26*假设!J206</f>
        <v>179.384103314829</v>
      </c>
      <c r="K9" s="24" t="n">
        <f aca="false">成本拆解!K26*假设!K206</f>
        <v>200.914109406249</v>
      </c>
      <c r="L9" s="24" t="n">
        <f aca="false">成本拆解!L26*假设!L206</f>
        <v>216.512121391887</v>
      </c>
    </row>
    <row r="10" customFormat="false" ht="15" hidden="false" customHeight="false" outlineLevel="0" collapsed="false">
      <c r="A10" s="11" t="s">
        <v>828</v>
      </c>
      <c r="B10" s="55" t="s">
        <v>353</v>
      </c>
      <c r="C10" s="10" t="n">
        <f aca="false">N(历史资产负债表!E12)</f>
        <v>151.249</v>
      </c>
      <c r="D10" s="10" t="n">
        <f aca="false">N(历史资产负债表!F12)</f>
        <v>83.7475</v>
      </c>
      <c r="E10" s="10" t="n">
        <f aca="false">N(历史资产负债表!G12)</f>
        <v>44.234</v>
      </c>
      <c r="F10" s="10" t="n">
        <f aca="false">N(历史资产负债表!H12)</f>
        <v>28.6627</v>
      </c>
      <c r="G10" s="10" t="n">
        <f aca="false">N(历史资产负债表!I12)</f>
        <v>18.4395</v>
      </c>
      <c r="H10" s="24" t="n">
        <f aca="false">收入拆解!H47*假设!H207</f>
        <v>27.7263749251784</v>
      </c>
      <c r="I10" s="24" t="n">
        <f aca="false">收入拆解!I47*假设!I207</f>
        <v>35.1018059056697</v>
      </c>
      <c r="J10" s="24" t="n">
        <f aca="false">收入拆解!J47*假设!J207</f>
        <v>40.3104342717895</v>
      </c>
      <c r="K10" s="24" t="n">
        <f aca="false">收入拆解!K47*假设!K207</f>
        <v>44.3939132849002</v>
      </c>
      <c r="L10" s="24" t="n">
        <f aca="false">收入拆解!L47*假设!L207</f>
        <v>47.3877791682942</v>
      </c>
    </row>
    <row r="11" customFormat="false" ht="15" hidden="false" customHeight="false" outlineLevel="0" collapsed="false">
      <c r="A11" s="11" t="s">
        <v>829</v>
      </c>
      <c r="B11" s="55" t="s">
        <v>353</v>
      </c>
      <c r="E11" s="30" t="n">
        <v>440.46508</v>
      </c>
      <c r="F11" s="30" t="n">
        <v>343.247033</v>
      </c>
      <c r="G11" s="30" t="n">
        <v>406.824295</v>
      </c>
      <c r="H11" s="24" t="n">
        <f aca="false">成本拆解!H32*假设!H199/365</f>
        <v>727.106291512379</v>
      </c>
      <c r="I11" s="24" t="n">
        <f aca="false">成本拆解!I32*假设!I199/365</f>
        <v>942.487166065224</v>
      </c>
      <c r="J11" s="24" t="n">
        <f aca="false">成本拆解!J32*假设!J199/365</f>
        <v>1108.50062850128</v>
      </c>
      <c r="K11" s="24" t="n">
        <f aca="false">成本拆解!K32*假设!K199/365</f>
        <v>1244.94751797929</v>
      </c>
      <c r="L11" s="24" t="n">
        <f aca="false">成本拆解!L32*假设!L199/365</f>
        <v>1336.31769972256</v>
      </c>
    </row>
    <row r="12" customFormat="false" ht="15" hidden="false" customHeight="false" outlineLevel="0" collapsed="false">
      <c r="A12" s="11" t="s">
        <v>830</v>
      </c>
      <c r="B12" s="55" t="s">
        <v>353</v>
      </c>
      <c r="E12" s="30" t="n">
        <v>749.325116</v>
      </c>
      <c r="F12" s="30" t="n">
        <v>1071.370283</v>
      </c>
      <c r="G12" s="30" t="n">
        <v>1164.703758</v>
      </c>
      <c r="H12" s="24" t="n">
        <f aca="false">成本拆解!H26*假设!H200/365</f>
        <v>1506.01021784008</v>
      </c>
      <c r="I12" s="24" t="n">
        <f aca="false">成本拆解!I26*假设!I200/365</f>
        <v>1896.7367047374</v>
      </c>
      <c r="J12" s="24" t="n">
        <f aca="false">成本拆解!J26*假设!J200/365</f>
        <v>2211.58483538831</v>
      </c>
      <c r="K12" s="24" t="n">
        <f aca="false">成本拆解!K26*假设!K200/365</f>
        <v>2477.02326665238</v>
      </c>
      <c r="L12" s="24" t="n">
        <f aca="false">成本拆解!L26*假设!L200/365</f>
        <v>2669.32752400957</v>
      </c>
    </row>
    <row r="13" customFormat="false" ht="15" hidden="false" customHeight="false" outlineLevel="0" collapsed="false">
      <c r="A13" s="11" t="s">
        <v>831</v>
      </c>
      <c r="B13" s="55" t="s">
        <v>353</v>
      </c>
      <c r="E13" s="30" t="n">
        <v>611.846431</v>
      </c>
      <c r="F13" s="30" t="n">
        <v>840.482319</v>
      </c>
      <c r="G13" s="30" t="n">
        <v>889.9892</v>
      </c>
      <c r="H13" s="24" t="n">
        <f aca="false">成本拆解!H26*(假设!H201+假设!$C$58)/365</f>
        <v>1150.42447196117</v>
      </c>
      <c r="I13" s="24" t="n">
        <f aca="false">成本拆解!I26*(假设!I201+假设!$C$58)/365</f>
        <v>1448.89609389662</v>
      </c>
      <c r="J13" s="24" t="n">
        <f aca="false">成本拆解!J26*(假设!J201+假设!$C$58)/365</f>
        <v>1689.40508258829</v>
      </c>
      <c r="K13" s="24" t="n">
        <f aca="false">成本拆解!K26*(假设!K201+假设!$C$58)/365</f>
        <v>1892.17055091502</v>
      </c>
      <c r="L13" s="24" t="n">
        <f aca="false">成本拆解!L26*(假设!L201+假设!$C$58)/365</f>
        <v>2039.0696363962</v>
      </c>
    </row>
    <row r="14" customFormat="false" ht="15" hidden="false" customHeight="false" outlineLevel="0" collapsed="false">
      <c r="A14" s="11" t="s">
        <v>832</v>
      </c>
      <c r="B14" s="55" t="s">
        <v>353</v>
      </c>
      <c r="E14" s="30" t="n">
        <v>0</v>
      </c>
      <c r="F14" s="30" t="n">
        <v>0</v>
      </c>
      <c r="G14" s="30" t="n">
        <v>0</v>
      </c>
      <c r="H14" s="24" t="n">
        <f aca="false">成本拆解!H26*假设!H204</f>
        <v>0</v>
      </c>
      <c r="I14" s="24" t="n">
        <f aca="false">成本拆解!I26*假设!I204</f>
        <v>0</v>
      </c>
      <c r="J14" s="24" t="n">
        <f aca="false">成本拆解!J26*假设!J204</f>
        <v>0</v>
      </c>
      <c r="K14" s="24" t="n">
        <f aca="false">成本拆解!K26*假设!K204</f>
        <v>0</v>
      </c>
      <c r="L14" s="24" t="n">
        <f aca="false">成本拆解!L26*假设!L204</f>
        <v>0</v>
      </c>
    </row>
    <row r="15" customFormat="false" ht="15" hidden="false" customHeight="false" outlineLevel="0" collapsed="false">
      <c r="A15" s="11" t="s">
        <v>833</v>
      </c>
      <c r="B15" s="55" t="s">
        <v>353</v>
      </c>
      <c r="E15" s="30" t="n">
        <v>48.038827</v>
      </c>
      <c r="F15" s="30" t="n">
        <v>74.388147</v>
      </c>
      <c r="G15" s="30" t="n">
        <v>69.794879</v>
      </c>
      <c r="H15" s="24" t="n">
        <f aca="false">(H11+H12+H13+H14)*假设!H205</f>
        <v>118.423934345977</v>
      </c>
      <c r="I15" s="24" t="n">
        <f aca="false">(I11+I12+I13+I14)*假设!I205</f>
        <v>150.084198764474</v>
      </c>
      <c r="J15" s="24" t="n">
        <f aca="false">(J11+J12+J13+J14)*假设!J205</f>
        <v>175.332169126726</v>
      </c>
      <c r="K15" s="24" t="n">
        <f aca="false">(K11+K12+K13+K14)*假设!K205</f>
        <v>196.494946744134</v>
      </c>
      <c r="L15" s="24" t="n">
        <f aca="false">(L11+L12+L13+L14)*假设!L205</f>
        <v>211.565020104491</v>
      </c>
    </row>
    <row r="16" customFormat="false" ht="15" hidden="false" customHeight="false" outlineLevel="0" collapsed="false">
      <c r="A16" s="9" t="s">
        <v>834</v>
      </c>
      <c r="B16" s="55" t="s">
        <v>353</v>
      </c>
      <c r="C16" s="23" t="n">
        <f aca="false">N(历史资产负债表!E16)</f>
        <v>1796.5411</v>
      </c>
      <c r="D16" s="23" t="n">
        <f aca="false">N(历史资产负债表!F16)</f>
        <v>1885.8512</v>
      </c>
      <c r="E16" s="23" t="n">
        <f aca="false">N(历史资产负债表!G16)</f>
        <v>1753.5978</v>
      </c>
      <c r="F16" s="23" t="n">
        <f aca="false">N(历史资产负债表!H16)</f>
        <v>2180.7115</v>
      </c>
      <c r="G16" s="23" t="n">
        <f aca="false">N(历史资产负债表!I16)</f>
        <v>2391.7224</v>
      </c>
      <c r="H16" s="76" t="n">
        <f aca="false">H11+H12+H13+H14-H15</f>
        <v>3265.11704696765</v>
      </c>
      <c r="I16" s="76" t="n">
        <f aca="false">I11+I12+I13+I14-I15</f>
        <v>4138.03576593477</v>
      </c>
      <c r="J16" s="76" t="n">
        <f aca="false">J11+J12+J13+J14-J15</f>
        <v>4834.15837735115</v>
      </c>
      <c r="K16" s="76" t="n">
        <f aca="false">K11+K12+K13+K14-K15</f>
        <v>5417.64638880255</v>
      </c>
      <c r="L16" s="76" t="n">
        <f aca="false">L11+L12+L13+L14-L15</f>
        <v>5833.14984002383</v>
      </c>
    </row>
    <row r="17" customFormat="false" ht="15" hidden="false" customHeight="false" outlineLevel="0" collapsed="false">
      <c r="A17" s="11" t="s">
        <v>835</v>
      </c>
      <c r="B17" s="55" t="s">
        <v>353</v>
      </c>
      <c r="E17" s="33" t="n">
        <f aca="false">ROUND(E11+E12+E13+E14-E15-E16,1)</f>
        <v>0</v>
      </c>
      <c r="F17" s="33" t="n">
        <f aca="false">ROUND(F11+F12+F13+F14-F15-F16,1)</f>
        <v>-0</v>
      </c>
      <c r="G17" s="33" t="n">
        <f aca="false">ROUND(G11+G12+G13+G14-G15-G16,1)</f>
        <v>-0</v>
      </c>
    </row>
    <row r="18" customFormat="false" ht="15" hidden="false" customHeight="false" outlineLevel="0" collapsed="false">
      <c r="A18" s="11" t="s">
        <v>836</v>
      </c>
      <c r="B18" s="55" t="s">
        <v>353</v>
      </c>
      <c r="C18" s="10" t="n">
        <f aca="false">N(历史资产负债表!E17)</f>
        <v>259.4314</v>
      </c>
      <c r="D18" s="10" t="n">
        <f aca="false">N(历史资产负债表!F17)</f>
        <v>348.8942</v>
      </c>
      <c r="E18" s="10" t="n">
        <f aca="false">N(历史资产负债表!G17)</f>
        <v>488.1799</v>
      </c>
      <c r="F18" s="10" t="n">
        <f aca="false">N(历史资产负债表!H17)</f>
        <v>527.8337</v>
      </c>
      <c r="G18" s="10" t="n">
        <f aca="false">N(历史资产负债表!I17)</f>
        <v>519.6397</v>
      </c>
      <c r="H18" s="24" t="n">
        <f aca="false">收入拆解!H47*假设!H208</f>
        <v>554.527498503568</v>
      </c>
      <c r="I18" s="24" t="n">
        <f aca="false">收入拆解!I47*假设!I208</f>
        <v>702.036118113394</v>
      </c>
      <c r="J18" s="24" t="n">
        <f aca="false">收入拆解!J47*假设!J208</f>
        <v>806.20868543579</v>
      </c>
      <c r="K18" s="24" t="n">
        <f aca="false">收入拆解!K47*假设!K208</f>
        <v>887.878265698003</v>
      </c>
      <c r="L18" s="24" t="n">
        <f aca="false">收入拆解!L47*假设!L208</f>
        <v>947.755583365885</v>
      </c>
    </row>
    <row r="19" customFormat="false" ht="15" hidden="false" customHeight="false" outlineLevel="0" collapsed="false">
      <c r="A19" s="9" t="s">
        <v>837</v>
      </c>
      <c r="B19" s="55" t="s">
        <v>353</v>
      </c>
      <c r="C19" s="80" t="n">
        <f aca="false">C6+C7+C8+C9+C10+C16+C18</f>
        <v>4540.5208</v>
      </c>
      <c r="D19" s="80" t="n">
        <f aca="false">D6+D7+D8+D9+D10+D16+D18</f>
        <v>4056.3418</v>
      </c>
      <c r="E19" s="80" t="n">
        <f aca="false">E6+E7+E8+E9+E10+E16+E18</f>
        <v>4591.056</v>
      </c>
      <c r="F19" s="80" t="n">
        <f aca="false">F6+F7+F8+F9+F10+F16+F18</f>
        <v>5485.8032</v>
      </c>
      <c r="G19" s="80" t="n">
        <f aca="false">G6+G7+G8+G9+G10+G16+G18</f>
        <v>6265.2324</v>
      </c>
      <c r="H19" s="76" t="n">
        <f aca="false">H6+H7+H8+H9+H10+H16+H18</f>
        <v>8831.13602829479</v>
      </c>
      <c r="I19" s="76" t="n">
        <f aca="false">I6+I7+I8+I9+I10+I16+I18</f>
        <v>11183.8573114586</v>
      </c>
      <c r="J19" s="76" t="n">
        <f aca="false">J6+J7+J8+J9+J10+J16+J18</f>
        <v>12928.1925411805</v>
      </c>
      <c r="K19" s="76" t="n">
        <f aca="false">K6+K7+K8+K9+K10+K16+K18</f>
        <v>14334.9708970098</v>
      </c>
      <c r="L19" s="76" t="n">
        <f aca="false">L6+L7+L8+L9+L10+L16+L18</f>
        <v>15353.8953698974</v>
      </c>
    </row>
    <row r="20" customFormat="false" ht="15" hidden="false" customHeight="false" outlineLevel="0" collapsed="false">
      <c r="A20" s="40" t="s">
        <v>838</v>
      </c>
      <c r="B20" s="6"/>
      <c r="C20" s="6"/>
      <c r="D20" s="6"/>
      <c r="E20" s="6"/>
      <c r="F20" s="6"/>
      <c r="G20" s="6"/>
      <c r="H20" s="6"/>
      <c r="I20" s="6"/>
      <c r="J20" s="6"/>
      <c r="K20" s="6"/>
      <c r="L20" s="6"/>
      <c r="M20" s="6"/>
    </row>
    <row r="21" customFormat="false" ht="15" hidden="false" customHeight="false" outlineLevel="0" collapsed="false">
      <c r="A21" s="11" t="s">
        <v>839</v>
      </c>
      <c r="B21" s="55" t="s">
        <v>353</v>
      </c>
      <c r="C21" s="10" t="n">
        <f aca="false">N(历史资产负债表!E37)</f>
        <v>0</v>
      </c>
      <c r="D21" s="10" t="n">
        <f aca="false">N(历史资产负债表!F37)</f>
        <v>27.8661</v>
      </c>
      <c r="E21" s="10" t="n">
        <f aca="false">N(历史资产负债表!G37)</f>
        <v>242.5137</v>
      </c>
      <c r="F21" s="10" t="n">
        <f aca="false">N(历史资产负债表!H37)</f>
        <v>521.4807</v>
      </c>
      <c r="G21" s="10" t="n">
        <f aca="false">N(历史资产负债表!I37)</f>
        <v>1119.1886</v>
      </c>
      <c r="H21" s="24" t="n">
        <f aca="false">成本拆解!H26*假设!H202/365</f>
        <v>1568.76064358341</v>
      </c>
      <c r="I21" s="24" t="n">
        <f aca="false">成本拆解!I26*假设!I202/365</f>
        <v>1975.76740076812</v>
      </c>
      <c r="J21" s="24" t="n">
        <f aca="false">成本拆解!J26*假设!J202/365</f>
        <v>2303.73420352949</v>
      </c>
      <c r="K21" s="24" t="n">
        <f aca="false">成本拆解!K26*假设!K202/365</f>
        <v>2580.23256942957</v>
      </c>
      <c r="L21" s="24" t="n">
        <f aca="false">成本拆解!L26*假设!L202/365</f>
        <v>2780.54950417664</v>
      </c>
    </row>
    <row r="22" customFormat="false" ht="15" hidden="false" customHeight="false" outlineLevel="0" collapsed="false">
      <c r="A22" s="11" t="s">
        <v>840</v>
      </c>
      <c r="B22" s="55" t="s">
        <v>353</v>
      </c>
      <c r="C22" s="10" t="n">
        <f aca="false">N(历史资产负债表!E38)</f>
        <v>830.1951</v>
      </c>
      <c r="D22" s="10" t="n">
        <f aca="false">N(历史资产负债表!F38)</f>
        <v>607.185</v>
      </c>
      <c r="E22" s="10" t="n">
        <f aca="false">N(历史资产负债表!G38)</f>
        <v>738.1858</v>
      </c>
      <c r="F22" s="10" t="n">
        <f aca="false">N(历史资产负债表!H38)</f>
        <v>773.8232</v>
      </c>
      <c r="G22" s="10" t="n">
        <f aca="false">N(历史资产负债表!I38)</f>
        <v>808.7966</v>
      </c>
      <c r="H22" s="24" t="n">
        <f aca="false">成本拆解!H26*假设!H203/365</f>
        <v>1255.00851486673</v>
      </c>
      <c r="I22" s="24" t="n">
        <f aca="false">成本拆解!I26*假设!I203/365</f>
        <v>1580.6139206145</v>
      </c>
      <c r="J22" s="24" t="n">
        <f aca="false">成本拆解!J26*假设!J203/365</f>
        <v>1842.98736282359</v>
      </c>
      <c r="K22" s="24" t="n">
        <f aca="false">成本拆解!K26*假设!K203/365</f>
        <v>2064.18605554365</v>
      </c>
      <c r="L22" s="24" t="n">
        <f aca="false">成本拆解!L26*假设!L203/365</f>
        <v>2224.43960334131</v>
      </c>
    </row>
    <row r="23" customFormat="false" ht="15" hidden="false" customHeight="false" outlineLevel="0" collapsed="false">
      <c r="A23" s="11" t="s">
        <v>841</v>
      </c>
      <c r="B23" s="55" t="s">
        <v>353</v>
      </c>
      <c r="C23" s="10" t="n">
        <f aca="false">N(历史资产负债表!E39)+N(历史资产负债表!E40)</f>
        <v>25.358</v>
      </c>
      <c r="D23" s="10" t="n">
        <f aca="false">N(历史资产负债表!F39)+N(历史资产负债表!F40)</f>
        <v>18.6235</v>
      </c>
      <c r="E23" s="10" t="n">
        <f aca="false">N(历史资产负债表!G39)+N(历史资产负债表!G40)</f>
        <v>22.6123</v>
      </c>
      <c r="F23" s="10" t="n">
        <f aca="false">N(历史资产负债表!H39)+N(历史资产负债表!H40)</f>
        <v>30.7816</v>
      </c>
      <c r="G23" s="10" t="n">
        <f aca="false">N(历史资产负债表!I39)+N(历史资产负债表!I40)</f>
        <v>23.8862</v>
      </c>
      <c r="H23" s="24" t="n">
        <f aca="false">收入拆解!H47*假设!H209</f>
        <v>55.4527498503568</v>
      </c>
      <c r="I23" s="24" t="n">
        <f aca="false">收入拆解!I47*假设!I209</f>
        <v>70.2036118113394</v>
      </c>
      <c r="J23" s="24" t="n">
        <f aca="false">收入拆解!J47*假设!J209</f>
        <v>80.620868543579</v>
      </c>
      <c r="K23" s="24" t="n">
        <f aca="false">收入拆解!K47*假设!K209</f>
        <v>88.7878265698003</v>
      </c>
      <c r="L23" s="24" t="n">
        <f aca="false">收入拆解!L47*假设!L209</f>
        <v>94.7755583365885</v>
      </c>
    </row>
    <row r="24" customFormat="false" ht="15" hidden="false" customHeight="false" outlineLevel="0" collapsed="false">
      <c r="A24" s="11" t="s">
        <v>842</v>
      </c>
      <c r="B24" s="55" t="s">
        <v>353</v>
      </c>
      <c r="C24" s="10" t="n">
        <f aca="false">N(历史资产负债表!E41)</f>
        <v>283.548</v>
      </c>
      <c r="D24" s="10" t="n">
        <f aca="false">N(历史资产负债表!F41)</f>
        <v>242.2859</v>
      </c>
      <c r="E24" s="10" t="n">
        <f aca="false">N(历史资产负债表!G41)</f>
        <v>267.3971</v>
      </c>
      <c r="F24" s="10" t="n">
        <f aca="false">N(历史资产负债表!H41)</f>
        <v>347.7306</v>
      </c>
      <c r="G24" s="10" t="n">
        <f aca="false">N(历史资产负债表!I41)</f>
        <v>395.6466</v>
      </c>
      <c r="H24" s="24" t="n">
        <f aca="false">人员与费用!H21*假设!H210</f>
        <v>466.955997718038</v>
      </c>
      <c r="I24" s="24" t="n">
        <f aca="false">人员与费用!I21*假设!I210</f>
        <v>544.200074879843</v>
      </c>
      <c r="J24" s="24" t="n">
        <f aca="false">人员与费用!J21*假设!J210</f>
        <v>612.761859478569</v>
      </c>
      <c r="K24" s="24" t="n">
        <f aca="false">人员与费用!K21*假设!K210</f>
        <v>672.961979526328</v>
      </c>
      <c r="L24" s="24" t="n">
        <f aca="false">人员与费用!L21*假设!L210</f>
        <v>730.192124383289</v>
      </c>
    </row>
    <row r="25" customFormat="false" ht="15" hidden="false" customHeight="false" outlineLevel="0" collapsed="false">
      <c r="A25" s="11" t="s">
        <v>843</v>
      </c>
      <c r="B25" s="55" t="s">
        <v>353</v>
      </c>
      <c r="C25" s="10" t="n">
        <f aca="false">N(历史资产负债表!E42)</f>
        <v>54.9989</v>
      </c>
      <c r="D25" s="10" t="n">
        <f aca="false">N(历史资产负债表!F42)</f>
        <v>198.0626</v>
      </c>
      <c r="E25" s="10" t="n">
        <f aca="false">N(历史资产负债表!G42)</f>
        <v>157.7104</v>
      </c>
      <c r="F25" s="10" t="n">
        <f aca="false">N(历史资产负债表!H42)</f>
        <v>146.4485</v>
      </c>
      <c r="G25" s="10" t="n">
        <f aca="false">N(历史资产负债表!I42)</f>
        <v>213.8164</v>
      </c>
      <c r="H25" s="24" t="n">
        <f aca="false">收入拆解!H47*假设!H211</f>
        <v>291.126936714373</v>
      </c>
      <c r="I25" s="24" t="n">
        <f aca="false">收入拆解!I47*假设!I211</f>
        <v>368.568962009532</v>
      </c>
      <c r="J25" s="24" t="n">
        <f aca="false">收入拆解!J47*假设!J211</f>
        <v>423.25955985379</v>
      </c>
      <c r="K25" s="24" t="n">
        <f aca="false">收入拆解!K47*假设!K211</f>
        <v>466.136089491452</v>
      </c>
      <c r="L25" s="24" t="n">
        <f aca="false">收入拆解!L47*假设!L211</f>
        <v>497.57168126709</v>
      </c>
    </row>
    <row r="26" customFormat="false" ht="15" hidden="false" customHeight="false" outlineLevel="0" collapsed="false">
      <c r="A26" s="11" t="s">
        <v>844</v>
      </c>
      <c r="B26" s="55" t="s">
        <v>353</v>
      </c>
      <c r="C26" s="10" t="n">
        <f aca="false">N(历史资产负债表!E43)</f>
        <v>34.0223</v>
      </c>
      <c r="D26" s="10" t="n">
        <f aca="false">N(历史资产负债表!F43)</f>
        <v>54.6813</v>
      </c>
      <c r="E26" s="10" t="n">
        <f aca="false">N(历史资产负债表!G43)</f>
        <v>58.1247</v>
      </c>
      <c r="F26" s="10" t="n">
        <f aca="false">N(历史资产负债表!H43)</f>
        <v>90.8459</v>
      </c>
      <c r="G26" s="10" t="n">
        <f aca="false">N(历史资产负债表!I43)</f>
        <v>114.3282</v>
      </c>
      <c r="H26" s="24" t="n">
        <f aca="false">收入拆解!H47*假设!H212</f>
        <v>180.22143701366</v>
      </c>
      <c r="I26" s="24" t="n">
        <f aca="false">收入拆解!I47*假设!I212</f>
        <v>228.161738386853</v>
      </c>
      <c r="J26" s="24" t="n">
        <f aca="false">收入拆解!J47*假设!J212</f>
        <v>262.017822766632</v>
      </c>
      <c r="K26" s="24" t="n">
        <f aca="false">收入拆解!K47*假设!K212</f>
        <v>288.560436351851</v>
      </c>
      <c r="L26" s="24" t="n">
        <f aca="false">收入拆解!L47*假设!L212</f>
        <v>308.020564593913</v>
      </c>
    </row>
    <row r="27" customFormat="false" ht="15" hidden="false" customHeight="false" outlineLevel="0" collapsed="false">
      <c r="A27" s="11" t="s">
        <v>845</v>
      </c>
      <c r="B27" s="55" t="s">
        <v>353</v>
      </c>
      <c r="C27" s="10" t="n">
        <f aca="false">N(历史资产负债表!E47)</f>
        <v>295.9292</v>
      </c>
      <c r="D27" s="10" t="n">
        <f aca="false">N(历史资产负债表!F47)</f>
        <v>149.1519</v>
      </c>
      <c r="E27" s="10" t="n">
        <f aca="false">N(历史资产负债表!G47)</f>
        <v>168.719</v>
      </c>
      <c r="F27" s="10" t="n">
        <f aca="false">N(历史资产负债表!H47)</f>
        <v>203.7941</v>
      </c>
      <c r="G27" s="10" t="n">
        <f aca="false">N(历史资产负债表!I47)</f>
        <v>262.1147</v>
      </c>
      <c r="H27" s="24" t="n">
        <f aca="false">收入拆解!H47*假设!H213</f>
        <v>318.853311639552</v>
      </c>
      <c r="I27" s="24" t="n">
        <f aca="false">收入拆解!I47*假设!I213</f>
        <v>403.670767915202</v>
      </c>
      <c r="J27" s="24" t="n">
        <f aca="false">收入拆解!J47*假设!J213</f>
        <v>463.569994125579</v>
      </c>
      <c r="K27" s="24" t="n">
        <f aca="false">收入拆解!K47*假设!K213</f>
        <v>510.530002776352</v>
      </c>
      <c r="L27" s="24" t="n">
        <f aca="false">收入拆解!L47*假设!L213</f>
        <v>544.959460435384</v>
      </c>
    </row>
    <row r="28" customFormat="false" ht="15" hidden="false" customHeight="false" outlineLevel="0" collapsed="false">
      <c r="A28" s="9" t="s">
        <v>846</v>
      </c>
      <c r="B28" s="55" t="s">
        <v>353</v>
      </c>
      <c r="C28" s="80" t="n">
        <f aca="false">C21+C22+C23+C24+C25+C26+C27</f>
        <v>1524.0515</v>
      </c>
      <c r="D28" s="80" t="n">
        <f aca="false">D21+D22+D23+D24+D25+D26+D27</f>
        <v>1297.8563</v>
      </c>
      <c r="E28" s="80" t="n">
        <f aca="false">E21+E22+E23+E24+E25+E26+E27</f>
        <v>1655.263</v>
      </c>
      <c r="F28" s="80" t="n">
        <f aca="false">F21+F22+F23+F24+F25+F26+F27</f>
        <v>2114.9046</v>
      </c>
      <c r="G28" s="80" t="n">
        <f aca="false">G21+G22+G23+G24+G25+G26+G27</f>
        <v>2937.7773</v>
      </c>
      <c r="H28" s="76" t="n">
        <f aca="false">H21+H22+H23+H24+H25+H26+H27</f>
        <v>4136.37959138612</v>
      </c>
      <c r="I28" s="76" t="n">
        <f aca="false">I21+I22+I23+I24+I25+I26+I27</f>
        <v>5171.18647638539</v>
      </c>
      <c r="J28" s="76" t="n">
        <f aca="false">J21+J22+J23+J24+J25+J26+J27</f>
        <v>5988.95167112122</v>
      </c>
      <c r="K28" s="76" t="n">
        <f aca="false">K21+K22+K23+K24+K25+K26+K27</f>
        <v>6671.394959689</v>
      </c>
      <c r="L28" s="76" t="n">
        <f aca="false">L21+L22+L23+L24+L25+L26+L27</f>
        <v>7180.50849653421</v>
      </c>
    </row>
    <row r="29" customFormat="false" ht="15" hidden="false" customHeight="false" outlineLevel="0" collapsed="false">
      <c r="A29" s="40" t="s">
        <v>847</v>
      </c>
      <c r="B29" s="6"/>
      <c r="C29" s="6"/>
      <c r="D29" s="6"/>
      <c r="E29" s="6"/>
      <c r="F29" s="6"/>
      <c r="G29" s="6"/>
      <c r="H29" s="6"/>
      <c r="I29" s="6"/>
      <c r="J29" s="6"/>
      <c r="K29" s="6"/>
      <c r="L29" s="6"/>
      <c r="M29" s="6"/>
    </row>
    <row r="30" customFormat="false" ht="15" hidden="false" customHeight="false" outlineLevel="0" collapsed="false">
      <c r="A30" s="9" t="s">
        <v>848</v>
      </c>
      <c r="B30" s="55" t="s">
        <v>353</v>
      </c>
      <c r="C30" s="80" t="n">
        <f aca="false">C19-C28</f>
        <v>3016.4693</v>
      </c>
      <c r="D30" s="80" t="n">
        <f aca="false">D19-D28</f>
        <v>2758.4855</v>
      </c>
      <c r="E30" s="80" t="n">
        <f aca="false">E19-E28</f>
        <v>2935.793</v>
      </c>
      <c r="F30" s="80" t="n">
        <f aca="false">F19-F28</f>
        <v>3370.8986</v>
      </c>
      <c r="G30" s="80" t="n">
        <f aca="false">G19-G28</f>
        <v>3327.4551</v>
      </c>
      <c r="H30" s="76" t="n">
        <f aca="false">H19-H28</f>
        <v>4694.75643690867</v>
      </c>
      <c r="I30" s="76" t="n">
        <f aca="false">I19-I28</f>
        <v>6012.67083507317</v>
      </c>
      <c r="J30" s="76" t="n">
        <f aca="false">J19-J28</f>
        <v>6939.24087005926</v>
      </c>
      <c r="K30" s="76" t="n">
        <f aca="false">K19-K28</f>
        <v>7663.57593732082</v>
      </c>
      <c r="L30" s="76" t="n">
        <f aca="false">L19-L28</f>
        <v>8173.38687336318</v>
      </c>
    </row>
    <row r="31" customFormat="false" ht="15" hidden="false" customHeight="false" outlineLevel="0" collapsed="false">
      <c r="A31" s="11" t="s">
        <v>849</v>
      </c>
      <c r="B31" s="55" t="s">
        <v>353</v>
      </c>
      <c r="D31" s="33" t="n">
        <f aca="false">D30-C30</f>
        <v>-257.9838</v>
      </c>
      <c r="E31" s="33" t="n">
        <f aca="false">E30-D30</f>
        <v>177.3075</v>
      </c>
      <c r="F31" s="33" t="n">
        <f aca="false">F30-E30</f>
        <v>435.1056</v>
      </c>
      <c r="G31" s="33" t="n">
        <f aca="false">G30-F30</f>
        <v>-43.4434999999999</v>
      </c>
      <c r="H31" s="34" t="n">
        <f aca="false">H30-G30</f>
        <v>1367.30133690867</v>
      </c>
      <c r="I31" s="34" t="n">
        <f aca="false">I30-H30</f>
        <v>1317.9143981645</v>
      </c>
      <c r="J31" s="34" t="n">
        <f aca="false">J30-I30</f>
        <v>926.570034986092</v>
      </c>
      <c r="K31" s="34" t="n">
        <f aca="false">K30-J30</f>
        <v>724.335067261553</v>
      </c>
      <c r="L31" s="34" t="n">
        <f aca="false">L30-K30</f>
        <v>509.810936042359</v>
      </c>
    </row>
    <row r="32" customFormat="false" ht="15" hidden="false" customHeight="false" outlineLevel="0" collapsed="false">
      <c r="A32" s="11" t="s">
        <v>850</v>
      </c>
      <c r="B32" s="56" t="s">
        <v>317</v>
      </c>
      <c r="C32" s="12" t="n">
        <f aca="false">IFERROR(C30/历史利润表!E6,0)</f>
        <v>0.48511561999742</v>
      </c>
      <c r="D32" s="12" t="n">
        <f aca="false">IFERROR(D30/历史利润表!F6,0)</f>
        <v>0.53569202578272</v>
      </c>
      <c r="E32" s="12" t="n">
        <f aca="false">IFERROR(E30/历史利润表!G6,0)</f>
        <v>0.512651072255807</v>
      </c>
      <c r="F32" s="12" t="n">
        <f aca="false">IFERROR(F30/历史利润表!H6,0)</f>
        <v>0.457071566787582</v>
      </c>
      <c r="G32" s="12" t="n">
        <f aca="false">IFERROR(G30/历史利润表!I6,0)</f>
        <v>0.369423586733652</v>
      </c>
      <c r="H32" s="25" t="n">
        <f aca="false">IFERROR(H30/收入拆解!H47,0)</f>
        <v>0.338649134593167</v>
      </c>
      <c r="I32" s="25" t="n">
        <f aca="false">IFERROR(I30/收入拆解!I47,0)</f>
        <v>0.342584700697806</v>
      </c>
      <c r="J32" s="25" t="n">
        <f aca="false">IFERROR(J30/收入拆解!J47,0)</f>
        <v>0.344290057669538</v>
      </c>
      <c r="K32" s="25" t="n">
        <f aca="false">IFERROR(K30/收入拆解!K47,0)</f>
        <v>0.345253453469598</v>
      </c>
      <c r="L32" s="25" t="n">
        <f aca="false">IFERROR(L30/收入拆解!L47,0)</f>
        <v>0.344957582601033</v>
      </c>
    </row>
    <row r="33" customFormat="false" ht="15" hidden="false" customHeight="false" outlineLevel="0" collapsed="false">
      <c r="A33" s="11" t="s">
        <v>851</v>
      </c>
      <c r="B33" s="55" t="s">
        <v>503</v>
      </c>
      <c r="C33" s="28" t="n">
        <f aca="false">IFERROR((C6+C7+C8)/历史利润表!E6*365,0)</f>
        <v>133.650427578328</v>
      </c>
      <c r="D33" s="28" t="n">
        <f aca="false">IFERROR((D6+D7+D8)/历史利润表!F6*365,0)</f>
        <v>121.562703707503</v>
      </c>
      <c r="E33" s="28" t="n">
        <f aca="false">IFERROR((E6+E7+E8)/历史利润表!G6*365,0)</f>
        <v>143.998382049242</v>
      </c>
      <c r="F33" s="28" t="n">
        <f aca="false">IFERROR((F6+F7+F8)/历史利润表!H6*365,0)</f>
        <v>132.950963003235</v>
      </c>
      <c r="G33" s="28" t="n">
        <f aca="false">IFERROR((G6+G7+G8)/历史利润表!I6*365,0)</f>
        <v>132.102929927732</v>
      </c>
      <c r="H33" s="29" t="n">
        <f aca="false">IFERROR((H6+H7+H8)/收入拆解!H47*365,0)</f>
        <v>128</v>
      </c>
      <c r="I33" s="29" t="n">
        <f aca="false">IFERROR((I6+I7+I8)/收入拆解!I47*365,0)</f>
        <v>128</v>
      </c>
      <c r="J33" s="29" t="n">
        <f aca="false">IFERROR((J6+J7+J8)/收入拆解!J47*365,0)</f>
        <v>128</v>
      </c>
      <c r="K33" s="29" t="n">
        <f aca="false">IFERROR((K6+K7+K8)/收入拆解!K47*365,0)</f>
        <v>128</v>
      </c>
      <c r="L33" s="29" t="n">
        <f aca="false">IFERROR((L6+L7+L8)/收入拆解!L47*365,0)</f>
        <v>128</v>
      </c>
    </row>
    <row r="34" customFormat="false" ht="15" hidden="false" customHeight="false" outlineLevel="0" collapsed="false">
      <c r="A34" s="11" t="s">
        <v>125</v>
      </c>
      <c r="B34" s="55" t="s">
        <v>503</v>
      </c>
      <c r="C34" s="28" t="n">
        <f aca="false">IFERROR(C16/历史利润表!E8*365,0)</f>
        <v>205.785515938365</v>
      </c>
      <c r="D34" s="28" t="n">
        <f aca="false">IFERROR(D16/历史利润表!F8*365,0)</f>
        <v>239.144873665754</v>
      </c>
      <c r="E34" s="28" t="n">
        <f aca="false">IFERROR(E16/历史利润表!G8*365,0)</f>
        <v>185.766258188617</v>
      </c>
      <c r="F34" s="28" t="n">
        <f aca="false">IFERROR(F16/历史利润表!H8*365,0)</f>
        <v>189.295005567006</v>
      </c>
      <c r="G34" s="28" t="n">
        <f aca="false">IFERROR(G16/历史利润表!I8*365,0)</f>
        <v>167.501648434924</v>
      </c>
      <c r="H34" s="29" t="n">
        <f aca="false">IFERROR(H16/成本拆解!H26*365,0)</f>
        <v>156.10015429964</v>
      </c>
      <c r="I34" s="29" t="n">
        <f aca="false">IFERROR(I16/成本拆解!I26*365,0)</f>
        <v>157.079564286996</v>
      </c>
      <c r="J34" s="29" t="n">
        <f aca="false">IFERROR(J16/成本拆解!J26*365,0)</f>
        <v>157.380082192584</v>
      </c>
      <c r="K34" s="29" t="n">
        <f aca="false">IFERROR(K16/成本拆解!K26*365,0)</f>
        <v>157.47552525857</v>
      </c>
      <c r="L34" s="29" t="n">
        <f aca="false">IFERROR(L16/成本拆解!L26*365,0)</f>
        <v>157.338050390631</v>
      </c>
    </row>
    <row r="35" customFormat="false" ht="15" hidden="false" customHeight="false" outlineLevel="0" collapsed="false">
      <c r="A35" s="11" t="s">
        <v>852</v>
      </c>
      <c r="B35" s="55" t="s">
        <v>503</v>
      </c>
      <c r="C35" s="28" t="n">
        <f aca="false">IFERROR((C21+C22)/历史利润表!E8*365,0)</f>
        <v>95.0950284315801</v>
      </c>
      <c r="D35" s="28" t="n">
        <f aca="false">IFERROR((D21+D22)/历史利润表!F8*365,0)</f>
        <v>80.5308579387378</v>
      </c>
      <c r="E35" s="28" t="n">
        <f aca="false">IFERROR((E21+E22)/历史利润表!G8*365,0)</f>
        <v>103.889772513656</v>
      </c>
      <c r="F35" s="28" t="n">
        <f aca="false">IFERROR((F21+F22)/历史利润表!H8*365,0)</f>
        <v>112.437871291761</v>
      </c>
      <c r="G35" s="28" t="n">
        <f aca="false">IFERROR((G21+G22)/历史利润表!I8*365,0)</f>
        <v>135.024323541117</v>
      </c>
      <c r="H35" s="29" t="n">
        <f aca="false">IFERROR((H21+H22)/成本拆解!H26*365,0)</f>
        <v>135</v>
      </c>
      <c r="I35" s="29" t="n">
        <f aca="false">IFERROR((I21+I22)/成本拆解!I26*365,0)</f>
        <v>135</v>
      </c>
      <c r="J35" s="29" t="n">
        <f aca="false">IFERROR((J21+J22)/成本拆解!J26*365,0)</f>
        <v>135</v>
      </c>
      <c r="K35" s="29" t="n">
        <f aca="false">IFERROR((K21+K22)/成本拆解!K26*365,0)</f>
        <v>135</v>
      </c>
      <c r="L35" s="29" t="n">
        <f aca="false">IFERROR((L21+L22)/成本拆解!L26*365,0)</f>
        <v>135</v>
      </c>
    </row>
    <row r="36" customFormat="false" ht="15" hidden="false" customHeight="false" outlineLevel="0" collapsed="false">
      <c r="A36" s="9" t="s">
        <v>127</v>
      </c>
      <c r="B36" s="55" t="s">
        <v>503</v>
      </c>
      <c r="C36" s="96" t="n">
        <f aca="false">C33+C34-C35</f>
        <v>244.340915085112</v>
      </c>
      <c r="D36" s="96" t="n">
        <f aca="false">D33+D34-D35</f>
        <v>280.17671943452</v>
      </c>
      <c r="E36" s="96" t="n">
        <f aca="false">E33+E34-E35</f>
        <v>225.874867724203</v>
      </c>
      <c r="F36" s="96" t="n">
        <f aca="false">F33+F34-F35</f>
        <v>209.808097278479</v>
      </c>
      <c r="G36" s="96" t="n">
        <f aca="false">G33+G34-G35</f>
        <v>164.580254821539</v>
      </c>
      <c r="H36" s="97" t="n">
        <f aca="false">H33+H34-H35</f>
        <v>149.10015429964</v>
      </c>
      <c r="I36" s="97" t="n">
        <f aca="false">I33+I34-I35</f>
        <v>150.079564286996</v>
      </c>
      <c r="J36" s="97" t="n">
        <f aca="false">J33+J34-J35</f>
        <v>150.380082192584</v>
      </c>
      <c r="K36" s="97" t="n">
        <f aca="false">K33+K34-K35</f>
        <v>150.47552525857</v>
      </c>
      <c r="L36" s="97" t="n">
        <f aca="false">L33+L34-L35</f>
        <v>150.338050390631</v>
      </c>
    </row>
    <row r="37" customFormat="false" ht="15" hidden="false" customHeight="false" outlineLevel="0" collapsed="false">
      <c r="A37" s="11" t="s">
        <v>853</v>
      </c>
      <c r="B37" s="55" t="s">
        <v>503</v>
      </c>
      <c r="C37" s="28" t="n">
        <f aca="false">IFERROR(C7/历史利润表!E6*365,0)</f>
        <v>89.7130070044558</v>
      </c>
      <c r="D37" s="28" t="n">
        <f aca="false">IFERROR(D7/历史利润表!F6*365,0)</f>
        <v>84.8872694922186</v>
      </c>
      <c r="E37" s="28" t="n">
        <f aca="false">IFERROR(E7/历史利润表!G6*365,0)</f>
        <v>103.673924293246</v>
      </c>
      <c r="F37" s="28" t="n">
        <f aca="false">IFERROR(F7/历史利润表!H6*365,0)</f>
        <v>92.6359129153083</v>
      </c>
      <c r="G37" s="28" t="n">
        <f aca="false">IFERROR(G7/历史利润表!I6*365,0)</f>
        <v>87.508055124938</v>
      </c>
      <c r="H37" s="29" t="n">
        <f aca="false">IFERROR(H7/收入拆解!H47*365,0)</f>
        <v>88</v>
      </c>
      <c r="I37" s="29" t="n">
        <f aca="false">IFERROR(I7/收入拆解!I47*365,0)</f>
        <v>88</v>
      </c>
      <c r="J37" s="29" t="n">
        <f aca="false">IFERROR(J7/收入拆解!J47*365,0)</f>
        <v>88</v>
      </c>
      <c r="K37" s="29" t="n">
        <f aca="false">IFERROR(K7/收入拆解!K47*365,0)</f>
        <v>88</v>
      </c>
      <c r="L37" s="29" t="n">
        <f aca="false">IFERROR(L7/收入拆解!L47*365,0)</f>
        <v>88</v>
      </c>
    </row>
    <row r="38" customFormat="false" ht="15" hidden="false" customHeight="false" outlineLevel="0" collapsed="false">
      <c r="A38" s="11" t="s">
        <v>854</v>
      </c>
      <c r="B38" s="55" t="s">
        <v>503</v>
      </c>
      <c r="C38" s="28" t="n">
        <f aca="false">IFERROR(C6/历史利润表!E6*365,0)</f>
        <v>35.8942203188721</v>
      </c>
      <c r="D38" s="28" t="n">
        <f aca="false">IFERROR(D6/历史利润表!F6*365,0)</f>
        <v>30.8678834173443</v>
      </c>
      <c r="E38" s="28" t="n">
        <f aca="false">IFERROR(E6/历史利润表!G6*365,0)</f>
        <v>29.4796140037999</v>
      </c>
      <c r="F38" s="28" t="n">
        <f aca="false">IFERROR(F6/历史利润表!H6*365,0)</f>
        <v>31.7773454714005</v>
      </c>
      <c r="G38" s="28" t="n">
        <f aca="false">IFERROR(G6/历史利润表!I6*365,0)</f>
        <v>30.5919480292215</v>
      </c>
      <c r="H38" s="29" t="n">
        <f aca="false">IFERROR(H6/收入拆解!H47*365,0)</f>
        <v>28</v>
      </c>
      <c r="I38" s="29" t="n">
        <f aca="false">IFERROR(I6/收入拆解!I47*365,0)</f>
        <v>28</v>
      </c>
      <c r="J38" s="29" t="n">
        <f aca="false">IFERROR(J6/收入拆解!J47*365,0)</f>
        <v>28</v>
      </c>
      <c r="K38" s="29" t="n">
        <f aca="false">IFERROR(K6/收入拆解!K47*365,0)</f>
        <v>28</v>
      </c>
      <c r="L38" s="29" t="n">
        <f aca="false">IFERROR(L6/收入拆解!L47*365,0)</f>
        <v>28</v>
      </c>
    </row>
    <row r="39" customFormat="false" ht="15" hidden="false" customHeight="false" outlineLevel="0" collapsed="false">
      <c r="A39" s="11" t="s">
        <v>855</v>
      </c>
      <c r="B39" s="55" t="s">
        <v>503</v>
      </c>
      <c r="C39" s="28" t="n">
        <f aca="false">IFERROR(C8/历史利润表!E6*365,0)</f>
        <v>8.04320025499989</v>
      </c>
      <c r="D39" s="28" t="n">
        <f aca="false">IFERROR(D8/历史利润表!F6*365,0)</f>
        <v>5.80755079794062</v>
      </c>
      <c r="E39" s="28" t="n">
        <f aca="false">IFERROR(E8/历史利润表!G6*365,0)</f>
        <v>10.8448437521964</v>
      </c>
      <c r="F39" s="28" t="n">
        <f aca="false">IFERROR(F8/历史利润表!H6*365,0)</f>
        <v>8.53770461652644</v>
      </c>
      <c r="G39" s="28" t="n">
        <f aca="false">IFERROR(G8/历史利润表!I6*365,0)</f>
        <v>14.0029267735727</v>
      </c>
      <c r="H39" s="29" t="n">
        <f aca="false">IFERROR(H8/收入拆解!H47*365,0)</f>
        <v>12</v>
      </c>
      <c r="I39" s="29" t="n">
        <f aca="false">IFERROR(I8/收入拆解!I47*365,0)</f>
        <v>12</v>
      </c>
      <c r="J39" s="29" t="n">
        <f aca="false">IFERROR(J8/收入拆解!J47*365,0)</f>
        <v>12</v>
      </c>
      <c r="K39" s="29" t="n">
        <f aca="false">IFERROR(K8/收入拆解!K47*365,0)</f>
        <v>12</v>
      </c>
      <c r="L39" s="29" t="n">
        <f aca="false">IFERROR(L8/收入拆解!L47*365,0)</f>
        <v>12</v>
      </c>
    </row>
    <row r="40" customFormat="false" ht="15" hidden="false" customHeight="false" outlineLevel="0" collapsed="false">
      <c r="A40" s="11" t="s">
        <v>856</v>
      </c>
      <c r="B40" s="55" t="s">
        <v>503</v>
      </c>
      <c r="E40" s="28" t="n">
        <f aca="false">IFERROR(E11/成本拆解!E32*365,0)</f>
        <v>81.5009686014836</v>
      </c>
      <c r="F40" s="28" t="n">
        <f aca="false">IFERROR(F11/成本拆解!F32*365,0)</f>
        <v>50.321770873329</v>
      </c>
      <c r="G40" s="28" t="n">
        <f aca="false">IFERROR(G11/成本拆解!G32*365,0)</f>
        <v>44.7905367345252</v>
      </c>
      <c r="H40" s="29" t="n">
        <f aca="false">IFERROR(H11/成本拆解!H32*365,0)</f>
        <v>50</v>
      </c>
      <c r="I40" s="29" t="n">
        <f aca="false">IFERROR(I11/成本拆解!I32*365,0)</f>
        <v>50</v>
      </c>
      <c r="J40" s="29" t="n">
        <f aca="false">IFERROR(J11/成本拆解!J32*365,0)</f>
        <v>50</v>
      </c>
      <c r="K40" s="29" t="n">
        <f aca="false">IFERROR(K11/成本拆解!K32*365,0)</f>
        <v>50</v>
      </c>
      <c r="L40" s="29" t="n">
        <f aca="false">IFERROR(L11/成本拆解!L32*365,0)</f>
        <v>50</v>
      </c>
    </row>
    <row r="41" customFormat="false" ht="15" hidden="false" customHeight="false" outlineLevel="0" collapsed="false">
      <c r="A41" s="11" t="s">
        <v>857</v>
      </c>
      <c r="B41" s="55" t="s">
        <v>503</v>
      </c>
      <c r="E41" s="28" t="n">
        <f aca="false">IFERROR(E12/历史利润表!G8*365,0)</f>
        <v>79.3792755477176</v>
      </c>
      <c r="F41" s="28" t="n">
        <f aca="false">IFERROR(F12/历史利润表!H8*365,0)</f>
        <v>92.9994837395086</v>
      </c>
      <c r="G41" s="28" t="n">
        <f aca="false">IFERROR(G12/历史利润表!I8*365,0)</f>
        <v>81.5687470265573</v>
      </c>
      <c r="H41" s="29" t="n">
        <f aca="false">IFERROR(H12/成本拆解!H26*365,0)</f>
        <v>72</v>
      </c>
      <c r="I41" s="29" t="n">
        <f aca="false">IFERROR(I12/成本拆解!I26*365,0)</f>
        <v>72</v>
      </c>
      <c r="J41" s="29" t="n">
        <f aca="false">IFERROR(J12/成本拆解!J26*365,0)</f>
        <v>72</v>
      </c>
      <c r="K41" s="29" t="n">
        <f aca="false">IFERROR(K12/成本拆解!K26*365,0)</f>
        <v>72</v>
      </c>
      <c r="L41" s="29" t="n">
        <f aca="false">IFERROR(L12/成本拆解!L26*365,0)</f>
        <v>72</v>
      </c>
    </row>
    <row r="42" customFormat="false" ht="15" hidden="false" customHeight="false" outlineLevel="0" collapsed="false">
      <c r="A42" s="11" t="s">
        <v>858</v>
      </c>
      <c r="B42" s="55" t="s">
        <v>503</v>
      </c>
      <c r="E42" s="28" t="n">
        <f aca="false">IFERROR(E13/历史利润表!G8*365,0)</f>
        <v>64.8155592308167</v>
      </c>
      <c r="F42" s="28" t="n">
        <f aca="false">IFERROR(F13/历史利润表!H8*365,0)</f>
        <v>72.9574293775563</v>
      </c>
      <c r="G42" s="28" t="n">
        <f aca="false">IFERROR(G13/历史利润表!I8*365,0)</f>
        <v>62.329415022947</v>
      </c>
      <c r="H42" s="29" t="n">
        <f aca="false">IFERROR(H13/成本拆解!H26*365,0)</f>
        <v>55</v>
      </c>
      <c r="I42" s="29" t="n">
        <f aca="false">IFERROR(I13/成本拆解!I26*365,0)</f>
        <v>55</v>
      </c>
      <c r="J42" s="29" t="n">
        <f aca="false">IFERROR(J13/成本拆解!J26*365,0)</f>
        <v>55</v>
      </c>
      <c r="K42" s="29" t="n">
        <f aca="false">IFERROR(K13/成本拆解!K26*365,0)</f>
        <v>55</v>
      </c>
      <c r="L42" s="29" t="n">
        <f aca="false">IFERROR(L13/成本拆解!L26*365,0)</f>
        <v>55</v>
      </c>
    </row>
    <row r="43" customFormat="false" ht="15" hidden="false" customHeight="false" outlineLevel="0" collapsed="false">
      <c r="A43" s="11" t="s">
        <v>859</v>
      </c>
      <c r="B43" s="55" t="s">
        <v>503</v>
      </c>
      <c r="C43" s="28" t="n">
        <f aca="false">IFERROR(C21/历史利润表!E8*365,0)</f>
        <v>0</v>
      </c>
      <c r="D43" s="28" t="n">
        <f aca="false">IFERROR(D21/历史利润表!F8*365,0)</f>
        <v>3.53370136734928</v>
      </c>
      <c r="E43" s="28" t="n">
        <f aca="false">IFERROR(E21/历史利润表!G8*365,0)</f>
        <v>25.6905332616617</v>
      </c>
      <c r="F43" s="28" t="n">
        <f aca="false">IFERROR(F21/历史利润表!H8*365,0)</f>
        <v>45.26673611323</v>
      </c>
      <c r="G43" s="28" t="n">
        <f aca="false">IFERROR(G21/历史利润表!I8*365,0)</f>
        <v>78.3811429828037</v>
      </c>
      <c r="H43" s="29" t="n">
        <f aca="false">IFERROR(H21/成本拆解!H26*365,0)</f>
        <v>75</v>
      </c>
      <c r="I43" s="29" t="n">
        <f aca="false">IFERROR(I21/成本拆解!I26*365,0)</f>
        <v>75</v>
      </c>
      <c r="J43" s="29" t="n">
        <f aca="false">IFERROR(J21/成本拆解!J26*365,0)</f>
        <v>75</v>
      </c>
      <c r="K43" s="29" t="n">
        <f aca="false">IFERROR(K21/成本拆解!K26*365,0)</f>
        <v>75</v>
      </c>
      <c r="L43" s="29" t="n">
        <f aca="false">IFERROR(L21/成本拆解!L26*365,0)</f>
        <v>75</v>
      </c>
    </row>
    <row r="44" customFormat="false" ht="15" hidden="false" customHeight="false" outlineLevel="0" collapsed="false">
      <c r="A44" s="11" t="s">
        <v>860</v>
      </c>
      <c r="B44" s="55" t="s">
        <v>503</v>
      </c>
      <c r="C44" s="28" t="n">
        <f aca="false">IFERROR(C22/历史利润表!E8*365,0)</f>
        <v>95.0950284315801</v>
      </c>
      <c r="D44" s="28" t="n">
        <f aca="false">IFERROR(D22/历史利润表!F8*365,0)</f>
        <v>76.9971565713885</v>
      </c>
      <c r="E44" s="28" t="n">
        <f aca="false">IFERROR(E22/历史利润表!G8*365,0)</f>
        <v>78.1992392519943</v>
      </c>
      <c r="F44" s="28" t="n">
        <f aca="false">IFERROR(F22/历史利润表!H8*365,0)</f>
        <v>67.1711351785315</v>
      </c>
      <c r="G44" s="28" t="n">
        <f aca="false">IFERROR(G22/历史利润表!I8*365,0)</f>
        <v>56.6431805583129</v>
      </c>
      <c r="H44" s="29" t="n">
        <f aca="false">IFERROR(H22/成本拆解!H26*365,0)</f>
        <v>60</v>
      </c>
      <c r="I44" s="29" t="n">
        <f aca="false">IFERROR(I22/成本拆解!I26*365,0)</f>
        <v>60</v>
      </c>
      <c r="J44" s="29" t="n">
        <f aca="false">IFERROR(J22/成本拆解!J26*365,0)</f>
        <v>60</v>
      </c>
      <c r="K44" s="29" t="n">
        <f aca="false">IFERROR(K22/成本拆解!K26*365,0)</f>
        <v>60</v>
      </c>
      <c r="L44" s="29" t="n">
        <f aca="false">IFERROR(L22/成本拆解!L26*365,0)</f>
        <v>60</v>
      </c>
    </row>
    <row r="45" customFormat="false" ht="15" hidden="false" customHeight="false" outlineLevel="0" collapsed="false">
      <c r="A45" s="11" t="s">
        <v>861</v>
      </c>
      <c r="B45" s="56" t="s">
        <v>317</v>
      </c>
      <c r="E45" s="31" t="n">
        <f aca="false">IFERROR(E15/(E11+E12+E13+E14),0)</f>
        <v>0.0266639933269962</v>
      </c>
      <c r="F45" s="31" t="n">
        <f aca="false">IFERROR(F15/(F11+F12+F13+F14),0)</f>
        <v>0.0329866343133881</v>
      </c>
      <c r="G45" s="31" t="n">
        <f aca="false">IFERROR(G15/(G11+G12+G13+G14),0)</f>
        <v>0.028354413894494</v>
      </c>
      <c r="H45" s="25" t="n">
        <f aca="false">假设!H205</f>
        <v>0.035</v>
      </c>
      <c r="I45" s="25" t="n">
        <f aca="false">假设!I205</f>
        <v>0.035</v>
      </c>
      <c r="J45" s="25" t="n">
        <f aca="false">假设!J205</f>
        <v>0.035</v>
      </c>
      <c r="K45" s="25" t="n">
        <f aca="false">假设!K205</f>
        <v>0.035</v>
      </c>
      <c r="L45" s="25" t="n">
        <f aca="false">假设!L205</f>
        <v>0.035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21.6" hidden="false" customHeight="false" outlineLevel="0" collapsed="false">
      <c r="A1" s="1" t="s">
        <v>862</v>
      </c>
    </row>
    <row r="2" customFormat="false" ht="15" hidden="false" customHeight="false" outlineLevel="0" collapsed="false">
      <c r="A2" s="2" t="s">
        <v>863</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864</v>
      </c>
      <c r="B5" s="6"/>
      <c r="C5" s="6"/>
      <c r="D5" s="6"/>
      <c r="E5" s="6"/>
      <c r="F5" s="6"/>
      <c r="G5" s="6"/>
      <c r="H5" s="6"/>
      <c r="I5" s="6"/>
      <c r="J5" s="6"/>
      <c r="K5" s="6"/>
      <c r="L5" s="6"/>
      <c r="M5" s="6"/>
    </row>
    <row r="6" customFormat="false" ht="15" hidden="false" customHeight="false" outlineLevel="0" collapsed="false">
      <c r="A6" s="9" t="s">
        <v>129</v>
      </c>
      <c r="B6" s="55" t="s">
        <v>353</v>
      </c>
      <c r="C6" s="23" t="n">
        <f aca="false">历史资产负债表!E5</f>
        <v>5552.412</v>
      </c>
      <c r="D6" s="23" t="n">
        <f aca="false">历史资产负债表!F5</f>
        <v>4509.4292</v>
      </c>
      <c r="E6" s="23" t="n">
        <f aca="false">历史资产负债表!G5</f>
        <v>2841.6149</v>
      </c>
      <c r="F6" s="23" t="n">
        <f aca="false">历史资产负债表!H5</f>
        <v>3062.8452</v>
      </c>
      <c r="G6" s="23" t="n">
        <f aca="false">历史资产负债表!I5</f>
        <v>3057.7786</v>
      </c>
      <c r="H6" s="79" t="n">
        <f aca="false">三表预测!H37</f>
        <v>9327.15172825816</v>
      </c>
      <c r="I6" s="79" t="n">
        <f aca="false">三表预测!I37</f>
        <v>10581.3579888219</v>
      </c>
      <c r="J6" s="79" t="n">
        <f aca="false">三表预测!J37</f>
        <v>12764.9321328223</v>
      </c>
      <c r="K6" s="79" t="n">
        <f aca="false">三表预测!K37</f>
        <v>15978.4561359624</v>
      </c>
      <c r="L6" s="79" t="n">
        <f aca="false">三表预测!L37</f>
        <v>19981.1230444062</v>
      </c>
    </row>
    <row r="7" customFormat="false" ht="15" hidden="false" customHeight="false" outlineLevel="0" collapsed="false">
      <c r="A7" s="11" t="s">
        <v>865</v>
      </c>
      <c r="B7" s="55" t="s">
        <v>353</v>
      </c>
      <c r="D7" s="30" t="n">
        <v>1.917512</v>
      </c>
      <c r="E7" s="30" t="n">
        <v>2.03805</v>
      </c>
      <c r="F7" s="30" t="n">
        <v>25.824951</v>
      </c>
      <c r="G7" s="30" t="n">
        <v>0.017313</v>
      </c>
      <c r="H7" s="34" t="n">
        <f aca="false">G7</f>
        <v>0.017313</v>
      </c>
      <c r="I7" s="34" t="n">
        <f aca="false">H7</f>
        <v>0.017313</v>
      </c>
      <c r="J7" s="34" t="n">
        <f aca="false">I7</f>
        <v>0.017313</v>
      </c>
      <c r="K7" s="34" t="n">
        <f aca="false">J7</f>
        <v>0.017313</v>
      </c>
      <c r="L7" s="34" t="n">
        <f aca="false">K7</f>
        <v>0.017313</v>
      </c>
      <c r="M7" s="2" t="s">
        <v>866</v>
      </c>
    </row>
    <row r="8" customFormat="false" ht="15" hidden="false" customHeight="false" outlineLevel="0" collapsed="false">
      <c r="A8" s="11" t="s">
        <v>867</v>
      </c>
      <c r="B8" s="55" t="s">
        <v>353</v>
      </c>
      <c r="D8" s="33" t="n">
        <f aca="false">D6-D7</f>
        <v>4507.511688</v>
      </c>
      <c r="E8" s="33" t="n">
        <f aca="false">E6-E7</f>
        <v>2839.57685</v>
      </c>
      <c r="F8" s="33" t="n">
        <f aca="false">F6-F7</f>
        <v>3037.020249</v>
      </c>
      <c r="G8" s="33" t="n">
        <f aca="false">G6-G7</f>
        <v>3057.761287</v>
      </c>
      <c r="H8" s="34" t="n">
        <f aca="false">H6-H7</f>
        <v>9327.13441525816</v>
      </c>
      <c r="I8" s="34" t="n">
        <f aca="false">I6-I7</f>
        <v>10581.3406758219</v>
      </c>
      <c r="J8" s="34" t="n">
        <f aca="false">J6-J7</f>
        <v>12764.9148198223</v>
      </c>
      <c r="K8" s="34" t="n">
        <f aca="false">K6-K7</f>
        <v>15978.4388229624</v>
      </c>
      <c r="L8" s="34" t="n">
        <f aca="false">L6-L7</f>
        <v>19981.1057314062</v>
      </c>
    </row>
    <row r="9" customFormat="false" ht="15" hidden="false" customHeight="false" outlineLevel="0" collapsed="false">
      <c r="A9" s="11" t="s">
        <v>868</v>
      </c>
      <c r="B9" s="55" t="s">
        <v>353</v>
      </c>
      <c r="C9" s="10" t="n">
        <f aca="false">历史资产负债表!E6</f>
        <v>2693.5949</v>
      </c>
      <c r="D9" s="10" t="n">
        <f aca="false">历史资产负债表!F6</f>
        <v>4255.0144</v>
      </c>
      <c r="E9" s="10" t="n">
        <f aca="false">历史资产负债表!G6</f>
        <v>3846.7081</v>
      </c>
      <c r="F9" s="10" t="n">
        <f aca="false">历史资产负债表!H6</f>
        <v>5053.3869</v>
      </c>
      <c r="G9" s="10" t="n">
        <f aca="false">历史资产负债表!I6</f>
        <v>3758.5116</v>
      </c>
      <c r="H9" s="24" t="n">
        <f aca="false">G9+假设!H221</f>
        <v>3758.5116</v>
      </c>
      <c r="I9" s="24" t="n">
        <f aca="false">H9+假设!I221</f>
        <v>3758.5116</v>
      </c>
      <c r="J9" s="24" t="n">
        <f aca="false">I9+假设!J221</f>
        <v>3758.5116</v>
      </c>
      <c r="K9" s="24" t="n">
        <f aca="false">J9+假设!K221</f>
        <v>3758.5116</v>
      </c>
      <c r="L9" s="24" t="n">
        <f aca="false">K9+假设!L221</f>
        <v>3758.5116</v>
      </c>
    </row>
    <row r="10" customFormat="false" ht="15" hidden="false" customHeight="false" outlineLevel="0" collapsed="false">
      <c r="A10" s="11" t="s">
        <v>869</v>
      </c>
      <c r="B10" s="55" t="s">
        <v>353</v>
      </c>
      <c r="D10" s="30" t="n">
        <v>0</v>
      </c>
      <c r="E10" s="30" t="n">
        <v>3590.703333</v>
      </c>
      <c r="F10" s="30" t="n">
        <v>2930.250492</v>
      </c>
      <c r="G10" s="30" t="n">
        <v>5850.993696</v>
      </c>
      <c r="H10" s="24" t="n">
        <f aca="false">G10+假设!H222</f>
        <v>5850.993696</v>
      </c>
      <c r="I10" s="24" t="n">
        <f aca="false">H10+假设!I222</f>
        <v>5850.993696</v>
      </c>
      <c r="J10" s="24" t="n">
        <f aca="false">I10+假设!J222</f>
        <v>5850.993696</v>
      </c>
      <c r="K10" s="24" t="n">
        <f aca="false">J10+假设!K222</f>
        <v>5850.993696</v>
      </c>
      <c r="L10" s="24" t="n">
        <f aca="false">K10+假设!L222</f>
        <v>5850.993696</v>
      </c>
    </row>
    <row r="11" customFormat="false" ht="15" hidden="false" customHeight="false" outlineLevel="0" collapsed="false">
      <c r="A11" s="11" t="s">
        <v>870</v>
      </c>
      <c r="B11" s="55" t="s">
        <v>353</v>
      </c>
      <c r="D11" s="10" t="n">
        <f aca="false">历史资产负债表!F32-D10</f>
        <v>52.3243</v>
      </c>
      <c r="E11" s="10" t="n">
        <f aca="false">历史资产负债表!G32-E10</f>
        <v>121.423967</v>
      </c>
      <c r="F11" s="10" t="n">
        <f aca="false">历史资产负债表!H32-F10</f>
        <v>30.608608</v>
      </c>
      <c r="G11" s="10" t="n">
        <f aca="false">历史资产负债表!I32-G10</f>
        <v>33.1286039999995</v>
      </c>
      <c r="H11" s="34" t="n">
        <f aca="false">G11</f>
        <v>33.1286039999995</v>
      </c>
      <c r="I11" s="34" t="n">
        <f aca="false">H11</f>
        <v>33.1286039999995</v>
      </c>
      <c r="J11" s="34" t="n">
        <f aca="false">I11</f>
        <v>33.1286039999995</v>
      </c>
      <c r="K11" s="34" t="n">
        <f aca="false">J11</f>
        <v>33.1286039999995</v>
      </c>
      <c r="L11" s="34" t="n">
        <f aca="false">K11</f>
        <v>33.1286039999995</v>
      </c>
    </row>
    <row r="12" customFormat="false" ht="15" hidden="false" customHeight="false" outlineLevel="0" collapsed="false">
      <c r="A12" s="9" t="s">
        <v>871</v>
      </c>
      <c r="B12" s="55" t="s">
        <v>353</v>
      </c>
      <c r="C12" s="23" t="n">
        <f aca="false">历史资产负债表!E32</f>
        <v>148.8167</v>
      </c>
      <c r="D12" s="23" t="n">
        <f aca="false">历史资产负债表!F32</f>
        <v>52.3243</v>
      </c>
      <c r="E12" s="23" t="n">
        <f aca="false">历史资产负债表!G32</f>
        <v>3712.1273</v>
      </c>
      <c r="F12" s="23" t="n">
        <f aca="false">历史资产负债表!H32</f>
        <v>2960.8591</v>
      </c>
      <c r="G12" s="23" t="n">
        <f aca="false">历史资产负债表!I32</f>
        <v>5884.1223</v>
      </c>
      <c r="H12" s="76" t="n">
        <f aca="false">H10+H11</f>
        <v>5884.1223</v>
      </c>
      <c r="I12" s="76" t="n">
        <f aca="false">I10+I11</f>
        <v>5884.1223</v>
      </c>
      <c r="J12" s="76" t="n">
        <f aca="false">J10+J11</f>
        <v>5884.1223</v>
      </c>
      <c r="K12" s="76" t="n">
        <f aca="false">K10+K11</f>
        <v>5884.1223</v>
      </c>
      <c r="L12" s="76" t="n">
        <f aca="false">L10+L11</f>
        <v>5884.1223</v>
      </c>
    </row>
    <row r="13" customFormat="false" ht="15" hidden="false" customHeight="false" outlineLevel="0" collapsed="false">
      <c r="A13" s="40" t="s">
        <v>872</v>
      </c>
      <c r="B13" s="6"/>
      <c r="C13" s="6"/>
      <c r="D13" s="6"/>
      <c r="E13" s="6"/>
      <c r="F13" s="6"/>
      <c r="G13" s="6"/>
      <c r="H13" s="6"/>
      <c r="I13" s="6"/>
      <c r="J13" s="6"/>
      <c r="K13" s="6"/>
      <c r="L13" s="6"/>
      <c r="M13" s="6"/>
    </row>
    <row r="14" customFormat="false" ht="15" hidden="false" customHeight="false" outlineLevel="0" collapsed="false">
      <c r="A14" s="11" t="s">
        <v>873</v>
      </c>
      <c r="B14" s="55" t="s">
        <v>353</v>
      </c>
      <c r="H14" s="24" t="n">
        <f aca="false">G8*假设!H216</f>
        <v>67.270748314</v>
      </c>
      <c r="I14" s="24" t="n">
        <f aca="false">H8*假设!I216</f>
        <v>167.888419474647</v>
      </c>
      <c r="J14" s="24" t="n">
        <f aca="false">I8*假设!J216</f>
        <v>179.882791488972</v>
      </c>
      <c r="K14" s="24" t="n">
        <f aca="false">J8*假设!K216</f>
        <v>204.238637117158</v>
      </c>
      <c r="L14" s="24" t="n">
        <f aca="false">K8*假设!L216</f>
        <v>255.655021167398</v>
      </c>
    </row>
    <row r="15" customFormat="false" ht="15" hidden="false" customHeight="false" outlineLevel="0" collapsed="false">
      <c r="A15" s="11" t="s">
        <v>874</v>
      </c>
      <c r="B15" s="55" t="s">
        <v>353</v>
      </c>
      <c r="H15" s="24" t="n">
        <f aca="false">G10*假设!H218</f>
        <v>134.572855008</v>
      </c>
      <c r="I15" s="24" t="n">
        <f aca="false">H10*假设!I218</f>
        <v>122.870867616</v>
      </c>
      <c r="J15" s="24" t="n">
        <f aca="false">I10*假设!J218</f>
        <v>117.01987392</v>
      </c>
      <c r="K15" s="24" t="n">
        <f aca="false">J10*假设!K218</f>
        <v>111.168880224</v>
      </c>
      <c r="L15" s="24" t="n">
        <f aca="false">K10*假设!L218</f>
        <v>111.168880224</v>
      </c>
    </row>
    <row r="16" customFormat="false" ht="15" hidden="false" customHeight="false" outlineLevel="0" collapsed="false">
      <c r="A16" s="4" t="s">
        <v>875</v>
      </c>
      <c r="B16" s="55" t="s">
        <v>353</v>
      </c>
      <c r="H16" s="24" t="n">
        <f aca="false">股本与每股!H7*假设!H216*假设!$C$11/365</f>
        <v>70.6435948555859</v>
      </c>
      <c r="I16" s="24" t="n">
        <f aca="false">股本与每股!I7*假设!I216*假设!$C$11/365</f>
        <v>0</v>
      </c>
      <c r="J16" s="24" t="n">
        <f aca="false">股本与每股!J7*假设!J216*假设!$C$11/365</f>
        <v>0</v>
      </c>
      <c r="K16" s="24" t="n">
        <f aca="false">股本与每股!K7*假设!K216*假设!$C$11/365</f>
        <v>0</v>
      </c>
      <c r="L16" s="24" t="n">
        <f aca="false">股本与每股!L7*假设!L216*假设!$C$11/365</f>
        <v>0</v>
      </c>
    </row>
    <row r="17" customFormat="false" ht="15" hidden="false" customHeight="false" outlineLevel="0" collapsed="false">
      <c r="A17" s="9" t="s">
        <v>876</v>
      </c>
      <c r="B17" s="55" t="s">
        <v>353</v>
      </c>
      <c r="C17" s="23" t="n">
        <f aca="false">历史利润表!E15</f>
        <v>103.223</v>
      </c>
      <c r="D17" s="23" t="n">
        <f aca="false">历史利润表!F15</f>
        <v>154.5883</v>
      </c>
      <c r="E17" s="23" t="n">
        <f aca="false">历史利润表!G15</f>
        <v>174.943</v>
      </c>
      <c r="F17" s="23" t="n">
        <f aca="false">历史利润表!H15</f>
        <v>203.5985</v>
      </c>
      <c r="G17" s="23" t="n">
        <f aca="false">历史利润表!I15</f>
        <v>196.88</v>
      </c>
      <c r="H17" s="76" t="n">
        <f aca="false">H14+H15+H16</f>
        <v>272.487198177586</v>
      </c>
      <c r="I17" s="76" t="n">
        <f aca="false">I14+I15+I16</f>
        <v>290.759287090647</v>
      </c>
      <c r="J17" s="76" t="n">
        <f aca="false">J14+J15+J16</f>
        <v>296.902665408972</v>
      </c>
      <c r="K17" s="76" t="n">
        <f aca="false">K14+K15+K16</f>
        <v>315.407517341158</v>
      </c>
      <c r="L17" s="76" t="n">
        <f aca="false">L14+L15+L16</f>
        <v>366.823901391398</v>
      </c>
    </row>
    <row r="18" customFormat="false" ht="15" hidden="false" customHeight="false" outlineLevel="0" collapsed="false">
      <c r="A18" s="11" t="s">
        <v>877</v>
      </c>
      <c r="B18" s="56" t="s">
        <v>317</v>
      </c>
      <c r="D18" s="92" t="n">
        <f aca="false">IFERROR(D17/(C6+C12),0)</f>
        <v>0.0271149094580261</v>
      </c>
      <c r="E18" s="92" t="n">
        <f aca="false">IFERROR(E17/(D6+D12),0)</f>
        <v>0.0383499459144384</v>
      </c>
      <c r="F18" s="92" t="n">
        <f aca="false">IFERROR(F17/(E6+E12),0)</f>
        <v>0.0310659915795894</v>
      </c>
      <c r="G18" s="92" t="n">
        <f aca="false">IFERROR(G17/(F6+F12),0)</f>
        <v>0.0326842072908526</v>
      </c>
      <c r="H18" s="98" t="n">
        <f aca="false">IFERROR(H17/(G6+G12),0)</f>
        <v>0.0304730729209475</v>
      </c>
      <c r="I18" s="98" t="n">
        <f aca="false">IFERROR(I17/(H6+H12),0)</f>
        <v>0.019114722839816</v>
      </c>
      <c r="J18" s="98" t="n">
        <f aca="false">IFERROR(J17/(I6+I12),0)</f>
        <v>0.0180318253826178</v>
      </c>
      <c r="K18" s="98" t="n">
        <f aca="false">IFERROR(K17/(J6+J12),0)</f>
        <v>0.0169127887141581</v>
      </c>
      <c r="L18" s="98" t="n">
        <f aca="false">IFERROR(L17/(K6+K12),0)</f>
        <v>0.0167786202558797</v>
      </c>
    </row>
    <row r="19" customFormat="false" ht="15" hidden="false" customHeight="false" outlineLevel="0" collapsed="false">
      <c r="A19" s="9" t="s">
        <v>878</v>
      </c>
      <c r="B19" s="55" t="s">
        <v>353</v>
      </c>
      <c r="C19" s="23" t="n">
        <f aca="false">N(历史利润表!E17)+N(历史利润表!E19)</f>
        <v>74.986</v>
      </c>
      <c r="D19" s="23" t="n">
        <f aca="false">N(历史利润表!F17)+N(历史利润表!F19)</f>
        <v>117.738</v>
      </c>
      <c r="E19" s="23" t="n">
        <f aca="false">N(历史利润表!G17)+N(历史利润表!G19)</f>
        <v>111.5562</v>
      </c>
      <c r="F19" s="23" t="n">
        <f aca="false">N(历史利润表!H17)+N(历史利润表!H19)</f>
        <v>66.8886</v>
      </c>
      <c r="G19" s="23" t="n">
        <f aca="false">N(历史利润表!I17)+N(历史利润表!I19)</f>
        <v>72.1716</v>
      </c>
      <c r="H19" s="79" t="n">
        <f aca="false">G9*假设!H220</f>
        <v>60.1361856</v>
      </c>
      <c r="I19" s="79" t="n">
        <f aca="false">H9*假设!I220</f>
        <v>56.377674</v>
      </c>
      <c r="J19" s="79" t="n">
        <f aca="false">I9*假设!J220</f>
        <v>56.377674</v>
      </c>
      <c r="K19" s="79" t="n">
        <f aca="false">J9*假设!K220</f>
        <v>56.377674</v>
      </c>
      <c r="L19" s="79" t="n">
        <f aca="false">K9*假设!L220</f>
        <v>56.377674</v>
      </c>
    </row>
    <row r="20" customFormat="false" ht="15" hidden="false" customHeight="false" outlineLevel="0" collapsed="false">
      <c r="A20" s="40" t="s">
        <v>879</v>
      </c>
      <c r="B20" s="6"/>
      <c r="C20" s="6"/>
      <c r="D20" s="6"/>
      <c r="E20" s="6"/>
      <c r="F20" s="6"/>
      <c r="G20" s="6"/>
      <c r="H20" s="6"/>
      <c r="I20" s="6"/>
      <c r="J20" s="6"/>
      <c r="K20" s="6"/>
      <c r="L20" s="6"/>
      <c r="M20" s="6"/>
    </row>
    <row r="21" customFormat="false" ht="15" hidden="false" customHeight="false" outlineLevel="0" collapsed="false">
      <c r="A21" s="11" t="s">
        <v>880</v>
      </c>
      <c r="B21" s="55" t="s">
        <v>353</v>
      </c>
      <c r="C21" s="10" t="n">
        <f aca="false">N(历史资产负债表!E35)</f>
        <v>42.1648</v>
      </c>
      <c r="D21" s="10" t="n">
        <f aca="false">N(历史资产负债表!F35)</f>
        <v>151.8424</v>
      </c>
      <c r="E21" s="10" t="n">
        <f aca="false">N(历史资产负债表!G35)</f>
        <v>740.5347</v>
      </c>
      <c r="F21" s="10" t="n">
        <f aca="false">N(历史资产负债表!H35)</f>
        <v>474.7949</v>
      </c>
      <c r="G21" s="10" t="n">
        <f aca="false">N(历史资产负债表!I35)</f>
        <v>539.4178</v>
      </c>
      <c r="H21" s="24" t="n">
        <f aca="false">G21+假设!H223</f>
        <v>539.4178</v>
      </c>
      <c r="I21" s="24" t="n">
        <f aca="false">H21+假设!I223</f>
        <v>539.4178</v>
      </c>
      <c r="J21" s="24" t="n">
        <f aca="false">I21+假设!J223</f>
        <v>539.4178</v>
      </c>
      <c r="K21" s="24" t="n">
        <f aca="false">J21+假设!K223</f>
        <v>539.4178</v>
      </c>
      <c r="L21" s="24" t="n">
        <f aca="false">K21+假设!L223</f>
        <v>539.4178</v>
      </c>
    </row>
    <row r="22" customFormat="false" ht="15" hidden="false" customHeight="false" outlineLevel="0" collapsed="false">
      <c r="A22" s="11" t="s">
        <v>881</v>
      </c>
      <c r="B22" s="55" t="s">
        <v>353</v>
      </c>
      <c r="C22" s="10" t="n">
        <f aca="false">N(历史资产负债表!E49)+N(历史资产负债表!E46)</f>
        <v>7.7844</v>
      </c>
      <c r="D22" s="10" t="n">
        <f aca="false">N(历史资产负债表!F49)+N(历史资产负债表!F46)</f>
        <v>33.593</v>
      </c>
      <c r="E22" s="10" t="n">
        <f aca="false">N(历史资产负债表!G49)+N(历史资产负债表!G46)</f>
        <v>4.7445</v>
      </c>
      <c r="F22" s="10" t="n">
        <f aca="false">N(历史资产负债表!H49)+N(历史资产负债表!H46)</f>
        <v>4.5523</v>
      </c>
      <c r="G22" s="10" t="n">
        <f aca="false">N(历史资产负债表!I49)+N(历史资产负债表!I46)</f>
        <v>28.2196</v>
      </c>
      <c r="H22" s="24" t="n">
        <f aca="false">G22+假设!H224</f>
        <v>28.2196</v>
      </c>
      <c r="I22" s="24" t="n">
        <f aca="false">H22+假设!I224</f>
        <v>28.2196</v>
      </c>
      <c r="J22" s="24" t="n">
        <f aca="false">I22+假设!J224</f>
        <v>28.2196</v>
      </c>
      <c r="K22" s="24" t="n">
        <f aca="false">J22+假设!K224</f>
        <v>28.2196</v>
      </c>
      <c r="L22" s="24" t="n">
        <f aca="false">K22+假设!L224</f>
        <v>28.2196</v>
      </c>
    </row>
    <row r="23" customFormat="false" ht="15" hidden="false" customHeight="false" outlineLevel="0" collapsed="false">
      <c r="A23" s="9" t="s">
        <v>882</v>
      </c>
      <c r="B23" s="55" t="s">
        <v>353</v>
      </c>
      <c r="C23" s="80" t="n">
        <f aca="false">C21+C22</f>
        <v>49.9492</v>
      </c>
      <c r="D23" s="80" t="n">
        <f aca="false">D21+D22</f>
        <v>185.4354</v>
      </c>
      <c r="E23" s="80" t="n">
        <f aca="false">E21+E22</f>
        <v>745.2792</v>
      </c>
      <c r="F23" s="80" t="n">
        <f aca="false">F21+F22</f>
        <v>479.3472</v>
      </c>
      <c r="G23" s="80" t="n">
        <f aca="false">G21+G22</f>
        <v>567.6374</v>
      </c>
      <c r="H23" s="76" t="n">
        <f aca="false">H21+H22</f>
        <v>567.6374</v>
      </c>
      <c r="I23" s="76" t="n">
        <f aca="false">I21+I22</f>
        <v>567.6374</v>
      </c>
      <c r="J23" s="76" t="n">
        <f aca="false">J21+J22</f>
        <v>567.6374</v>
      </c>
      <c r="K23" s="76" t="n">
        <f aca="false">K21+K22</f>
        <v>567.6374</v>
      </c>
      <c r="L23" s="76" t="n">
        <f aca="false">L21+L22</f>
        <v>567.6374</v>
      </c>
    </row>
    <row r="24" customFormat="false" ht="15" hidden="false" customHeight="false" outlineLevel="0" collapsed="false">
      <c r="A24" s="11" t="s">
        <v>883</v>
      </c>
      <c r="B24" s="55" t="s">
        <v>353</v>
      </c>
      <c r="C24" s="10" t="n">
        <f aca="false">N(历史资产负债表!E50)</f>
        <v>1.7371</v>
      </c>
      <c r="D24" s="10" t="n">
        <f aca="false">N(历史资产负债表!F50)</f>
        <v>30.6415</v>
      </c>
      <c r="E24" s="10" t="n">
        <f aca="false">N(历史资产负债表!G50)</f>
        <v>26.5735</v>
      </c>
      <c r="F24" s="10" t="n">
        <f aca="false">N(历史资产负债表!H50)</f>
        <v>22.2459</v>
      </c>
      <c r="G24" s="10" t="n">
        <f aca="false">N(历史资产负债表!I50)</f>
        <v>18.7998</v>
      </c>
      <c r="H24" s="34" t="n">
        <f aca="false">G24</f>
        <v>18.7998</v>
      </c>
      <c r="I24" s="34" t="n">
        <f aca="false">H24</f>
        <v>18.7998</v>
      </c>
      <c r="J24" s="34" t="n">
        <f aca="false">I24</f>
        <v>18.7998</v>
      </c>
      <c r="K24" s="34" t="n">
        <f aca="false">J24</f>
        <v>18.7998</v>
      </c>
      <c r="L24" s="34" t="n">
        <f aca="false">K24</f>
        <v>18.7998</v>
      </c>
    </row>
    <row r="25" customFormat="false" ht="15" hidden="false" customHeight="false" outlineLevel="0" collapsed="false">
      <c r="A25" s="9" t="s">
        <v>884</v>
      </c>
      <c r="B25" s="55" t="s">
        <v>353</v>
      </c>
      <c r="C25" s="23" t="n">
        <f aca="false">历史利润表!E14</f>
        <v>5.6211</v>
      </c>
      <c r="D25" s="23" t="n">
        <f aca="false">历史利润表!F14</f>
        <v>8.8993</v>
      </c>
      <c r="E25" s="23" t="n">
        <f aca="false">历史利润表!G14</f>
        <v>22.4881</v>
      </c>
      <c r="F25" s="23" t="n">
        <f aca="false">历史利润表!H14</f>
        <v>27.7001</v>
      </c>
      <c r="G25" s="23" t="n">
        <f aca="false">历史利润表!I14</f>
        <v>20.396</v>
      </c>
      <c r="H25" s="79" t="n">
        <f aca="false">AVERAGE(G21,H21)*假设!H225+AVERAGE(G22,H22)*假设!H226+H24*假设!H227</f>
        <v>17.969112</v>
      </c>
      <c r="I25" s="79" t="n">
        <f aca="false">AVERAGE(H21,I21)*假设!I225+AVERAGE(H22,I22)*假设!I226+I24*假设!I227</f>
        <v>17.969112</v>
      </c>
      <c r="J25" s="79" t="n">
        <f aca="false">AVERAGE(I21,J21)*假设!J225+AVERAGE(I22,J22)*假设!J226+J24*假设!J227</f>
        <v>17.969112</v>
      </c>
      <c r="K25" s="79" t="n">
        <f aca="false">AVERAGE(J21,K21)*假设!K225+AVERAGE(J22,K22)*假设!K226+K24*假设!K227</f>
        <v>17.969112</v>
      </c>
      <c r="L25" s="79" t="n">
        <f aca="false">AVERAGE(K21,L21)*假设!L225+AVERAGE(K22,L22)*假设!L226+L24*假设!L227</f>
        <v>17.969112</v>
      </c>
    </row>
    <row r="26" customFormat="false" ht="15" hidden="false" customHeight="false" outlineLevel="0" collapsed="false">
      <c r="A26" s="11" t="s">
        <v>885</v>
      </c>
      <c r="B26" s="56" t="s">
        <v>317</v>
      </c>
      <c r="D26" s="92" t="n">
        <f aca="false">IFERROR(D25/AVERAGE(C23+C24,D23+D24),0)</f>
        <v>0.0664714195229217</v>
      </c>
      <c r="E26" s="92" t="n">
        <f aca="false">IFERROR(E25/AVERAGE(D23+D24,E23+E24),0)</f>
        <v>0.0455257135731129</v>
      </c>
      <c r="F26" s="92" t="n">
        <f aca="false">IFERROR(F25/AVERAGE(E23+E24,F23+F24),0)</f>
        <v>0.0435041679826499</v>
      </c>
      <c r="G26" s="92" t="n">
        <f aca="false">IFERROR(G25/AVERAGE(F23+F24,G23+G24),0)</f>
        <v>0.0374916029452489</v>
      </c>
      <c r="H26" s="98" t="n">
        <f aca="false">IFERROR(H25/AVERAGE(G23+G24,H23+H24),0)</f>
        <v>0.0306411530510002</v>
      </c>
      <c r="I26" s="98" t="n">
        <f aca="false">IFERROR(I25/AVERAGE(H23+H24,I23+I24),0)</f>
        <v>0.0306411530510002</v>
      </c>
      <c r="J26" s="98" t="n">
        <f aca="false">IFERROR(J25/AVERAGE(I23+I24,J23+J24),0)</f>
        <v>0.0306411530510002</v>
      </c>
      <c r="K26" s="98" t="n">
        <f aca="false">IFERROR(K25/AVERAGE(J23+J24,K23+K24),0)</f>
        <v>0.0306411530510002</v>
      </c>
      <c r="L26" s="98" t="n">
        <f aca="false">IFERROR(L25/AVERAGE(K23+K24,L23+L24),0)</f>
        <v>0.0306411530510002</v>
      </c>
    </row>
    <row r="27" customFormat="false" ht="15" hidden="false" customHeight="false" outlineLevel="0" collapsed="false">
      <c r="A27" s="11" t="s">
        <v>886</v>
      </c>
      <c r="B27" s="55" t="s">
        <v>353</v>
      </c>
      <c r="C27" s="10" t="n">
        <f aca="false">历史利润表!E13-C25+C17</f>
        <v>1.4693</v>
      </c>
      <c r="D27" s="10" t="n">
        <f aca="false">历史利润表!F13-D25+D17</f>
        <v>-28.5862</v>
      </c>
      <c r="E27" s="10" t="n">
        <f aca="false">历史利润表!G13-E25+E17</f>
        <v>-9.0564</v>
      </c>
      <c r="F27" s="10" t="n">
        <f aca="false">历史利润表!H13-F25+F17</f>
        <v>3.3965</v>
      </c>
      <c r="G27" s="10" t="n">
        <f aca="false">历史利润表!I13-G25+G17</f>
        <v>48.712</v>
      </c>
      <c r="H27" s="24" t="n">
        <f aca="false">假设!H228</f>
        <v>60</v>
      </c>
      <c r="I27" s="24" t="n">
        <f aca="false">假设!I228</f>
        <v>10</v>
      </c>
      <c r="J27" s="24" t="n">
        <f aca="false">假设!J228</f>
        <v>10</v>
      </c>
      <c r="K27" s="24" t="n">
        <f aca="false">假设!K228</f>
        <v>10</v>
      </c>
      <c r="L27" s="24" t="n">
        <f aca="false">假设!L228</f>
        <v>10</v>
      </c>
      <c r="M27" s="2" t="s">
        <v>887</v>
      </c>
    </row>
    <row r="28" customFormat="false" ht="15" hidden="false" customHeight="false" outlineLevel="0" collapsed="false">
      <c r="A28" s="9" t="s">
        <v>102</v>
      </c>
      <c r="B28" s="55" t="s">
        <v>353</v>
      </c>
      <c r="C28" s="23" t="n">
        <f aca="false">历史利润表!E13</f>
        <v>-96.1326</v>
      </c>
      <c r="D28" s="23" t="n">
        <f aca="false">历史利润表!F13</f>
        <v>-174.2752</v>
      </c>
      <c r="E28" s="23" t="n">
        <f aca="false">历史利润表!G13</f>
        <v>-161.5113</v>
      </c>
      <c r="F28" s="23" t="n">
        <f aca="false">历史利润表!H13</f>
        <v>-172.5019</v>
      </c>
      <c r="G28" s="23" t="n">
        <f aca="false">历史利润表!I13</f>
        <v>-127.772</v>
      </c>
      <c r="H28" s="76" t="n">
        <f aca="false">H25-H17+H27</f>
        <v>-194.518086177586</v>
      </c>
      <c r="I28" s="76" t="n">
        <f aca="false">I25-I17+I27</f>
        <v>-262.790175090647</v>
      </c>
      <c r="J28" s="76" t="n">
        <f aca="false">J25-J17+J27</f>
        <v>-268.933553408972</v>
      </c>
      <c r="K28" s="76" t="n">
        <f aca="false">K25-K17+K27</f>
        <v>-287.438405341158</v>
      </c>
      <c r="L28" s="76" t="n">
        <f aca="false">L25-L17+L27</f>
        <v>-338.854789391398</v>
      </c>
    </row>
    <row r="29" customFormat="false" ht="15" hidden="false" customHeight="false" outlineLevel="0" collapsed="false">
      <c r="A29" s="40" t="s">
        <v>888</v>
      </c>
      <c r="B29" s="6"/>
      <c r="C29" s="6"/>
      <c r="D29" s="6"/>
      <c r="E29" s="6"/>
      <c r="F29" s="6"/>
      <c r="G29" s="6"/>
      <c r="H29" s="6"/>
      <c r="I29" s="6"/>
      <c r="J29" s="6"/>
      <c r="K29" s="6"/>
      <c r="L29" s="6"/>
      <c r="M29" s="6"/>
    </row>
    <row r="30" customFormat="false" ht="15" hidden="false" customHeight="false" outlineLevel="0" collapsed="false">
      <c r="A30" s="11" t="s">
        <v>889</v>
      </c>
      <c r="B30" s="55" t="s">
        <v>353</v>
      </c>
      <c r="C30" s="10" t="n">
        <f aca="false">历史资产负债表!E60</f>
        <v>1916.4974</v>
      </c>
      <c r="D30" s="10" t="n">
        <f aca="false">历史资产负债表!F60</f>
        <v>1916.4974</v>
      </c>
      <c r="E30" s="10" t="n">
        <f aca="false">历史资产负债表!G60</f>
        <v>1916.4974</v>
      </c>
      <c r="F30" s="10" t="n">
        <f aca="false">历史资产负债表!H60</f>
        <v>1916.4974</v>
      </c>
      <c r="G30" s="10" t="n">
        <f aca="false">历史资产负债表!I60</f>
        <v>1916.4974</v>
      </c>
      <c r="H30" s="24" t="n">
        <f aca="false">G30+股本与每股!H5</f>
        <v>1996.7186</v>
      </c>
      <c r="I30" s="24" t="n">
        <f aca="false">H30+股本与每股!I5</f>
        <v>1996.7186</v>
      </c>
      <c r="J30" s="24" t="n">
        <f aca="false">I30+股本与每股!J5</f>
        <v>1996.7186</v>
      </c>
      <c r="K30" s="24" t="n">
        <f aca="false">J30+股本与每股!K5</f>
        <v>1996.7186</v>
      </c>
      <c r="L30" s="24" t="n">
        <f aca="false">K30+股本与每股!L5</f>
        <v>1996.7186</v>
      </c>
    </row>
    <row r="31" customFormat="false" ht="15" hidden="false" customHeight="false" outlineLevel="0" collapsed="false">
      <c r="A31" s="11" t="s">
        <v>890</v>
      </c>
      <c r="B31" s="55" t="s">
        <v>353</v>
      </c>
      <c r="C31" s="10" t="n">
        <f aca="false">历史资产负债表!E61</f>
        <v>6218.2411</v>
      </c>
      <c r="D31" s="10" t="n">
        <f aca="false">历史资产负债表!F61</f>
        <v>6218.2411</v>
      </c>
      <c r="E31" s="10" t="n">
        <f aca="false">历史资产负债表!G61</f>
        <v>6218.2411</v>
      </c>
      <c r="F31" s="10" t="n">
        <f aca="false">历史资产负债表!H61</f>
        <v>6218.2411</v>
      </c>
      <c r="G31" s="10" t="n">
        <f aca="false">历史资产负债表!I61</f>
        <v>6218.2411</v>
      </c>
      <c r="H31" s="24" t="n">
        <f aca="false">G31+股本与每股!H7-股本与每股!H5</f>
        <v>12952.2144354886</v>
      </c>
      <c r="I31" s="24" t="n">
        <f aca="false">H31+股本与每股!I7-股本与每股!I5</f>
        <v>12952.2144354886</v>
      </c>
      <c r="J31" s="24" t="n">
        <f aca="false">I31+股本与每股!J7-股本与每股!J5</f>
        <v>12952.2144354886</v>
      </c>
      <c r="K31" s="24" t="n">
        <f aca="false">J31+股本与每股!K7-股本与每股!K5</f>
        <v>12952.2144354886</v>
      </c>
      <c r="L31" s="24" t="n">
        <f aca="false">K31+股本与每股!L7-股本与每股!L5</f>
        <v>12952.2144354886</v>
      </c>
    </row>
    <row r="32" customFormat="false" ht="15" hidden="false" customHeight="false" outlineLevel="0" collapsed="false">
      <c r="A32" s="11" t="s">
        <v>891</v>
      </c>
      <c r="B32" s="55" t="s">
        <v>353</v>
      </c>
      <c r="C32" s="10" t="n">
        <f aca="false">N(历史资产负债表!E62)</f>
        <v>0</v>
      </c>
      <c r="D32" s="10" t="n">
        <f aca="false">N(历史资产负债表!F62)</f>
        <v>0</v>
      </c>
      <c r="E32" s="10" t="n">
        <f aca="false">N(历史资产负债表!G62)</f>
        <v>0</v>
      </c>
      <c r="F32" s="10" t="n">
        <f aca="false">N(历史资产负债表!H62)</f>
        <v>0</v>
      </c>
      <c r="G32" s="10" t="n">
        <f aca="false">N(历史资产负债表!I62)</f>
        <v>175.4407</v>
      </c>
      <c r="H32" s="24" t="n">
        <f aca="false">G32+股本与每股!H9</f>
        <v>1820.1007</v>
      </c>
      <c r="I32" s="24" t="n">
        <f aca="false">H32+股本与每股!I9</f>
        <v>1820.1007</v>
      </c>
      <c r="J32" s="24" t="n">
        <f aca="false">I32+股本与每股!J9</f>
        <v>1820.1007</v>
      </c>
      <c r="K32" s="24" t="n">
        <f aca="false">J32+股本与每股!K9</f>
        <v>1820.1007</v>
      </c>
      <c r="L32" s="24" t="n">
        <f aca="false">K32+股本与每股!L9</f>
        <v>1820.1007</v>
      </c>
    </row>
    <row r="33" customFormat="false" ht="15" hidden="false" customHeight="false" outlineLevel="0" collapsed="false">
      <c r="A33" s="11" t="s">
        <v>892</v>
      </c>
      <c r="B33" s="55" t="s">
        <v>353</v>
      </c>
      <c r="C33" s="10" t="n">
        <f aca="false">历史资产负债表!E63</f>
        <v>-70.7075</v>
      </c>
      <c r="D33" s="10" t="n">
        <f aca="false">历史资产负债表!F63</f>
        <v>-52.7573</v>
      </c>
      <c r="E33" s="10" t="n">
        <f aca="false">历史资产负债表!G63</f>
        <v>-21.0949</v>
      </c>
      <c r="F33" s="10" t="n">
        <f aca="false">历史资产负债表!H63</f>
        <v>-42.0416</v>
      </c>
      <c r="G33" s="10" t="n">
        <f aca="false">历史资产负债表!I63</f>
        <v>34.0112</v>
      </c>
      <c r="H33" s="34" t="n">
        <f aca="false">G33</f>
        <v>34.0112</v>
      </c>
      <c r="I33" s="34" t="n">
        <f aca="false">H33</f>
        <v>34.0112</v>
      </c>
      <c r="J33" s="34" t="n">
        <f aca="false">I33</f>
        <v>34.0112</v>
      </c>
      <c r="K33" s="34" t="n">
        <f aca="false">J33</f>
        <v>34.0112</v>
      </c>
      <c r="L33" s="34" t="n">
        <f aca="false">K33</f>
        <v>34.0112</v>
      </c>
    </row>
    <row r="34" customFormat="false" ht="15" hidden="false" customHeight="false" outlineLevel="0" collapsed="false">
      <c r="A34" s="11" t="s">
        <v>893</v>
      </c>
      <c r="B34" s="55" t="s">
        <v>353</v>
      </c>
      <c r="C34" s="10" t="n">
        <f aca="false">历史资产负债表!E64</f>
        <v>1037.3061</v>
      </c>
      <c r="D34" s="10" t="n">
        <f aca="false">历史资产负债表!F64</f>
        <v>1131.1383</v>
      </c>
      <c r="E34" s="10" t="n">
        <f aca="false">历史资产负债表!G64</f>
        <v>1131.1383</v>
      </c>
      <c r="F34" s="10" t="n">
        <f aca="false">历史资产负债表!H64</f>
        <v>1131.1383</v>
      </c>
      <c r="G34" s="10" t="n">
        <f aca="false">历史资产负债表!I64</f>
        <v>1131.1383</v>
      </c>
      <c r="H34" s="34" t="n">
        <f aca="false">G34</f>
        <v>1131.1383</v>
      </c>
      <c r="I34" s="34" t="n">
        <f aca="false">H34</f>
        <v>1131.1383</v>
      </c>
      <c r="J34" s="34" t="n">
        <f aca="false">I34</f>
        <v>1131.1383</v>
      </c>
      <c r="K34" s="34" t="n">
        <f aca="false">J34</f>
        <v>1131.1383</v>
      </c>
      <c r="L34" s="34" t="n">
        <f aca="false">K34</f>
        <v>1131.1383</v>
      </c>
      <c r="M34" s="37" t="s">
        <v>894</v>
      </c>
    </row>
    <row r="35" customFormat="false" ht="15" hidden="false" customHeight="false" outlineLevel="0" collapsed="false">
      <c r="A35" s="11" t="s">
        <v>895</v>
      </c>
      <c r="B35" s="55" t="s">
        <v>353</v>
      </c>
      <c r="C35" s="10" t="n">
        <f aca="false">历史资产负债表!E65</f>
        <v>7088.9596</v>
      </c>
      <c r="D35" s="10" t="n">
        <f aca="false">历史资产负债表!F65</f>
        <v>7886.5543</v>
      </c>
      <c r="E35" s="10" t="n">
        <f aca="false">历史资产负债表!G65</f>
        <v>8988.4159</v>
      </c>
      <c r="F35" s="10" t="n">
        <f aca="false">历史资产负债表!H65</f>
        <v>10642.246</v>
      </c>
      <c r="G35" s="10" t="n">
        <f aca="false">历史资产负债表!I65</f>
        <v>12534.3122</v>
      </c>
      <c r="H35" s="24" t="n">
        <f aca="false">G35+三表预测!H26-股本与每股!H14</f>
        <v>15934.5587205369</v>
      </c>
      <c r="I35" s="24" t="n">
        <f aca="false">H35+三表预测!I26-股本与每股!I14</f>
        <v>20160.778295933</v>
      </c>
      <c r="J35" s="24" t="n">
        <f aca="false">I35+三表预测!J26-股本与每股!J14</f>
        <v>24539.9384305101</v>
      </c>
      <c r="K35" s="24" t="n">
        <f aca="false">J35+三表预测!K26-股本与每股!K14</f>
        <v>29148.5075382329</v>
      </c>
      <c r="L35" s="24" t="n">
        <f aca="false">K35+三表预测!L26-股本与每股!L14</f>
        <v>33951.0362463913</v>
      </c>
    </row>
    <row r="36" customFormat="false" ht="15" hidden="false" customHeight="false" outlineLevel="0" collapsed="false">
      <c r="A36" s="9" t="s">
        <v>138</v>
      </c>
      <c r="B36" s="55" t="s">
        <v>353</v>
      </c>
      <c r="C36" s="23" t="n">
        <f aca="false">历史资产负债表!E66</f>
        <v>16190.2966</v>
      </c>
      <c r="D36" s="23" t="n">
        <f aca="false">历史资产负债表!F66</f>
        <v>17099.6736</v>
      </c>
      <c r="E36" s="23" t="n">
        <f aca="false">历史资产负债表!G66</f>
        <v>18233.1976</v>
      </c>
      <c r="F36" s="23" t="n">
        <f aca="false">历史资产负债表!H66</f>
        <v>19866.0811</v>
      </c>
      <c r="G36" s="23" t="n">
        <f aca="false">历史资产负债表!I66</f>
        <v>21658.7593</v>
      </c>
      <c r="H36" s="76" t="n">
        <f aca="false">H30+H31-H32+H33+H34+H35</f>
        <v>30228.5405560255</v>
      </c>
      <c r="I36" s="76" t="n">
        <f aca="false">I30+I31-I32+I33+I34+I35</f>
        <v>34454.7601314216</v>
      </c>
      <c r="J36" s="76" t="n">
        <f aca="false">J30+J31-J32+J33+J34+J35</f>
        <v>38833.9202659987</v>
      </c>
      <c r="K36" s="76" t="n">
        <f aca="false">K30+K31-K32+K33+K34+K35</f>
        <v>43442.4893737215</v>
      </c>
      <c r="L36" s="76" t="n">
        <f aca="false">L30+L31-L32+L33+L34+L35</f>
        <v>48245.0180818799</v>
      </c>
    </row>
    <row r="37" customFormat="false" ht="15" hidden="false" customHeight="false" outlineLevel="0" collapsed="false">
      <c r="A37" s="11" t="s">
        <v>896</v>
      </c>
      <c r="B37" s="55" t="s">
        <v>353</v>
      </c>
      <c r="C37" s="33" t="n">
        <f aca="false">ROUND(C30+C31-C32+C33+C34+C35-C36,1)</f>
        <v>0</v>
      </c>
      <c r="D37" s="33" t="n">
        <f aca="false">ROUND(D30+D31-D32+D33+D34+D35-D36,1)</f>
        <v>0</v>
      </c>
      <c r="E37" s="33" t="n">
        <f aca="false">ROUND(E30+E31-E32+E33+E34+E35-E36,1)</f>
        <v>0</v>
      </c>
      <c r="F37" s="33" t="n">
        <f aca="false">ROUND(F30+F31-F32+F33+F34+F35-F36,1)</f>
        <v>0</v>
      </c>
      <c r="G37" s="33" t="n">
        <f aca="false">ROUND(G30+G31-G32+G33+G34+G35-G36,1)</f>
        <v>0</v>
      </c>
    </row>
    <row r="38" customFormat="false" ht="15" hidden="false" customHeight="false" outlineLevel="0" collapsed="false">
      <c r="A38" s="40" t="s">
        <v>897</v>
      </c>
      <c r="B38" s="6"/>
      <c r="C38" s="6"/>
      <c r="D38" s="6"/>
      <c r="E38" s="6"/>
      <c r="F38" s="6"/>
      <c r="G38" s="6"/>
      <c r="H38" s="6"/>
      <c r="I38" s="6"/>
      <c r="J38" s="6"/>
      <c r="K38" s="6"/>
      <c r="L38" s="6"/>
      <c r="M38" s="6"/>
    </row>
    <row r="39" customFormat="false" ht="15" hidden="false" customHeight="false" outlineLevel="0" collapsed="false">
      <c r="A39" s="11" t="s">
        <v>898</v>
      </c>
      <c r="B39" s="55" t="s">
        <v>353</v>
      </c>
      <c r="G39" s="10" t="n">
        <f aca="false">股本与每股!G14</f>
        <v>726.318157</v>
      </c>
      <c r="H39" s="24" t="n">
        <f aca="false">股本与每股!H14</f>
        <v>860.11</v>
      </c>
      <c r="I39" s="24" t="n">
        <f aca="false">股本与每股!I14</f>
        <v>1405.91765177716</v>
      </c>
      <c r="J39" s="24" t="n">
        <f aca="false">股本与每股!J14</f>
        <v>1858.60528496718</v>
      </c>
      <c r="K39" s="24" t="n">
        <f aca="false">股本与每股!K14</f>
        <v>2058.46258844961</v>
      </c>
      <c r="L39" s="24" t="n">
        <f aca="false">股本与每股!L14</f>
        <v>2200.12045973692</v>
      </c>
    </row>
    <row r="40" customFormat="false" ht="15" hidden="false" customHeight="false" outlineLevel="0" collapsed="false">
      <c r="A40" s="11" t="s">
        <v>899</v>
      </c>
      <c r="B40" s="55" t="s">
        <v>900</v>
      </c>
      <c r="H40" s="26" t="n">
        <f aca="false">IFERROR(H39/股本与每股!G12,0)</f>
        <v>0.449998112891731</v>
      </c>
      <c r="I40" s="26" t="n">
        <f aca="false">IFERROR(I39/股本与每股!H12,0)</f>
        <v>0.711241821154068</v>
      </c>
      <c r="J40" s="26" t="n">
        <f aca="false">IFERROR(J39/股本与每股!I12,0)</f>
        <v>0.940252657056869</v>
      </c>
      <c r="K40" s="26" t="n">
        <f aca="false">IFERROR(K39/股本与每股!J12,0)</f>
        <v>1.04135877256805</v>
      </c>
      <c r="L40" s="26" t="n">
        <f aca="false">IFERROR(L39/股本与每股!K12,0)</f>
        <v>1.11302228872622</v>
      </c>
    </row>
    <row r="41" customFormat="false" ht="15" hidden="false" customHeight="false" outlineLevel="0" collapsed="false">
      <c r="A41" s="11" t="s">
        <v>901</v>
      </c>
      <c r="B41" s="56" t="s">
        <v>317</v>
      </c>
      <c r="H41" s="93" t="n">
        <f aca="false">IFERROR(H40/假设!$C$6,0)</f>
        <v>0.00379745242946608</v>
      </c>
      <c r="I41" s="93" t="n">
        <f aca="false">IFERROR(I40/假设!$C$6,0)</f>
        <v>0.00600204068484445</v>
      </c>
      <c r="J41" s="93" t="n">
        <f aca="false">IFERROR(J40/假设!$C$6,0)</f>
        <v>0.00793462157853898</v>
      </c>
      <c r="K41" s="93" t="n">
        <f aca="false">IFERROR(K40/假设!$C$6,0)</f>
        <v>0.00878783774319028</v>
      </c>
      <c r="L41" s="93" t="n">
        <f aca="false">IFERROR(L40/假设!$C$6,0)</f>
        <v>0.00939259315380776</v>
      </c>
    </row>
    <row r="42" customFormat="false" ht="15" hidden="false" customHeight="false" outlineLevel="0" collapsed="false">
      <c r="A42" s="11" t="s">
        <v>144</v>
      </c>
      <c r="B42" s="55" t="s">
        <v>353</v>
      </c>
      <c r="H42" s="24" t="n">
        <f aca="false">股本与每股!H9</f>
        <v>1644.66</v>
      </c>
      <c r="I42" s="24" t="n">
        <f aca="false">股本与每股!I9</f>
        <v>0</v>
      </c>
      <c r="J42" s="24" t="n">
        <f aca="false">股本与每股!J9</f>
        <v>0</v>
      </c>
      <c r="K42" s="24" t="n">
        <f aca="false">股本与每股!K9</f>
        <v>0</v>
      </c>
      <c r="L42" s="24" t="n">
        <f aca="false">股本与每股!L9</f>
        <v>0</v>
      </c>
    </row>
    <row r="43" customFormat="false" ht="15" hidden="false" customHeight="false" outlineLevel="0" collapsed="false">
      <c r="A43" s="9" t="s">
        <v>902</v>
      </c>
      <c r="B43" s="55" t="s">
        <v>353</v>
      </c>
      <c r="C43" s="80" t="n">
        <f aca="false">C6+C9+N(C10)-C23-C24</f>
        <v>8194.3206</v>
      </c>
      <c r="D43" s="80" t="n">
        <f aca="false">D6+D9+N(D10)-D23-D24</f>
        <v>8548.3667</v>
      </c>
      <c r="E43" s="80" t="n">
        <f aca="false">E6+E9+N(E10)-E23-E24</f>
        <v>9507.173633</v>
      </c>
      <c r="F43" s="80" t="n">
        <f aca="false">F6+F9+N(F10)-F23-F24</f>
        <v>10544.889492</v>
      </c>
      <c r="G43" s="80" t="n">
        <f aca="false">G6+G9+N(G10)-G23-G24</f>
        <v>12080.846696</v>
      </c>
      <c r="H43" s="76" t="n">
        <f aca="false">H6+H9+H10-H23-H24</f>
        <v>18350.2198242582</v>
      </c>
      <c r="I43" s="76" t="n">
        <f aca="false">I6+I9+I10-I23-I24</f>
        <v>19604.4260848219</v>
      </c>
      <c r="J43" s="76" t="n">
        <f aca="false">J6+J9+J10-J23-J24</f>
        <v>21788.0002288223</v>
      </c>
      <c r="K43" s="76" t="n">
        <f aca="false">K6+K9+K10-K23-K24</f>
        <v>25001.5242319624</v>
      </c>
      <c r="L43" s="76" t="n">
        <f aca="false">L6+L9+L10-L23-L24</f>
        <v>29004.1911404062</v>
      </c>
      <c r="M43" s="2" t="s">
        <v>903</v>
      </c>
    </row>
    <row r="44" customFormat="false" ht="15" hidden="false" customHeight="false" outlineLevel="0" collapsed="false">
      <c r="A44" s="11" t="s">
        <v>904</v>
      </c>
      <c r="B44" s="56" t="s">
        <v>663</v>
      </c>
      <c r="C44" s="16" t="n">
        <f aca="false">IFERROR(三表预测!C31/C25,0)</f>
        <v>377.495454626319</v>
      </c>
      <c r="D44" s="16" t="n">
        <f aca="false">IFERROR(三表预测!D31/D25,0)</f>
        <v>157.091018394705</v>
      </c>
      <c r="E44" s="16" t="n">
        <f aca="false">IFERROR(三表预测!E31/E25,0)</f>
        <v>67.3082786006822</v>
      </c>
      <c r="F44" s="16" t="n">
        <f aca="false">IFERROR(三表预测!F31/F25,0)</f>
        <v>82.3072191075123</v>
      </c>
      <c r="G44" s="16" t="n">
        <f aca="false">IFERROR(三表预测!G31/G25,0)</f>
        <v>135.311320847225</v>
      </c>
      <c r="H44" s="35" t="n">
        <f aca="false">IFERROR(三表预测!H31/H25,0)</f>
        <v>255.960609986662</v>
      </c>
      <c r="I44" s="35" t="n">
        <f aca="false">IFERROR(三表预测!I31/I25,0)</f>
        <v>345.93632523657</v>
      </c>
      <c r="J44" s="35" t="n">
        <f aca="false">IFERROR(三表预测!J31/J25,0)</f>
        <v>384.544873171268</v>
      </c>
      <c r="K44" s="35" t="n">
        <f aca="false">IFERROR(三表预测!K31/K25,0)</f>
        <v>410.951798152183</v>
      </c>
      <c r="L44" s="35" t="n">
        <f aca="false">IFERROR(三表预测!L31/L25,0)</f>
        <v>429.437777519026</v>
      </c>
    </row>
    <row r="45" customFormat="false" ht="15" hidden="false" customHeight="false" outlineLevel="0" collapsed="false">
      <c r="A45" s="11" t="s">
        <v>905</v>
      </c>
      <c r="B45" s="56" t="s">
        <v>317</v>
      </c>
      <c r="C45" s="31" t="n">
        <f aca="false">IFERROR(C23/C36,0)</f>
        <v>0.00308513186843038</v>
      </c>
      <c r="D45" s="31" t="n">
        <f aca="false">IFERROR(D23/D36,0)</f>
        <v>0.0108443824331243</v>
      </c>
      <c r="E45" s="31" t="n">
        <f aca="false">IFERROR(E23/E36,0)</f>
        <v>0.0408748490720026</v>
      </c>
      <c r="F45" s="31" t="n">
        <f aca="false">IFERROR(F23/F36,0)</f>
        <v>0.0241289259611449</v>
      </c>
      <c r="G45" s="31" t="n">
        <f aca="false">IFERROR(G23/G36,0)</f>
        <v>0.0262082140596114</v>
      </c>
      <c r="H45" s="32" t="n">
        <f aca="false">IFERROR(H23/H36,0)</f>
        <v>0.0187781940364585</v>
      </c>
      <c r="I45" s="32" t="n">
        <f aca="false">IFERROR(I23/I36,0)</f>
        <v>0.0164748614657263</v>
      </c>
      <c r="J45" s="32" t="n">
        <f aca="false">IFERROR(J23/J36,0)</f>
        <v>0.0146170511787603</v>
      </c>
      <c r="K45" s="32" t="n">
        <f aca="false">IFERROR(K23/K36,0)</f>
        <v>0.0130664105161378</v>
      </c>
      <c r="L45" s="32" t="n">
        <f aca="false">IFERROR(L23/L36,0)</f>
        <v>0.0117657205358826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906</v>
      </c>
    </row>
    <row r="2" customFormat="false" ht="15" hidden="false" customHeight="false" outlineLevel="0" collapsed="false">
      <c r="A2" s="2" t="s">
        <v>907</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0" t="s">
        <v>908</v>
      </c>
      <c r="B5" s="6"/>
      <c r="C5" s="6"/>
      <c r="D5" s="6"/>
      <c r="E5" s="6"/>
      <c r="F5" s="6"/>
      <c r="G5" s="6"/>
      <c r="H5" s="6"/>
      <c r="I5" s="6"/>
      <c r="J5" s="6"/>
      <c r="K5" s="6"/>
      <c r="L5" s="6"/>
      <c r="M5" s="6"/>
    </row>
    <row r="6" customFormat="false" ht="15" hidden="false" customHeight="false" outlineLevel="0" collapsed="false">
      <c r="A6" s="9" t="s">
        <v>909</v>
      </c>
      <c r="B6" s="55" t="s">
        <v>353</v>
      </c>
      <c r="C6" s="23" t="n">
        <f aca="false">历史利润表!E9</f>
        <v>58.7828</v>
      </c>
      <c r="D6" s="23" t="n">
        <f aca="false">历史利润表!F9</f>
        <v>63.2677</v>
      </c>
      <c r="E6" s="23" t="n">
        <f aca="false">历史利润表!G9</f>
        <v>84.2832</v>
      </c>
      <c r="F6" s="23" t="n">
        <f aca="false">历史利润表!H9</f>
        <v>79.1745</v>
      </c>
      <c r="G6" s="23" t="n">
        <f aca="false">历史利润表!I9</f>
        <v>107.7827</v>
      </c>
      <c r="H6" s="79" t="n">
        <f aca="false">收入拆解!H47*假设!H231</f>
        <v>138.631874625892</v>
      </c>
      <c r="I6" s="79" t="n">
        <f aca="false">收入拆解!I47*假设!I231</f>
        <v>175.509029528349</v>
      </c>
      <c r="J6" s="79" t="n">
        <f aca="false">收入拆解!J47*假设!J231</f>
        <v>201.552171358948</v>
      </c>
      <c r="K6" s="79" t="n">
        <f aca="false">收入拆解!K47*假设!K231</f>
        <v>221.969566424501</v>
      </c>
      <c r="L6" s="79" t="n">
        <f aca="false">收入拆解!L47*假设!L231</f>
        <v>236.938895841471</v>
      </c>
    </row>
    <row r="7" customFormat="false" ht="15" hidden="false" customHeight="false" outlineLevel="0" collapsed="false">
      <c r="A7" s="11" t="s">
        <v>910</v>
      </c>
      <c r="B7" s="56" t="s">
        <v>317</v>
      </c>
      <c r="C7" s="99" t="n">
        <f aca="false">IFERROR(C6/历史利润表!E6,0)</f>
        <v>0.00945358683649934</v>
      </c>
      <c r="D7" s="99" t="n">
        <f aca="false">IFERROR(D6/历史利润表!F6,0)</f>
        <v>0.012286452975596</v>
      </c>
      <c r="E7" s="99" t="n">
        <f aca="false">IFERROR(E6/历史利润表!G6,0)</f>
        <v>0.0147176155993119</v>
      </c>
      <c r="F7" s="99" t="n">
        <f aca="false">IFERROR(F6/历史利润表!H6,0)</f>
        <v>0.0107355388158586</v>
      </c>
      <c r="G7" s="99" t="n">
        <f aca="false">IFERROR(G6/历史利润表!I6,0)</f>
        <v>0.0119663437748077</v>
      </c>
      <c r="H7" s="93" t="n">
        <f aca="false">IFERROR(H6/收入拆解!H47,0)</f>
        <v>0.01</v>
      </c>
      <c r="I7" s="93" t="n">
        <f aca="false">IFERROR(I6/收入拆解!I47,0)</f>
        <v>0.01</v>
      </c>
      <c r="J7" s="93" t="n">
        <f aca="false">IFERROR(J6/收入拆解!J47,0)</f>
        <v>0.01</v>
      </c>
      <c r="K7" s="93" t="n">
        <f aca="false">IFERROR(K6/收入拆解!K47,0)</f>
        <v>0.01</v>
      </c>
      <c r="L7" s="93" t="n">
        <f aca="false">IFERROR(L6/收入拆解!L47,0)</f>
        <v>0.01</v>
      </c>
    </row>
    <row r="8" customFormat="false" ht="15" hidden="false" customHeight="false" outlineLevel="0" collapsed="false">
      <c r="A8" s="40" t="s">
        <v>911</v>
      </c>
      <c r="B8" s="6"/>
      <c r="C8" s="6"/>
      <c r="D8" s="6"/>
      <c r="E8" s="6"/>
      <c r="F8" s="6"/>
      <c r="G8" s="6"/>
      <c r="H8" s="6"/>
      <c r="I8" s="6"/>
      <c r="J8" s="6"/>
      <c r="K8" s="6"/>
      <c r="L8" s="6"/>
      <c r="M8" s="6"/>
    </row>
    <row r="9" customFormat="false" ht="15" hidden="false" customHeight="false" outlineLevel="0" collapsed="false">
      <c r="A9" s="11" t="s">
        <v>912</v>
      </c>
      <c r="B9" s="55" t="s">
        <v>353</v>
      </c>
      <c r="D9" s="30" t="n">
        <v>108.670657</v>
      </c>
      <c r="E9" s="30" t="n">
        <v>171.180107</v>
      </c>
      <c r="F9" s="30" t="n">
        <v>170.454509</v>
      </c>
      <c r="G9" s="30" t="n">
        <v>152.173289</v>
      </c>
      <c r="H9" s="24" t="n">
        <f aca="false">假设!H232</f>
        <v>190</v>
      </c>
      <c r="I9" s="24" t="n">
        <f aca="false">假设!I232</f>
        <v>185</v>
      </c>
      <c r="J9" s="24" t="n">
        <f aca="false">假设!J232</f>
        <v>180</v>
      </c>
      <c r="K9" s="24" t="n">
        <f aca="false">假设!K232</f>
        <v>175</v>
      </c>
      <c r="L9" s="24" t="n">
        <f aca="false">假设!L232</f>
        <v>170</v>
      </c>
    </row>
    <row r="10" customFormat="false" ht="15" hidden="false" customHeight="false" outlineLevel="0" collapsed="false">
      <c r="A10" s="11" t="s">
        <v>913</v>
      </c>
      <c r="B10" s="55" t="s">
        <v>353</v>
      </c>
      <c r="E10" s="30" t="n">
        <v>46.131557</v>
      </c>
      <c r="F10" s="30" t="n">
        <v>63.001737</v>
      </c>
      <c r="G10" s="30" t="n">
        <v>27.468772</v>
      </c>
      <c r="H10" s="24" t="n">
        <f aca="false">成本拆解!H32*假设!H233</f>
        <v>47.7708833523633</v>
      </c>
      <c r="I10" s="24" t="n">
        <f aca="false">成本拆解!I32*假设!I233</f>
        <v>61.9214068104852</v>
      </c>
      <c r="J10" s="24" t="n">
        <f aca="false">成本拆解!J32*假设!J233</f>
        <v>0</v>
      </c>
      <c r="K10" s="24" t="n">
        <f aca="false">成本拆解!K32*假设!K233</f>
        <v>0</v>
      </c>
      <c r="L10" s="24" t="n">
        <f aca="false">成本拆解!L32*假设!L233</f>
        <v>0</v>
      </c>
      <c r="M10" s="2" t="s">
        <v>914</v>
      </c>
    </row>
    <row r="11" customFormat="false" ht="15" hidden="false" customHeight="false" outlineLevel="0" collapsed="false">
      <c r="A11" s="11" t="s">
        <v>915</v>
      </c>
      <c r="B11" s="55" t="s">
        <v>353</v>
      </c>
      <c r="E11" s="33" t="n">
        <f aca="false">E12-N(E9)-N(E10)</f>
        <v>131.387836</v>
      </c>
      <c r="F11" s="33" t="n">
        <f aca="false">F12-N(F9)-N(F10)</f>
        <v>71.640454</v>
      </c>
      <c r="G11" s="33" t="n">
        <f aca="false">G12-N(G9)-N(G10)</f>
        <v>210.525639</v>
      </c>
      <c r="H11" s="24" t="n">
        <f aca="false">收入拆解!H47*假设!H235</f>
        <v>48.5211561190622</v>
      </c>
      <c r="I11" s="24" t="n">
        <f aca="false">收入拆解!I47*假设!I235</f>
        <v>70.2036118113394</v>
      </c>
      <c r="J11" s="24" t="n">
        <f aca="false">收入拆解!J47*假设!J235</f>
        <v>80.620868543579</v>
      </c>
      <c r="K11" s="24" t="n">
        <f aca="false">收入拆解!K47*假设!K235</f>
        <v>88.7878265698003</v>
      </c>
      <c r="L11" s="24" t="n">
        <f aca="false">收入拆解!L47*假设!L235</f>
        <v>94.7755583365885</v>
      </c>
    </row>
    <row r="12" customFormat="false" ht="15" hidden="false" customHeight="false" outlineLevel="0" collapsed="false">
      <c r="A12" s="9" t="s">
        <v>916</v>
      </c>
      <c r="B12" s="55" t="s">
        <v>353</v>
      </c>
      <c r="C12" s="23" t="n">
        <f aca="false">历史利润表!E16</f>
        <v>136.3169</v>
      </c>
      <c r="D12" s="23" t="n">
        <f aca="false">历史利润表!F16</f>
        <v>218.1716</v>
      </c>
      <c r="E12" s="23" t="n">
        <f aca="false">历史利润表!G16</f>
        <v>348.6995</v>
      </c>
      <c r="F12" s="23" t="n">
        <f aca="false">历史利润表!H16</f>
        <v>305.0967</v>
      </c>
      <c r="G12" s="23" t="n">
        <f aca="false">历史利润表!I16</f>
        <v>390.1677</v>
      </c>
      <c r="H12" s="76" t="n">
        <f aca="false">H9+H10+H11</f>
        <v>286.292039471426</v>
      </c>
      <c r="I12" s="76" t="n">
        <f aca="false">I9+I10+I11</f>
        <v>317.125018621825</v>
      </c>
      <c r="J12" s="76" t="n">
        <f aca="false">J9+J10+J11</f>
        <v>260.620868543579</v>
      </c>
      <c r="K12" s="76" t="n">
        <f aca="false">K9+K10+K11</f>
        <v>263.7878265698</v>
      </c>
      <c r="L12" s="76" t="n">
        <f aca="false">L9+L10+L11</f>
        <v>264.775558336588</v>
      </c>
    </row>
    <row r="13" customFormat="false" ht="15" hidden="false" customHeight="false" outlineLevel="0" collapsed="false">
      <c r="A13" s="11" t="s">
        <v>910</v>
      </c>
      <c r="B13" s="56" t="s">
        <v>317</v>
      </c>
      <c r="C13" s="99" t="n">
        <f aca="false">IFERROR(C12/历史利润表!E6,0)</f>
        <v>0.0219228014220554</v>
      </c>
      <c r="D13" s="99" t="n">
        <f aca="false">IFERROR(D12/历史利润表!F6,0)</f>
        <v>0.0423684613793537</v>
      </c>
      <c r="E13" s="99" t="n">
        <f aca="false">IFERROR(E12/历史利润表!G6,0)</f>
        <v>0.0608902509713947</v>
      </c>
      <c r="F13" s="99" t="n">
        <f aca="false">IFERROR(F12/历史利润表!H6,0)</f>
        <v>0.0413690956739905</v>
      </c>
      <c r="G13" s="99" t="n">
        <f aca="false">IFERROR(G12/历史利润表!I6,0)</f>
        <v>0.0433175345210877</v>
      </c>
      <c r="H13" s="93" t="n">
        <f aca="false">IFERROR(H12/收入拆解!H47,0)</f>
        <v>0.0206512420209281</v>
      </c>
      <c r="I13" s="93" t="n">
        <f aca="false">IFERROR(I12/收入拆解!I47,0)</f>
        <v>0.0180688719819172</v>
      </c>
      <c r="J13" s="93" t="n">
        <f aca="false">IFERROR(J12/收入拆解!J47,0)</f>
        <v>0.0129306901923391</v>
      </c>
      <c r="K13" s="93" t="n">
        <f aca="false">IFERROR(K12/收入拆解!K47,0)</f>
        <v>0.0118839636810987</v>
      </c>
      <c r="L13" s="93" t="n">
        <f aca="false">IFERROR(L12/收入拆解!L47,0)</f>
        <v>0.0111748456240693</v>
      </c>
    </row>
    <row r="14" customFormat="false" ht="15" hidden="false" customHeight="false" outlineLevel="0" collapsed="false">
      <c r="A14" s="40" t="s">
        <v>917</v>
      </c>
      <c r="B14" s="6"/>
      <c r="C14" s="6"/>
      <c r="D14" s="6"/>
      <c r="E14" s="6"/>
      <c r="F14" s="6"/>
      <c r="G14" s="6"/>
      <c r="H14" s="6"/>
      <c r="I14" s="6"/>
      <c r="J14" s="6"/>
      <c r="K14" s="6"/>
      <c r="L14" s="6"/>
      <c r="M14" s="6"/>
    </row>
    <row r="15" customFormat="false" ht="15" hidden="false" customHeight="false" outlineLevel="0" collapsed="false">
      <c r="A15" s="11" t="s">
        <v>918</v>
      </c>
      <c r="B15" s="55" t="s">
        <v>353</v>
      </c>
      <c r="C15" s="10" t="n">
        <f aca="false">N(历史利润表!E20)</f>
        <v>-33.4424</v>
      </c>
      <c r="D15" s="10" t="n">
        <f aca="false">N(历史利润表!F20)</f>
        <v>-70.0966</v>
      </c>
      <c r="E15" s="10" t="n">
        <f aca="false">N(历史利润表!G20)</f>
        <v>-0.9734</v>
      </c>
      <c r="F15" s="10" t="n">
        <f aca="false">N(历史利润表!H20)</f>
        <v>-26.3493</v>
      </c>
      <c r="G15" s="10" t="n">
        <f aca="false">N(历史利润表!I20)</f>
        <v>-26.5942</v>
      </c>
      <c r="H15" s="24" t="n">
        <f aca="false">-(营运资金!H11+营运资金!H12+营运资金!H13+营运资金!H14)*假设!H236</f>
        <v>-115.040393364663</v>
      </c>
      <c r="I15" s="24" t="n">
        <f aca="false">-(营运资金!I11+营运资金!I12+营运资金!I13+营运资金!I14)*假设!I236</f>
        <v>-51.457439576391</v>
      </c>
      <c r="J15" s="24" t="n">
        <f aca="false">-(营运资金!J11+营运资金!J12+营运资金!J13+营运资金!J14)*假设!J236</f>
        <v>-60.1138865577345</v>
      </c>
      <c r="K15" s="24" t="n">
        <f aca="false">-(营运资金!K11+营运资金!K12+营运资金!K13+营运资金!K14)*假设!K236</f>
        <v>-67.3696960265603</v>
      </c>
      <c r="L15" s="24" t="n">
        <f aca="false">-(营运资金!L11+营运资金!L12+营运资金!L13+营运资金!L14)*假设!L236</f>
        <v>-72.5365783215399</v>
      </c>
    </row>
    <row r="16" customFormat="false" ht="15" hidden="false" customHeight="false" outlineLevel="0" collapsed="false">
      <c r="A16" s="11" t="s">
        <v>919</v>
      </c>
      <c r="B16" s="55" t="s">
        <v>353</v>
      </c>
      <c r="C16" s="10" t="n">
        <f aca="false">N(历史利润表!E21)</f>
        <v>-25.2766</v>
      </c>
      <c r="D16" s="10" t="n">
        <f aca="false">N(历史利润表!F21)</f>
        <v>3.6367</v>
      </c>
      <c r="E16" s="10" t="n">
        <f aca="false">N(历史利润表!G21)</f>
        <v>7.6096</v>
      </c>
      <c r="F16" s="10" t="n">
        <f aca="false">N(历史利润表!H21)</f>
        <v>-12.7345</v>
      </c>
      <c r="G16" s="10" t="n">
        <f aca="false">N(历史利润表!I21)</f>
        <v>-15.445</v>
      </c>
      <c r="H16" s="24" t="n">
        <f aca="false">-营运资金!H7*假设!H237</f>
        <v>-83.5589381306746</v>
      </c>
      <c r="I16" s="24" t="n">
        <f aca="false">-营运资金!I7*假设!I237</f>
        <v>-29.6201540245103</v>
      </c>
      <c r="J16" s="24" t="n">
        <f aca="false">-营运资金!J7*假设!J237</f>
        <v>-34.0153801526333</v>
      </c>
      <c r="K16" s="24" t="n">
        <f aca="false">-营运资金!K7*假设!K237</f>
        <v>-37.4611651828747</v>
      </c>
      <c r="L16" s="24" t="n">
        <f aca="false">-营运资金!L7*假设!L237</f>
        <v>-39.9874958461223</v>
      </c>
    </row>
    <row r="17" customFormat="false" ht="15" hidden="false" customHeight="false" outlineLevel="0" collapsed="false">
      <c r="A17" s="11" t="s">
        <v>580</v>
      </c>
      <c r="B17" s="55" t="s">
        <v>353</v>
      </c>
      <c r="H17" s="24" t="n">
        <f aca="false">-假设!H238</f>
        <v>-19.44</v>
      </c>
      <c r="I17" s="24" t="n">
        <f aca="false">-假设!I238</f>
        <v>-0</v>
      </c>
      <c r="J17" s="24" t="n">
        <f aca="false">-假设!J238</f>
        <v>-0</v>
      </c>
      <c r="K17" s="24" t="n">
        <f aca="false">-假设!K238</f>
        <v>-0</v>
      </c>
      <c r="L17" s="24" t="n">
        <f aca="false">-假设!L238</f>
        <v>-0</v>
      </c>
      <c r="M17" s="37" t="s">
        <v>920</v>
      </c>
    </row>
    <row r="18" customFormat="false" ht="15" hidden="false" customHeight="false" outlineLevel="0" collapsed="false">
      <c r="A18" s="9" t="s">
        <v>921</v>
      </c>
      <c r="B18" s="55" t="s">
        <v>353</v>
      </c>
      <c r="C18" s="80" t="n">
        <f aca="false">C15+C16</f>
        <v>-58.719</v>
      </c>
      <c r="D18" s="80" t="n">
        <f aca="false">D15+D16</f>
        <v>-66.4599</v>
      </c>
      <c r="E18" s="80" t="n">
        <f aca="false">E15+E16</f>
        <v>6.6362</v>
      </c>
      <c r="F18" s="80" t="n">
        <f aca="false">F15+F16</f>
        <v>-39.0838</v>
      </c>
      <c r="G18" s="80" t="n">
        <f aca="false">G15+G16</f>
        <v>-42.0392</v>
      </c>
      <c r="H18" s="76" t="n">
        <f aca="false">H15+H16+H17</f>
        <v>-218.039331495338</v>
      </c>
      <c r="I18" s="76" t="n">
        <f aca="false">I15+I16+I17</f>
        <v>-81.0775936009013</v>
      </c>
      <c r="J18" s="76" t="n">
        <f aca="false">J15+J16+J17</f>
        <v>-94.1292667103679</v>
      </c>
      <c r="K18" s="76" t="n">
        <f aca="false">K15+K16+K17</f>
        <v>-104.830861209435</v>
      </c>
      <c r="L18" s="76" t="n">
        <f aca="false">L15+L16+L17</f>
        <v>-112.524074167662</v>
      </c>
    </row>
    <row r="19" customFormat="false" ht="15" hidden="false" customHeight="false" outlineLevel="0" collapsed="false">
      <c r="A19" s="11" t="s">
        <v>922</v>
      </c>
      <c r="B19" s="55" t="s">
        <v>353</v>
      </c>
      <c r="C19" s="10" t="n">
        <f aca="false">N(历史利润表!E22)</f>
        <v>-3.8453</v>
      </c>
      <c r="D19" s="10" t="n">
        <f aca="false">N(历史利润表!F22)</f>
        <v>-1.2666</v>
      </c>
      <c r="E19" s="10" t="n">
        <f aca="false">N(历史利润表!G22)</f>
        <v>1.9312</v>
      </c>
      <c r="F19" s="10" t="n">
        <f aca="false">N(历史利润表!H22)</f>
        <v>-1.3421</v>
      </c>
      <c r="G19" s="10" t="n">
        <f aca="false">N(历史利润表!I22)</f>
        <v>0.3699</v>
      </c>
      <c r="H19" s="24" t="n">
        <f aca="false">N(历史利润表!K22)</f>
        <v>-3.1531</v>
      </c>
      <c r="I19" s="34" t="n">
        <f aca="false">0</f>
        <v>0</v>
      </c>
      <c r="J19" s="34" t="n">
        <f aca="false">0</f>
        <v>0</v>
      </c>
      <c r="K19" s="34" t="n">
        <f aca="false">0</f>
        <v>0</v>
      </c>
      <c r="L19" s="34" t="n">
        <f aca="false">0</f>
        <v>0</v>
      </c>
      <c r="M19" s="37" t="s">
        <v>923</v>
      </c>
    </row>
    <row r="20" customFormat="false" ht="15" hidden="false" customHeight="false" outlineLevel="0" collapsed="false">
      <c r="A20" s="11" t="s">
        <v>924</v>
      </c>
      <c r="B20" s="55" t="s">
        <v>353</v>
      </c>
      <c r="C20" s="10" t="n">
        <f aca="false">历史利润表!E24-历史利润表!E25</f>
        <v>9.0005</v>
      </c>
      <c r="D20" s="10" t="n">
        <f aca="false">历史利润表!F24-历史利润表!F25</f>
        <v>4.8907</v>
      </c>
      <c r="E20" s="10" t="n">
        <f aca="false">历史利润表!G24-历史利润表!G25</f>
        <v>5.201</v>
      </c>
      <c r="F20" s="10" t="n">
        <f aca="false">历史利润表!H24-历史利润表!H25</f>
        <v>-3.7615</v>
      </c>
      <c r="G20" s="10" t="n">
        <f aca="false">历史利润表!I24-历史利润表!I25</f>
        <v>-0.289200000000001</v>
      </c>
      <c r="H20" s="24" t="n">
        <f aca="false">历史利润表!K24-历史利润表!K25</f>
        <v>-2.826</v>
      </c>
      <c r="I20" s="34" t="n">
        <f aca="false">0</f>
        <v>0</v>
      </c>
      <c r="J20" s="34" t="n">
        <f aca="false">0</f>
        <v>0</v>
      </c>
      <c r="K20" s="34" t="n">
        <f aca="false">0</f>
        <v>0</v>
      </c>
      <c r="L20" s="34" t="n">
        <f aca="false">0</f>
        <v>0</v>
      </c>
      <c r="M20" s="2" t="s">
        <v>552</v>
      </c>
    </row>
    <row r="21" customFormat="false" ht="15" hidden="false" customHeight="false" outlineLevel="0" collapsed="false">
      <c r="A21" s="40" t="s">
        <v>925</v>
      </c>
      <c r="B21" s="6"/>
      <c r="C21" s="6"/>
      <c r="D21" s="6"/>
      <c r="E21" s="6"/>
      <c r="F21" s="6"/>
      <c r="G21" s="6"/>
      <c r="H21" s="6"/>
      <c r="I21" s="6"/>
      <c r="J21" s="6"/>
      <c r="K21" s="6"/>
      <c r="L21" s="6"/>
      <c r="M21" s="6"/>
    </row>
    <row r="22" customFormat="false" ht="15" hidden="false" customHeight="false" outlineLevel="0" collapsed="false">
      <c r="A22" s="9" t="s">
        <v>106</v>
      </c>
      <c r="B22" s="55" t="s">
        <v>353</v>
      </c>
      <c r="C22" s="23" t="n">
        <f aca="false">历史利润表!E26</f>
        <v>2303.5281</v>
      </c>
      <c r="D22" s="23" t="n">
        <f aca="false">历史利润表!F26</f>
        <v>1666.3178</v>
      </c>
      <c r="E22" s="23" t="n">
        <f aca="false">历史利润表!G26</f>
        <v>1782.8476</v>
      </c>
      <c r="F22" s="23" t="n">
        <f aca="false">历史利润表!H26</f>
        <v>2518.9439</v>
      </c>
      <c r="G22" s="23" t="n">
        <f aca="false">历史利润表!I26</f>
        <v>3008.1764</v>
      </c>
      <c r="H22" s="79" t="n">
        <f aca="false">三表预测!H22</f>
        <v>4911.21314021623</v>
      </c>
      <c r="I22" s="79" t="n">
        <f aca="false">三表预测!I22</f>
        <v>6545.336422135</v>
      </c>
      <c r="J22" s="79" t="n">
        <f aca="false">三表预测!J22</f>
        <v>7245.24112244929</v>
      </c>
      <c r="K22" s="79" t="n">
        <f aca="false">三表预测!K22</f>
        <v>7738.25496693913</v>
      </c>
      <c r="L22" s="79" t="n">
        <f aca="false">三表预测!L22</f>
        <v>8121.84798466186</v>
      </c>
    </row>
    <row r="23" customFormat="false" ht="15" hidden="false" customHeight="false" outlineLevel="0" collapsed="false">
      <c r="A23" s="11" t="s">
        <v>926</v>
      </c>
      <c r="B23" s="55" t="s">
        <v>353</v>
      </c>
      <c r="E23" s="10" t="n">
        <f aca="false">E22*假设!$C$36</f>
        <v>267.42714</v>
      </c>
      <c r="F23" s="10" t="n">
        <f aca="false">F22*假设!$C$36</f>
        <v>377.841585</v>
      </c>
      <c r="G23" s="10" t="n">
        <f aca="false">G22*假设!$C$36</f>
        <v>451.22646</v>
      </c>
      <c r="H23" s="24" t="n">
        <f aca="false">H22*假设!$C$36</f>
        <v>736.681971032434</v>
      </c>
      <c r="I23" s="24" t="n">
        <f aca="false">I22*假设!$C$36</f>
        <v>981.80046332025</v>
      </c>
      <c r="J23" s="24" t="n">
        <f aca="false">J22*假设!$C$36</f>
        <v>1086.78616836739</v>
      </c>
      <c r="K23" s="24" t="n">
        <f aca="false">K22*假设!$C$36</f>
        <v>1160.73824504087</v>
      </c>
      <c r="L23" s="24" t="n">
        <f aca="false">L22*假设!$C$36</f>
        <v>1218.27719769928</v>
      </c>
    </row>
    <row r="24" customFormat="false" ht="15" hidden="false" customHeight="false" outlineLevel="0" collapsed="false">
      <c r="A24" s="11" t="s">
        <v>927</v>
      </c>
      <c r="B24" s="55" t="s">
        <v>353</v>
      </c>
      <c r="E24" s="30" t="n">
        <v>13.234393</v>
      </c>
      <c r="F24" s="30" t="n">
        <v>15.321301</v>
      </c>
      <c r="G24" s="30" t="n">
        <v>20.77772</v>
      </c>
      <c r="H24" s="24" t="n">
        <f aca="false">H22*假设!H239</f>
        <v>34.3784919815136</v>
      </c>
      <c r="I24" s="24" t="n">
        <f aca="false">I22*假设!I239</f>
        <v>45.817354954945</v>
      </c>
      <c r="J24" s="24" t="n">
        <f aca="false">J22*假设!J239</f>
        <v>50.716687857145</v>
      </c>
      <c r="K24" s="24" t="n">
        <f aca="false">K22*假设!K239</f>
        <v>54.1677847685739</v>
      </c>
      <c r="L24" s="24" t="n">
        <f aca="false">L22*假设!L239</f>
        <v>56.852935892633</v>
      </c>
    </row>
    <row r="25" customFormat="false" ht="15" hidden="false" customHeight="false" outlineLevel="0" collapsed="false">
      <c r="A25" s="11" t="s">
        <v>928</v>
      </c>
      <c r="B25" s="55" t="s">
        <v>353</v>
      </c>
      <c r="E25" s="30" t="n">
        <v>-81.014715</v>
      </c>
      <c r="F25" s="30" t="n">
        <v>-76.17924</v>
      </c>
      <c r="G25" s="30" t="n">
        <v>-89.649014</v>
      </c>
      <c r="H25" s="24" t="n">
        <f aca="false">-人员与费用!H47*假设!H240*假设!$C$37*假设!$C$36</f>
        <v>-105.470203913929</v>
      </c>
      <c r="I25" s="24" t="n">
        <f aca="false">-人员与费用!I47*假设!I240*假设!$C$37*假设!$C$36</f>
        <v>-127.509296157737</v>
      </c>
      <c r="J25" s="24" t="n">
        <f aca="false">-人员与费用!J47*假设!J240*假设!$C$37*假设!$C$36</f>
        <v>-144.517635564433</v>
      </c>
      <c r="K25" s="24" t="n">
        <f aca="false">-人员与费用!K47*假设!K240*假设!$C$37*假设!$C$36</f>
        <v>-159.159268976672</v>
      </c>
      <c r="L25" s="24" t="n">
        <f aca="false">-人员与费用!L47*假设!L240*假设!$C$37*假设!$C$36</f>
        <v>-172.175012794625</v>
      </c>
    </row>
    <row r="26" customFormat="false" ht="15" hidden="false" customHeight="false" outlineLevel="0" collapsed="false">
      <c r="A26" s="11" t="s">
        <v>929</v>
      </c>
      <c r="B26" s="55" t="s">
        <v>353</v>
      </c>
      <c r="E26" s="33" t="n">
        <f aca="false">E27-E23-N(E24)-N(E25)</f>
        <v>0.0501819999999924</v>
      </c>
      <c r="F26" s="33" t="n">
        <f aca="false">F27-F23-N(F24)-N(F25)</f>
        <v>11.726454</v>
      </c>
      <c r="G26" s="33" t="n">
        <f aca="false">G27-G23-N(G24)-N(G25)</f>
        <v>8.84113400000003</v>
      </c>
      <c r="H26" s="24" t="n">
        <f aca="false">H22*(假设!H241+假设!$C$60*假设!$C$61)</f>
        <v>-14.7336394206487</v>
      </c>
      <c r="I26" s="24" t="n">
        <f aca="false">I22*(假设!I241+假设!$C$60)</f>
        <v>13.09067284427</v>
      </c>
      <c r="J26" s="24" t="n">
        <f aca="false">J22*(假设!J241+假设!$C$60)</f>
        <v>14.4904822448986</v>
      </c>
      <c r="K26" s="24" t="n">
        <f aca="false">K22*(假设!K241+假设!$C$60)</f>
        <v>15.4765099338783</v>
      </c>
      <c r="L26" s="24" t="n">
        <f aca="false">L22*(假设!L241+假设!$C$60)</f>
        <v>16.2436959693237</v>
      </c>
    </row>
    <row r="27" customFormat="false" ht="15" hidden="false" customHeight="false" outlineLevel="0" collapsed="false">
      <c r="A27" s="9" t="s">
        <v>930</v>
      </c>
      <c r="B27" s="55" t="s">
        <v>353</v>
      </c>
      <c r="C27" s="23" t="n">
        <f aca="false">历史利润表!E27</f>
        <v>290.216</v>
      </c>
      <c r="D27" s="23" t="n">
        <f aca="false">历史利润表!F27</f>
        <v>160.2146</v>
      </c>
      <c r="E27" s="23" t="n">
        <f aca="false">历史利润表!G27</f>
        <v>199.697</v>
      </c>
      <c r="F27" s="23" t="n">
        <f aca="false">历史利润表!H27</f>
        <v>328.7101</v>
      </c>
      <c r="G27" s="23" t="n">
        <f aca="false">历史利润表!I27</f>
        <v>391.1963</v>
      </c>
      <c r="H27" s="76" t="n">
        <f aca="false">H23+H24+H25+H26</f>
        <v>650.85661967937</v>
      </c>
      <c r="I27" s="76" t="n">
        <f aca="false">I23+I24+I25+I26</f>
        <v>913.199194961728</v>
      </c>
      <c r="J27" s="76" t="n">
        <f aca="false">J23+J24+J25+J26</f>
        <v>1007.475702905</v>
      </c>
      <c r="K27" s="76" t="n">
        <f aca="false">K23+K24+K25+K26</f>
        <v>1071.22327076665</v>
      </c>
      <c r="L27" s="76" t="n">
        <f aca="false">L23+L24+L25+L26</f>
        <v>1119.19881676661</v>
      </c>
    </row>
    <row r="28" customFormat="false" ht="15" hidden="false" customHeight="false" outlineLevel="0" collapsed="false">
      <c r="A28" s="9" t="s">
        <v>107</v>
      </c>
      <c r="B28" s="56" t="s">
        <v>317</v>
      </c>
      <c r="C28" s="71" t="n">
        <f aca="false">IFERROR(C27/C22,0)</f>
        <v>0.125987610049124</v>
      </c>
      <c r="D28" s="71" t="n">
        <f aca="false">IFERROR(D27/D22,0)</f>
        <v>0.0961488858847934</v>
      </c>
      <c r="E28" s="71" t="n">
        <f aca="false">IFERROR(E27/E22,0)</f>
        <v>0.112010134797837</v>
      </c>
      <c r="F28" s="71" t="n">
        <f aca="false">IFERROR(F27/F22,0)</f>
        <v>0.130495204756247</v>
      </c>
      <c r="G28" s="71" t="n">
        <f aca="false">IFERROR(G27/G22,0)</f>
        <v>0.130044335165983</v>
      </c>
      <c r="H28" s="100" t="n">
        <f aca="false">IFERROR(H27/H22,0)</f>
        <v>0.132524612778405</v>
      </c>
      <c r="I28" s="100" t="n">
        <f aca="false">IFERROR(I27/I22,0)</f>
        <v>0.139519061521952</v>
      </c>
      <c r="J28" s="100" t="n">
        <f aca="false">IFERROR(J27/J22,0)</f>
        <v>0.139053440165484</v>
      </c>
      <c r="K28" s="100" t="n">
        <f aca="false">IFERROR(K27/K22,0)</f>
        <v>0.138432149799062</v>
      </c>
      <c r="L28" s="100" t="n">
        <f aca="false">IFERROR(L27/L22,0)</f>
        <v>0.137801005249079</v>
      </c>
    </row>
    <row r="29" customFormat="false" ht="15" hidden="false" customHeight="false" outlineLevel="0" collapsed="false">
      <c r="A29" s="11" t="s">
        <v>931</v>
      </c>
      <c r="B29" s="56" t="s">
        <v>932</v>
      </c>
      <c r="E29" s="92" t="n">
        <f aca="false">IFERROR(N(E24)/E22,0)</f>
        <v>0.00742317683238881</v>
      </c>
      <c r="F29" s="92" t="n">
        <f aca="false">IFERROR(N(F24)/F22,0)</f>
        <v>0.00608243041855756</v>
      </c>
      <c r="G29" s="92" t="n">
        <f aca="false">IFERROR(N(G24)/G22,0)</f>
        <v>0.00690708164587688</v>
      </c>
      <c r="H29" s="98" t="n">
        <f aca="false">IFERROR(H24/H22,0)</f>
        <v>0.007</v>
      </c>
      <c r="I29" s="98" t="n">
        <f aca="false">IFERROR(I24/I22,0)</f>
        <v>0.007</v>
      </c>
      <c r="J29" s="98" t="n">
        <f aca="false">IFERROR(J24/J22,0)</f>
        <v>0.007</v>
      </c>
      <c r="K29" s="98" t="n">
        <f aca="false">IFERROR(K24/K22,0)</f>
        <v>0.007</v>
      </c>
      <c r="L29" s="98" t="n">
        <f aca="false">IFERROR(L24/L22,0)</f>
        <v>0.007</v>
      </c>
    </row>
    <row r="30" customFormat="false" ht="15" hidden="false" customHeight="false" outlineLevel="0" collapsed="false">
      <c r="A30" s="11" t="s">
        <v>933</v>
      </c>
      <c r="B30" s="56" t="s">
        <v>932</v>
      </c>
      <c r="E30" s="92" t="n">
        <f aca="false">IFERROR(N(E25)/E22,0)</f>
        <v>-0.0454411891403393</v>
      </c>
      <c r="F30" s="92" t="n">
        <f aca="false">IFERROR(N(F25)/F22,0)</f>
        <v>-0.0302425314037363</v>
      </c>
      <c r="G30" s="92" t="n">
        <f aca="false">IFERROR(N(G25)/G22,0)</f>
        <v>-0.0298017809061995</v>
      </c>
      <c r="H30" s="98" t="n">
        <f aca="false">IFERROR(H25/H22,0)</f>
        <v>-0.0214753872215949</v>
      </c>
      <c r="I30" s="98" t="n">
        <f aca="false">IFERROR(I25/I22,0)</f>
        <v>-0.0194809384780477</v>
      </c>
      <c r="J30" s="98" t="n">
        <f aca="false">IFERROR(J25/J22,0)</f>
        <v>-0.0199465598345163</v>
      </c>
      <c r="K30" s="98" t="n">
        <f aca="false">IFERROR(K25/K22,0)</f>
        <v>-0.0205678502009385</v>
      </c>
      <c r="L30" s="98" t="n">
        <f aca="false">IFERROR(L25/L22,0)</f>
        <v>-0.021198994750921</v>
      </c>
    </row>
    <row r="31" customFormat="false" ht="15" hidden="false" customHeight="false" outlineLevel="0" collapsed="false">
      <c r="A31" s="11" t="s">
        <v>934</v>
      </c>
      <c r="B31" s="56" t="s">
        <v>932</v>
      </c>
      <c r="E31" s="92" t="n">
        <f aca="false">IFERROR(N(E26)/E22,0)</f>
        <v>2.81471057873889E-005</v>
      </c>
      <c r="F31" s="92" t="n">
        <f aca="false">IFERROR(N(F26)/F22,0)</f>
        <v>0.004655305741426</v>
      </c>
      <c r="G31" s="92" t="n">
        <f aca="false">IFERROR(N(G26)/G22,0)</f>
        <v>0.00293903442630559</v>
      </c>
      <c r="H31" s="98" t="n">
        <f aca="false">IFERROR(H26/H22,0)</f>
        <v>-0.003</v>
      </c>
      <c r="I31" s="98" t="n">
        <f aca="false">IFERROR(I26/I22,0)</f>
        <v>0.002</v>
      </c>
      <c r="J31" s="98" t="n">
        <f aca="false">IFERROR(J26/J22,0)</f>
        <v>0.002</v>
      </c>
      <c r="K31" s="98" t="n">
        <f aca="false">IFERROR(K26/K22,0)</f>
        <v>0.002</v>
      </c>
      <c r="L31" s="98" t="n">
        <f aca="false">IFERROR(L26/L22,0)</f>
        <v>0.002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21.6" hidden="false" customHeight="false" outlineLevel="0" collapsed="false">
      <c r="A1" s="1" t="s">
        <v>935</v>
      </c>
    </row>
    <row r="2" customFormat="false" ht="15" hidden="false" customHeight="false" outlineLevel="0" collapsed="false">
      <c r="A2" s="2" t="s">
        <v>936</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4" t="s">
        <v>937</v>
      </c>
      <c r="B5" s="55" t="s">
        <v>938</v>
      </c>
      <c r="H5" s="24" t="n">
        <f aca="false">假设!$C$9/1000000</f>
        <v>80.2212</v>
      </c>
      <c r="I5" s="81" t="n">
        <v>0</v>
      </c>
      <c r="J5" s="81" t="n">
        <v>0</v>
      </c>
      <c r="K5" s="81" t="n">
        <v>0</v>
      </c>
      <c r="L5" s="81" t="n">
        <v>0</v>
      </c>
    </row>
    <row r="6" customFormat="false" ht="15" hidden="false" customHeight="false" outlineLevel="0" collapsed="false">
      <c r="A6" s="4" t="s">
        <v>939</v>
      </c>
      <c r="B6" s="55" t="s">
        <v>353</v>
      </c>
      <c r="H6" s="24" t="n">
        <f aca="false">假设!$C$9*假设!$C$7*假设!$C$8/1000000</f>
        <v>6988.917472296</v>
      </c>
      <c r="I6" s="81" t="n">
        <v>0</v>
      </c>
      <c r="J6" s="81" t="n">
        <v>0</v>
      </c>
      <c r="K6" s="81" t="n">
        <v>0</v>
      </c>
      <c r="L6" s="81" t="n">
        <v>0</v>
      </c>
    </row>
    <row r="7" customFormat="false" ht="15" hidden="false" customHeight="false" outlineLevel="0" collapsed="false">
      <c r="A7" s="13" t="s">
        <v>940</v>
      </c>
      <c r="B7" s="55" t="s">
        <v>353</v>
      </c>
      <c r="H7" s="79" t="n">
        <f aca="false">H6*(1-假设!$C$10)</f>
        <v>6814.1945354886</v>
      </c>
      <c r="I7" s="101" t="n">
        <v>0</v>
      </c>
      <c r="J7" s="101" t="n">
        <v>0</v>
      </c>
      <c r="K7" s="101" t="n">
        <v>0</v>
      </c>
      <c r="L7" s="101" t="n">
        <v>0</v>
      </c>
    </row>
    <row r="8" customFormat="false" ht="15" hidden="false" customHeight="false" outlineLevel="0" collapsed="false">
      <c r="A8" s="11" t="s">
        <v>941</v>
      </c>
      <c r="B8" s="55" t="s">
        <v>938</v>
      </c>
      <c r="C8" s="30" t="n">
        <v>1916.497371</v>
      </c>
      <c r="D8" s="30" t="n">
        <v>1916.497371</v>
      </c>
      <c r="E8" s="30" t="n">
        <v>1916.497371</v>
      </c>
      <c r="F8" s="30" t="n">
        <v>1916.497371</v>
      </c>
      <c r="G8" s="30" t="n">
        <v>1916.497371</v>
      </c>
      <c r="H8" s="34" t="n">
        <f aca="false">G8+H5</f>
        <v>1996.718571</v>
      </c>
      <c r="I8" s="34" t="n">
        <f aca="false">H8+I5</f>
        <v>1996.718571</v>
      </c>
      <c r="J8" s="34" t="n">
        <f aca="false">I8+J5</f>
        <v>1996.718571</v>
      </c>
      <c r="K8" s="34" t="n">
        <f aca="false">J8+K5</f>
        <v>1996.718571</v>
      </c>
      <c r="L8" s="34" t="n">
        <f aca="false">K8+L5</f>
        <v>1996.718571</v>
      </c>
    </row>
    <row r="9" customFormat="false" ht="15" hidden="false" customHeight="false" outlineLevel="0" collapsed="false">
      <c r="A9" s="11" t="s">
        <v>942</v>
      </c>
      <c r="B9" s="55" t="s">
        <v>353</v>
      </c>
      <c r="G9" s="30" t="n">
        <v>175.440732</v>
      </c>
      <c r="H9" s="24" t="n">
        <f aca="false">假设!$C$14+假设!$C$15</f>
        <v>1644.66</v>
      </c>
      <c r="I9" s="24" t="n">
        <f aca="false">假设!I229</f>
        <v>0</v>
      </c>
      <c r="J9" s="24" t="n">
        <f aca="false">假设!J229</f>
        <v>0</v>
      </c>
      <c r="K9" s="24" t="n">
        <f aca="false">假设!K229</f>
        <v>0</v>
      </c>
      <c r="L9" s="24" t="n">
        <f aca="false">假设!L229</f>
        <v>0</v>
      </c>
    </row>
    <row r="10" customFormat="false" ht="15" hidden="false" customHeight="false" outlineLevel="0" collapsed="false">
      <c r="A10" s="11" t="s">
        <v>943</v>
      </c>
      <c r="B10" s="55" t="s">
        <v>938</v>
      </c>
      <c r="G10" s="30" t="n">
        <v>5.1338</v>
      </c>
      <c r="H10" s="24" t="n">
        <f aca="false">假设!$C$13/1000000+IFERROR(假设!$C$15/假设!$C$6,0)</f>
        <v>14.8764139240506</v>
      </c>
      <c r="I10" s="24" t="n">
        <f aca="false">IFERROR(I9/假设!$C$6,0)</f>
        <v>0</v>
      </c>
      <c r="J10" s="24" t="n">
        <f aca="false">IFERROR(J9/假设!$C$6,0)</f>
        <v>0</v>
      </c>
      <c r="K10" s="24" t="n">
        <f aca="false">IFERROR(K9/假设!$C$6,0)</f>
        <v>0</v>
      </c>
      <c r="L10" s="24" t="n">
        <f aca="false">IFERROR(L9/假设!$C$6,0)</f>
        <v>0</v>
      </c>
    </row>
    <row r="11" customFormat="false" ht="15" hidden="false" customHeight="false" outlineLevel="0" collapsed="false">
      <c r="A11" s="11" t="s">
        <v>944</v>
      </c>
      <c r="B11" s="55" t="s">
        <v>938</v>
      </c>
      <c r="C11" s="30" t="n">
        <v>0</v>
      </c>
      <c r="D11" s="30" t="n">
        <v>0</v>
      </c>
      <c r="E11" s="30" t="n">
        <v>0</v>
      </c>
      <c r="F11" s="30" t="n">
        <v>0</v>
      </c>
      <c r="G11" s="30" t="n">
        <v>5.1338</v>
      </c>
      <c r="H11" s="34" t="n">
        <f aca="false">G11+H10</f>
        <v>20.0102139240506</v>
      </c>
      <c r="I11" s="34" t="n">
        <f aca="false">H11+I10</f>
        <v>20.0102139240506</v>
      </c>
      <c r="J11" s="34" t="n">
        <f aca="false">I11+J10</f>
        <v>20.0102139240506</v>
      </c>
      <c r="K11" s="34" t="n">
        <f aca="false">J11+K10</f>
        <v>20.0102139240506</v>
      </c>
      <c r="L11" s="34" t="n">
        <f aca="false">K11+L10</f>
        <v>20.0102139240506</v>
      </c>
    </row>
    <row r="12" customFormat="false" ht="15" hidden="false" customHeight="false" outlineLevel="0" collapsed="false">
      <c r="A12" s="9" t="s">
        <v>945</v>
      </c>
      <c r="B12" s="55" t="s">
        <v>938</v>
      </c>
      <c r="C12" s="80" t="n">
        <f aca="false">C8-C11</f>
        <v>1916.497371</v>
      </c>
      <c r="D12" s="80" t="n">
        <f aca="false">D8-D11</f>
        <v>1916.497371</v>
      </c>
      <c r="E12" s="80" t="n">
        <f aca="false">E8-E11</f>
        <v>1916.497371</v>
      </c>
      <c r="F12" s="80" t="n">
        <f aca="false">F8-F11</f>
        <v>1916.497371</v>
      </c>
      <c r="G12" s="80" t="n">
        <f aca="false">G8-G11</f>
        <v>1911.363571</v>
      </c>
      <c r="H12" s="76" t="n">
        <f aca="false">H8-H11</f>
        <v>1976.70835707595</v>
      </c>
      <c r="I12" s="76" t="n">
        <f aca="false">I8-I11</f>
        <v>1976.70835707595</v>
      </c>
      <c r="J12" s="76" t="n">
        <f aca="false">J8-J11</f>
        <v>1976.70835707595</v>
      </c>
      <c r="K12" s="76" t="n">
        <f aca="false">K8-K11</f>
        <v>1976.70835707595</v>
      </c>
      <c r="L12" s="76" t="n">
        <f aca="false">L8-L11</f>
        <v>1976.70835707595</v>
      </c>
    </row>
    <row r="13" customFormat="false" ht="15" hidden="false" customHeight="false" outlineLevel="0" collapsed="false">
      <c r="A13" s="11" t="s">
        <v>946</v>
      </c>
      <c r="B13" s="55" t="s">
        <v>938</v>
      </c>
      <c r="C13" s="10" t="n">
        <f aca="false">IFERROR(三表预测!C26/历史利润表!E36,C12)</f>
        <v>1828.01045454545</v>
      </c>
      <c r="D13" s="10" t="n">
        <f aca="false">IFERROR(三表预测!D26/历史利润表!F36,D12)</f>
        <v>1904.69113924051</v>
      </c>
      <c r="E13" s="10" t="n">
        <f aca="false">IFERROR(三表预测!E26/历史利润表!G36,E12)</f>
        <v>1928.03146341463</v>
      </c>
      <c r="F13" s="10" t="n">
        <f aca="false">IFERROR(三表预测!F26/历史利润表!H36,F12)</f>
        <v>1921.44666666667</v>
      </c>
      <c r="G13" s="10" t="n">
        <f aca="false">IFERROR(三表预测!G26/历史利润表!I36,G12)</f>
        <v>1911.22912408759</v>
      </c>
      <c r="H13" s="24" t="n">
        <f aca="false">G12+H5*假设!$C$11/365-假设!$C$13/1000000*假设!$C$16/12</f>
        <v>1945.60506284932</v>
      </c>
      <c r="I13" s="34" t="n">
        <f aca="false">AVERAGE(H12,I12)</f>
        <v>1976.70835707595</v>
      </c>
      <c r="J13" s="34" t="n">
        <f aca="false">AVERAGE(I12,J12)</f>
        <v>1976.70835707595</v>
      </c>
      <c r="K13" s="34" t="n">
        <f aca="false">AVERAGE(J12,K12)</f>
        <v>1976.70835707595</v>
      </c>
      <c r="L13" s="34" t="n">
        <f aca="false">AVERAGE(K12,L12)</f>
        <v>1976.70835707595</v>
      </c>
    </row>
    <row r="14" customFormat="false" ht="15" hidden="false" customHeight="false" outlineLevel="0" collapsed="false">
      <c r="A14" s="9" t="s">
        <v>898</v>
      </c>
      <c r="B14" s="55" t="s">
        <v>353</v>
      </c>
      <c r="G14" s="69" t="n">
        <v>726.318157</v>
      </c>
      <c r="H14" s="79" t="n">
        <f aca="false">假设!$C$18</f>
        <v>860.11</v>
      </c>
      <c r="I14" s="79" t="n">
        <f aca="false">假设!$C$19*三表预测!H26</f>
        <v>1405.91765177716</v>
      </c>
      <c r="J14" s="79" t="n">
        <f aca="false">假设!$C$19*三表预测!I26</f>
        <v>1858.60528496718</v>
      </c>
      <c r="K14" s="79" t="n">
        <f aca="false">假设!$C$19*三表预测!J26</f>
        <v>2058.46258844961</v>
      </c>
      <c r="L14" s="79" t="n">
        <f aca="false">假设!$C$19*三表预测!K26</f>
        <v>2200.12045973692</v>
      </c>
    </row>
    <row r="15" customFormat="false" ht="15" hidden="false" customHeight="false" outlineLevel="0" collapsed="false">
      <c r="A15" s="11" t="s">
        <v>947</v>
      </c>
      <c r="B15" s="55" t="s">
        <v>900</v>
      </c>
      <c r="G15" s="43" t="n">
        <v>0.38</v>
      </c>
      <c r="H15" s="102" t="n">
        <f aca="false">IFERROR(H14/G12,0)</f>
        <v>0.449998112891731</v>
      </c>
      <c r="I15" s="102" t="n">
        <f aca="false">IFERROR(I14/H12,0)</f>
        <v>0.711241821154068</v>
      </c>
      <c r="J15" s="102" t="n">
        <f aca="false">IFERROR(J14/I12,0)</f>
        <v>0.940252657056869</v>
      </c>
      <c r="K15" s="102" t="n">
        <f aca="false">IFERROR(K14/J12,0)</f>
        <v>1.04135877256805</v>
      </c>
      <c r="L15" s="102" t="n">
        <f aca="false">IFERROR(L14/K12,0)</f>
        <v>1.11302228872622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948</v>
      </c>
    </row>
    <row r="2" customFormat="false" ht="15" hidden="false" customHeight="false" outlineLevel="0" collapsed="false">
      <c r="A2" s="37" t="s">
        <v>949</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5" t="s">
        <v>950</v>
      </c>
      <c r="B5" s="6"/>
      <c r="C5" s="6"/>
      <c r="D5" s="6"/>
      <c r="E5" s="6"/>
      <c r="F5" s="6"/>
      <c r="G5" s="6"/>
      <c r="H5" s="6"/>
      <c r="I5" s="6"/>
      <c r="J5" s="6"/>
      <c r="K5" s="6"/>
      <c r="L5" s="6"/>
      <c r="M5" s="6"/>
    </row>
    <row r="6" customFormat="false" ht="15" hidden="false" customHeight="false" outlineLevel="0" collapsed="false">
      <c r="A6" s="9" t="s">
        <v>17</v>
      </c>
      <c r="B6" s="55"/>
      <c r="C6" s="23" t="n">
        <f aca="false">历史利润表!E6</f>
        <v>6218.042</v>
      </c>
      <c r="D6" s="23" t="n">
        <f aca="false">历史利润表!F6</f>
        <v>5149.3869</v>
      </c>
      <c r="E6" s="23" t="n">
        <f aca="false">历史利润表!G6</f>
        <v>5726.6885</v>
      </c>
      <c r="F6" s="23" t="n">
        <f aca="false">历史利润表!H6</f>
        <v>7374.9908</v>
      </c>
      <c r="G6" s="23" t="n">
        <f aca="false">历史利润表!I6</f>
        <v>9007.1539</v>
      </c>
      <c r="H6" s="79" t="n">
        <f aca="false">收入拆解!H47</f>
        <v>13863.1874625892</v>
      </c>
      <c r="I6" s="79" t="n">
        <f aca="false">收入拆解!I47</f>
        <v>17550.9029528349</v>
      </c>
      <c r="J6" s="79" t="n">
        <f aca="false">收入拆解!J47</f>
        <v>20155.2171358948</v>
      </c>
      <c r="K6" s="79" t="n">
        <f aca="false">收入拆解!K47</f>
        <v>22196.9566424501</v>
      </c>
      <c r="L6" s="79" t="n">
        <f aca="false">收入拆解!L47</f>
        <v>23693.8895841471</v>
      </c>
    </row>
    <row r="7" customFormat="false" ht="15" hidden="false" customHeight="false" outlineLevel="0" collapsed="false">
      <c r="A7" s="11" t="s">
        <v>18</v>
      </c>
      <c r="B7" s="56" t="s">
        <v>317</v>
      </c>
      <c r="D7" s="31" t="n">
        <f aca="false">IFERROR(D6/C6-1,0)</f>
        <v>-0.171863602722529</v>
      </c>
      <c r="E7" s="31" t="n">
        <f aca="false">IFERROR(E6/D6-1,0)</f>
        <v>0.112110744679138</v>
      </c>
      <c r="F7" s="31" t="n">
        <f aca="false">IFERROR(F6/E6-1,0)</f>
        <v>0.287828175043919</v>
      </c>
      <c r="G7" s="31" t="n">
        <f aca="false">IFERROR(G6/F6-1,0)</f>
        <v>0.221310526922962</v>
      </c>
      <c r="H7" s="32" t="n">
        <f aca="false">IFERROR(H6/G6-1,0)</f>
        <v>0.53913074168625</v>
      </c>
      <c r="I7" s="32" t="n">
        <f aca="false">IFERROR(I6/H6-1,0)</f>
        <v>0.266007763380335</v>
      </c>
      <c r="J7" s="32" t="n">
        <f aca="false">IFERROR(J6/I6-1,0)</f>
        <v>0.148386336022629</v>
      </c>
      <c r="K7" s="32" t="n">
        <f aca="false">IFERROR(K6/J6-1,0)</f>
        <v>0.101300794369472</v>
      </c>
      <c r="L7" s="32" t="n">
        <f aca="false">IFERROR(L6/K6-1,0)</f>
        <v>0.0674386568307415</v>
      </c>
    </row>
    <row r="8" customFormat="false" ht="15" hidden="false" customHeight="false" outlineLevel="0" collapsed="false">
      <c r="A8" s="11" t="s">
        <v>951</v>
      </c>
      <c r="B8" s="55"/>
      <c r="C8" s="10" t="n">
        <f aca="false">历史利润表!E8</f>
        <v>3186.5095</v>
      </c>
      <c r="D8" s="10" t="n">
        <f aca="false">历史利润表!F8</f>
        <v>2878.3209</v>
      </c>
      <c r="E8" s="10" t="n">
        <f aca="false">历史利润表!G8</f>
        <v>3445.5299</v>
      </c>
      <c r="F8" s="10" t="n">
        <f aca="false">历史利润表!H8</f>
        <v>4204.8637</v>
      </c>
      <c r="G8" s="10" t="n">
        <f aca="false">历史利润表!I8</f>
        <v>5211.7617</v>
      </c>
      <c r="H8" s="24" t="n">
        <f aca="false">成本拆解!H26</f>
        <v>7634.63513210594</v>
      </c>
      <c r="I8" s="24" t="n">
        <f aca="false">成本拆解!I26</f>
        <v>9615.40135040487</v>
      </c>
      <c r="J8" s="24" t="n">
        <f aca="false">成本拆解!J26</f>
        <v>11211.5064571768</v>
      </c>
      <c r="K8" s="24" t="n">
        <f aca="false">成本拆解!K26</f>
        <v>12557.1318378906</v>
      </c>
      <c r="L8" s="24" t="n">
        <f aca="false">成本拆解!L26</f>
        <v>13532.007586993</v>
      </c>
    </row>
    <row r="9" customFormat="false" ht="15" hidden="false" customHeight="false" outlineLevel="0" collapsed="false">
      <c r="A9" s="9" t="s">
        <v>96</v>
      </c>
      <c r="B9" s="55"/>
      <c r="C9" s="80" t="n">
        <f aca="false">C6-C8</f>
        <v>3031.5325</v>
      </c>
      <c r="D9" s="80" t="n">
        <f aca="false">D6-D8</f>
        <v>2271.066</v>
      </c>
      <c r="E9" s="80" t="n">
        <f aca="false">E6-E8</f>
        <v>2281.1586</v>
      </c>
      <c r="F9" s="80" t="n">
        <f aca="false">F6-F8</f>
        <v>3170.1271</v>
      </c>
      <c r="G9" s="80" t="n">
        <f aca="false">G6-G8</f>
        <v>3795.3922</v>
      </c>
      <c r="H9" s="76" t="n">
        <f aca="false">H6-H8</f>
        <v>6228.55233048326</v>
      </c>
      <c r="I9" s="76" t="n">
        <f aca="false">I6-I8</f>
        <v>7935.50160242998</v>
      </c>
      <c r="J9" s="76" t="n">
        <f aca="false">J6-J8</f>
        <v>8943.71067871792</v>
      </c>
      <c r="K9" s="76" t="n">
        <f aca="false">K6-K8</f>
        <v>9639.82480455953</v>
      </c>
      <c r="L9" s="76" t="n">
        <f aca="false">L6-L8</f>
        <v>10161.8819971542</v>
      </c>
    </row>
    <row r="10" customFormat="false" ht="15" hidden="false" customHeight="false" outlineLevel="0" collapsed="false">
      <c r="A10" s="11" t="s">
        <v>97</v>
      </c>
      <c r="B10" s="56" t="s">
        <v>317</v>
      </c>
      <c r="C10" s="31" t="n">
        <f aca="false">IFERROR(C9/C6,0)</f>
        <v>0.487538118912674</v>
      </c>
      <c r="D10" s="31" t="n">
        <f aca="false">IFERROR(D9/D6,0)</f>
        <v>0.441036194037003</v>
      </c>
      <c r="E10" s="31" t="n">
        <f aca="false">IFERROR(E9/E6,0)</f>
        <v>0.39833816698778</v>
      </c>
      <c r="F10" s="31" t="n">
        <f aca="false">IFERROR(F9/F6,0)</f>
        <v>0.429848278590395</v>
      </c>
      <c r="G10" s="31" t="n">
        <f aca="false">IFERROR(G9/G6,0)</f>
        <v>0.421375302580319</v>
      </c>
      <c r="H10" s="32" t="n">
        <f aca="false">IFERROR(H9/H6,0)</f>
        <v>0.449287174922178</v>
      </c>
      <c r="I10" s="32" t="n">
        <f aca="false">IFERROR(I9/I6,0)</f>
        <v>0.452142070624818</v>
      </c>
      <c r="J10" s="32" t="n">
        <f aca="false">IFERROR(J9/J6,0)</f>
        <v>0.443741718008581</v>
      </c>
      <c r="K10" s="32" t="n">
        <f aca="false">IFERROR(K9/K6,0)</f>
        <v>0.434285878007441</v>
      </c>
      <c r="L10" s="32" t="n">
        <f aca="false">IFERROR(L9/L6,0)</f>
        <v>0.428881968115238</v>
      </c>
    </row>
    <row r="11" customFormat="false" ht="15" hidden="false" customHeight="false" outlineLevel="0" collapsed="false">
      <c r="A11" s="11" t="s">
        <v>909</v>
      </c>
      <c r="B11" s="55"/>
      <c r="C11" s="10" t="n">
        <f aca="false">历史利润表!E9</f>
        <v>58.7828</v>
      </c>
      <c r="D11" s="10" t="n">
        <f aca="false">历史利润表!F9</f>
        <v>63.2677</v>
      </c>
      <c r="E11" s="10" t="n">
        <f aca="false">历史利润表!G9</f>
        <v>84.2832</v>
      </c>
      <c r="F11" s="10" t="n">
        <f aca="false">历史利润表!H9</f>
        <v>79.1745</v>
      </c>
      <c r="G11" s="10" t="n">
        <f aca="false">历史利润表!I9</f>
        <v>107.7827</v>
      </c>
      <c r="H11" s="24" t="n">
        <f aca="false">税务与其他损益!H6</f>
        <v>138.631874625892</v>
      </c>
      <c r="I11" s="24" t="n">
        <f aca="false">税务与其他损益!I6</f>
        <v>175.509029528349</v>
      </c>
      <c r="J11" s="24" t="n">
        <f aca="false">税务与其他损益!J6</f>
        <v>201.552171358948</v>
      </c>
      <c r="K11" s="24" t="n">
        <f aca="false">税务与其他损益!K6</f>
        <v>221.969566424501</v>
      </c>
      <c r="L11" s="24" t="n">
        <f aca="false">税务与其他损益!L6</f>
        <v>236.938895841471</v>
      </c>
    </row>
    <row r="12" customFormat="false" ht="15" hidden="false" customHeight="false" outlineLevel="0" collapsed="false">
      <c r="A12" s="11" t="s">
        <v>98</v>
      </c>
      <c r="B12" s="55"/>
      <c r="C12" s="10" t="n">
        <f aca="false">历史利润表!E10</f>
        <v>51.3154</v>
      </c>
      <c r="D12" s="10" t="n">
        <f aca="false">历史利润表!F10</f>
        <v>57.308</v>
      </c>
      <c r="E12" s="10" t="n">
        <f aca="false">历史利润表!G10</f>
        <v>74.3431</v>
      </c>
      <c r="F12" s="10" t="n">
        <f aca="false">历史利润表!H10</f>
        <v>79.3918</v>
      </c>
      <c r="G12" s="10" t="n">
        <f aca="false">历史利润表!I10</f>
        <v>93.1993</v>
      </c>
      <c r="H12" s="24" t="n">
        <f aca="false">人员与费用!H34</f>
        <v>105.044336069346</v>
      </c>
      <c r="I12" s="24" t="n">
        <f aca="false">人员与费用!I34</f>
        <v>124.930847829113</v>
      </c>
      <c r="J12" s="24" t="n">
        <f aca="false">人员与费用!J34</f>
        <v>141.37808191443</v>
      </c>
      <c r="K12" s="24" t="n">
        <f aca="false">人员与费用!K34</f>
        <v>155.378519213937</v>
      </c>
      <c r="L12" s="24" t="n">
        <f aca="false">人员与费用!L34</f>
        <v>167.888905326888</v>
      </c>
    </row>
    <row r="13" customFormat="false" ht="15" hidden="false" customHeight="false" outlineLevel="0" collapsed="false">
      <c r="A13" s="11" t="s">
        <v>99</v>
      </c>
      <c r="B13" s="55"/>
      <c r="C13" s="10" t="n">
        <f aca="false">历史利润表!E11</f>
        <v>453.2391</v>
      </c>
      <c r="D13" s="10" t="n">
        <f aca="false">历史利润表!F11</f>
        <v>479.3491</v>
      </c>
      <c r="E13" s="10" t="n">
        <f aca="false">历史利润表!G11</f>
        <v>429.4141</v>
      </c>
      <c r="F13" s="10" t="n">
        <f aca="false">历史利润表!H11</f>
        <v>409.8445</v>
      </c>
      <c r="G13" s="10" t="n">
        <f aca="false">历史利润表!I11</f>
        <v>480.9502</v>
      </c>
      <c r="H13" s="24" t="n">
        <f aca="false">人员与费用!H40</f>
        <v>609.330089592665</v>
      </c>
      <c r="I13" s="24" t="n">
        <f aca="false">人员与费用!I40</f>
        <v>700.427272176968</v>
      </c>
      <c r="J13" s="24" t="n">
        <f aca="false">人员与费用!J40</f>
        <v>776.841128056453</v>
      </c>
      <c r="K13" s="24" t="n">
        <f aca="false">人员与费用!K40</f>
        <v>848.037248708134</v>
      </c>
      <c r="L13" s="24" t="n">
        <f aca="false">人员与费用!L40</f>
        <v>907.319693738899</v>
      </c>
    </row>
    <row r="14" customFormat="false" ht="15" hidden="false" customHeight="false" outlineLevel="0" collapsed="false">
      <c r="A14" s="11" t="s">
        <v>100</v>
      </c>
      <c r="B14" s="55"/>
      <c r="C14" s="10" t="n">
        <f aca="false">历史利润表!E12</f>
        <v>418.5388</v>
      </c>
      <c r="D14" s="10" t="n">
        <f aca="false">历史利润表!F12</f>
        <v>452.1724</v>
      </c>
      <c r="E14" s="10" t="n">
        <f aca="false">历史利润表!G12</f>
        <v>545.8062</v>
      </c>
      <c r="F14" s="10" t="n">
        <f aca="false">历史利润表!H12</f>
        <v>583.0724</v>
      </c>
      <c r="G14" s="10" t="n">
        <f aca="false">历史利润表!I12</f>
        <v>653.4367</v>
      </c>
      <c r="H14" s="24" t="n">
        <f aca="false">人员与费用!H47</f>
        <v>781.260769732805</v>
      </c>
      <c r="I14" s="24" t="n">
        <f aca="false">人员与费用!I47</f>
        <v>944.513304872124</v>
      </c>
      <c r="J14" s="24" t="n">
        <f aca="false">人员与费用!J47</f>
        <v>1070.50100418099</v>
      </c>
      <c r="K14" s="24" t="n">
        <f aca="false">人员与费用!K47</f>
        <v>1178.95754797535</v>
      </c>
      <c r="L14" s="24" t="n">
        <f aca="false">人员与费用!L47</f>
        <v>1275.37046514537</v>
      </c>
    </row>
    <row r="15" customFormat="false" ht="15" hidden="false" customHeight="false" outlineLevel="0" collapsed="false">
      <c r="A15" s="11" t="s">
        <v>102</v>
      </c>
      <c r="B15" s="55"/>
      <c r="C15" s="10" t="n">
        <f aca="false">历史利润表!E13</f>
        <v>-96.1326</v>
      </c>
      <c r="D15" s="10" t="n">
        <f aca="false">历史利润表!F13</f>
        <v>-174.2752</v>
      </c>
      <c r="E15" s="10" t="n">
        <f aca="false">历史利润表!G13</f>
        <v>-161.5113</v>
      </c>
      <c r="F15" s="10" t="n">
        <f aca="false">历史利润表!H13</f>
        <v>-172.5019</v>
      </c>
      <c r="G15" s="10" t="n">
        <f aca="false">历史利润表!I13</f>
        <v>-127.772</v>
      </c>
      <c r="H15" s="24" t="n">
        <f aca="false">融资与资金!H28</f>
        <v>-194.518086177586</v>
      </c>
      <c r="I15" s="24" t="n">
        <f aca="false">融资与资金!I28</f>
        <v>-262.790175090647</v>
      </c>
      <c r="J15" s="24" t="n">
        <f aca="false">融资与资金!J28</f>
        <v>-268.933553408972</v>
      </c>
      <c r="K15" s="24" t="n">
        <f aca="false">融资与资金!K28</f>
        <v>-287.438405341158</v>
      </c>
      <c r="L15" s="24" t="n">
        <f aca="false">融资与资金!L28</f>
        <v>-338.854789391398</v>
      </c>
    </row>
    <row r="16" customFormat="false" ht="15" hidden="false" customHeight="false" outlineLevel="0" collapsed="false">
      <c r="A16" s="11" t="s">
        <v>103</v>
      </c>
      <c r="B16" s="55"/>
      <c r="C16" s="10" t="n">
        <f aca="false">历史利润表!E16</f>
        <v>136.3169</v>
      </c>
      <c r="D16" s="10" t="n">
        <f aca="false">历史利润表!F16</f>
        <v>218.1716</v>
      </c>
      <c r="E16" s="10" t="n">
        <f aca="false">历史利润表!G16</f>
        <v>348.6995</v>
      </c>
      <c r="F16" s="10" t="n">
        <f aca="false">历史利润表!H16</f>
        <v>305.0967</v>
      </c>
      <c r="G16" s="10" t="n">
        <f aca="false">历史利润表!I16</f>
        <v>390.1677</v>
      </c>
      <c r="H16" s="24" t="n">
        <f aca="false">税务与其他损益!H12</f>
        <v>286.292039471426</v>
      </c>
      <c r="I16" s="24" t="n">
        <f aca="false">税务与其他损益!I12</f>
        <v>317.125018621825</v>
      </c>
      <c r="J16" s="24" t="n">
        <f aca="false">税务与其他损益!J12</f>
        <v>260.620868543579</v>
      </c>
      <c r="K16" s="24" t="n">
        <f aca="false">税务与其他损益!K12</f>
        <v>263.7878265698</v>
      </c>
      <c r="L16" s="24" t="n">
        <f aca="false">税务与其他损益!L12</f>
        <v>264.775558336588</v>
      </c>
    </row>
    <row r="17" customFormat="false" ht="15" hidden="false" customHeight="false" outlineLevel="0" collapsed="false">
      <c r="A17" s="11" t="s">
        <v>952</v>
      </c>
      <c r="B17" s="55"/>
      <c r="C17" s="10" t="n">
        <f aca="false">N(历史利润表!E17)+N(历史利润表!E19)</f>
        <v>74.986</v>
      </c>
      <c r="D17" s="10" t="n">
        <f aca="false">N(历史利润表!F17)+N(历史利润表!F19)</f>
        <v>117.738</v>
      </c>
      <c r="E17" s="10" t="n">
        <f aca="false">N(历史利润表!G17)+N(历史利润表!G19)</f>
        <v>111.5562</v>
      </c>
      <c r="F17" s="10" t="n">
        <f aca="false">N(历史利润表!H17)+N(历史利润表!H19)</f>
        <v>66.8886</v>
      </c>
      <c r="G17" s="10" t="n">
        <f aca="false">N(历史利润表!I17)+N(历史利润表!I19)</f>
        <v>72.1716</v>
      </c>
      <c r="H17" s="24" t="n">
        <f aca="false">融资与资金!H19</f>
        <v>60.1361856</v>
      </c>
      <c r="I17" s="24" t="n">
        <f aca="false">融资与资金!I19</f>
        <v>56.377674</v>
      </c>
      <c r="J17" s="24" t="n">
        <f aca="false">融资与资金!J19</f>
        <v>56.377674</v>
      </c>
      <c r="K17" s="24" t="n">
        <f aca="false">融资与资金!K19</f>
        <v>56.377674</v>
      </c>
      <c r="L17" s="24" t="n">
        <f aca="false">融资与资金!L19</f>
        <v>56.377674</v>
      </c>
    </row>
    <row r="18" customFormat="false" ht="15" hidden="false" customHeight="false" outlineLevel="0" collapsed="false">
      <c r="A18" s="11" t="s">
        <v>953</v>
      </c>
      <c r="B18" s="55"/>
      <c r="C18" s="10" t="n">
        <f aca="false">N(历史利润表!E20)+N(历史利润表!E21)</f>
        <v>-58.719</v>
      </c>
      <c r="D18" s="10" t="n">
        <f aca="false">N(历史利润表!F20)+N(历史利润表!F21)</f>
        <v>-66.4599</v>
      </c>
      <c r="E18" s="10" t="n">
        <f aca="false">N(历史利润表!G20)+N(历史利润表!G21)</f>
        <v>6.6362</v>
      </c>
      <c r="F18" s="10" t="n">
        <f aca="false">N(历史利润表!H20)+N(历史利润表!H21)</f>
        <v>-39.0838</v>
      </c>
      <c r="G18" s="10" t="n">
        <f aca="false">N(历史利润表!I20)+N(历史利润表!I21)</f>
        <v>-42.0392</v>
      </c>
      <c r="H18" s="24" t="n">
        <f aca="false">税务与其他损益!H18</f>
        <v>-218.039331495338</v>
      </c>
      <c r="I18" s="24" t="n">
        <f aca="false">税务与其他损益!I18</f>
        <v>-81.0775936009013</v>
      </c>
      <c r="J18" s="24" t="n">
        <f aca="false">税务与其他损益!J18</f>
        <v>-94.1292667103679</v>
      </c>
      <c r="K18" s="24" t="n">
        <f aca="false">税务与其他损益!K18</f>
        <v>-104.830861209435</v>
      </c>
      <c r="L18" s="24" t="n">
        <f aca="false">税务与其他损益!L18</f>
        <v>-112.524074167662</v>
      </c>
    </row>
    <row r="19" customFormat="false" ht="15" hidden="false" customHeight="false" outlineLevel="0" collapsed="false">
      <c r="A19" s="11" t="s">
        <v>922</v>
      </c>
      <c r="B19" s="55"/>
      <c r="C19" s="10" t="n">
        <f aca="false">N(历史利润表!E22)</f>
        <v>-3.8453</v>
      </c>
      <c r="D19" s="10" t="n">
        <f aca="false">N(历史利润表!F22)</f>
        <v>-1.2666</v>
      </c>
      <c r="E19" s="10" t="n">
        <f aca="false">N(历史利润表!G22)</f>
        <v>1.9312</v>
      </c>
      <c r="F19" s="10" t="n">
        <f aca="false">N(历史利润表!H22)</f>
        <v>-1.3421</v>
      </c>
      <c r="G19" s="10" t="n">
        <f aca="false">N(历史利润表!I22)</f>
        <v>0.3699</v>
      </c>
      <c r="H19" s="24" t="n">
        <f aca="false">税务与其他损益!H19</f>
        <v>-3.1531</v>
      </c>
      <c r="I19" s="24" t="n">
        <f aca="false">税务与其他损益!I19</f>
        <v>0</v>
      </c>
      <c r="J19" s="24" t="n">
        <f aca="false">税务与其他损益!J19</f>
        <v>0</v>
      </c>
      <c r="K19" s="24" t="n">
        <f aca="false">税务与其他损益!K19</f>
        <v>0</v>
      </c>
      <c r="L19" s="24" t="n">
        <f aca="false">税务与其他损益!L19</f>
        <v>0</v>
      </c>
    </row>
    <row r="20" customFormat="false" ht="15" hidden="false" customHeight="false" outlineLevel="0" collapsed="false">
      <c r="A20" s="9" t="s">
        <v>104</v>
      </c>
      <c r="B20" s="55"/>
      <c r="C20" s="80" t="n">
        <f aca="false">C9-C11-C12-C13-C14-C15+C16+C17+C18+C19</f>
        <v>2294.5276</v>
      </c>
      <c r="D20" s="80" t="n">
        <f aca="false">D9-D11-D12-D13-D14-D15+D16+D17+D18+D19</f>
        <v>1661.4271</v>
      </c>
      <c r="E20" s="80" t="n">
        <f aca="false">E9-E11-E12-E13-E14-E15+E16+E17+E18+E19</f>
        <v>1777.6464</v>
      </c>
      <c r="F20" s="80" t="n">
        <f aca="false">F9-F11-F12-F13-F14-F15+F16+F17+F18+F19</f>
        <v>2522.7052</v>
      </c>
      <c r="G20" s="80" t="n">
        <f aca="false">G9-G11-G12-G13-G14-G15+G16+G17+G18+G19</f>
        <v>3008.4653</v>
      </c>
      <c r="H20" s="76" t="n">
        <f aca="false">H9-H11-H12-H13-H14-H15+H16+H17+H18+H19</f>
        <v>4914.03914021623</v>
      </c>
      <c r="I20" s="76" t="n">
        <f aca="false">I9-I11-I12-I13-I14-I15+I16+I17+I18+I19</f>
        <v>6545.336422135</v>
      </c>
      <c r="J20" s="76" t="n">
        <f aca="false">J9-J11-J12-J13-J14-J15+J16+J17+J18+J19</f>
        <v>7245.24112244929</v>
      </c>
      <c r="K20" s="76" t="n">
        <f aca="false">K9-K11-K12-K13-K14-K15+K16+K17+K18+K19</f>
        <v>7738.25496693913</v>
      </c>
      <c r="L20" s="76" t="n">
        <f aca="false">L9-L11-L12-L13-L14-L15+L16+L17+L18+L19</f>
        <v>8121.84798466186</v>
      </c>
    </row>
    <row r="21" customFormat="false" ht="15" hidden="false" customHeight="false" outlineLevel="0" collapsed="false">
      <c r="A21" s="11" t="s">
        <v>924</v>
      </c>
      <c r="B21" s="55"/>
      <c r="C21" s="10" t="n">
        <f aca="false">历史利润表!E24-历史利润表!E25</f>
        <v>9.0005</v>
      </c>
      <c r="D21" s="10" t="n">
        <f aca="false">历史利润表!F24-历史利润表!F25</f>
        <v>4.8907</v>
      </c>
      <c r="E21" s="10" t="n">
        <f aca="false">历史利润表!G24-历史利润表!G25</f>
        <v>5.201</v>
      </c>
      <c r="F21" s="10" t="n">
        <f aca="false">历史利润表!H24-历史利润表!H25</f>
        <v>-3.7615</v>
      </c>
      <c r="G21" s="10" t="n">
        <f aca="false">历史利润表!I24-历史利润表!I25</f>
        <v>-0.289200000000001</v>
      </c>
      <c r="H21" s="24" t="n">
        <f aca="false">税务与其他损益!H20</f>
        <v>-2.826</v>
      </c>
      <c r="I21" s="24" t="n">
        <f aca="false">税务与其他损益!I20</f>
        <v>0</v>
      </c>
      <c r="J21" s="24" t="n">
        <f aca="false">税务与其他损益!J20</f>
        <v>0</v>
      </c>
      <c r="K21" s="24" t="n">
        <f aca="false">税务与其他损益!K20</f>
        <v>0</v>
      </c>
      <c r="L21" s="24" t="n">
        <f aca="false">税务与其他损益!L20</f>
        <v>0</v>
      </c>
    </row>
    <row r="22" customFormat="false" ht="15" hidden="false" customHeight="false" outlineLevel="0" collapsed="false">
      <c r="A22" s="9" t="s">
        <v>106</v>
      </c>
      <c r="B22" s="55"/>
      <c r="C22" s="80" t="n">
        <f aca="false">C20+C21</f>
        <v>2303.5281</v>
      </c>
      <c r="D22" s="80" t="n">
        <f aca="false">D20+D21</f>
        <v>1666.3178</v>
      </c>
      <c r="E22" s="80" t="n">
        <f aca="false">E20+E21</f>
        <v>1782.8474</v>
      </c>
      <c r="F22" s="80" t="n">
        <f aca="false">F20+F21</f>
        <v>2518.9437</v>
      </c>
      <c r="G22" s="80" t="n">
        <f aca="false">G20+G21</f>
        <v>3008.1761</v>
      </c>
      <c r="H22" s="76" t="n">
        <f aca="false">H20+H21</f>
        <v>4911.21314021623</v>
      </c>
      <c r="I22" s="76" t="n">
        <f aca="false">I20+I21</f>
        <v>6545.336422135</v>
      </c>
      <c r="J22" s="76" t="n">
        <f aca="false">J20+J21</f>
        <v>7245.24112244929</v>
      </c>
      <c r="K22" s="76" t="n">
        <f aca="false">K20+K21</f>
        <v>7738.25496693913</v>
      </c>
      <c r="L22" s="76" t="n">
        <f aca="false">L20+L21</f>
        <v>8121.84798466186</v>
      </c>
    </row>
    <row r="23" customFormat="false" ht="15" hidden="false" customHeight="false" outlineLevel="0" collapsed="false">
      <c r="A23" s="11" t="s">
        <v>954</v>
      </c>
      <c r="B23" s="55"/>
      <c r="C23" s="10" t="n">
        <f aca="false">历史利润表!E27</f>
        <v>290.216</v>
      </c>
      <c r="D23" s="10" t="n">
        <f aca="false">历史利润表!F27</f>
        <v>160.2146</v>
      </c>
      <c r="E23" s="10" t="n">
        <f aca="false">历史利润表!G27</f>
        <v>199.697</v>
      </c>
      <c r="F23" s="10" t="n">
        <f aca="false">历史利润表!H27</f>
        <v>328.7101</v>
      </c>
      <c r="G23" s="10" t="n">
        <f aca="false">历史利润表!I27</f>
        <v>391.1963</v>
      </c>
      <c r="H23" s="24" t="n">
        <f aca="false">税务与其他损益!H27</f>
        <v>650.85661967937</v>
      </c>
      <c r="I23" s="24" t="n">
        <f aca="false">税务与其他损益!I27</f>
        <v>913.199194961728</v>
      </c>
      <c r="J23" s="24" t="n">
        <f aca="false">税务与其他损益!J27</f>
        <v>1007.475702905</v>
      </c>
      <c r="K23" s="24" t="n">
        <f aca="false">税务与其他损益!K27</f>
        <v>1071.22327076665</v>
      </c>
      <c r="L23" s="24" t="n">
        <f aca="false">税务与其他损益!L27</f>
        <v>1119.19881676661</v>
      </c>
    </row>
    <row r="24" customFormat="false" ht="15" hidden="false" customHeight="false" outlineLevel="0" collapsed="false">
      <c r="A24" s="9" t="s">
        <v>955</v>
      </c>
      <c r="B24" s="55"/>
      <c r="C24" s="80" t="n">
        <f aca="false">C22-C23</f>
        <v>2013.3121</v>
      </c>
      <c r="D24" s="80" t="n">
        <f aca="false">D22-D23</f>
        <v>1506.1032</v>
      </c>
      <c r="E24" s="80" t="n">
        <f aca="false">E22-E23</f>
        <v>1583.1504</v>
      </c>
      <c r="F24" s="80" t="n">
        <f aca="false">F22-F23</f>
        <v>2190.2336</v>
      </c>
      <c r="G24" s="80" t="n">
        <f aca="false">G22-G23</f>
        <v>2616.9798</v>
      </c>
      <c r="H24" s="76" t="n">
        <f aca="false">H22-H23</f>
        <v>4260.35652053686</v>
      </c>
      <c r="I24" s="76" t="n">
        <f aca="false">I22-I23</f>
        <v>5632.13722717327</v>
      </c>
      <c r="J24" s="76" t="n">
        <f aca="false">J22-J23</f>
        <v>6237.76541954429</v>
      </c>
      <c r="K24" s="76" t="n">
        <f aca="false">K22-K23</f>
        <v>6667.03169617248</v>
      </c>
      <c r="L24" s="76" t="n">
        <f aca="false">L22-L23</f>
        <v>7002.64916789525</v>
      </c>
    </row>
    <row r="25" customFormat="false" ht="15" hidden="false" customHeight="false" outlineLevel="0" collapsed="false">
      <c r="A25" s="11" t="s">
        <v>956</v>
      </c>
      <c r="B25" s="55"/>
      <c r="C25" s="10" t="n">
        <f aca="false">历史利润表!E30</f>
        <v>2.5006</v>
      </c>
      <c r="D25" s="10" t="n">
        <f aca="false">历史利润表!F30</f>
        <v>1.3972</v>
      </c>
      <c r="E25" s="10" t="n">
        <f aca="false">历史利润表!G30</f>
        <v>2.1646</v>
      </c>
      <c r="F25" s="10" t="n">
        <f aca="false">历史利润表!H30</f>
        <v>-0.2156</v>
      </c>
      <c r="G25" s="10" t="n">
        <f aca="false">历史利润表!I30</f>
        <v>-1.4041</v>
      </c>
      <c r="H25" s="24" t="n">
        <f aca="false">H24*假设!$C$20</f>
        <v>0</v>
      </c>
      <c r="I25" s="24" t="n">
        <f aca="false">I24*假设!$C$20</f>
        <v>0</v>
      </c>
      <c r="J25" s="24" t="n">
        <f aca="false">J24*假设!$C$20</f>
        <v>0</v>
      </c>
      <c r="K25" s="24" t="n">
        <f aca="false">K24*假设!$C$20</f>
        <v>0</v>
      </c>
      <c r="L25" s="24" t="n">
        <f aca="false">L24*假设!$C$20</f>
        <v>0</v>
      </c>
    </row>
    <row r="26" customFormat="false" ht="15" hidden="false" customHeight="false" outlineLevel="0" collapsed="false">
      <c r="A26" s="9" t="s">
        <v>25</v>
      </c>
      <c r="B26" s="55"/>
      <c r="C26" s="80" t="n">
        <f aca="false">C24-C25</f>
        <v>2010.8115</v>
      </c>
      <c r="D26" s="80" t="n">
        <f aca="false">D24-D25</f>
        <v>1504.706</v>
      </c>
      <c r="E26" s="80" t="n">
        <f aca="false">E24-E25</f>
        <v>1580.9858</v>
      </c>
      <c r="F26" s="80" t="n">
        <f aca="false">F24-F25</f>
        <v>2190.4492</v>
      </c>
      <c r="G26" s="80" t="n">
        <f aca="false">G24-G25</f>
        <v>2618.3839</v>
      </c>
      <c r="H26" s="76" t="n">
        <f aca="false">H24-H25</f>
        <v>4260.35652053686</v>
      </c>
      <c r="I26" s="76" t="n">
        <f aca="false">I24-I25</f>
        <v>5632.13722717327</v>
      </c>
      <c r="J26" s="76" t="n">
        <f aca="false">J24-J25</f>
        <v>6237.76541954429</v>
      </c>
      <c r="K26" s="76" t="n">
        <f aca="false">K24-K25</f>
        <v>6667.03169617248</v>
      </c>
      <c r="L26" s="76" t="n">
        <f aca="false">L24-L25</f>
        <v>7002.64916789525</v>
      </c>
    </row>
    <row r="27" customFormat="false" ht="15" hidden="false" customHeight="false" outlineLevel="0" collapsed="false">
      <c r="A27" s="11" t="s">
        <v>18</v>
      </c>
      <c r="B27" s="56" t="s">
        <v>317</v>
      </c>
      <c r="D27" s="31" t="n">
        <f aca="false">IFERROR(D26/C26-1,0)</f>
        <v>-0.251692165078626</v>
      </c>
      <c r="E27" s="31" t="n">
        <f aca="false">IFERROR(E26/D26-1,0)</f>
        <v>0.0506941555360314</v>
      </c>
      <c r="F27" s="31" t="n">
        <f aca="false">IFERROR(F26/E26-1,0)</f>
        <v>0.385495809007266</v>
      </c>
      <c r="G27" s="31" t="n">
        <f aca="false">IFERROR(G26/F26-1,0)</f>
        <v>0.195363900701281</v>
      </c>
      <c r="H27" s="32" t="n">
        <f aca="false">IFERROR(H26/G26-1,0)</f>
        <v>0.627093918709498</v>
      </c>
      <c r="I27" s="32" t="n">
        <f aca="false">IFERROR(I26/H26-1,0)</f>
        <v>0.321987303180803</v>
      </c>
      <c r="J27" s="32" t="n">
        <f aca="false">IFERROR(J26/I26-1,0)</f>
        <v>0.107530794784092</v>
      </c>
      <c r="K27" s="32" t="n">
        <f aca="false">IFERROR(K26/J26-1,0)</f>
        <v>0.068817316419628</v>
      </c>
      <c r="L27" s="32" t="n">
        <f aca="false">IFERROR(L26/K26-1,0)</f>
        <v>0.0503398644280408</v>
      </c>
    </row>
    <row r="28" customFormat="false" ht="15" hidden="false" customHeight="false" outlineLevel="0" collapsed="false">
      <c r="A28" s="11" t="s">
        <v>108</v>
      </c>
      <c r="B28" s="56" t="s">
        <v>317</v>
      </c>
      <c r="C28" s="31" t="n">
        <f aca="false">IFERROR(C26/C6,0)</f>
        <v>0.323383389819496</v>
      </c>
      <c r="D28" s="31" t="n">
        <f aca="false">IFERROR(D26/D6,0)</f>
        <v>0.292210709589524</v>
      </c>
      <c r="E28" s="31" t="n">
        <f aca="false">IFERROR(E26/E6,0)</f>
        <v>0.276073301350335</v>
      </c>
      <c r="F28" s="31" t="n">
        <f aca="false">IFERROR(F26/F6,0)</f>
        <v>0.297010431524877</v>
      </c>
      <c r="G28" s="31" t="n">
        <f aca="false">IFERROR(G26/G6,0)</f>
        <v>0.290700473098389</v>
      </c>
      <c r="H28" s="32" t="n">
        <f aca="false">IFERROR(H26/H6,0)</f>
        <v>0.307314355521321</v>
      </c>
      <c r="I28" s="32" t="n">
        <f aca="false">IFERROR(I26/I6,0)</f>
        <v>0.320902989567472</v>
      </c>
      <c r="J28" s="32" t="n">
        <f aca="false">IFERROR(J26/J6,0)</f>
        <v>0.309486391413534</v>
      </c>
      <c r="K28" s="32" t="n">
        <f aca="false">IFERROR(K26/K6,0)</f>
        <v>0.300357918590617</v>
      </c>
      <c r="L28" s="32" t="n">
        <f aca="false">IFERROR(L26/L6,0)</f>
        <v>0.295546627877447</v>
      </c>
    </row>
    <row r="29" customFormat="false" ht="15" hidden="false" customHeight="false" outlineLevel="0" collapsed="false">
      <c r="A29" s="13" t="s">
        <v>957</v>
      </c>
      <c r="B29" s="55" t="s">
        <v>958</v>
      </c>
      <c r="C29" s="18" t="n">
        <f aca="false">IFERROR(C26/股本与每股!C12,0)</f>
        <v>1.0492117184334</v>
      </c>
      <c r="D29" s="18" t="n">
        <f aca="false">IFERROR(D26/股本与每股!D12,0)</f>
        <v>0.785133349395031</v>
      </c>
      <c r="E29" s="18" t="n">
        <f aca="false">IFERROR(E26/股本与每股!E12,0)</f>
        <v>0.824935021525788</v>
      </c>
      <c r="F29" s="18" t="n">
        <f aca="false">IFERROR(F26/股本与每股!F12,0)</f>
        <v>1.1429440150273</v>
      </c>
      <c r="G29" s="18" t="n">
        <f aca="false">IFERROR(G26/股本与每股!G12,0)</f>
        <v>1.36990363305402</v>
      </c>
      <c r="H29" s="103" t="n">
        <f aca="false">IFERROR(H26/股本与每股!H12,0)</f>
        <v>2.15527824592142</v>
      </c>
      <c r="I29" s="103" t="n">
        <f aca="false">IFERROR(I26/股本与每股!I12,0)</f>
        <v>2.84925047592991</v>
      </c>
      <c r="J29" s="103" t="n">
        <f aca="false">IFERROR(J26/股本与每股!J12,0)</f>
        <v>3.1556326441456</v>
      </c>
      <c r="K29" s="103" t="n">
        <f aca="false">IFERROR(K26/股本与每股!K12,0)</f>
        <v>3.37279481432188</v>
      </c>
      <c r="L29" s="103" t="n">
        <f aca="false">IFERROR(L26/股本与每股!L12,0)</f>
        <v>3.54258084801844</v>
      </c>
    </row>
    <row r="30" customFormat="false" ht="15" hidden="false" customHeight="false" outlineLevel="0" collapsed="false">
      <c r="A30" s="4" t="s">
        <v>959</v>
      </c>
      <c r="B30" s="55" t="s">
        <v>958</v>
      </c>
      <c r="C30" s="14" t="n">
        <f aca="false">历史利润表!E36</f>
        <v>1.1</v>
      </c>
      <c r="D30" s="14" t="n">
        <f aca="false">历史利润表!F36</f>
        <v>0.79</v>
      </c>
      <c r="E30" s="14" t="n">
        <f aca="false">历史利润表!G36</f>
        <v>0.82</v>
      </c>
      <c r="F30" s="14" t="n">
        <f aca="false">历史利润表!H36</f>
        <v>1.14</v>
      </c>
      <c r="G30" s="14" t="n">
        <f aca="false">历史利润表!I36</f>
        <v>1.37</v>
      </c>
      <c r="H30" s="26" t="n">
        <f aca="false">IFERROR(H26/股本与每股!H13,0)</f>
        <v>2.18973346743743</v>
      </c>
      <c r="I30" s="26" t="n">
        <f aca="false">IFERROR(I26/股本与每股!I13,0)</f>
        <v>2.84925047592991</v>
      </c>
      <c r="J30" s="26" t="n">
        <f aca="false">IFERROR(J26/股本与每股!J13,0)</f>
        <v>3.1556326441456</v>
      </c>
      <c r="K30" s="26" t="n">
        <f aca="false">IFERROR(K26/股本与每股!K13,0)</f>
        <v>3.37279481432188</v>
      </c>
      <c r="L30" s="26" t="n">
        <f aca="false">IFERROR(L26/股本与每股!L13,0)</f>
        <v>3.54258084801844</v>
      </c>
    </row>
    <row r="31" customFormat="false" ht="15" hidden="false" customHeight="false" outlineLevel="0" collapsed="false">
      <c r="A31" s="13" t="s">
        <v>960</v>
      </c>
      <c r="B31" s="55"/>
      <c r="C31" s="23" t="n">
        <f aca="false">C20+C15-融资与资金!C27-C17</f>
        <v>2121.9397</v>
      </c>
      <c r="D31" s="23" t="n">
        <f aca="false">D20+D15-融资与资金!D27-D17</f>
        <v>1398.0001</v>
      </c>
      <c r="E31" s="23" t="n">
        <f aca="false">E20+E15-融资与资金!E27-E17</f>
        <v>1513.6353</v>
      </c>
      <c r="F31" s="23" t="n">
        <f aca="false">F20+F15-融资与资金!F27-F17</f>
        <v>2279.9182</v>
      </c>
      <c r="G31" s="23" t="n">
        <f aca="false">G20+G15-融资与资金!G27-G17</f>
        <v>2759.8097</v>
      </c>
      <c r="H31" s="79" t="n">
        <f aca="false">H20+H15-融资与资金!H27-H17</f>
        <v>4599.38486843864</v>
      </c>
      <c r="I31" s="79" t="n">
        <f aca="false">I20+I15-融资与资金!I27-I17</f>
        <v>6216.16857304435</v>
      </c>
      <c r="J31" s="79" t="n">
        <f aca="false">J20+J15-融资与资金!J27-J17</f>
        <v>6909.92989504032</v>
      </c>
      <c r="K31" s="79" t="n">
        <f aca="false">K20+K15-融资与资金!K27-K17</f>
        <v>7384.43888759797</v>
      </c>
      <c r="L31" s="79" t="n">
        <f aca="false">L20+L15-融资与资金!L27-L17</f>
        <v>7716.61552127046</v>
      </c>
    </row>
    <row r="32" customFormat="false" ht="15" hidden="false" customHeight="false" outlineLevel="0" collapsed="false">
      <c r="A32" s="11" t="s">
        <v>123</v>
      </c>
      <c r="B32" s="55"/>
      <c r="C32" s="10" t="n">
        <f aca="false">资本开支与折旧!C91</f>
        <v>387.5088</v>
      </c>
      <c r="D32" s="10" t="n">
        <f aca="false">资本开支与折旧!D91</f>
        <v>544.3751</v>
      </c>
      <c r="E32" s="10" t="n">
        <f aca="false">资本开支与折旧!E91</f>
        <v>609.432406</v>
      </c>
      <c r="F32" s="10" t="n">
        <f aca="false">资本开支与折旧!F91</f>
        <v>651.2802</v>
      </c>
      <c r="G32" s="10" t="n">
        <f aca="false">资本开支与折旧!G91</f>
        <v>740.433085</v>
      </c>
      <c r="H32" s="24" t="n">
        <f aca="false">资本开支与折旧!H91</f>
        <v>813.656921785668</v>
      </c>
      <c r="I32" s="24" t="n">
        <f aca="false">资本开支与折旧!I91</f>
        <v>914.994953136395</v>
      </c>
      <c r="J32" s="24" t="n">
        <f aca="false">资本开支与折旧!J91</f>
        <v>1060.03085907165</v>
      </c>
      <c r="K32" s="24" t="n">
        <f aca="false">资本开支与折旧!K91</f>
        <v>1212.64784020939</v>
      </c>
      <c r="L32" s="24" t="n">
        <f aca="false">资本开支与折旧!L91</f>
        <v>1348.21871326113</v>
      </c>
    </row>
    <row r="33" customFormat="false" ht="15" hidden="false" customHeight="false" outlineLevel="0" collapsed="false">
      <c r="A33" s="13" t="s">
        <v>110</v>
      </c>
      <c r="B33" s="55"/>
      <c r="C33" s="80" t="n">
        <f aca="false">C31+C32</f>
        <v>2509.4485</v>
      </c>
      <c r="D33" s="80" t="n">
        <f aca="false">D31+D32</f>
        <v>1942.3752</v>
      </c>
      <c r="E33" s="80" t="n">
        <f aca="false">E31+E32</f>
        <v>2123.067706</v>
      </c>
      <c r="F33" s="80" t="n">
        <f aca="false">F31+F32</f>
        <v>2931.1984</v>
      </c>
      <c r="G33" s="80" t="n">
        <f aca="false">G31+G32</f>
        <v>3500.242785</v>
      </c>
      <c r="H33" s="76" t="n">
        <f aca="false">H31+H32</f>
        <v>5413.04179022431</v>
      </c>
      <c r="I33" s="76" t="n">
        <f aca="false">I31+I32</f>
        <v>7131.16352618075</v>
      </c>
      <c r="J33" s="76" t="n">
        <f aca="false">J31+J32</f>
        <v>7969.96075411197</v>
      </c>
      <c r="K33" s="76" t="n">
        <f aca="false">K31+K32</f>
        <v>8597.08672780736</v>
      </c>
      <c r="L33" s="76" t="n">
        <f aca="false">L31+L32</f>
        <v>9064.83423453159</v>
      </c>
    </row>
    <row r="34" customFormat="false" ht="15" hidden="false" customHeight="false" outlineLevel="0" collapsed="false">
      <c r="A34" s="4" t="s">
        <v>111</v>
      </c>
      <c r="B34" s="56" t="s">
        <v>317</v>
      </c>
      <c r="C34" s="31" t="n">
        <f aca="false">IFERROR(C33/C6,0)</f>
        <v>0.403575353785002</v>
      </c>
      <c r="D34" s="31" t="n">
        <f aca="false">IFERROR(D33/D6,0)</f>
        <v>0.377205138732147</v>
      </c>
      <c r="E34" s="31" t="n">
        <f aca="false">IFERROR(E33/E6,0)</f>
        <v>0.370732178989655</v>
      </c>
      <c r="F34" s="31" t="n">
        <f aca="false">IFERROR(F33/F6,0)</f>
        <v>0.397451126311914</v>
      </c>
      <c r="G34" s="31" t="n">
        <f aca="false">IFERROR(G33/G6,0)</f>
        <v>0.388606969955293</v>
      </c>
      <c r="H34" s="32" t="n">
        <f aca="false">IFERROR(H33/H6,0)</f>
        <v>0.390461559062935</v>
      </c>
      <c r="I34" s="32" t="n">
        <f aca="false">IFERROR(I33/I6,0)</f>
        <v>0.406313199118277</v>
      </c>
      <c r="J34" s="32" t="n">
        <f aca="false">IFERROR(J33/J6,0)</f>
        <v>0.395429168555973</v>
      </c>
      <c r="K34" s="32" t="n">
        <f aca="false">IFERROR(K33/K6,0)</f>
        <v>0.387309254430224</v>
      </c>
      <c r="L34" s="32" t="n">
        <f aca="false">IFERROR(L33/L6,0)</f>
        <v>0.382581095532605</v>
      </c>
    </row>
    <row r="35" customFormat="false" ht="15" hidden="false" customHeight="false" outlineLevel="0" collapsed="false">
      <c r="A35" s="11" t="s">
        <v>961</v>
      </c>
      <c r="B35" s="55"/>
      <c r="C35" s="10" t="n">
        <f aca="false">ROUND(C20-历史利润表!E23,2)</f>
        <v>0</v>
      </c>
      <c r="D35" s="10" t="n">
        <f aca="false">ROUND(D20-历史利润表!F23,2)</f>
        <v>0</v>
      </c>
      <c r="E35" s="10" t="n">
        <f aca="false">ROUND(E20-历史利润表!G23,2)</f>
        <v>-0</v>
      </c>
      <c r="F35" s="10" t="n">
        <f aca="false">ROUND(F20-历史利润表!H23,2)</f>
        <v>-0</v>
      </c>
      <c r="G35" s="10" t="n">
        <f aca="false">ROUND(G20-历史利润表!I23,2)</f>
        <v>-0</v>
      </c>
    </row>
    <row r="36" customFormat="false" ht="15" hidden="false" customHeight="false" outlineLevel="0" collapsed="false">
      <c r="A36" s="5" t="s">
        <v>962</v>
      </c>
      <c r="B36" s="6"/>
      <c r="C36" s="6"/>
      <c r="D36" s="6"/>
      <c r="E36" s="6"/>
      <c r="F36" s="6"/>
      <c r="G36" s="6"/>
      <c r="H36" s="6"/>
      <c r="I36" s="6"/>
      <c r="J36" s="6"/>
      <c r="K36" s="6"/>
      <c r="L36" s="6"/>
      <c r="M36" s="6"/>
    </row>
    <row r="37" customFormat="false" ht="15" hidden="false" customHeight="false" outlineLevel="0" collapsed="false">
      <c r="A37" s="9" t="s">
        <v>129</v>
      </c>
      <c r="B37" s="55"/>
      <c r="C37" s="23" t="n">
        <f aca="false">N(历史资产负债表!E5)</f>
        <v>5552.412</v>
      </c>
      <c r="D37" s="23" t="n">
        <f aca="false">N(历史资产负债表!F5)</f>
        <v>4509.4292</v>
      </c>
      <c r="E37" s="23" t="n">
        <f aca="false">N(历史资产负债表!G5)</f>
        <v>2841.6149</v>
      </c>
      <c r="F37" s="23" t="n">
        <f aca="false">N(历史资产负债表!H5)</f>
        <v>3062.8452</v>
      </c>
      <c r="G37" s="23" t="n">
        <f aca="false">N(历史资产负债表!I5)</f>
        <v>3057.7786</v>
      </c>
      <c r="H37" s="76" t="n">
        <f aca="false">G37+H92</f>
        <v>9327.15172825816</v>
      </c>
      <c r="I37" s="76" t="n">
        <f aca="false">H37+I92</f>
        <v>10581.3579888219</v>
      </c>
      <c r="J37" s="76" t="n">
        <f aca="false">I37+J92</f>
        <v>12764.9321328223</v>
      </c>
      <c r="K37" s="76" t="n">
        <f aca="false">J37+K92</f>
        <v>15978.4561359624</v>
      </c>
      <c r="L37" s="76" t="n">
        <f aca="false">K37+L92</f>
        <v>19981.1230444062</v>
      </c>
    </row>
    <row r="38" customFormat="false" ht="15" hidden="false" customHeight="false" outlineLevel="0" collapsed="false">
      <c r="A38" s="11" t="s">
        <v>963</v>
      </c>
      <c r="B38" s="55"/>
      <c r="C38" s="10" t="n">
        <f aca="false">N(历史资产负债表!E6)</f>
        <v>2693.5949</v>
      </c>
      <c r="D38" s="10" t="n">
        <f aca="false">N(历史资产负债表!F6)</f>
        <v>4255.0144</v>
      </c>
      <c r="E38" s="10" t="n">
        <f aca="false">N(历史资产负债表!G6)</f>
        <v>3846.7081</v>
      </c>
      <c r="F38" s="10" t="n">
        <f aca="false">N(历史资产负债表!H6)</f>
        <v>5053.3869</v>
      </c>
      <c r="G38" s="10" t="n">
        <f aca="false">N(历史资产负债表!I6)</f>
        <v>3758.5116</v>
      </c>
      <c r="H38" s="24" t="n">
        <f aca="false">融资与资金!H9</f>
        <v>3758.5116</v>
      </c>
      <c r="I38" s="24" t="n">
        <f aca="false">融资与资金!I9</f>
        <v>3758.5116</v>
      </c>
      <c r="J38" s="24" t="n">
        <f aca="false">融资与资金!J9</f>
        <v>3758.5116</v>
      </c>
      <c r="K38" s="24" t="n">
        <f aca="false">融资与资金!K9</f>
        <v>3758.5116</v>
      </c>
      <c r="L38" s="24" t="n">
        <f aca="false">融资与资金!L9</f>
        <v>3758.5116</v>
      </c>
    </row>
    <row r="39" customFormat="false" ht="15" hidden="false" customHeight="false" outlineLevel="0" collapsed="false">
      <c r="A39" s="11" t="s">
        <v>824</v>
      </c>
      <c r="B39" s="55"/>
      <c r="C39" s="10" t="n">
        <f aca="false">N(历史资产负债表!E8)</f>
        <v>611.4843</v>
      </c>
      <c r="D39" s="10" t="n">
        <f aca="false">N(历史资产负债表!F8)</f>
        <v>435.4813</v>
      </c>
      <c r="E39" s="10" t="n">
        <f aca="false">N(历史资产负债表!G8)</f>
        <v>462.5221</v>
      </c>
      <c r="F39" s="10" t="n">
        <f aca="false">N(历史资产负债表!H8)</f>
        <v>642.0757</v>
      </c>
      <c r="G39" s="10" t="n">
        <f aca="false">N(历史资产负债表!I8)</f>
        <v>754.9216</v>
      </c>
      <c r="H39" s="24" t="n">
        <f aca="false">营运资金!H6</f>
        <v>1063.4773943904</v>
      </c>
      <c r="I39" s="24" t="n">
        <f aca="false">营运资金!I6</f>
        <v>1346.37063747774</v>
      </c>
      <c r="J39" s="24" t="n">
        <f aca="false">营运资金!J6</f>
        <v>1546.15364330151</v>
      </c>
      <c r="K39" s="24" t="n">
        <f aca="false">营运资金!K6</f>
        <v>1702.78023558521</v>
      </c>
      <c r="L39" s="24" t="n">
        <f aca="false">营运资金!L6</f>
        <v>1817.61344755101</v>
      </c>
    </row>
    <row r="40" customFormat="false" ht="15" hidden="false" customHeight="false" outlineLevel="0" collapsed="false">
      <c r="A40" s="11" t="s">
        <v>825</v>
      </c>
      <c r="B40" s="55"/>
      <c r="C40" s="10" t="n">
        <f aca="false">N(历史资产负债表!E9)</f>
        <v>1528.3267</v>
      </c>
      <c r="D40" s="10" t="n">
        <f aca="false">N(历史资产负债表!F9)</f>
        <v>1197.5819</v>
      </c>
      <c r="E40" s="10" t="n">
        <f aca="false">N(历史资产负债表!G9)</f>
        <v>1626.598</v>
      </c>
      <c r="F40" s="10" t="n">
        <f aca="false">N(历史资产负债表!H9)</f>
        <v>1871.7507</v>
      </c>
      <c r="G40" s="10" t="n">
        <f aca="false">N(历史资产负债表!I9)</f>
        <v>2159.448</v>
      </c>
      <c r="H40" s="24" t="n">
        <f aca="false">营运资金!H7</f>
        <v>3342.35752522699</v>
      </c>
      <c r="I40" s="24" t="n">
        <f aca="false">营运资金!I7</f>
        <v>4231.45057493005</v>
      </c>
      <c r="J40" s="24" t="n">
        <f aca="false">营运资金!J7</f>
        <v>4859.34002180476</v>
      </c>
      <c r="K40" s="24" t="n">
        <f aca="false">营运资金!K7</f>
        <v>5351.59502612495</v>
      </c>
      <c r="L40" s="24" t="n">
        <f aca="false">营运资金!L7</f>
        <v>5712.4994065889</v>
      </c>
    </row>
    <row r="41" customFormat="false" ht="15" hidden="false" customHeight="false" outlineLevel="0" collapsed="false">
      <c r="A41" s="11" t="s">
        <v>826</v>
      </c>
      <c r="B41" s="55"/>
      <c r="C41" s="10" t="n">
        <f aca="false">N(历史资产负债表!E10)</f>
        <v>137.0218</v>
      </c>
      <c r="D41" s="10" t="n">
        <f aca="false">N(历史资产负债表!F10)</f>
        <v>81.9324</v>
      </c>
      <c r="E41" s="10" t="n">
        <f aca="false">N(历史资产负债表!G10)</f>
        <v>170.1508</v>
      </c>
      <c r="F41" s="10" t="n">
        <f aca="false">N(历史资产负债表!H10)</f>
        <v>172.5082</v>
      </c>
      <c r="G41" s="10" t="n">
        <f aca="false">N(历史资产负债表!I10)</f>
        <v>345.5521</v>
      </c>
      <c r="H41" s="24" t="n">
        <f aca="false">营运资金!H8</f>
        <v>455.776026167316</v>
      </c>
      <c r="I41" s="24" t="n">
        <f aca="false">营运资金!I8</f>
        <v>577.015987490461</v>
      </c>
      <c r="J41" s="24" t="n">
        <f aca="false">营运资金!J8</f>
        <v>662.637275700649</v>
      </c>
      <c r="K41" s="24" t="n">
        <f aca="false">营运资金!K8</f>
        <v>729.762958107948</v>
      </c>
      <c r="L41" s="24" t="n">
        <f aca="false">营运资金!L8</f>
        <v>778.977191807577</v>
      </c>
    </row>
    <row r="42" customFormat="false" ht="15" hidden="false" customHeight="false" outlineLevel="0" collapsed="false">
      <c r="A42" s="11" t="s">
        <v>827</v>
      </c>
      <c r="B42" s="55"/>
      <c r="C42" s="10" t="n">
        <f aca="false">N(历史资产负债表!E11)</f>
        <v>56.4665</v>
      </c>
      <c r="D42" s="10" t="n">
        <f aca="false">N(历史资产负债表!F11)</f>
        <v>22.8533</v>
      </c>
      <c r="E42" s="10" t="n">
        <f aca="false">N(历史资产负债表!G11)</f>
        <v>45.7734</v>
      </c>
      <c r="F42" s="10" t="n">
        <f aca="false">N(历史资产负债表!H11)</f>
        <v>62.2607</v>
      </c>
      <c r="G42" s="10" t="n">
        <f aca="false">N(历史资产负债表!I11)</f>
        <v>75.5091</v>
      </c>
      <c r="H42" s="24" t="n">
        <f aca="false">营运资金!H9</f>
        <v>122.154162113695</v>
      </c>
      <c r="I42" s="24" t="n">
        <f aca="false">营运资金!I9</f>
        <v>153.846421606478</v>
      </c>
      <c r="J42" s="24" t="n">
        <f aca="false">营运资金!J9</f>
        <v>179.384103314829</v>
      </c>
      <c r="K42" s="24" t="n">
        <f aca="false">营运资金!K9</f>
        <v>200.914109406249</v>
      </c>
      <c r="L42" s="24" t="n">
        <f aca="false">营运资金!L9</f>
        <v>216.512121391887</v>
      </c>
    </row>
    <row r="43" customFormat="false" ht="15" hidden="false" customHeight="false" outlineLevel="0" collapsed="false">
      <c r="A43" s="11" t="s">
        <v>828</v>
      </c>
      <c r="B43" s="55"/>
      <c r="C43" s="10" t="n">
        <f aca="false">N(历史资产负债表!E12)</f>
        <v>151.249</v>
      </c>
      <c r="D43" s="10" t="n">
        <f aca="false">N(历史资产负债表!F12)</f>
        <v>83.7475</v>
      </c>
      <c r="E43" s="10" t="n">
        <f aca="false">N(历史资产负债表!G12)</f>
        <v>44.234</v>
      </c>
      <c r="F43" s="10" t="n">
        <f aca="false">N(历史资产负债表!H12)</f>
        <v>28.6627</v>
      </c>
      <c r="G43" s="10" t="n">
        <f aca="false">N(历史资产负债表!I12)</f>
        <v>18.4395</v>
      </c>
      <c r="H43" s="24" t="n">
        <f aca="false">营运资金!H10</f>
        <v>27.7263749251784</v>
      </c>
      <c r="I43" s="24" t="n">
        <f aca="false">营运资金!I10</f>
        <v>35.1018059056697</v>
      </c>
      <c r="J43" s="24" t="n">
        <f aca="false">营运资金!J10</f>
        <v>40.3104342717895</v>
      </c>
      <c r="K43" s="24" t="n">
        <f aca="false">营运资金!K10</f>
        <v>44.3939132849002</v>
      </c>
      <c r="L43" s="24" t="n">
        <f aca="false">营运资金!L10</f>
        <v>47.3877791682942</v>
      </c>
    </row>
    <row r="44" customFormat="false" ht="15" hidden="false" customHeight="false" outlineLevel="0" collapsed="false">
      <c r="A44" s="11" t="s">
        <v>133</v>
      </c>
      <c r="B44" s="55"/>
      <c r="C44" s="10" t="n">
        <f aca="false">N(历史资产负债表!E16)</f>
        <v>1796.5411</v>
      </c>
      <c r="D44" s="10" t="n">
        <f aca="false">N(历史资产负债表!F16)</f>
        <v>1885.8512</v>
      </c>
      <c r="E44" s="10" t="n">
        <f aca="false">N(历史资产负债表!G16)</f>
        <v>1753.5978</v>
      </c>
      <c r="F44" s="10" t="n">
        <f aca="false">N(历史资产负债表!H16)</f>
        <v>2180.7115</v>
      </c>
      <c r="G44" s="10" t="n">
        <f aca="false">N(历史资产负债表!I16)</f>
        <v>2391.7224</v>
      </c>
      <c r="H44" s="24" t="n">
        <f aca="false">营运资金!H16</f>
        <v>3265.11704696765</v>
      </c>
      <c r="I44" s="24" t="n">
        <f aca="false">营运资金!I16</f>
        <v>4138.03576593477</v>
      </c>
      <c r="J44" s="24" t="n">
        <f aca="false">营运资金!J16</f>
        <v>4834.15837735115</v>
      </c>
      <c r="K44" s="24" t="n">
        <f aca="false">营运资金!K16</f>
        <v>5417.64638880255</v>
      </c>
      <c r="L44" s="24" t="n">
        <f aca="false">营运资金!L16</f>
        <v>5833.14984002383</v>
      </c>
    </row>
    <row r="45" customFormat="false" ht="15" hidden="false" customHeight="false" outlineLevel="0" collapsed="false">
      <c r="A45" s="11" t="s">
        <v>836</v>
      </c>
      <c r="B45" s="55"/>
      <c r="C45" s="10" t="n">
        <f aca="false">N(历史资产负债表!E17)</f>
        <v>259.4314</v>
      </c>
      <c r="D45" s="10" t="n">
        <f aca="false">N(历史资产负债表!F17)</f>
        <v>348.8942</v>
      </c>
      <c r="E45" s="10" t="n">
        <f aca="false">N(历史资产负债表!G17)</f>
        <v>488.1799</v>
      </c>
      <c r="F45" s="10" t="n">
        <f aca="false">N(历史资产负债表!H17)</f>
        <v>527.8337</v>
      </c>
      <c r="G45" s="10" t="n">
        <f aca="false">N(历史资产负债表!I17)</f>
        <v>519.6397</v>
      </c>
      <c r="H45" s="24" t="n">
        <f aca="false">营运资金!H18</f>
        <v>554.527498503568</v>
      </c>
      <c r="I45" s="24" t="n">
        <f aca="false">营运资金!I18</f>
        <v>702.036118113394</v>
      </c>
      <c r="J45" s="24" t="n">
        <f aca="false">营运资金!J18</f>
        <v>806.20868543579</v>
      </c>
      <c r="K45" s="24" t="n">
        <f aca="false">营运资金!K18</f>
        <v>887.878265698003</v>
      </c>
      <c r="L45" s="24" t="n">
        <f aca="false">营运资金!L18</f>
        <v>947.755583365885</v>
      </c>
    </row>
    <row r="46" customFormat="false" ht="15" hidden="false" customHeight="false" outlineLevel="0" collapsed="false">
      <c r="A46" s="9" t="s">
        <v>964</v>
      </c>
      <c r="B46" s="55"/>
      <c r="C46" s="80" t="n">
        <f aca="false">SUM(C37:C45)</f>
        <v>12786.5277</v>
      </c>
      <c r="D46" s="80" t="n">
        <f aca="false">SUM(D37:D45)</f>
        <v>12820.7854</v>
      </c>
      <c r="E46" s="80" t="n">
        <f aca="false">SUM(E37:E45)</f>
        <v>11279.379</v>
      </c>
      <c r="F46" s="80" t="n">
        <f aca="false">SUM(F37:F45)</f>
        <v>13602.0353</v>
      </c>
      <c r="G46" s="80" t="n">
        <f aca="false">SUM(G37:G45)</f>
        <v>13081.5226</v>
      </c>
      <c r="H46" s="76" t="n">
        <f aca="false">SUM(H37:H45)</f>
        <v>21916.799356553</v>
      </c>
      <c r="I46" s="76" t="n">
        <f aca="false">SUM(I37:I45)</f>
        <v>25523.7269002805</v>
      </c>
      <c r="J46" s="76" t="n">
        <f aca="false">SUM(J37:J45)</f>
        <v>29451.6362740028</v>
      </c>
      <c r="K46" s="76" t="n">
        <f aca="false">SUM(K37:K45)</f>
        <v>34071.9386329722</v>
      </c>
      <c r="L46" s="76" t="n">
        <f aca="false">SUM(L37:L45)</f>
        <v>39093.5300143036</v>
      </c>
    </row>
    <row r="47" customFormat="false" ht="15" hidden="false" customHeight="false" outlineLevel="0" collapsed="false">
      <c r="A47" s="11" t="s">
        <v>965</v>
      </c>
      <c r="B47" s="55"/>
      <c r="C47" s="10" t="n">
        <f aca="false">N(历史资产负债表!E22)+N(历史资产负债表!E25)</f>
        <v>5037.4875</v>
      </c>
      <c r="D47" s="10" t="n">
        <f aca="false">N(历史资产负债表!F22)+N(历史资产负债表!F25)</f>
        <v>5881.0911</v>
      </c>
      <c r="E47" s="10" t="n">
        <f aca="false">N(历史资产负债表!G22)+N(历史资产负债表!G25)</f>
        <v>5783.8854</v>
      </c>
      <c r="F47" s="10" t="n">
        <f aca="false">N(历史资产负债表!H22)+N(历史资产负债表!H25)</f>
        <v>6327.452</v>
      </c>
      <c r="G47" s="10" t="n">
        <f aca="false">N(历史资产负债表!I22)+N(历史资产负债表!I25)</f>
        <v>6589.7152</v>
      </c>
      <c r="H47" s="24" t="n">
        <f aca="false">资本开支与折旧!H80</f>
        <v>7506.50273345863</v>
      </c>
      <c r="I47" s="24" t="n">
        <f aca="false">资本开支与折旧!I80</f>
        <v>9145.1311372593</v>
      </c>
      <c r="J47" s="24" t="n">
        <f aca="false">资本开支与折旧!J80</f>
        <v>10404.4810466518</v>
      </c>
      <c r="K47" s="24" t="n">
        <f aca="false">资本开支与折旧!K80</f>
        <v>11071.0276721772</v>
      </c>
      <c r="L47" s="24" t="n">
        <f aca="false">资本开支与折旧!L80</f>
        <v>11357.1316214669</v>
      </c>
    </row>
    <row r="48" customFormat="false" ht="15" hidden="false" customHeight="false" outlineLevel="0" collapsed="false">
      <c r="A48" s="11" t="s">
        <v>966</v>
      </c>
      <c r="B48" s="55"/>
      <c r="C48" s="10" t="n">
        <f aca="false">N(历史资产负债表!E28)+N(历史资产负债表!E30)</f>
        <v>318.6494</v>
      </c>
      <c r="D48" s="10" t="n">
        <f aca="false">N(历史资产负债表!F28)+N(历史资产负债表!F30)</f>
        <v>388.2714</v>
      </c>
      <c r="E48" s="10" t="n">
        <f aca="false">N(历史资产负债表!G28)+N(历史资产负债表!G30)</f>
        <v>471.5778</v>
      </c>
      <c r="F48" s="10" t="n">
        <f aca="false">N(历史资产负债表!H28)+N(历史资产负债表!H30)</f>
        <v>458.3921</v>
      </c>
      <c r="G48" s="10" t="n">
        <f aca="false">N(历史资产负债表!I28)+N(历史资产负债表!I30)</f>
        <v>455.4018</v>
      </c>
      <c r="H48" s="24" t="n">
        <f aca="false">资本开支与折旧!H86</f>
        <v>471.7209064</v>
      </c>
      <c r="I48" s="24" t="n">
        <f aca="false">资本开支与折旧!I86</f>
        <v>487.1914192672</v>
      </c>
      <c r="J48" s="24" t="n">
        <f aca="false">资本开支与折旧!J86</f>
        <v>496.857465465306</v>
      </c>
      <c r="K48" s="24" t="n">
        <f aca="false">资本开支与折旧!K86</f>
        <v>501.02087726111</v>
      </c>
      <c r="L48" s="24" t="n">
        <f aca="false">资本开支与折旧!L86</f>
        <v>504.967791643532</v>
      </c>
    </row>
    <row r="49" customFormat="false" ht="15" hidden="false" customHeight="false" outlineLevel="0" collapsed="false">
      <c r="A49" s="11" t="s">
        <v>967</v>
      </c>
      <c r="B49" s="55"/>
      <c r="C49" s="10" t="n">
        <f aca="false">N(历史资产负债表!E27)</f>
        <v>9.2459</v>
      </c>
      <c r="D49" s="10" t="n">
        <f aca="false">N(历史资产负债表!F27)</f>
        <v>36.5573</v>
      </c>
      <c r="E49" s="10" t="n">
        <f aca="false">N(历史资产负债表!G27)</f>
        <v>29.9601</v>
      </c>
      <c r="F49" s="10" t="n">
        <f aca="false">N(历史资产负债表!H27)</f>
        <v>24.904</v>
      </c>
      <c r="G49" s="10" t="n">
        <f aca="false">N(历史资产负债表!I27)</f>
        <v>20.1651</v>
      </c>
      <c r="H49" s="24" t="n">
        <f aca="false">资本开支与折旧!H87</f>
        <v>20.1651</v>
      </c>
      <c r="I49" s="24" t="n">
        <f aca="false">资本开支与折旧!I87</f>
        <v>20.1651</v>
      </c>
      <c r="J49" s="24" t="n">
        <f aca="false">资本开支与折旧!J87</f>
        <v>20.1651</v>
      </c>
      <c r="K49" s="24" t="n">
        <f aca="false">资本开支与折旧!K87</f>
        <v>20.1651</v>
      </c>
      <c r="L49" s="24" t="n">
        <f aca="false">资本开支与折旧!L87</f>
        <v>20.1651</v>
      </c>
    </row>
    <row r="50" customFormat="false" ht="15" hidden="false" customHeight="false" outlineLevel="0" collapsed="false">
      <c r="A50" s="11" t="s">
        <v>968</v>
      </c>
      <c r="B50" s="55"/>
      <c r="C50" s="10" t="n">
        <f aca="false">N(历史资产负债表!E19)+N(历史资产负债表!E20)+N(历史资产负债表!E21)+N(历史资产负债表!E29)</f>
        <v>220.6149</v>
      </c>
      <c r="D50" s="10" t="n">
        <f aca="false">N(历史资产负债表!F19)+N(历史资产负债表!F20)+N(历史资产负债表!F21)+N(历史资产负债表!F29)</f>
        <v>226.9448</v>
      </c>
      <c r="E50" s="10" t="n">
        <f aca="false">N(历史资产负债表!G19)+N(历史资产负债表!G20)+N(历史资产负债表!G21)+N(历史资产负债表!G29)</f>
        <v>367.871</v>
      </c>
      <c r="F50" s="10" t="n">
        <f aca="false">N(历史资产负债表!H19)+N(历史资产负债表!H20)+N(历史资产负债表!H21)+N(历史资产负债表!H29)</f>
        <v>294.9521</v>
      </c>
      <c r="G50" s="10" t="n">
        <f aca="false">N(历史资产负债表!I19)+N(历史资产负债表!I20)+N(历史资产负债表!I21)+N(历史资产负债表!I29)</f>
        <v>311.2262</v>
      </c>
      <c r="H50" s="24" t="n">
        <f aca="false">资本开支与折旧!H89</f>
        <v>311.2262</v>
      </c>
      <c r="I50" s="24" t="n">
        <f aca="false">资本开支与折旧!I89</f>
        <v>311.2262</v>
      </c>
      <c r="J50" s="24" t="n">
        <f aca="false">资本开支与折旧!J89</f>
        <v>311.2262</v>
      </c>
      <c r="K50" s="24" t="n">
        <f aca="false">资本开支与折旧!K89</f>
        <v>311.2262</v>
      </c>
      <c r="L50" s="24" t="n">
        <f aca="false">资本开支与折旧!L89</f>
        <v>311.2262</v>
      </c>
    </row>
    <row r="51" customFormat="false" ht="15" hidden="false" customHeight="false" outlineLevel="0" collapsed="false">
      <c r="A51" s="11" t="s">
        <v>969</v>
      </c>
      <c r="B51" s="55"/>
      <c r="C51" s="10" t="n">
        <f aca="false">N(历史资产负债表!E31)</f>
        <v>98.7072</v>
      </c>
      <c r="D51" s="10" t="n">
        <f aca="false">N(历史资产负债表!F31)</f>
        <v>187.4023</v>
      </c>
      <c r="E51" s="10" t="n">
        <f aca="false">N(历史资产负债表!G31)</f>
        <v>182.164</v>
      </c>
      <c r="F51" s="10" t="n">
        <f aca="false">N(历史资产负债表!H31)</f>
        <v>247.2083</v>
      </c>
      <c r="G51" s="10" t="n">
        <f aca="false">N(历史资产负债表!I31)</f>
        <v>163.9345</v>
      </c>
      <c r="H51" s="34" t="n">
        <f aca="false">G51</f>
        <v>163.9345</v>
      </c>
      <c r="I51" s="34" t="n">
        <f aca="false">H51</f>
        <v>163.9345</v>
      </c>
      <c r="J51" s="34" t="n">
        <f aca="false">I51</f>
        <v>163.9345</v>
      </c>
      <c r="K51" s="34" t="n">
        <f aca="false">J51</f>
        <v>163.9345</v>
      </c>
      <c r="L51" s="34" t="n">
        <f aca="false">K51</f>
        <v>163.9345</v>
      </c>
    </row>
    <row r="52" customFormat="false" ht="15" hidden="false" customHeight="false" outlineLevel="0" collapsed="false">
      <c r="A52" s="11" t="s">
        <v>970</v>
      </c>
      <c r="B52" s="55"/>
      <c r="C52" s="10" t="n">
        <f aca="false">N(历史资产负债表!E32)</f>
        <v>148.8167</v>
      </c>
      <c r="D52" s="10" t="n">
        <f aca="false">N(历史资产负债表!F32)</f>
        <v>52.3243</v>
      </c>
      <c r="E52" s="10" t="n">
        <f aca="false">N(历史资产负债表!G32)</f>
        <v>3712.1273</v>
      </c>
      <c r="F52" s="10" t="n">
        <f aca="false">N(历史资产负债表!H32)</f>
        <v>2960.8591</v>
      </c>
      <c r="G52" s="10" t="n">
        <f aca="false">N(历史资产负债表!I32)</f>
        <v>5884.1223</v>
      </c>
      <c r="H52" s="24" t="n">
        <f aca="false">融资与资金!H12</f>
        <v>5884.1223</v>
      </c>
      <c r="I52" s="24" t="n">
        <f aca="false">融资与资金!I12</f>
        <v>5884.1223</v>
      </c>
      <c r="J52" s="24" t="n">
        <f aca="false">融资与资金!J12</f>
        <v>5884.1223</v>
      </c>
      <c r="K52" s="24" t="n">
        <f aca="false">融资与资金!K12</f>
        <v>5884.1223</v>
      </c>
      <c r="L52" s="24" t="n">
        <f aca="false">融资与资金!L12</f>
        <v>5884.1223</v>
      </c>
    </row>
    <row r="53" customFormat="false" ht="15" hidden="false" customHeight="false" outlineLevel="0" collapsed="false">
      <c r="A53" s="9" t="s">
        <v>971</v>
      </c>
      <c r="B53" s="55"/>
      <c r="C53" s="80" t="n">
        <f aca="false">SUM(C47:C52)</f>
        <v>5833.5216</v>
      </c>
      <c r="D53" s="80" t="n">
        <f aca="false">SUM(D47:D52)</f>
        <v>6772.5912</v>
      </c>
      <c r="E53" s="80" t="n">
        <f aca="false">SUM(E47:E52)</f>
        <v>10547.5856</v>
      </c>
      <c r="F53" s="80" t="n">
        <f aca="false">SUM(F47:F52)</f>
        <v>10313.7676</v>
      </c>
      <c r="G53" s="80" t="n">
        <f aca="false">SUM(G47:G52)</f>
        <v>13424.5651</v>
      </c>
      <c r="H53" s="76" t="n">
        <f aca="false">SUM(H47:H52)</f>
        <v>14357.6717398586</v>
      </c>
      <c r="I53" s="76" t="n">
        <f aca="false">SUM(I47:I52)</f>
        <v>16011.7706565265</v>
      </c>
      <c r="J53" s="76" t="n">
        <f aca="false">SUM(J47:J52)</f>
        <v>17280.7866121171</v>
      </c>
      <c r="K53" s="76" t="n">
        <f aca="false">SUM(K47:K52)</f>
        <v>17951.4966494383</v>
      </c>
      <c r="L53" s="76" t="n">
        <f aca="false">SUM(L47:L52)</f>
        <v>18241.5475131105</v>
      </c>
    </row>
    <row r="54" customFormat="false" ht="15" hidden="false" customHeight="false" outlineLevel="0" collapsed="false">
      <c r="A54" s="9" t="s">
        <v>135</v>
      </c>
      <c r="B54" s="55"/>
      <c r="C54" s="80" t="n">
        <f aca="false">C46+C53</f>
        <v>18620.0493</v>
      </c>
      <c r="D54" s="80" t="n">
        <f aca="false">D46+D53</f>
        <v>19593.3766</v>
      </c>
      <c r="E54" s="80" t="n">
        <f aca="false">E46+E53</f>
        <v>21826.9646</v>
      </c>
      <c r="F54" s="80" t="n">
        <f aca="false">F46+F53</f>
        <v>23915.8029</v>
      </c>
      <c r="G54" s="80" t="n">
        <f aca="false">G46+G53</f>
        <v>26506.0877</v>
      </c>
      <c r="H54" s="76" t="n">
        <f aca="false">H46+H53</f>
        <v>36274.4710964116</v>
      </c>
      <c r="I54" s="76" t="n">
        <f aca="false">I46+I53</f>
        <v>41535.497556807</v>
      </c>
      <c r="J54" s="76" t="n">
        <f aca="false">J46+J53</f>
        <v>46732.4228861199</v>
      </c>
      <c r="K54" s="76" t="n">
        <f aca="false">K46+K53</f>
        <v>52023.4352824105</v>
      </c>
      <c r="L54" s="76" t="n">
        <f aca="false">L46+L53</f>
        <v>57335.0775274141</v>
      </c>
    </row>
    <row r="55" customFormat="false" ht="15" hidden="false" customHeight="false" outlineLevel="0" collapsed="false">
      <c r="A55" s="11" t="s">
        <v>880</v>
      </c>
      <c r="B55" s="55"/>
      <c r="C55" s="10" t="n">
        <f aca="false">N(历史资产负债表!E35)</f>
        <v>42.1648</v>
      </c>
      <c r="D55" s="10" t="n">
        <f aca="false">N(历史资产负债表!F35)</f>
        <v>151.8424</v>
      </c>
      <c r="E55" s="10" t="n">
        <f aca="false">N(历史资产负债表!G35)</f>
        <v>740.5347</v>
      </c>
      <c r="F55" s="10" t="n">
        <f aca="false">N(历史资产负债表!H35)</f>
        <v>474.7949</v>
      </c>
      <c r="G55" s="10" t="n">
        <f aca="false">N(历史资产负债表!I35)</f>
        <v>539.4178</v>
      </c>
      <c r="H55" s="24" t="n">
        <f aca="false">融资与资金!H21</f>
        <v>539.4178</v>
      </c>
      <c r="I55" s="24" t="n">
        <f aca="false">融资与资金!I21</f>
        <v>539.4178</v>
      </c>
      <c r="J55" s="24" t="n">
        <f aca="false">融资与资金!J21</f>
        <v>539.4178</v>
      </c>
      <c r="K55" s="24" t="n">
        <f aca="false">融资与资金!K21</f>
        <v>539.4178</v>
      </c>
      <c r="L55" s="24" t="n">
        <f aca="false">融资与资金!L21</f>
        <v>539.4178</v>
      </c>
    </row>
    <row r="56" customFormat="false" ht="15" hidden="false" customHeight="false" outlineLevel="0" collapsed="false">
      <c r="A56" s="11" t="s">
        <v>881</v>
      </c>
      <c r="B56" s="55"/>
      <c r="C56" s="10" t="n">
        <f aca="false">N(历史资产负债表!E49)+N(历史资产负债表!E46)</f>
        <v>7.7844</v>
      </c>
      <c r="D56" s="10" t="n">
        <f aca="false">N(历史资产负债表!F49)+N(历史资产负债表!F46)</f>
        <v>33.593</v>
      </c>
      <c r="E56" s="10" t="n">
        <f aca="false">N(历史资产负债表!G49)+N(历史资产负债表!G46)</f>
        <v>4.7445</v>
      </c>
      <c r="F56" s="10" t="n">
        <f aca="false">N(历史资产负债表!H49)+N(历史资产负债表!H46)</f>
        <v>4.5523</v>
      </c>
      <c r="G56" s="10" t="n">
        <f aca="false">N(历史资产负债表!I49)+N(历史资产负债表!I46)</f>
        <v>28.2196</v>
      </c>
      <c r="H56" s="24" t="n">
        <f aca="false">融资与资金!H22</f>
        <v>28.2196</v>
      </c>
      <c r="I56" s="24" t="n">
        <f aca="false">融资与资金!I22</f>
        <v>28.2196</v>
      </c>
      <c r="J56" s="24" t="n">
        <f aca="false">融资与资金!J22</f>
        <v>28.2196</v>
      </c>
      <c r="K56" s="24" t="n">
        <f aca="false">融资与资金!K22</f>
        <v>28.2196</v>
      </c>
      <c r="L56" s="24" t="n">
        <f aca="false">融资与资金!L22</f>
        <v>28.2196</v>
      </c>
    </row>
    <row r="57" customFormat="false" ht="15" hidden="false" customHeight="false" outlineLevel="0" collapsed="false">
      <c r="A57" s="11" t="s">
        <v>839</v>
      </c>
      <c r="B57" s="55"/>
      <c r="C57" s="10" t="n">
        <f aca="false">N(历史资产负债表!E37)</f>
        <v>0</v>
      </c>
      <c r="D57" s="10" t="n">
        <f aca="false">N(历史资产负债表!F37)</f>
        <v>27.8661</v>
      </c>
      <c r="E57" s="10" t="n">
        <f aca="false">N(历史资产负债表!G37)</f>
        <v>242.5137</v>
      </c>
      <c r="F57" s="10" t="n">
        <f aca="false">N(历史资产负债表!H37)</f>
        <v>521.4807</v>
      </c>
      <c r="G57" s="10" t="n">
        <f aca="false">N(历史资产负债表!I37)</f>
        <v>1119.1886</v>
      </c>
      <c r="H57" s="24" t="n">
        <f aca="false">营运资金!H21</f>
        <v>1568.76064358341</v>
      </c>
      <c r="I57" s="24" t="n">
        <f aca="false">营运资金!I21</f>
        <v>1975.76740076812</v>
      </c>
      <c r="J57" s="24" t="n">
        <f aca="false">营运资金!J21</f>
        <v>2303.73420352949</v>
      </c>
      <c r="K57" s="24" t="n">
        <f aca="false">营运资金!K21</f>
        <v>2580.23256942957</v>
      </c>
      <c r="L57" s="24" t="n">
        <f aca="false">营运资金!L21</f>
        <v>2780.54950417664</v>
      </c>
    </row>
    <row r="58" customFormat="false" ht="15" hidden="false" customHeight="false" outlineLevel="0" collapsed="false">
      <c r="A58" s="11" t="s">
        <v>840</v>
      </c>
      <c r="B58" s="55"/>
      <c r="C58" s="10" t="n">
        <f aca="false">N(历史资产负债表!E38)</f>
        <v>830.1951</v>
      </c>
      <c r="D58" s="10" t="n">
        <f aca="false">N(历史资产负债表!F38)</f>
        <v>607.185</v>
      </c>
      <c r="E58" s="10" t="n">
        <f aca="false">N(历史资产负债表!G38)</f>
        <v>738.1858</v>
      </c>
      <c r="F58" s="10" t="n">
        <f aca="false">N(历史资产负债表!H38)</f>
        <v>773.8232</v>
      </c>
      <c r="G58" s="10" t="n">
        <f aca="false">N(历史资产负债表!I38)</f>
        <v>808.7966</v>
      </c>
      <c r="H58" s="24" t="n">
        <f aca="false">营运资金!H22</f>
        <v>1255.00851486673</v>
      </c>
      <c r="I58" s="24" t="n">
        <f aca="false">营运资金!I22</f>
        <v>1580.6139206145</v>
      </c>
      <c r="J58" s="24" t="n">
        <f aca="false">营运资金!J22</f>
        <v>1842.98736282359</v>
      </c>
      <c r="K58" s="24" t="n">
        <f aca="false">营运资金!K22</f>
        <v>2064.18605554365</v>
      </c>
      <c r="L58" s="24" t="n">
        <f aca="false">营运资金!L22</f>
        <v>2224.43960334131</v>
      </c>
    </row>
    <row r="59" customFormat="false" ht="15" hidden="false" customHeight="false" outlineLevel="0" collapsed="false">
      <c r="A59" s="11" t="s">
        <v>841</v>
      </c>
      <c r="B59" s="55"/>
      <c r="C59" s="10" t="n">
        <f aca="false">N(历史资产负债表!E39)+N(历史资产负债表!E40)</f>
        <v>25.358</v>
      </c>
      <c r="D59" s="10" t="n">
        <f aca="false">N(历史资产负债表!F39)+N(历史资产负债表!F40)</f>
        <v>18.6235</v>
      </c>
      <c r="E59" s="10" t="n">
        <f aca="false">N(历史资产负债表!G39)+N(历史资产负债表!G40)</f>
        <v>22.6123</v>
      </c>
      <c r="F59" s="10" t="n">
        <f aca="false">N(历史资产负债表!H39)+N(历史资产负债表!H40)</f>
        <v>30.7816</v>
      </c>
      <c r="G59" s="10" t="n">
        <f aca="false">N(历史资产负债表!I39)+N(历史资产负债表!I40)</f>
        <v>23.8862</v>
      </c>
      <c r="H59" s="24" t="n">
        <f aca="false">营运资金!H23</f>
        <v>55.4527498503568</v>
      </c>
      <c r="I59" s="24" t="n">
        <f aca="false">营运资金!I23</f>
        <v>70.2036118113394</v>
      </c>
      <c r="J59" s="24" t="n">
        <f aca="false">营运资金!J23</f>
        <v>80.620868543579</v>
      </c>
      <c r="K59" s="24" t="n">
        <f aca="false">营运资金!K23</f>
        <v>88.7878265698003</v>
      </c>
      <c r="L59" s="24" t="n">
        <f aca="false">营运资金!L23</f>
        <v>94.7755583365885</v>
      </c>
    </row>
    <row r="60" customFormat="false" ht="15" hidden="false" customHeight="false" outlineLevel="0" collapsed="false">
      <c r="A60" s="11" t="s">
        <v>842</v>
      </c>
      <c r="B60" s="55"/>
      <c r="C60" s="10" t="n">
        <f aca="false">N(历史资产负债表!E41)</f>
        <v>283.548</v>
      </c>
      <c r="D60" s="10" t="n">
        <f aca="false">N(历史资产负债表!F41)</f>
        <v>242.2859</v>
      </c>
      <c r="E60" s="10" t="n">
        <f aca="false">N(历史资产负债表!G41)</f>
        <v>267.3971</v>
      </c>
      <c r="F60" s="10" t="n">
        <f aca="false">N(历史资产负债表!H41)</f>
        <v>347.7306</v>
      </c>
      <c r="G60" s="10" t="n">
        <f aca="false">N(历史资产负债表!I41)</f>
        <v>395.6466</v>
      </c>
      <c r="H60" s="24" t="n">
        <f aca="false">营运资金!H24</f>
        <v>466.955997718038</v>
      </c>
      <c r="I60" s="24" t="n">
        <f aca="false">营运资金!I24</f>
        <v>544.200074879843</v>
      </c>
      <c r="J60" s="24" t="n">
        <f aca="false">营运资金!J24</f>
        <v>612.761859478569</v>
      </c>
      <c r="K60" s="24" t="n">
        <f aca="false">营运资金!K24</f>
        <v>672.961979526328</v>
      </c>
      <c r="L60" s="24" t="n">
        <f aca="false">营运资金!L24</f>
        <v>730.192124383289</v>
      </c>
    </row>
    <row r="61" customFormat="false" ht="15" hidden="false" customHeight="false" outlineLevel="0" collapsed="false">
      <c r="A61" s="11" t="s">
        <v>843</v>
      </c>
      <c r="B61" s="55"/>
      <c r="C61" s="10" t="n">
        <f aca="false">N(历史资产负债表!E42)</f>
        <v>54.9989</v>
      </c>
      <c r="D61" s="10" t="n">
        <f aca="false">N(历史资产负债表!F42)</f>
        <v>198.0626</v>
      </c>
      <c r="E61" s="10" t="n">
        <f aca="false">N(历史资产负债表!G42)</f>
        <v>157.7104</v>
      </c>
      <c r="F61" s="10" t="n">
        <f aca="false">N(历史资产负债表!H42)</f>
        <v>146.4485</v>
      </c>
      <c r="G61" s="10" t="n">
        <f aca="false">N(历史资产负债表!I42)</f>
        <v>213.8164</v>
      </c>
      <c r="H61" s="24" t="n">
        <f aca="false">营运资金!H25</f>
        <v>291.126936714373</v>
      </c>
      <c r="I61" s="24" t="n">
        <f aca="false">营运资金!I25</f>
        <v>368.568962009532</v>
      </c>
      <c r="J61" s="24" t="n">
        <f aca="false">营运资金!J25</f>
        <v>423.25955985379</v>
      </c>
      <c r="K61" s="24" t="n">
        <f aca="false">营运资金!K25</f>
        <v>466.136089491452</v>
      </c>
      <c r="L61" s="24" t="n">
        <f aca="false">营运资金!L25</f>
        <v>497.57168126709</v>
      </c>
    </row>
    <row r="62" customFormat="false" ht="15" hidden="false" customHeight="false" outlineLevel="0" collapsed="false">
      <c r="A62" s="11" t="s">
        <v>844</v>
      </c>
      <c r="B62" s="55"/>
      <c r="C62" s="10" t="n">
        <f aca="false">N(历史资产负债表!E43)</f>
        <v>34.0223</v>
      </c>
      <c r="D62" s="10" t="n">
        <f aca="false">N(历史资产负债表!F43)</f>
        <v>54.6813</v>
      </c>
      <c r="E62" s="10" t="n">
        <f aca="false">N(历史资产负债表!G43)</f>
        <v>58.1247</v>
      </c>
      <c r="F62" s="10" t="n">
        <f aca="false">N(历史资产负债表!H43)</f>
        <v>90.8459</v>
      </c>
      <c r="G62" s="10" t="n">
        <f aca="false">N(历史资产负债表!I43)</f>
        <v>114.3282</v>
      </c>
      <c r="H62" s="24" t="n">
        <f aca="false">营运资金!H26</f>
        <v>180.22143701366</v>
      </c>
      <c r="I62" s="24" t="n">
        <f aca="false">营运资金!I26</f>
        <v>228.161738386853</v>
      </c>
      <c r="J62" s="24" t="n">
        <f aca="false">营运资金!J26</f>
        <v>262.017822766632</v>
      </c>
      <c r="K62" s="24" t="n">
        <f aca="false">营运资金!K26</f>
        <v>288.560436351851</v>
      </c>
      <c r="L62" s="24" t="n">
        <f aca="false">营运资金!L26</f>
        <v>308.020564593913</v>
      </c>
    </row>
    <row r="63" customFormat="false" ht="15" hidden="false" customHeight="false" outlineLevel="0" collapsed="false">
      <c r="A63" s="11" t="s">
        <v>845</v>
      </c>
      <c r="B63" s="55"/>
      <c r="C63" s="10" t="n">
        <f aca="false">N(历史资产负债表!E47)</f>
        <v>295.9292</v>
      </c>
      <c r="D63" s="10" t="n">
        <f aca="false">N(历史资产负债表!F47)</f>
        <v>149.1519</v>
      </c>
      <c r="E63" s="10" t="n">
        <f aca="false">N(历史资产负债表!G47)</f>
        <v>168.719</v>
      </c>
      <c r="F63" s="10" t="n">
        <f aca="false">N(历史资产负债表!H47)</f>
        <v>203.7941</v>
      </c>
      <c r="G63" s="10" t="n">
        <f aca="false">N(历史资产负债表!I47)</f>
        <v>262.1147</v>
      </c>
      <c r="H63" s="24" t="n">
        <f aca="false">营运资金!H27</f>
        <v>318.853311639552</v>
      </c>
      <c r="I63" s="24" t="n">
        <f aca="false">营运资金!I27</f>
        <v>403.670767915202</v>
      </c>
      <c r="J63" s="24" t="n">
        <f aca="false">营运资金!J27</f>
        <v>463.569994125579</v>
      </c>
      <c r="K63" s="24" t="n">
        <f aca="false">营运资金!K27</f>
        <v>510.530002776352</v>
      </c>
      <c r="L63" s="24" t="n">
        <f aca="false">营运资金!L27</f>
        <v>544.959460435384</v>
      </c>
    </row>
    <row r="64" customFormat="false" ht="15" hidden="false" customHeight="false" outlineLevel="0" collapsed="false">
      <c r="A64" s="11" t="s">
        <v>972</v>
      </c>
      <c r="B64" s="55"/>
      <c r="C64" s="10" t="n">
        <f aca="false">N(历史资产负债表!E50)</f>
        <v>1.7371</v>
      </c>
      <c r="D64" s="10" t="n">
        <f aca="false">N(历史资产负债表!F50)</f>
        <v>30.6415</v>
      </c>
      <c r="E64" s="10" t="n">
        <f aca="false">N(历史资产负债表!G50)</f>
        <v>26.5735</v>
      </c>
      <c r="F64" s="10" t="n">
        <f aca="false">N(历史资产负债表!H50)</f>
        <v>22.2459</v>
      </c>
      <c r="G64" s="10" t="n">
        <f aca="false">N(历史资产负债表!I50)</f>
        <v>18.7998</v>
      </c>
      <c r="H64" s="24" t="n">
        <f aca="false">融资与资金!H24</f>
        <v>18.7998</v>
      </c>
      <c r="I64" s="24" t="n">
        <f aca="false">融资与资金!I24</f>
        <v>18.7998</v>
      </c>
      <c r="J64" s="24" t="n">
        <f aca="false">融资与资金!J24</f>
        <v>18.7998</v>
      </c>
      <c r="K64" s="24" t="n">
        <f aca="false">融资与资金!K24</f>
        <v>18.7998</v>
      </c>
      <c r="L64" s="24" t="n">
        <f aca="false">融资与资金!L24</f>
        <v>18.7998</v>
      </c>
    </row>
    <row r="65" customFormat="false" ht="15" hidden="false" customHeight="false" outlineLevel="0" collapsed="false">
      <c r="A65" s="11" t="s">
        <v>973</v>
      </c>
      <c r="B65" s="55"/>
      <c r="C65" s="10" t="n">
        <f aca="false">N(历史资产负债表!E51)+N(历史资产负债表!E54)+N(历史资产负债表!E55)+N(历史资产负债表!E56)+N(历史资产负债表!E57)</f>
        <v>852.7379</v>
      </c>
      <c r="D65" s="10" t="n">
        <f aca="false">N(历史资产负债表!F51)+N(历史资产负债表!F54)+N(历史资产负债表!F55)+N(历史资产负债表!F56)+N(历史资产负债表!F57)</f>
        <v>976.0318</v>
      </c>
      <c r="E65" s="10" t="n">
        <f aca="false">N(历史资产负债表!G51)+N(历史资产负债表!G54)+N(历史资产负债表!G55)+N(历史资产负债表!G56)+N(历史资产负债表!G57)</f>
        <v>1160.7486</v>
      </c>
      <c r="F65" s="10" t="n">
        <f aca="false">N(历史资产负债表!H51)+N(历史资产负债表!H54)+N(历史资产负债表!H55)+N(历史资产负债表!H56)+N(历史资产负债表!H57)</f>
        <v>1427.5369</v>
      </c>
      <c r="G65" s="10" t="n">
        <f aca="false">N(历史资产负债表!I51)+N(历史资产负债表!I54)+N(历史资产负债表!I55)+N(历史资产负债表!I56)+N(历史资产负债表!I57)</f>
        <v>1318.8309</v>
      </c>
      <c r="H65" s="34" t="n">
        <f aca="false">G65</f>
        <v>1318.8309</v>
      </c>
      <c r="I65" s="34" t="n">
        <f aca="false">H65</f>
        <v>1318.8309</v>
      </c>
      <c r="J65" s="34" t="n">
        <f aca="false">I65</f>
        <v>1318.8309</v>
      </c>
      <c r="K65" s="34" t="n">
        <f aca="false">J65</f>
        <v>1318.8309</v>
      </c>
      <c r="L65" s="34" t="n">
        <f aca="false">K65</f>
        <v>1318.8309</v>
      </c>
    </row>
    <row r="66" customFormat="false" ht="15" hidden="false" customHeight="false" outlineLevel="0" collapsed="false">
      <c r="A66" s="9" t="s">
        <v>137</v>
      </c>
      <c r="B66" s="55"/>
      <c r="C66" s="80" t="n">
        <f aca="false">SUM(C55:C65)</f>
        <v>2428.4757</v>
      </c>
      <c r="D66" s="80" t="n">
        <f aca="false">SUM(D55:D65)</f>
        <v>2489.965</v>
      </c>
      <c r="E66" s="80" t="n">
        <f aca="false">SUM(E55:E65)</f>
        <v>3587.8643</v>
      </c>
      <c r="F66" s="80" t="n">
        <f aca="false">SUM(F55:F65)</f>
        <v>4044.0346</v>
      </c>
      <c r="G66" s="80" t="n">
        <f aca="false">SUM(G55:G65)</f>
        <v>4843.0454</v>
      </c>
      <c r="H66" s="76" t="n">
        <f aca="false">SUM(H55:H65)</f>
        <v>6041.64769138612</v>
      </c>
      <c r="I66" s="76" t="n">
        <f aca="false">SUM(I55:I65)</f>
        <v>7076.45457638539</v>
      </c>
      <c r="J66" s="76" t="n">
        <f aca="false">SUM(J55:J65)</f>
        <v>7894.21977112122</v>
      </c>
      <c r="K66" s="76" t="n">
        <f aca="false">SUM(K55:K65)</f>
        <v>8576.663059689</v>
      </c>
      <c r="L66" s="76" t="n">
        <f aca="false">SUM(L55:L65)</f>
        <v>9085.77659653421</v>
      </c>
    </row>
    <row r="67" customFormat="false" ht="15" hidden="false" customHeight="false" outlineLevel="0" collapsed="false">
      <c r="A67" s="11" t="s">
        <v>138</v>
      </c>
      <c r="B67" s="55"/>
      <c r="C67" s="10" t="n">
        <f aca="false">历史资产负债表!E66</f>
        <v>16190.2966</v>
      </c>
      <c r="D67" s="10" t="n">
        <f aca="false">历史资产负债表!F66</f>
        <v>17099.6736</v>
      </c>
      <c r="E67" s="10" t="n">
        <f aca="false">历史资产负债表!G66</f>
        <v>18233.1976</v>
      </c>
      <c r="F67" s="10" t="n">
        <f aca="false">历史资产负债表!H66</f>
        <v>19866.0811</v>
      </c>
      <c r="G67" s="10" t="n">
        <f aca="false">历史资产负债表!I66</f>
        <v>21658.7593</v>
      </c>
      <c r="H67" s="24" t="n">
        <f aca="false">融资与资金!H36</f>
        <v>30228.5405560255</v>
      </c>
      <c r="I67" s="24" t="n">
        <f aca="false">融资与资金!I36</f>
        <v>34454.7601314216</v>
      </c>
      <c r="J67" s="24" t="n">
        <f aca="false">融资与资金!J36</f>
        <v>38833.9202659987</v>
      </c>
      <c r="K67" s="24" t="n">
        <f aca="false">融资与资金!K36</f>
        <v>43442.4893737215</v>
      </c>
      <c r="L67" s="24" t="n">
        <f aca="false">融资与资金!L36</f>
        <v>48245.0180818799</v>
      </c>
    </row>
    <row r="68" customFormat="false" ht="15" hidden="false" customHeight="false" outlineLevel="0" collapsed="false">
      <c r="A68" s="11" t="s">
        <v>974</v>
      </c>
      <c r="B68" s="55"/>
      <c r="C68" s="10" t="n">
        <f aca="false">N(历史资产负债表!E67)</f>
        <v>1.2769</v>
      </c>
      <c r="D68" s="10" t="n">
        <f aca="false">N(历史资产负债表!F67)</f>
        <v>3.7382</v>
      </c>
      <c r="E68" s="10" t="n">
        <f aca="false">N(历史资产负债表!G67)</f>
        <v>5.9029</v>
      </c>
      <c r="F68" s="10" t="n">
        <f aca="false">N(历史资产负债表!H67)</f>
        <v>5.6872</v>
      </c>
      <c r="G68" s="10" t="n">
        <f aca="false">N(历史资产负债表!I67)</f>
        <v>4.2831</v>
      </c>
      <c r="H68" s="34" t="n">
        <f aca="false">G68+H25</f>
        <v>4.2831</v>
      </c>
      <c r="I68" s="34" t="n">
        <f aca="false">H68+I25</f>
        <v>4.2831</v>
      </c>
      <c r="J68" s="34" t="n">
        <f aca="false">I68+J25</f>
        <v>4.2831</v>
      </c>
      <c r="K68" s="34" t="n">
        <f aca="false">J68+K25</f>
        <v>4.2831</v>
      </c>
      <c r="L68" s="34" t="n">
        <f aca="false">K68+L25</f>
        <v>4.2831</v>
      </c>
    </row>
    <row r="69" customFormat="false" ht="15" hidden="false" customHeight="false" outlineLevel="0" collapsed="false">
      <c r="A69" s="9" t="s">
        <v>975</v>
      </c>
      <c r="B69" s="55"/>
      <c r="C69" s="80" t="n">
        <f aca="false">C67+C68</f>
        <v>16191.5735</v>
      </c>
      <c r="D69" s="80" t="n">
        <f aca="false">D67+D68</f>
        <v>17103.4118</v>
      </c>
      <c r="E69" s="80" t="n">
        <f aca="false">E67+E68</f>
        <v>18239.1005</v>
      </c>
      <c r="F69" s="80" t="n">
        <f aca="false">F67+F68</f>
        <v>19871.7683</v>
      </c>
      <c r="G69" s="80" t="n">
        <f aca="false">G67+G68</f>
        <v>21663.0424</v>
      </c>
      <c r="H69" s="76" t="n">
        <f aca="false">H67+H68</f>
        <v>30232.8236560255</v>
      </c>
      <c r="I69" s="76" t="n">
        <f aca="false">I67+I68</f>
        <v>34459.0432314216</v>
      </c>
      <c r="J69" s="76" t="n">
        <f aca="false">J67+J68</f>
        <v>38838.2033659987</v>
      </c>
      <c r="K69" s="76" t="n">
        <f aca="false">K67+K68</f>
        <v>43446.7724737215</v>
      </c>
      <c r="L69" s="76" t="n">
        <f aca="false">L67+L68</f>
        <v>48249.3011818799</v>
      </c>
    </row>
    <row r="70" customFormat="false" ht="15" hidden="false" customHeight="false" outlineLevel="0" collapsed="false">
      <c r="A70" s="9" t="s">
        <v>976</v>
      </c>
      <c r="B70" s="55"/>
      <c r="C70" s="80" t="n">
        <f aca="false">C66+C69</f>
        <v>18620.0492</v>
      </c>
      <c r="D70" s="80" t="n">
        <f aca="false">D66+D69</f>
        <v>19593.3768</v>
      </c>
      <c r="E70" s="80" t="n">
        <f aca="false">E66+E69</f>
        <v>21826.9648</v>
      </c>
      <c r="F70" s="80" t="n">
        <f aca="false">F66+F69</f>
        <v>23915.8029</v>
      </c>
      <c r="G70" s="80" t="n">
        <f aca="false">G66+G69</f>
        <v>26506.0878</v>
      </c>
      <c r="H70" s="76" t="n">
        <f aca="false">H66+H69</f>
        <v>36274.4713474116</v>
      </c>
      <c r="I70" s="76" t="n">
        <f aca="false">I66+I69</f>
        <v>41535.497807807</v>
      </c>
      <c r="J70" s="76" t="n">
        <f aca="false">J66+J69</f>
        <v>46732.4231371199</v>
      </c>
      <c r="K70" s="76" t="n">
        <f aca="false">K66+K69</f>
        <v>52023.4355334105</v>
      </c>
      <c r="L70" s="76" t="n">
        <f aca="false">L66+L69</f>
        <v>57335.0777784141</v>
      </c>
    </row>
    <row r="71" customFormat="false" ht="15" hidden="false" customHeight="false" outlineLevel="0" collapsed="false">
      <c r="A71" s="11" t="s">
        <v>977</v>
      </c>
      <c r="B71" s="55"/>
      <c r="C71" s="33" t="n">
        <f aca="false">ROUND(C54-C70,3)</f>
        <v>0</v>
      </c>
      <c r="D71" s="33" t="n">
        <f aca="false">ROUND(D54-D70,3)</f>
        <v>-0</v>
      </c>
      <c r="E71" s="33" t="n">
        <f aca="false">ROUND(E54-E70,3)</f>
        <v>-0</v>
      </c>
      <c r="F71" s="33" t="n">
        <f aca="false">ROUND(F54-F70,3)</f>
        <v>0</v>
      </c>
      <c r="G71" s="33" t="n">
        <f aca="false">ROUND(G54-G70,3)</f>
        <v>-0</v>
      </c>
      <c r="H71" s="34" t="n">
        <f aca="false">ROUND(H54-H70,3)</f>
        <v>-0</v>
      </c>
      <c r="I71" s="34" t="n">
        <f aca="false">ROUND(I54-I70,3)</f>
        <v>-0</v>
      </c>
      <c r="J71" s="34" t="n">
        <f aca="false">ROUND(J54-J70,3)</f>
        <v>-0</v>
      </c>
      <c r="K71" s="34" t="n">
        <f aca="false">ROUND(K54-K70,3)</f>
        <v>-0</v>
      </c>
      <c r="L71" s="34" t="n">
        <f aca="false">ROUND(L54-L70,3)</f>
        <v>-0</v>
      </c>
    </row>
    <row r="72" customFormat="false" ht="15" hidden="false" customHeight="false" outlineLevel="0" collapsed="false">
      <c r="A72" s="11" t="s">
        <v>978</v>
      </c>
      <c r="B72" s="55"/>
      <c r="C72" s="10" t="n">
        <f aca="false">ROUND(C54-历史资产负债表!E34,3)</f>
        <v>0</v>
      </c>
      <c r="D72" s="10" t="n">
        <f aca="false">ROUND(D54-历史资产负债表!F34,3)</f>
        <v>0</v>
      </c>
      <c r="E72" s="10" t="n">
        <f aca="false">ROUND(E54-历史资产负债表!G34,3)</f>
        <v>-0</v>
      </c>
      <c r="F72" s="10" t="n">
        <f aca="false">ROUND(F54-历史资产负债表!H34,3)</f>
        <v>-0</v>
      </c>
      <c r="G72" s="10" t="n">
        <f aca="false">ROUND(G54-历史资产负债表!I34,3)</f>
        <v>-0</v>
      </c>
    </row>
    <row r="73" customFormat="false" ht="15" hidden="false" customHeight="false" outlineLevel="0" collapsed="false">
      <c r="A73" s="11" t="s">
        <v>979</v>
      </c>
      <c r="B73" s="55"/>
      <c r="C73" s="10" t="n">
        <f aca="false">ROUND(C66-历史资产负债表!E59,3)</f>
        <v>0</v>
      </c>
      <c r="D73" s="10" t="n">
        <f aca="false">ROUND(D66-历史资产负债表!F59,3)</f>
        <v>0</v>
      </c>
      <c r="E73" s="10" t="n">
        <f aca="false">ROUND(E66-历史资产负债表!G59,3)</f>
        <v>-0</v>
      </c>
      <c r="F73" s="10" t="n">
        <f aca="false">ROUND(F66-历史资产负债表!H59,3)</f>
        <v>-0</v>
      </c>
      <c r="G73" s="10" t="n">
        <f aca="false">ROUND(G66-历史资产负债表!I59,3)</f>
        <v>-0</v>
      </c>
    </row>
    <row r="74" customFormat="false" ht="15" hidden="false" customHeight="false" outlineLevel="0" collapsed="false">
      <c r="A74" s="5" t="s">
        <v>980</v>
      </c>
      <c r="B74" s="6"/>
      <c r="C74" s="6"/>
      <c r="D74" s="6"/>
      <c r="E74" s="6"/>
      <c r="F74" s="6"/>
      <c r="G74" s="6"/>
      <c r="H74" s="6"/>
      <c r="I74" s="6"/>
      <c r="J74" s="6"/>
      <c r="K74" s="6"/>
      <c r="L74" s="6"/>
      <c r="M74" s="6"/>
    </row>
    <row r="75" customFormat="false" ht="15" hidden="false" customHeight="false" outlineLevel="0" collapsed="false">
      <c r="A75" s="11" t="s">
        <v>955</v>
      </c>
      <c r="B75" s="55"/>
      <c r="C75" s="10" t="n">
        <f aca="false">历史现金流量表!E40</f>
        <v>2013.312</v>
      </c>
      <c r="D75" s="10" t="n">
        <f aca="false">历史现金流量表!F40</f>
        <v>1506.1032</v>
      </c>
      <c r="E75" s="10" t="n">
        <f aca="false">历史现金流量表!G40</f>
        <v>1583.1506</v>
      </c>
      <c r="F75" s="10" t="n">
        <f aca="false">历史现金流量表!H40</f>
        <v>2190.2338</v>
      </c>
      <c r="G75" s="10" t="n">
        <f aca="false">历史现金流量表!I40</f>
        <v>2616.9802</v>
      </c>
      <c r="H75" s="34" t="n">
        <f aca="false">H24</f>
        <v>4260.35652053686</v>
      </c>
      <c r="I75" s="34" t="n">
        <f aca="false">I24</f>
        <v>5632.13722717327</v>
      </c>
      <c r="J75" s="34" t="n">
        <f aca="false">J24</f>
        <v>6237.76541954429</v>
      </c>
      <c r="K75" s="34" t="n">
        <f aca="false">K24</f>
        <v>6667.03169617248</v>
      </c>
      <c r="L75" s="34" t="n">
        <f aca="false">L24</f>
        <v>7002.64916789525</v>
      </c>
    </row>
    <row r="76" customFormat="false" ht="15" hidden="false" customHeight="false" outlineLevel="0" collapsed="false">
      <c r="A76" s="11" t="s">
        <v>123</v>
      </c>
      <c r="B76" s="55"/>
      <c r="C76" s="10" t="n">
        <f aca="false">N(历史现金流量表!E43)+N(历史现金流量表!E44)+N(历史现金流量表!E45)+N(历史现金流量表!E46)</f>
        <v>387.5088</v>
      </c>
      <c r="D76" s="10" t="n">
        <f aca="false">N(历史现金流量表!F43)+N(历史现金流量表!F44)+N(历史现金流量表!F45)+N(历史现金流量表!F46)</f>
        <v>544.3751</v>
      </c>
      <c r="E76" s="10" t="n">
        <f aca="false">N(历史现金流量表!G43)+N(历史现金流量表!G44)+N(历史现金流量表!G45)+N(历史现金流量表!G46)</f>
        <v>609.4324</v>
      </c>
      <c r="F76" s="10" t="n">
        <f aca="false">N(历史现金流量表!H43)+N(历史现金流量表!H44)+N(历史现金流量表!H45)+N(历史现金流量表!H46)</f>
        <v>659.1195</v>
      </c>
      <c r="G76" s="10" t="n">
        <f aca="false">N(历史现金流量表!I43)+N(历史现金流量表!I44)+N(历史现金流量表!I45)+N(历史现金流量表!I46)</f>
        <v>744.1504</v>
      </c>
      <c r="H76" s="34" t="n">
        <f aca="false">H32</f>
        <v>813.656921785668</v>
      </c>
      <c r="I76" s="34" t="n">
        <f aca="false">I32</f>
        <v>914.994953136395</v>
      </c>
      <c r="J76" s="34" t="n">
        <f aca="false">J32</f>
        <v>1060.03085907165</v>
      </c>
      <c r="K76" s="34" t="n">
        <f aca="false">K32</f>
        <v>1212.64784020939</v>
      </c>
      <c r="L76" s="34" t="n">
        <f aca="false">L32</f>
        <v>1348.21871326113</v>
      </c>
    </row>
    <row r="77" customFormat="false" ht="15" hidden="false" customHeight="false" outlineLevel="0" collapsed="false">
      <c r="A77" s="11" t="s">
        <v>981</v>
      </c>
      <c r="B77" s="55"/>
      <c r="C77" s="10" t="n">
        <f aca="false">N(历史现金流量表!E54)+N(历史现金流量表!E55)+N(历史现金流量表!E56)</f>
        <v>-1302.7071</v>
      </c>
      <c r="D77" s="10" t="n">
        <f aca="false">N(历史现金流量表!F54)+N(历史现金流量表!F55)+N(历史现金流量表!F56)</f>
        <v>129.5803</v>
      </c>
      <c r="E77" s="10" t="n">
        <f aca="false">N(历史现金流量表!G54)+N(历史现金流量表!G55)+N(历史现金流量表!G56)</f>
        <v>-335.6004</v>
      </c>
      <c r="F77" s="10" t="n">
        <f aca="false">N(历史现金流量表!H54)+N(历史现金流量表!H55)+N(历史现金流量表!H56)</f>
        <v>-360.6942</v>
      </c>
      <c r="G77" s="10" t="n">
        <f aca="false">N(历史现金流量表!I54)+N(历史现金流量表!I55)+N(历史现金流量表!I56)</f>
        <v>-322.7482</v>
      </c>
      <c r="H77" s="24" t="n">
        <f aca="false">-营运资金!H31</f>
        <v>-1367.30133690867</v>
      </c>
      <c r="I77" s="24" t="n">
        <f aca="false">-营运资金!I31</f>
        <v>-1317.9143981645</v>
      </c>
      <c r="J77" s="24" t="n">
        <f aca="false">-营运资金!J31</f>
        <v>-926.570034986092</v>
      </c>
      <c r="K77" s="24" t="n">
        <f aca="false">-营运资金!K31</f>
        <v>-724.335067261553</v>
      </c>
      <c r="L77" s="24" t="n">
        <f aca="false">-营运资金!L31</f>
        <v>-509.810936042359</v>
      </c>
    </row>
    <row r="78" customFormat="false" ht="15" hidden="false" customHeight="false" outlineLevel="0" collapsed="false">
      <c r="A78" s="11" t="s">
        <v>982</v>
      </c>
      <c r="B78" s="55"/>
      <c r="C78" s="10" t="n">
        <f aca="false">历史现金流量表!E14-C75-C76-C77</f>
        <v>56.2085</v>
      </c>
      <c r="D78" s="10" t="n">
        <f aca="false">历史现金流量表!F14-D75-D76-D77</f>
        <v>-106.185</v>
      </c>
      <c r="E78" s="10" t="n">
        <f aca="false">历史现金流量表!G14-E75-E76-E77</f>
        <v>-138.0146</v>
      </c>
      <c r="F78" s="10" t="n">
        <f aca="false">历史现金流量表!H14-F75-F76-F77</f>
        <v>-85.5367999999999</v>
      </c>
      <c r="G78" s="10" t="n">
        <f aca="false">历史现金流量表!I14-G75-G76-G77</f>
        <v>-160.7733</v>
      </c>
      <c r="H78" s="24" t="n">
        <f aca="false">-H17-税务与其他损益!H17</f>
        <v>-40.6961856</v>
      </c>
      <c r="I78" s="24" t="n">
        <f aca="false">-I17-税务与其他损益!I17</f>
        <v>-56.377674</v>
      </c>
      <c r="J78" s="24" t="n">
        <f aca="false">-J17-税务与其他损益!J17</f>
        <v>-56.377674</v>
      </c>
      <c r="K78" s="24" t="n">
        <f aca="false">-K17-税务与其他损益!K17</f>
        <v>-56.377674</v>
      </c>
      <c r="L78" s="24" t="n">
        <f aca="false">-L17-税务与其他损益!L17</f>
        <v>-56.377674</v>
      </c>
    </row>
    <row r="79" customFormat="false" ht="15" hidden="false" customHeight="false" outlineLevel="0" collapsed="false">
      <c r="A79" s="9" t="s">
        <v>141</v>
      </c>
      <c r="B79" s="55"/>
      <c r="C79" s="23" t="n">
        <f aca="false">历史现金流量表!E14</f>
        <v>1154.3222</v>
      </c>
      <c r="D79" s="23" t="n">
        <f aca="false">历史现金流量表!F14</f>
        <v>2073.8736</v>
      </c>
      <c r="E79" s="23" t="n">
        <f aca="false">历史现金流量表!G14</f>
        <v>1718.968</v>
      </c>
      <c r="F79" s="23" t="n">
        <f aca="false">历史现金流量表!H14</f>
        <v>2403.1223</v>
      </c>
      <c r="G79" s="23" t="n">
        <f aca="false">历史现金流量表!I14</f>
        <v>2877.6091</v>
      </c>
      <c r="H79" s="76" t="n">
        <f aca="false">H75+H76+H77+H78</f>
        <v>3666.01591981385</v>
      </c>
      <c r="I79" s="76" t="n">
        <f aca="false">I75+I76+I77+I78</f>
        <v>5172.84010814517</v>
      </c>
      <c r="J79" s="76" t="n">
        <f aca="false">J75+J76+J77+J78</f>
        <v>6314.84856962985</v>
      </c>
      <c r="K79" s="76" t="n">
        <f aca="false">K75+K76+K77+K78</f>
        <v>7098.96679512031</v>
      </c>
      <c r="L79" s="76" t="n">
        <f aca="false">L75+L76+L77+L78</f>
        <v>7784.67927111402</v>
      </c>
    </row>
    <row r="80" customFormat="false" ht="15" hidden="false" customHeight="false" outlineLevel="0" collapsed="false">
      <c r="A80" s="11" t="s">
        <v>142</v>
      </c>
      <c r="B80" s="55"/>
      <c r="C80" s="10" t="n">
        <f aca="false">-历史现金流量表!E20</f>
        <v>-1910.3652</v>
      </c>
      <c r="D80" s="10" t="n">
        <f aca="false">-历史现金流量表!F20</f>
        <v>-1124.8091</v>
      </c>
      <c r="E80" s="10" t="n">
        <f aca="false">-历史现金流量表!G20</f>
        <v>-545.8847</v>
      </c>
      <c r="F80" s="10" t="n">
        <f aca="false">-历史现金流量表!H20</f>
        <v>-639.0352</v>
      </c>
      <c r="G80" s="10" t="n">
        <f aca="false">-历史现金流量表!I20</f>
        <v>-580.092</v>
      </c>
      <c r="H80" s="24" t="n">
        <f aca="false">-资本开支与折旧!H11</f>
        <v>-1787.9753332932</v>
      </c>
      <c r="I80" s="24" t="n">
        <f aca="false">-资本开支与折旧!I11</f>
        <v>-2593.59246892886</v>
      </c>
      <c r="J80" s="24" t="n">
        <f aca="false">-资本开支与折旧!J11</f>
        <v>-2358.51372418855</v>
      </c>
      <c r="K80" s="24" t="n">
        <f aca="false">-资本开支与折旧!K11</f>
        <v>-1918.93536545505</v>
      </c>
      <c r="L80" s="24" t="n">
        <f aca="false">-资本开支与折旧!L11</f>
        <v>-1679.45915863418</v>
      </c>
    </row>
    <row r="81" customFormat="false" ht="15" hidden="false" customHeight="false" outlineLevel="0" collapsed="false">
      <c r="A81" s="11" t="s">
        <v>983</v>
      </c>
      <c r="B81" s="55"/>
      <c r="C81" s="10" t="n">
        <f aca="false">N(历史现金流量表!E17)</f>
        <v>4.687</v>
      </c>
      <c r="D81" s="10" t="n">
        <f aca="false">N(历史现金流量表!F17)</f>
        <v>61.3832</v>
      </c>
      <c r="E81" s="10" t="n">
        <f aca="false">N(历史现金流量表!G17)</f>
        <v>14.3567</v>
      </c>
      <c r="F81" s="10" t="n">
        <f aca="false">N(历史现金流量表!H17)</f>
        <v>29.458</v>
      </c>
      <c r="G81" s="10" t="n">
        <f aca="false">N(历史现金流量表!I17)</f>
        <v>3.726</v>
      </c>
      <c r="H81" s="24" t="n">
        <f aca="false">资本开支与折旧!H79</f>
        <v>26.7718206489</v>
      </c>
      <c r="I81" s="24" t="n">
        <f aca="false">资本开支与折旧!I79</f>
        <v>29.4985991245848</v>
      </c>
      <c r="J81" s="24" t="n">
        <f aca="false">资本开支与折旧!J79</f>
        <v>34.4669095263397</v>
      </c>
      <c r="K81" s="24" t="n">
        <f aca="false">资本开支与折旧!K79</f>
        <v>40.5774879243777</v>
      </c>
      <c r="L81" s="24" t="n">
        <f aca="false">资本开支与折旧!L79</f>
        <v>46.1895817009323</v>
      </c>
    </row>
    <row r="82" customFormat="false" ht="15" hidden="false" customHeight="false" outlineLevel="0" collapsed="false">
      <c r="A82" s="11" t="s">
        <v>984</v>
      </c>
      <c r="B82" s="55"/>
      <c r="C82" s="10" t="n">
        <f aca="false">历史现金流量表!E24-C80-C81</f>
        <v>28.9139999999999</v>
      </c>
      <c r="D82" s="10" t="n">
        <f aca="false">历史现金流量表!F24-D80-D81</f>
        <v>-2743.301</v>
      </c>
      <c r="E82" s="10" t="n">
        <f aca="false">历史现金流量表!G24-E80-E81</f>
        <v>-3243.397</v>
      </c>
      <c r="F82" s="10" t="n">
        <f aca="false">历史现金流量表!H24-F80-F81</f>
        <v>-744.3539</v>
      </c>
      <c r="G82" s="10" t="n">
        <f aca="false">历史现金流量表!I24-G80-G81</f>
        <v>-247.9944</v>
      </c>
      <c r="H82" s="34" t="n">
        <f aca="false">H17-(H38-G38)-(H52-G52)-(H51-G51)-(H50-G50)</f>
        <v>60.1361856</v>
      </c>
      <c r="I82" s="34" t="n">
        <f aca="false">I17-(I38-H38)-(I52-H52)-(I51-H51)-(I50-H50)</f>
        <v>56.377674</v>
      </c>
      <c r="J82" s="34" t="n">
        <f aca="false">J17-(J38-I38)-(J52-I52)-(J51-I51)-(J50-I50)</f>
        <v>56.377674</v>
      </c>
      <c r="K82" s="34" t="n">
        <f aca="false">K17-(K38-J38)-(K52-J52)-(K51-J51)-(K50-J50)</f>
        <v>56.377674</v>
      </c>
      <c r="L82" s="34" t="n">
        <f aca="false">L17-(L38-K38)-(L52-K52)-(L51-K51)-(L50-K50)</f>
        <v>56.377674</v>
      </c>
    </row>
    <row r="83" customFormat="false" ht="15" hidden="false" customHeight="false" outlineLevel="0" collapsed="false">
      <c r="A83" s="9" t="s">
        <v>985</v>
      </c>
      <c r="B83" s="55"/>
      <c r="C83" s="23" t="n">
        <f aca="false">历史现金流量表!E24</f>
        <v>-1876.7642</v>
      </c>
      <c r="D83" s="23" t="n">
        <f aca="false">历史现金流量表!F24</f>
        <v>-3806.7269</v>
      </c>
      <c r="E83" s="23" t="n">
        <f aca="false">历史现金流量表!G24</f>
        <v>-3774.925</v>
      </c>
      <c r="F83" s="23" t="n">
        <f aca="false">历史现金流量表!H24</f>
        <v>-1353.9311</v>
      </c>
      <c r="G83" s="23" t="n">
        <f aca="false">历史现金流量表!I24</f>
        <v>-824.3604</v>
      </c>
      <c r="H83" s="76" t="n">
        <f aca="false">H80+H81+H82</f>
        <v>-1701.0673270443</v>
      </c>
      <c r="I83" s="76" t="n">
        <f aca="false">I80+I81+I82</f>
        <v>-2507.71619580427</v>
      </c>
      <c r="J83" s="76" t="n">
        <f aca="false">J80+J81+J82</f>
        <v>-2267.66914066221</v>
      </c>
      <c r="K83" s="76" t="n">
        <f aca="false">K80+K81+K82</f>
        <v>-1821.98020353067</v>
      </c>
      <c r="L83" s="76" t="n">
        <f aca="false">L80+L81+L82</f>
        <v>-1576.89190293325</v>
      </c>
    </row>
    <row r="84" customFormat="false" ht="15" hidden="false" customHeight="false" outlineLevel="0" collapsed="false">
      <c r="A84" s="11" t="s">
        <v>986</v>
      </c>
      <c r="B84" s="55"/>
      <c r="C84" s="10" t="n">
        <f aca="false">N(历史现金流量表!E27)-N(历史现金流量表!E30)</f>
        <v>-90</v>
      </c>
      <c r="D84" s="10" t="n">
        <f aca="false">N(历史现金流量表!F27)-N(历史现金流量表!F30)</f>
        <v>0</v>
      </c>
      <c r="E84" s="10" t="n">
        <f aca="false">N(历史现金流量表!G27)-N(历史现金流量表!G30)</f>
        <v>650.1106</v>
      </c>
      <c r="F84" s="10" t="n">
        <f aca="false">N(历史现金流量表!H27)-N(历史现金流量表!H30)</f>
        <v>-650.3425</v>
      </c>
      <c r="G84" s="10" t="n">
        <f aca="false">N(历史现金流量表!I27)-N(历史现金流量表!I30)</f>
        <v>24.975</v>
      </c>
      <c r="H84" s="34" t="n">
        <f aca="false">H55-G55+H56-G56</f>
        <v>0</v>
      </c>
      <c r="I84" s="34" t="n">
        <f aca="false">I55-H55+I56-H56</f>
        <v>0</v>
      </c>
      <c r="J84" s="34" t="n">
        <f aca="false">J55-I55+J56-I56</f>
        <v>0</v>
      </c>
      <c r="K84" s="34" t="n">
        <f aca="false">K55-J55+K56-J56</f>
        <v>0</v>
      </c>
      <c r="L84" s="34" t="n">
        <f aca="false">L55-K55+L56-K56</f>
        <v>0</v>
      </c>
    </row>
    <row r="85" customFormat="false" ht="15" hidden="false" customHeight="false" outlineLevel="0" collapsed="false">
      <c r="A85" s="11" t="s">
        <v>987</v>
      </c>
      <c r="B85" s="55"/>
      <c r="C85" s="10" t="n">
        <f aca="false">-历史现金流量表!E31</f>
        <v>-454.2265</v>
      </c>
      <c r="D85" s="10" t="n">
        <f aca="false">-历史现金流量表!F31</f>
        <v>-617.7758</v>
      </c>
      <c r="E85" s="10" t="n">
        <f aca="false">-历史现金流量表!G31</f>
        <v>-489.9347</v>
      </c>
      <c r="F85" s="10" t="n">
        <f aca="false">-历史现金流量表!H31</f>
        <v>-553.6596</v>
      </c>
      <c r="G85" s="10" t="n">
        <f aca="false">-历史现金流量表!I31</f>
        <v>-726.6256</v>
      </c>
      <c r="H85" s="24" t="n">
        <f aca="false">-融资与资金!H39</f>
        <v>-860.11</v>
      </c>
      <c r="I85" s="24" t="n">
        <f aca="false">-融资与资金!I39</f>
        <v>-1405.91765177716</v>
      </c>
      <c r="J85" s="24" t="n">
        <f aca="false">-融资与资金!J39</f>
        <v>-1858.60528496718</v>
      </c>
      <c r="K85" s="24" t="n">
        <f aca="false">-融资与资金!K39</f>
        <v>-2058.46258844961</v>
      </c>
      <c r="L85" s="24" t="n">
        <f aca="false">-融资与资金!L39</f>
        <v>-2200.12045973692</v>
      </c>
    </row>
    <row r="86" customFormat="false" ht="15" hidden="false" customHeight="false" outlineLevel="0" collapsed="false">
      <c r="A86" s="11" t="s">
        <v>144</v>
      </c>
      <c r="B86" s="55"/>
      <c r="C86" s="33" t="n">
        <f aca="false">0</f>
        <v>0</v>
      </c>
      <c r="D86" s="33" t="n">
        <f aca="false">0</f>
        <v>0</v>
      </c>
      <c r="E86" s="33" t="n">
        <f aca="false">0</f>
        <v>0</v>
      </c>
      <c r="F86" s="33" t="n">
        <f aca="false">0</f>
        <v>0</v>
      </c>
      <c r="G86" s="10" t="n">
        <f aca="false">-股本与每股!G9</f>
        <v>-175.440732</v>
      </c>
      <c r="H86" s="24" t="n">
        <f aca="false">-融资与资金!H42</f>
        <v>-1644.66</v>
      </c>
      <c r="I86" s="24" t="n">
        <f aca="false">-融资与资金!I42</f>
        <v>-0</v>
      </c>
      <c r="J86" s="24" t="n">
        <f aca="false">-融资与资金!J42</f>
        <v>-0</v>
      </c>
      <c r="K86" s="24" t="n">
        <f aca="false">-融资与资金!K42</f>
        <v>-0</v>
      </c>
      <c r="L86" s="24" t="n">
        <f aca="false">-融资与资金!L42</f>
        <v>-0</v>
      </c>
    </row>
    <row r="87" customFormat="false" ht="15" hidden="false" customHeight="false" outlineLevel="0" collapsed="false">
      <c r="A87" s="4" t="s">
        <v>988</v>
      </c>
      <c r="B87" s="55"/>
      <c r="C87" s="10" t="n">
        <f aca="false">N(历史现金流量表!E25)</f>
        <v>3882.12</v>
      </c>
      <c r="D87" s="10" t="n">
        <f aca="false">N(历史现金流量表!F25)</f>
        <v>0</v>
      </c>
      <c r="E87" s="10" t="n">
        <f aca="false">N(历史现金流量表!G25)</f>
        <v>0</v>
      </c>
      <c r="F87" s="10" t="n">
        <f aca="false">N(历史现金流量表!H25)</f>
        <v>0</v>
      </c>
      <c r="G87" s="10" t="n">
        <f aca="false">N(历史现金流量表!I25)</f>
        <v>0</v>
      </c>
      <c r="H87" s="24" t="n">
        <f aca="false">股本与每股!H7</f>
        <v>6814.1945354886</v>
      </c>
      <c r="I87" s="24" t="n">
        <f aca="false">股本与每股!I7</f>
        <v>0</v>
      </c>
      <c r="J87" s="24" t="n">
        <f aca="false">股本与每股!J7</f>
        <v>0</v>
      </c>
      <c r="K87" s="24" t="n">
        <f aca="false">股本与每股!K7</f>
        <v>0</v>
      </c>
      <c r="L87" s="24" t="n">
        <f aca="false">股本与每股!L7</f>
        <v>0</v>
      </c>
    </row>
    <row r="88" customFormat="false" ht="15" hidden="false" customHeight="false" outlineLevel="0" collapsed="false">
      <c r="A88" s="11" t="s">
        <v>989</v>
      </c>
      <c r="B88" s="55"/>
      <c r="H88" s="24" t="n">
        <f aca="false">-资本开支与折旧!H88</f>
        <v>-5</v>
      </c>
      <c r="I88" s="24" t="n">
        <f aca="false">-资本开支与折旧!I88</f>
        <v>-5</v>
      </c>
      <c r="J88" s="24" t="n">
        <f aca="false">-资本开支与折旧!J88</f>
        <v>-5</v>
      </c>
      <c r="K88" s="24" t="n">
        <f aca="false">-资本开支与折旧!K88</f>
        <v>-5</v>
      </c>
      <c r="L88" s="24" t="n">
        <f aca="false">-资本开支与折旧!L88</f>
        <v>-5</v>
      </c>
    </row>
    <row r="89" customFormat="false" ht="15" hidden="false" customHeight="false" outlineLevel="0" collapsed="false">
      <c r="A89" s="11" t="s">
        <v>990</v>
      </c>
      <c r="B89" s="55"/>
      <c r="C89" s="10" t="n">
        <f aca="false">历史现金流量表!E35-C84-C85-C86-C87</f>
        <v>-9.78449999999975</v>
      </c>
      <c r="D89" s="10" t="n">
        <f aca="false">历史现金流量表!F35-D84-D85-D86-D87</f>
        <v>-11.1512</v>
      </c>
      <c r="E89" s="10" t="n">
        <f aca="false">历史现金流量表!G35-E84-E85-E86-E87</f>
        <v>-6.24009999999998</v>
      </c>
      <c r="F89" s="10" t="n">
        <f aca="false">历史现金流量表!H35-F84-F85-F86-F87</f>
        <v>-1.52499999999998</v>
      </c>
      <c r="G89" s="10" t="n">
        <f aca="false">历史现金流量表!I35-G84-G85-G86-G87</f>
        <v>-16.5892680000001</v>
      </c>
      <c r="H89" s="34" t="n">
        <f aca="false">(H65-G65)+(H64-G64)</f>
        <v>0</v>
      </c>
      <c r="I89" s="34" t="n">
        <f aca="false">(I65-H65)+(I64-H64)</f>
        <v>0</v>
      </c>
      <c r="J89" s="34" t="n">
        <f aca="false">(J65-I65)+(J64-I64)</f>
        <v>0</v>
      </c>
      <c r="K89" s="34" t="n">
        <f aca="false">(K65-J65)+(K64-J64)</f>
        <v>0</v>
      </c>
      <c r="L89" s="34" t="n">
        <f aca="false">(L65-K65)+(L64-K64)</f>
        <v>0</v>
      </c>
    </row>
    <row r="90" customFormat="false" ht="15" hidden="false" customHeight="false" outlineLevel="0" collapsed="false">
      <c r="A90" s="9" t="s">
        <v>991</v>
      </c>
      <c r="B90" s="55"/>
      <c r="C90" s="23" t="n">
        <f aca="false">历史现金流量表!E35</f>
        <v>3328.109</v>
      </c>
      <c r="D90" s="23" t="n">
        <f aca="false">历史现金流量表!F35</f>
        <v>-628.927</v>
      </c>
      <c r="E90" s="23" t="n">
        <f aca="false">历史现金流量表!G35</f>
        <v>153.9358</v>
      </c>
      <c r="F90" s="23" t="n">
        <f aca="false">历史现金流量表!H35</f>
        <v>-1205.5271</v>
      </c>
      <c r="G90" s="23" t="n">
        <f aca="false">历史现金流量表!I35</f>
        <v>-893.6806</v>
      </c>
      <c r="H90" s="76" t="n">
        <f aca="false">H84+H85+H86+H87+H88+H89</f>
        <v>4304.4245354886</v>
      </c>
      <c r="I90" s="76" t="n">
        <f aca="false">I84+I85+I86+I87+I88+I89</f>
        <v>-1410.91765177716</v>
      </c>
      <c r="J90" s="76" t="n">
        <f aca="false">J84+J85+J86+J87+J88+J89</f>
        <v>-1863.60528496718</v>
      </c>
      <c r="K90" s="76" t="n">
        <f aca="false">K84+K85+K86+K87+K88+K89</f>
        <v>-2063.46258844961</v>
      </c>
      <c r="L90" s="76" t="n">
        <f aca="false">L84+L85+L86+L87+L88+L89</f>
        <v>-2205.12045973692</v>
      </c>
    </row>
    <row r="91" customFormat="false" ht="15" hidden="false" customHeight="false" outlineLevel="0" collapsed="false">
      <c r="A91" s="11" t="s">
        <v>992</v>
      </c>
      <c r="B91" s="55"/>
      <c r="C91" s="10" t="n">
        <f aca="false">历史现金流量表!E36</f>
        <v>-8.1464</v>
      </c>
      <c r="D91" s="10" t="n">
        <f aca="false">历史现金流量表!F36</f>
        <v>9.9994</v>
      </c>
      <c r="E91" s="10" t="n">
        <f aca="false">历史现金流量表!G36</f>
        <v>7.436</v>
      </c>
      <c r="F91" s="10" t="n">
        <f aca="false">历史现金流量表!H36</f>
        <v>-0.4631</v>
      </c>
      <c r="G91" s="10" t="n">
        <f aca="false">历史现金流量表!I36</f>
        <v>-14.4299</v>
      </c>
      <c r="H91" s="34" t="n">
        <f aca="false">0</f>
        <v>0</v>
      </c>
      <c r="I91" s="34" t="n">
        <f aca="false">0</f>
        <v>0</v>
      </c>
      <c r="J91" s="34" t="n">
        <f aca="false">0</f>
        <v>0</v>
      </c>
      <c r="K91" s="34" t="n">
        <f aca="false">0</f>
        <v>0</v>
      </c>
      <c r="L91" s="34" t="n">
        <f aca="false">0</f>
        <v>0</v>
      </c>
    </row>
    <row r="92" customFormat="false" ht="15" hidden="false" customHeight="false" outlineLevel="0" collapsed="false">
      <c r="A92" s="9" t="s">
        <v>993</v>
      </c>
      <c r="B92" s="55"/>
      <c r="C92" s="80" t="n">
        <f aca="false">C79+C83+C90+C91</f>
        <v>2597.5206</v>
      </c>
      <c r="D92" s="80" t="n">
        <f aca="false">D79+D83+D90+D91</f>
        <v>-2351.7809</v>
      </c>
      <c r="E92" s="80" t="n">
        <f aca="false">E79+E83+E90+E91</f>
        <v>-1894.5852</v>
      </c>
      <c r="F92" s="80" t="n">
        <f aca="false">F79+F83+F90+F91</f>
        <v>-156.799</v>
      </c>
      <c r="G92" s="80" t="n">
        <f aca="false">G79+G83+G90+G91</f>
        <v>1145.1382</v>
      </c>
      <c r="H92" s="76" t="n">
        <f aca="false">H79+H83+H90+H91</f>
        <v>6269.37312825816</v>
      </c>
      <c r="I92" s="76" t="n">
        <f aca="false">I79+I83+I90+I91</f>
        <v>1254.20626056373</v>
      </c>
      <c r="J92" s="76" t="n">
        <f aca="false">J79+J83+J90+J91</f>
        <v>2183.57414400046</v>
      </c>
      <c r="K92" s="76" t="n">
        <f aca="false">K79+K83+K90+K91</f>
        <v>3213.52400314002</v>
      </c>
      <c r="L92" s="76" t="n">
        <f aca="false">L79+L83+L90+L91</f>
        <v>4002.66690844385</v>
      </c>
    </row>
    <row r="93" customFormat="false" ht="15" hidden="false" customHeight="false" outlineLevel="0" collapsed="false">
      <c r="A93" s="9" t="s">
        <v>33</v>
      </c>
      <c r="B93" s="55"/>
      <c r="C93" s="80" t="n">
        <f aca="false">C79+C80</f>
        <v>-756.043</v>
      </c>
      <c r="D93" s="80" t="n">
        <f aca="false">D79+D80</f>
        <v>949.0645</v>
      </c>
      <c r="E93" s="80" t="n">
        <f aca="false">E79+E80</f>
        <v>1173.0833</v>
      </c>
      <c r="F93" s="80" t="n">
        <f aca="false">F79+F80</f>
        <v>1764.0871</v>
      </c>
      <c r="G93" s="80" t="n">
        <f aca="false">G79+G80</f>
        <v>2297.5171</v>
      </c>
      <c r="H93" s="76" t="n">
        <f aca="false">H79+H80</f>
        <v>1878.04058652066</v>
      </c>
      <c r="I93" s="76" t="n">
        <f aca="false">I79+I80</f>
        <v>2579.24763921631</v>
      </c>
      <c r="J93" s="76" t="n">
        <f aca="false">J79+J80</f>
        <v>3956.3348454413</v>
      </c>
      <c r="K93" s="76" t="n">
        <f aca="false">K79+K80</f>
        <v>5180.03142966526</v>
      </c>
      <c r="L93" s="76" t="n">
        <f aca="false">L79+L80</f>
        <v>6105.22011247984</v>
      </c>
    </row>
    <row r="94" customFormat="false" ht="15" hidden="false" customHeight="false" outlineLevel="0" collapsed="false">
      <c r="A94" s="11" t="s">
        <v>994</v>
      </c>
      <c r="B94" s="55"/>
      <c r="C94" s="10" t="n">
        <f aca="false">ROUND(C92-历史现金流量表!E37,2)</f>
        <v>0</v>
      </c>
      <c r="D94" s="10" t="n">
        <f aca="false">ROUND(D92-历史现金流量表!F37,2)</f>
        <v>0</v>
      </c>
      <c r="E94" s="10" t="n">
        <f aca="false">ROUND(E92-历史现金流量表!G37,2)</f>
        <v>0</v>
      </c>
      <c r="F94" s="10" t="n">
        <f aca="false">ROUND(F92-历史现金流量表!H37,2)</f>
        <v>0</v>
      </c>
      <c r="G94" s="10" t="n">
        <f aca="false">ROUND(G92-历史现金流量表!I37,2)</f>
        <v>0</v>
      </c>
    </row>
    <row r="95" customFormat="false" ht="15" hidden="false" customHeight="false" outlineLevel="0" collapsed="false">
      <c r="A95" s="11" t="s">
        <v>995</v>
      </c>
      <c r="B95" s="55"/>
      <c r="H95" s="34" t="n">
        <f aca="false">ROUND((H37-G37)-H92,4)</f>
        <v>0</v>
      </c>
      <c r="I95" s="34" t="n">
        <f aca="false">ROUND((I37-H37)-I92,4)</f>
        <v>0</v>
      </c>
      <c r="J95" s="34" t="n">
        <f aca="false">ROUND((J37-I37)-J92,4)</f>
        <v>0</v>
      </c>
      <c r="K95" s="34" t="n">
        <f aca="false">ROUND((K37-J37)-K92,4)</f>
        <v>0</v>
      </c>
      <c r="L95" s="34" t="n">
        <f aca="false">ROUND((L37-K37)-L92,4)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9"/>
    <col collapsed="false" customWidth="true" hidden="false" outlineLevel="0" max="12" min="3" style="0" width="11.5"/>
    <col collapsed="false" customWidth="true" hidden="false" outlineLevel="0" max="13" min="13" style="0" width="70"/>
  </cols>
  <sheetData>
    <row r="1" customFormat="false" ht="17.35" hidden="false" customHeight="false" outlineLevel="0" collapsed="false">
      <c r="A1" s="1" t="s">
        <v>996</v>
      </c>
    </row>
    <row r="2" customFormat="false" ht="15" hidden="false" customHeight="false" outlineLevel="0" collapsed="false">
      <c r="A2" s="37" t="s">
        <v>997</v>
      </c>
    </row>
    <row r="4" customFormat="false" ht="15" hidden="false" customHeight="false" outlineLevel="0" collapsed="false">
      <c r="A4" s="7" t="s">
        <v>590</v>
      </c>
      <c r="B4" s="54" t="s">
        <v>311</v>
      </c>
      <c r="C4" s="8" t="s">
        <v>312</v>
      </c>
      <c r="D4" s="8" t="s">
        <v>313</v>
      </c>
      <c r="E4" s="8" t="s">
        <v>87</v>
      </c>
      <c r="F4" s="8" t="s">
        <v>88</v>
      </c>
      <c r="G4" s="8" t="s">
        <v>11</v>
      </c>
      <c r="H4" s="8" t="s">
        <v>12</v>
      </c>
      <c r="I4" s="8" t="s">
        <v>13</v>
      </c>
      <c r="J4" s="8" t="s">
        <v>14</v>
      </c>
      <c r="K4" s="8" t="s">
        <v>15</v>
      </c>
      <c r="L4" s="8" t="s">
        <v>16</v>
      </c>
      <c r="M4" s="54" t="s">
        <v>314</v>
      </c>
    </row>
    <row r="5" customFormat="false" ht="15" hidden="false" customHeight="false" outlineLevel="0" collapsed="false">
      <c r="A5" s="11" t="s">
        <v>998</v>
      </c>
      <c r="B5" s="56" t="s">
        <v>317</v>
      </c>
      <c r="C5" s="12" t="n">
        <f aca="false">三表预测!C28</f>
        <v>0.323383389819496</v>
      </c>
      <c r="D5" s="12" t="n">
        <f aca="false">三表预测!D28</f>
        <v>0.292210709589524</v>
      </c>
      <c r="E5" s="12" t="n">
        <f aca="false">三表预测!E28</f>
        <v>0.276073301350335</v>
      </c>
      <c r="F5" s="12" t="n">
        <f aca="false">三表预测!F28</f>
        <v>0.297010431524877</v>
      </c>
      <c r="G5" s="12" t="n">
        <f aca="false">三表预测!G28</f>
        <v>0.290700473098389</v>
      </c>
      <c r="H5" s="25" t="n">
        <f aca="false">三表预测!H28</f>
        <v>0.307314355521321</v>
      </c>
      <c r="I5" s="25" t="n">
        <f aca="false">三表预测!I28</f>
        <v>0.320902989567472</v>
      </c>
      <c r="J5" s="25" t="n">
        <f aca="false">三表预测!J28</f>
        <v>0.309486391413534</v>
      </c>
      <c r="K5" s="25" t="n">
        <f aca="false">三表预测!K28</f>
        <v>0.300357918590617</v>
      </c>
      <c r="L5" s="25" t="n">
        <f aca="false">三表预测!L28</f>
        <v>0.295546627877447</v>
      </c>
    </row>
    <row r="6" customFormat="false" ht="15" hidden="false" customHeight="false" outlineLevel="0" collapsed="false">
      <c r="A6" s="11" t="s">
        <v>999</v>
      </c>
      <c r="B6" s="56" t="s">
        <v>663</v>
      </c>
      <c r="D6" s="94" t="n">
        <f aca="false">IFERROR(三表预测!D6/AVERAGE(三表预测!C54,三表预测!D54),0)</f>
        <v>0.269506686653813</v>
      </c>
      <c r="E6" s="94" t="n">
        <f aca="false">IFERROR(三表预测!E6/AVERAGE(三表预测!D54,三表预测!E54),0)</f>
        <v>0.276515756948907</v>
      </c>
      <c r="F6" s="94" t="n">
        <f aca="false">IFERROR(三表预测!F6/AVERAGE(三表预测!E54,三表预测!F54),0)</f>
        <v>0.322454945473074</v>
      </c>
      <c r="G6" s="94" t="n">
        <f aca="false">IFERROR(三表预测!G6/AVERAGE(三表预测!F54,三表预测!G54),0)</f>
        <v>0.357271565695714</v>
      </c>
      <c r="H6" s="95" t="n">
        <f aca="false">IFERROR(三表预测!H6/AVERAGE(三表预测!G54,三表预测!H54),0)</f>
        <v>0.441639505234273</v>
      </c>
      <c r="I6" s="95" t="n">
        <f aca="false">IFERROR(三表预测!I6/AVERAGE(三表预测!H54,三表预测!I54),0)</f>
        <v>0.451122221396985</v>
      </c>
      <c r="J6" s="95" t="n">
        <f aca="false">IFERROR(三表预测!J6/AVERAGE(三表预测!I54,三表预测!J54),0)</f>
        <v>0.456682723117441</v>
      </c>
      <c r="K6" s="95" t="n">
        <f aca="false">IFERROR(三表预测!K6/AVERAGE(三表预测!J54,三表预测!K54),0)</f>
        <v>0.449531947858125</v>
      </c>
      <c r="L6" s="95" t="n">
        <f aca="false">IFERROR(三表预测!L6/AVERAGE(三表预测!K54,三表预测!L54),0)</f>
        <v>0.433325014676288</v>
      </c>
    </row>
    <row r="7" customFormat="false" ht="15" hidden="false" customHeight="false" outlineLevel="0" collapsed="false">
      <c r="A7" s="11" t="s">
        <v>1000</v>
      </c>
      <c r="B7" s="56" t="s">
        <v>663</v>
      </c>
      <c r="D7" s="94" t="n">
        <f aca="false">IFERROR(AVERAGE(三表预测!C54,三表预测!D54)/AVERAGE(三表预测!C67,三表预测!D67),0)</f>
        <v>1.14789606810763</v>
      </c>
      <c r="E7" s="94" t="n">
        <f aca="false">IFERROR(AVERAGE(三表预测!D54,三表预测!E54)/AVERAGE(三表预测!D67,三表预测!E67),0)</f>
        <v>1.17228914020438</v>
      </c>
      <c r="F7" s="94" t="n">
        <f aca="false">IFERROR(AVERAGE(三表预测!E54,三表预测!F54)/AVERAGE(三表预测!E67,三表预测!F67),0)</f>
        <v>1.20062030203212</v>
      </c>
      <c r="G7" s="94" t="n">
        <f aca="false">IFERROR(AVERAGE(三表预测!F54,三表预测!G54)/AVERAGE(三表预测!F67,三表预测!G67),0)</f>
        <v>1.21425850441077</v>
      </c>
      <c r="H7" s="95" t="n">
        <f aca="false">IFERROR(AVERAGE(三表预测!G54,三表预测!H54)/AVERAGE(三表预测!G67,三表预测!H67),0)</f>
        <v>1.2099407556495</v>
      </c>
      <c r="I7" s="95" t="n">
        <f aca="false">IFERROR(AVERAGE(三表预测!H54,三表预测!I54)/AVERAGE(三表预测!H67,三表预测!I67),0)</f>
        <v>1.20293750977861</v>
      </c>
      <c r="J7" s="95" t="n">
        <f aca="false">IFERROR(AVERAGE(三表预测!I54,三表预测!J54)/AVERAGE(三表预测!I67,三表预测!J67),0)</f>
        <v>1.20438681613967</v>
      </c>
      <c r="K7" s="95" t="n">
        <f aca="false">IFERROR(AVERAGE(三表预测!J54,三表预测!K54)/AVERAGE(三表预测!J67,三表预测!K67),0)</f>
        <v>1.20029372454355</v>
      </c>
      <c r="L7" s="95" t="n">
        <f aca="false">IFERROR(AVERAGE(三表预测!K54,三表预测!L54)/AVERAGE(三表预测!K67,三表预测!L67),0)</f>
        <v>1.19273078573742</v>
      </c>
    </row>
    <row r="8" customFormat="false" ht="15" hidden="false" customHeight="false" outlineLevel="0" collapsed="false">
      <c r="A8" s="13" t="s">
        <v>1001</v>
      </c>
      <c r="B8" s="56" t="s">
        <v>317</v>
      </c>
      <c r="D8" s="71" t="n">
        <f aca="false">D5*D6*D7</f>
        <v>0.0903999607665615</v>
      </c>
      <c r="E8" s="71" t="n">
        <f aca="false">E5*E6*E7</f>
        <v>0.0894909327380109</v>
      </c>
      <c r="F8" s="71" t="n">
        <f aca="false">F5*F6*F7</f>
        <v>0.114986386868264</v>
      </c>
      <c r="G8" s="71" t="n">
        <f aca="false">G5*G6*G7</f>
        <v>0.126111690004232</v>
      </c>
      <c r="H8" s="100" t="n">
        <f aca="false">H5*H6*H7</f>
        <v>0.164215772736616</v>
      </c>
      <c r="I8" s="100" t="n">
        <f aca="false">I5*I6*I7</f>
        <v>0.174145016327724</v>
      </c>
      <c r="J8" s="100" t="n">
        <f aca="false">J5*J6*J7</f>
        <v>0.170224525416993</v>
      </c>
      <c r="K8" s="100" t="n">
        <f aca="false">K5*K6*K7</f>
        <v>0.162064235067298</v>
      </c>
      <c r="L8" s="100" t="n">
        <f aca="false">L5*L6*L7</f>
        <v>0.152750344342956</v>
      </c>
    </row>
    <row r="9" customFormat="false" ht="15" hidden="false" customHeight="false" outlineLevel="0" collapsed="false">
      <c r="A9" s="4" t="s">
        <v>1002</v>
      </c>
      <c r="B9" s="55" t="s">
        <v>353</v>
      </c>
      <c r="C9" s="10" t="n">
        <f aca="false">三表预测!C31*(1-税务与其他损益!C28)</f>
        <v>1854.60158852864</v>
      </c>
      <c r="D9" s="10" t="n">
        <f aca="false">三表预测!D31*(1-税务与其他损益!D28)</f>
        <v>1263.58394791817</v>
      </c>
      <c r="E9" s="10" t="n">
        <f aca="false">三表预测!E31*(1-税务与其他损益!E28)</f>
        <v>1344.09280601224</v>
      </c>
      <c r="F9" s="10" t="n">
        <f aca="false">三表预测!F31*(1-税务与其他损益!F28)</f>
        <v>1982.39980766351</v>
      </c>
      <c r="G9" s="10" t="n">
        <f aca="false">三表预测!G31*(1-税务与其他损益!G28)</f>
        <v>2400.91208237887</v>
      </c>
      <c r="H9" s="24" t="n">
        <f aca="false">三表预测!H31*(1-税务与其他损益!H28)</f>
        <v>3989.85316972996</v>
      </c>
      <c r="I9" s="24" t="n">
        <f aca="false">三表预测!I31*(1-税务与其他损益!I28)</f>
        <v>5348.89456747095</v>
      </c>
      <c r="J9" s="24" t="n">
        <f aca="false">三表预测!J31*(1-税务与其他损益!J28)</f>
        <v>5949.08037183264</v>
      </c>
      <c r="K9" s="24" t="n">
        <f aca="false">三表预测!K31*(1-税务与其他损益!K28)</f>
        <v>6362.19513732799</v>
      </c>
      <c r="L9" s="24" t="n">
        <f aca="false">三表预测!L31*(1-税务与其他损益!L28)</f>
        <v>6653.25814531875</v>
      </c>
    </row>
    <row r="10" customFormat="false" ht="15" hidden="false" customHeight="false" outlineLevel="0" collapsed="false">
      <c r="A10" s="11" t="s">
        <v>1003</v>
      </c>
      <c r="B10" s="55" t="s">
        <v>353</v>
      </c>
      <c r="C10" s="10" t="n">
        <f aca="false">三表预测!C69+三表预测!C55+三表预测!C56+三表预测!C64-三表预测!C37-三表预测!C38-三表预测!C52</f>
        <v>7848.4362</v>
      </c>
      <c r="D10" s="10" t="n">
        <f aca="false">三表预测!D69+三表预测!D55+三表预测!D56+三表预测!D64-三表预测!D37-三表预测!D38-三表预测!D52</f>
        <v>8502.7208</v>
      </c>
      <c r="E10" s="10" t="n">
        <f aca="false">三表预测!E69+三表预测!E55+三表预测!E56+三表预测!E64-三表预测!E37-三表预测!E38-三表预测!E52</f>
        <v>8610.5029</v>
      </c>
      <c r="F10" s="10" t="n">
        <f aca="false">三表预测!F69+三表预测!F55+三表预测!F56+三表预测!F64-三表预测!F37-三表预测!F38-三表预测!F52</f>
        <v>9296.2702</v>
      </c>
      <c r="G10" s="10" t="n">
        <f aca="false">三表预测!G69+三表预测!G55+三表预测!G56+三表预测!G64-三表预测!G37-三表预测!G38-三表预测!G52</f>
        <v>9549.0671</v>
      </c>
      <c r="H10" s="24" t="n">
        <f aca="false">三表预测!H69+三表预测!H55+三表预测!H56+三表预测!H64-三表预测!H37-三表预测!H38-三表预测!H52</f>
        <v>11849.4752277673</v>
      </c>
      <c r="I10" s="24" t="n">
        <f aca="false">三表预测!I69+三表预测!I55+三表预测!I56+三表预测!I64-三表预测!I37-三表预测!I38-三表预测!I52</f>
        <v>14821.4885425997</v>
      </c>
      <c r="J10" s="24" t="n">
        <f aca="false">三表预测!J69+三表预测!J55+三表预测!J56+三表预测!J64-三表预测!J37-三表预测!J38-三表预测!J52</f>
        <v>17017.0745331763</v>
      </c>
      <c r="K10" s="24" t="n">
        <f aca="false">三表预测!K69+三表预测!K55+三表预测!K56+三表预测!K64-三表预测!K37-三表预测!K38-三表预测!K52</f>
        <v>18412.1196377592</v>
      </c>
      <c r="L10" s="24" t="n">
        <f aca="false">三表预测!L69+三表预测!L55+三表预测!L56+三表预测!L64-三表预测!L37-三表预测!L38-三表预测!L52</f>
        <v>19211.9814374736</v>
      </c>
    </row>
    <row r="11" customFormat="false" ht="15" hidden="false" customHeight="false" outlineLevel="0" collapsed="false">
      <c r="A11" s="13" t="s">
        <v>1004</v>
      </c>
      <c r="B11" s="56" t="s">
        <v>317</v>
      </c>
      <c r="D11" s="71" t="n">
        <f aca="false">IFERROR(D9/AVERAGE(C10,D10),0)</f>
        <v>0.154555906706562</v>
      </c>
      <c r="E11" s="71" t="n">
        <f aca="false">IFERROR(E9/AVERAGE(D10,E10),0)</f>
        <v>0.15708236268918</v>
      </c>
      <c r="F11" s="71" t="n">
        <f aca="false">IFERROR(F9/AVERAGE(E10,F10),0)</f>
        <v>0.221413405597182</v>
      </c>
      <c r="G11" s="71" t="n">
        <f aca="false">IFERROR(G9/AVERAGE(F10,G10),0)</f>
        <v>0.254801709744815</v>
      </c>
      <c r="H11" s="100" t="n">
        <f aca="false">IFERROR(H9/AVERAGE(G10,H10),0)</f>
        <v>0.372908874690275</v>
      </c>
      <c r="I11" s="100" t="n">
        <f aca="false">IFERROR(I9/AVERAGE(H10,I10),0)</f>
        <v>0.401102458353147</v>
      </c>
      <c r="J11" s="100" t="n">
        <f aca="false">IFERROR(J9/AVERAGE(I10,J10),0)</f>
        <v>0.373702818036969</v>
      </c>
      <c r="K11" s="100" t="n">
        <f aca="false">IFERROR(K9/AVERAGE(J10,K10),0)</f>
        <v>0.35914986418445</v>
      </c>
      <c r="L11" s="100" t="n">
        <f aca="false">IFERROR(L9/AVERAGE(K10,L10),0)</f>
        <v>0.353670012315508</v>
      </c>
    </row>
    <row r="12" customFormat="false" ht="15" hidden="false" customHeight="false" outlineLevel="0" collapsed="false">
      <c r="A12" s="11" t="s">
        <v>1005</v>
      </c>
      <c r="B12" s="56" t="s">
        <v>317</v>
      </c>
      <c r="D12" s="31" t="n">
        <f aca="false">IFERROR((D9-C9)/(D10-C10),0)</f>
        <v>-0.903303609179357</v>
      </c>
      <c r="E12" s="31" t="n">
        <f aca="false">IFERROR((E9-D9)/(E10-D10),0)</f>
        <v>0.746959449612392</v>
      </c>
      <c r="F12" s="31" t="n">
        <f aca="false">IFERROR((F9-E9)/(F10-E10),0)</f>
        <v>0.930792415519474</v>
      </c>
      <c r="G12" s="31" t="n">
        <f aca="false">IFERROR((G9-F9)/(G10-F10),0)</f>
        <v>1.65552771697502</v>
      </c>
      <c r="H12" s="32" t="n">
        <f aca="false">IFERROR((H9-G9)/(H10-G10),0)</f>
        <v>0.690721384684578</v>
      </c>
      <c r="I12" s="32" t="n">
        <f aca="false">IFERROR((I9-H9)/(I10-H10),0)</f>
        <v>0.457279713707354</v>
      </c>
      <c r="J12" s="32" t="n">
        <f aca="false">IFERROR((J9-I9)/(J10-I10),0)</f>
        <v>0.273360190371801</v>
      </c>
      <c r="K12" s="32" t="n">
        <f aca="false">IFERROR((K9-J9)/(K10-J10),0)</f>
        <v>0.29613004205974</v>
      </c>
      <c r="L12" s="32" t="n">
        <f aca="false">IFERROR((L9-K9)/(L10-K10),0)</f>
        <v>0.36389162239609</v>
      </c>
    </row>
    <row r="13" customFormat="false" ht="15" hidden="false" customHeight="false" outlineLevel="0" collapsed="false">
      <c r="A13" s="11" t="s">
        <v>1006</v>
      </c>
      <c r="B13" s="56" t="s">
        <v>317</v>
      </c>
      <c r="C13" s="12" t="n">
        <f aca="false">IFERROR(三表预测!C79/三表预测!C24,0)</f>
        <v>0.573344887759826</v>
      </c>
      <c r="D13" s="12" t="n">
        <f aca="false">IFERROR(三表预测!D79/三表预测!D24,0)</f>
        <v>1.3769797448143</v>
      </c>
      <c r="E13" s="12" t="n">
        <f aca="false">IFERROR(三表预测!E79/三表预测!E24,0)</f>
        <v>1.08578944868409</v>
      </c>
      <c r="F13" s="12" t="n">
        <f aca="false">IFERROR(三表预测!F79/三表预测!F24,0)</f>
        <v>1.09719908415249</v>
      </c>
      <c r="G13" s="12" t="n">
        <f aca="false">IFERROR(三表预测!G79/三表预测!G24,0)</f>
        <v>1.09959163612956</v>
      </c>
      <c r="H13" s="25" t="n">
        <f aca="false">IFERROR(三表预测!H79/三表预测!H24,0)</f>
        <v>0.860495102262449</v>
      </c>
      <c r="I13" s="25" t="n">
        <f aca="false">IFERROR(三表预测!I79/三表预测!I24,0)</f>
        <v>0.91845065194574</v>
      </c>
      <c r="J13" s="25" t="n">
        <f aca="false">IFERROR(三表预测!J79/三表预测!J24,0)</f>
        <v>1.01235749421484</v>
      </c>
      <c r="K13" s="25" t="n">
        <f aca="false">IFERROR(三表预测!K79/三表预测!K24,0)</f>
        <v>1.06478671748266</v>
      </c>
      <c r="L13" s="25" t="n">
        <f aca="false">IFERROR(三表预测!L79/三表预测!L24,0)</f>
        <v>1.11167632198456</v>
      </c>
    </row>
    <row r="14" customFormat="false" ht="15" hidden="false" customHeight="false" outlineLevel="0" collapsed="false">
      <c r="A14" s="11" t="s">
        <v>1007</v>
      </c>
      <c r="B14" s="56" t="s">
        <v>317</v>
      </c>
      <c r="C14" s="12" t="n">
        <f aca="false">IFERROR(三表预测!C93/三表预测!C24,0)</f>
        <v>-0.375522006746992</v>
      </c>
      <c r="D14" s="12" t="n">
        <f aca="false">IFERROR(三表预测!D93/三表预测!D24,0)</f>
        <v>0.630145729721575</v>
      </c>
      <c r="E14" s="12" t="n">
        <f aca="false">IFERROR(三表预测!E93/三表预测!E24,0)</f>
        <v>0.740980326316438</v>
      </c>
      <c r="F14" s="12" t="n">
        <f aca="false">IFERROR(三表预测!F93/三表预测!F24,0)</f>
        <v>0.805433310857801</v>
      </c>
      <c r="G14" s="12" t="n">
        <f aca="false">IFERROR(三表预测!G93/三表预测!G24,0)</f>
        <v>0.877926952282934</v>
      </c>
      <c r="H14" s="25" t="n">
        <f aca="false">IFERROR(三表预测!H93/三表预测!H24,0)</f>
        <v>0.440817705623378</v>
      </c>
      <c r="I14" s="25" t="n">
        <f aca="false">IFERROR(三表预测!I93/三表预测!I24,0)</f>
        <v>0.457951845841443</v>
      </c>
      <c r="J14" s="25" t="n">
        <f aca="false">IFERROR(三表预测!J93/三表预测!J24,0)</f>
        <v>0.634255150577679</v>
      </c>
      <c r="K14" s="25" t="n">
        <f aca="false">IFERROR(三表预测!K93/三表预测!K24,0)</f>
        <v>0.776962172332119</v>
      </c>
      <c r="L14" s="25" t="n">
        <f aca="false">IFERROR(三表预测!L93/三表预测!L24,0)</f>
        <v>0.871844350059715</v>
      </c>
    </row>
    <row r="15" customFormat="false" ht="15" hidden="false" customHeight="false" outlineLevel="0" collapsed="false">
      <c r="A15" s="11" t="s">
        <v>1008</v>
      </c>
      <c r="B15" s="56" t="s">
        <v>317</v>
      </c>
      <c r="H15" s="93" t="n">
        <f aca="false">IFERROR(三表预测!H93/(假设!$C$6*股本与每股!H12),0)</f>
        <v>0.00801759334470092</v>
      </c>
      <c r="I15" s="93" t="n">
        <f aca="false">IFERROR(三表预测!I93/(假设!$C$6*股本与每股!I12),0)</f>
        <v>0.0110111351452887</v>
      </c>
      <c r="J15" s="93" t="n">
        <f aca="false">IFERROR(三表预测!J93/(假设!$C$6*股本与每股!J12),0)</f>
        <v>0.0168900950032102</v>
      </c>
      <c r="K15" s="93" t="n">
        <f aca="false">IFERROR(三表预测!K93/(假设!$C$6*股本与每股!K12),0)</f>
        <v>0.0221142108503463</v>
      </c>
      <c r="L15" s="93" t="n">
        <f aca="false">IFERROR(三表预测!L93/(假设!$C$6*股本与每股!L12),0)</f>
        <v>0.0260639586242585</v>
      </c>
    </row>
    <row r="16" customFormat="false" ht="15" hidden="false" customHeight="false" outlineLevel="0" collapsed="false">
      <c r="A16" s="4" t="s">
        <v>1009</v>
      </c>
      <c r="B16" s="56" t="s">
        <v>663</v>
      </c>
      <c r="C16" s="16" t="n">
        <f aca="false">IFERROR(假设!$C$6/三表预测!C29,0)</f>
        <v>112.941933375406</v>
      </c>
      <c r="D16" s="16" t="n">
        <f aca="false">IFERROR(假设!$C$6/三表预测!D29,0)</f>
        <v>150.929775293978</v>
      </c>
      <c r="E16" s="16" t="n">
        <f aca="false">IFERROR(假设!$C$6/三表预测!E29,0)</f>
        <v>143.647677584138</v>
      </c>
      <c r="F16" s="16" t="n">
        <f aca="false">IFERROR(假设!$C$6/三表预测!F29,0)</f>
        <v>103.679618985686</v>
      </c>
      <c r="G16" s="16" t="n">
        <f aca="false">IFERROR(假设!$C$6/三表预测!G29,0)</f>
        <v>86.5024350186006</v>
      </c>
      <c r="H16" s="35" t="n">
        <f aca="false">IFERROR(假设!$C$6/三表预测!H29,0)</f>
        <v>54.9813000823656</v>
      </c>
      <c r="I16" s="35" t="n">
        <f aca="false">IFERROR(假设!$C$6/三表预测!I29,0)</f>
        <v>41.5898851298166</v>
      </c>
      <c r="J16" s="35" t="n">
        <f aca="false">IFERROR(假设!$C$6/三表预测!J29,0)</f>
        <v>37.5518995279263</v>
      </c>
      <c r="K16" s="35" t="n">
        <f aca="false">IFERROR(假设!$C$6/三表预测!K29,0)</f>
        <v>35.1340673013414</v>
      </c>
      <c r="L16" s="35" t="n">
        <f aca="false">IFERROR(假设!$C$6/三表预测!L29,0)</f>
        <v>33.450189306557</v>
      </c>
    </row>
    <row r="17" customFormat="false" ht="15" hidden="false" customHeight="false" outlineLevel="0" collapsed="false">
      <c r="A17" s="4" t="s">
        <v>1010</v>
      </c>
      <c r="B17" s="56" t="s">
        <v>663</v>
      </c>
      <c r="C17" s="16" t="n">
        <f aca="false">IFERROR(假设!$C$6/(三表预测!C67/股本与每股!C12),0)</f>
        <v>14.027225323562</v>
      </c>
      <c r="D17" s="16" t="n">
        <f aca="false">IFERROR(假设!$C$6/(三表预测!D67/股本与每股!D12),0)</f>
        <v>13.2812440620796</v>
      </c>
      <c r="E17" s="16" t="n">
        <f aca="false">IFERROR(假设!$C$6/(三表预测!E67/股本与每股!E12),0)</f>
        <v>12.4555738080467</v>
      </c>
      <c r="F17" s="16" t="n">
        <f aca="false">IFERROR(假设!$C$6/(三表预测!F67/股本与每股!F12),0)</f>
        <v>11.4317935842666</v>
      </c>
      <c r="G17" s="16" t="n">
        <f aca="false">IFERROR(假设!$C$6/(三表预测!G67/股本与每股!G12),0)</f>
        <v>10.4575049764508</v>
      </c>
      <c r="H17" s="35" t="n">
        <f aca="false">IFERROR(假设!$C$6/(三表预测!H67/股本与每股!H12),0)</f>
        <v>7.74896624199771</v>
      </c>
      <c r="I17" s="35" t="n">
        <f aca="false">IFERROR(假设!$C$6/(三表预测!I67/股本与每股!I12),0)</f>
        <v>6.79847833565038</v>
      </c>
      <c r="J17" s="35" t="n">
        <f aca="false">IFERROR(假设!$C$6/(三表预测!J67/股本与每股!J12),0)</f>
        <v>6.0318386273917</v>
      </c>
      <c r="K17" s="35" t="n">
        <f aca="false">IFERROR(假设!$C$6/(三表预测!K67/股本与每股!K12),0)</f>
        <v>5.39195482787394</v>
      </c>
      <c r="L17" s="35" t="n">
        <f aca="false">IFERROR(假设!$C$6/(三表预测!L67/股本与每股!L12),0)</f>
        <v>4.85521510046811</v>
      </c>
    </row>
    <row r="18" customFormat="false" ht="15" hidden="false" customHeight="false" outlineLevel="0" collapsed="false">
      <c r="A18" s="4" t="s">
        <v>1011</v>
      </c>
      <c r="B18" s="56" t="s">
        <v>663</v>
      </c>
      <c r="H18" s="35" t="n">
        <f aca="false">IFERROR((假设!$C$6*股本与每股!$H$12-融资与资金!H43)/三表预测!H33,0)</f>
        <v>39.8832539736028</v>
      </c>
      <c r="I18" s="35" t="n">
        <f aca="false">IFERROR((假设!$C$6*股本与每股!$H$12-融资与资金!H43)/三表预测!I33,0)</f>
        <v>30.2741228267509</v>
      </c>
      <c r="J18" s="35" t="n">
        <f aca="false">IFERROR((假设!$C$6*股本与每股!$H$12-融资与资金!H43)/三表预测!J33,0)</f>
        <v>27.0879276761629</v>
      </c>
      <c r="K18" s="35" t="n">
        <f aca="false">IFERROR((假设!$C$6*股本与每股!$H$12-融资与资金!H43)/三表预测!K33,0)</f>
        <v>25.1119626129796</v>
      </c>
      <c r="L18" s="35" t="n">
        <f aca="false">IFERROR((假设!$C$6*股本与每股!$H$12-融资与资金!H43)/三表预测!L33,0)</f>
        <v>23.8161796347948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11" min="3" style="0" width="12"/>
  </cols>
  <sheetData>
    <row r="1" customFormat="false" ht="21.6" hidden="false" customHeight="false" outlineLevel="0" collapsed="false">
      <c r="A1" s="36" t="s">
        <v>1012</v>
      </c>
    </row>
    <row r="2" customFormat="false" ht="15" hidden="false" customHeight="false" outlineLevel="0" collapsed="false">
      <c r="A2" s="2" t="s">
        <v>1013</v>
      </c>
    </row>
    <row r="4" customFormat="false" ht="15" hidden="false" customHeight="false" outlineLevel="0" collapsed="false">
      <c r="A4" s="40" t="s">
        <v>40</v>
      </c>
      <c r="B4" s="6"/>
      <c r="C4" s="6"/>
      <c r="D4" s="6"/>
      <c r="E4" s="6"/>
      <c r="F4" s="6"/>
      <c r="G4" s="6"/>
      <c r="H4" s="6"/>
      <c r="I4" s="6"/>
      <c r="J4" s="6"/>
      <c r="K4" s="6"/>
      <c r="L4" s="6"/>
      <c r="M4" s="6"/>
      <c r="N4" s="6"/>
    </row>
    <row r="5" customFormat="false" ht="15" hidden="false" customHeight="false" outlineLevel="0" collapsed="false">
      <c r="A5" s="11" t="s">
        <v>1014</v>
      </c>
      <c r="C5" s="12" t="n">
        <f aca="false">假设!$C$23+假设!$C$24*假设!$C$25</f>
        <v>0.0905</v>
      </c>
    </row>
    <row r="6" customFormat="false" ht="15" hidden="false" customHeight="false" outlineLevel="0" collapsed="false">
      <c r="A6" s="11" t="s">
        <v>1015</v>
      </c>
      <c r="C6" s="12" t="n">
        <f aca="false">假设!$C$26*(1-假设!$C$36)</f>
        <v>0.02975</v>
      </c>
    </row>
    <row r="7" customFormat="false" ht="15" hidden="false" customHeight="false" outlineLevel="0" collapsed="false">
      <c r="A7" s="4" t="s">
        <v>40</v>
      </c>
      <c r="C7" s="104" t="n">
        <f aca="false">(1-假设!$C$27)*$C$5+假设!$C$27*$C$6</f>
        <v>0.089285</v>
      </c>
    </row>
    <row r="8" customFormat="false" ht="15" hidden="false" customHeight="false" outlineLevel="0" collapsed="false">
      <c r="A8" s="11" t="s">
        <v>41</v>
      </c>
      <c r="C8" s="12" t="n">
        <f aca="false">假设!$C$28</f>
        <v>0.03</v>
      </c>
    </row>
    <row r="9" customFormat="false" ht="15" hidden="false" customHeight="false" outlineLevel="0" collapsed="false">
      <c r="A9" s="11" t="s">
        <v>1016</v>
      </c>
      <c r="C9" s="12" t="n">
        <f aca="false">假设!$C$31</f>
        <v>0.25</v>
      </c>
    </row>
    <row r="10" customFormat="false" ht="15" hidden="false" customHeight="false" outlineLevel="0" collapsed="false">
      <c r="A10" s="4" t="s">
        <v>1017</v>
      </c>
      <c r="C10" s="12" t="n">
        <f aca="false">三表预测!L7</f>
        <v>0.0674386568307415</v>
      </c>
    </row>
    <row r="11" customFormat="false" ht="15" hidden="false" customHeight="false" outlineLevel="0" collapsed="false">
      <c r="A11" s="11" t="s">
        <v>1018</v>
      </c>
      <c r="C11" s="12" t="n">
        <f aca="false">MAX($C$8,$C$10)+假设!$C$29</f>
        <v>0.0674386568307415</v>
      </c>
    </row>
    <row r="12" customFormat="false" ht="15" hidden="false" customHeight="false" outlineLevel="0" collapsed="false">
      <c r="A12" s="11" t="s">
        <v>1019</v>
      </c>
      <c r="C12" s="12" t="n">
        <f aca="false">MAX($C$8,MIN(假设!$C$30,$C$11))</f>
        <v>0.04</v>
      </c>
    </row>
    <row r="14" customFormat="false" ht="15" hidden="false" customHeight="false" outlineLevel="0" collapsed="false">
      <c r="A14" s="5" t="s">
        <v>1020</v>
      </c>
      <c r="B14" s="6"/>
      <c r="C14" s="6"/>
      <c r="D14" s="6"/>
      <c r="E14" s="6"/>
      <c r="F14" s="6"/>
      <c r="G14" s="6"/>
      <c r="H14" s="6"/>
      <c r="I14" s="6"/>
      <c r="J14" s="6"/>
      <c r="K14" s="6"/>
      <c r="L14" s="6"/>
      <c r="M14" s="6"/>
      <c r="N14" s="6"/>
    </row>
    <row r="15" customFormat="false" ht="15" hidden="false" customHeight="false" outlineLevel="0" collapsed="false">
      <c r="A15" s="7" t="s">
        <v>1021</v>
      </c>
      <c r="B15" s="54"/>
      <c r="C15" s="8" t="s">
        <v>13</v>
      </c>
      <c r="D15" s="8" t="s">
        <v>14</v>
      </c>
      <c r="E15" s="8" t="s">
        <v>15</v>
      </c>
      <c r="F15" s="8" t="s">
        <v>16</v>
      </c>
      <c r="G15" s="8" t="s">
        <v>1022</v>
      </c>
      <c r="H15" s="8" t="s">
        <v>1023</v>
      </c>
      <c r="I15" s="8" t="s">
        <v>1024</v>
      </c>
      <c r="J15" s="8" t="s">
        <v>1025</v>
      </c>
      <c r="K15" s="8" t="s">
        <v>1026</v>
      </c>
    </row>
    <row r="16" customFormat="false" ht="15" hidden="false" customHeight="false" outlineLevel="0" collapsed="false">
      <c r="A16" s="11" t="s">
        <v>1027</v>
      </c>
      <c r="C16" s="47" t="n">
        <v>1</v>
      </c>
      <c r="D16" s="47" t="n">
        <v>2</v>
      </c>
      <c r="E16" s="47" t="n">
        <v>3</v>
      </c>
      <c r="F16" s="47" t="n">
        <v>4</v>
      </c>
      <c r="G16" s="47" t="n">
        <v>5</v>
      </c>
      <c r="H16" s="47" t="n">
        <v>6</v>
      </c>
      <c r="I16" s="47" t="n">
        <v>7</v>
      </c>
      <c r="J16" s="47" t="n">
        <v>8</v>
      </c>
      <c r="K16" s="47" t="n">
        <v>9</v>
      </c>
    </row>
    <row r="17" customFormat="false" ht="15" hidden="false" customHeight="false" outlineLevel="0" collapsed="false">
      <c r="A17" s="4" t="s">
        <v>1028</v>
      </c>
      <c r="C17" s="10" t="n">
        <f aca="false">三表预测!I31</f>
        <v>6216.16857304435</v>
      </c>
      <c r="D17" s="10" t="n">
        <f aca="false">三表预测!J31</f>
        <v>6909.92989504032</v>
      </c>
      <c r="E17" s="10" t="n">
        <f aca="false">三表预测!K31</f>
        <v>7384.43888759797</v>
      </c>
      <c r="F17" s="10" t="n">
        <f aca="false">三表预测!L31</f>
        <v>7716.61552127046</v>
      </c>
    </row>
    <row r="18" customFormat="false" ht="15" hidden="false" customHeight="false" outlineLevel="0" collapsed="false">
      <c r="A18" s="11" t="s">
        <v>27</v>
      </c>
      <c r="C18" s="12" t="n">
        <f aca="false">税务与其他损益!I28</f>
        <v>0.139519061521952</v>
      </c>
      <c r="D18" s="12" t="n">
        <f aca="false">税务与其他损益!J28</f>
        <v>0.139053440165484</v>
      </c>
      <c r="E18" s="12" t="n">
        <f aca="false">税务与其他损益!K28</f>
        <v>0.138432149799062</v>
      </c>
      <c r="F18" s="12" t="n">
        <f aca="false">税务与其他损益!L28</f>
        <v>0.137801005249079</v>
      </c>
    </row>
    <row r="19" customFormat="false" ht="15" hidden="false" customHeight="false" outlineLevel="0" collapsed="false">
      <c r="A19" s="11" t="s">
        <v>1029</v>
      </c>
      <c r="C19" s="33" t="n">
        <f aca="false">-C17*C18</f>
        <v>-867.274005573401</v>
      </c>
      <c r="D19" s="33" t="n">
        <f aca="false">-D17*D18</f>
        <v>-960.849523207675</v>
      </c>
      <c r="E19" s="33" t="n">
        <f aca="false">-E17*E18</f>
        <v>-1022.24375026998</v>
      </c>
      <c r="F19" s="33" t="n">
        <f aca="false">-F17*F18</f>
        <v>-1063.35737595172</v>
      </c>
    </row>
    <row r="20" customFormat="false" ht="15" hidden="false" customHeight="false" outlineLevel="0" collapsed="false">
      <c r="A20" s="11" t="s">
        <v>1030</v>
      </c>
      <c r="C20" s="10" t="n">
        <f aca="false">三表预测!I32</f>
        <v>914.994953136395</v>
      </c>
      <c r="D20" s="10" t="n">
        <f aca="false">三表预测!J32</f>
        <v>1060.03085907165</v>
      </c>
      <c r="E20" s="10" t="n">
        <f aca="false">三表预测!K32</f>
        <v>1212.64784020939</v>
      </c>
      <c r="F20" s="10" t="n">
        <f aca="false">三表预测!L32</f>
        <v>1348.21871326113</v>
      </c>
    </row>
    <row r="21" customFormat="false" ht="15" hidden="false" customHeight="false" outlineLevel="0" collapsed="false">
      <c r="A21" s="11" t="s">
        <v>1031</v>
      </c>
      <c r="C21" s="10" t="n">
        <f aca="false">三表预测!I80</f>
        <v>-2593.59246892886</v>
      </c>
      <c r="D21" s="10" t="n">
        <f aca="false">三表预测!J80</f>
        <v>-2358.51372418855</v>
      </c>
      <c r="E21" s="10" t="n">
        <f aca="false">三表预测!K80</f>
        <v>-1918.93536545505</v>
      </c>
      <c r="F21" s="10" t="n">
        <f aca="false">三表预测!L80</f>
        <v>-1679.45915863418</v>
      </c>
    </row>
    <row r="22" customFormat="false" ht="15" hidden="false" customHeight="false" outlineLevel="0" collapsed="false">
      <c r="A22" s="11" t="s">
        <v>1032</v>
      </c>
      <c r="C22" s="10" t="n">
        <f aca="false">-营运资金!I31</f>
        <v>-1317.9143981645</v>
      </c>
      <c r="D22" s="10" t="n">
        <f aca="false">-营运资金!J31</f>
        <v>-926.570034986092</v>
      </c>
      <c r="E22" s="10" t="n">
        <f aca="false">-营运资金!K31</f>
        <v>-724.335067261553</v>
      </c>
      <c r="F22" s="10" t="n">
        <f aca="false">-营运资金!L31</f>
        <v>-509.810936042359</v>
      </c>
    </row>
    <row r="23" customFormat="false" ht="15" hidden="false" customHeight="false" outlineLevel="0" collapsed="false">
      <c r="A23" s="11" t="s">
        <v>1033</v>
      </c>
      <c r="C23" s="10" t="n">
        <f aca="false">三表预测!I81</f>
        <v>29.4985991245848</v>
      </c>
      <c r="D23" s="10" t="n">
        <f aca="false">三表预测!J81</f>
        <v>34.4669095263397</v>
      </c>
      <c r="E23" s="10" t="n">
        <f aca="false">三表预测!K81</f>
        <v>40.5774879243777</v>
      </c>
      <c r="F23" s="10" t="n">
        <f aca="false">三表预测!L81</f>
        <v>46.1895817009323</v>
      </c>
    </row>
    <row r="24" customFormat="false" ht="15" hidden="false" customHeight="false" outlineLevel="0" collapsed="false">
      <c r="A24" s="11" t="s">
        <v>1034</v>
      </c>
      <c r="G24" s="31" t="n">
        <f aca="false">$C$11+($C$12-$C$11)*0/4</f>
        <v>0.0674386568307415</v>
      </c>
      <c r="H24" s="31" t="n">
        <f aca="false">$C$11+($C$12-$C$11)*1/4</f>
        <v>0.0605789926230561</v>
      </c>
      <c r="I24" s="31" t="n">
        <f aca="false">$C$11+($C$12-$C$11)*2/4</f>
        <v>0.0537193284153707</v>
      </c>
      <c r="J24" s="31" t="n">
        <f aca="false">$C$11+($C$12-$C$11)*3/4</f>
        <v>0.0468596642076854</v>
      </c>
      <c r="K24" s="31" t="n">
        <f aca="false">$C$11+($C$12-$C$11)*4/4</f>
        <v>0.04</v>
      </c>
    </row>
    <row r="25" customFormat="false" ht="15" hidden="false" customHeight="false" outlineLevel="0" collapsed="false">
      <c r="A25" s="4" t="s">
        <v>1035</v>
      </c>
      <c r="C25" s="33" t="n">
        <f aca="false">C17+C19</f>
        <v>5348.89456747095</v>
      </c>
      <c r="D25" s="33" t="n">
        <f aca="false">D17+D19</f>
        <v>5949.08037183264</v>
      </c>
      <c r="E25" s="33" t="n">
        <f aca="false">E17+E19</f>
        <v>6362.19513732799</v>
      </c>
      <c r="F25" s="33" t="n">
        <f aca="false">F17+F19</f>
        <v>6653.25814531875</v>
      </c>
      <c r="G25" s="33" t="n">
        <f aca="false">F25*(1+G24)</f>
        <v>7101.94493818724</v>
      </c>
      <c r="H25" s="33" t="n">
        <f aca="false">G25*(1+H24)</f>
        <v>7532.17360820703</v>
      </c>
      <c r="I25" s="33" t="n">
        <f aca="false">H25*(1+I24)</f>
        <v>7936.79691594789</v>
      </c>
      <c r="J25" s="33" t="n">
        <f aca="false">I25*(1+J24)</f>
        <v>8308.7125543138</v>
      </c>
      <c r="K25" s="33" t="n">
        <f aca="false">J25*(1+K24)</f>
        <v>8641.06105648636</v>
      </c>
    </row>
    <row r="26" customFormat="false" ht="15" hidden="false" customHeight="false" outlineLevel="0" collapsed="false">
      <c r="A26" s="11" t="s">
        <v>1036</v>
      </c>
      <c r="C26" s="31" t="n">
        <f aca="false">IFERROR(1-C27/C25,0)</f>
        <v>0.554696541015433</v>
      </c>
      <c r="D26" s="31" t="n">
        <f aca="false">IFERROR(1-D27/D25,0)</f>
        <v>0.368222624953683</v>
      </c>
      <c r="E26" s="31" t="n">
        <f aca="false">IFERROR(1-E27/E25,0)</f>
        <v>0.218485141461196</v>
      </c>
      <c r="F26" s="31" t="n">
        <f aca="false">IFERROR(1-F27/F25,0)</f>
        <v>0.119469556471929</v>
      </c>
      <c r="G26" s="31" t="n">
        <f aca="false">G24/$C$9</f>
        <v>0.269754627322966</v>
      </c>
      <c r="H26" s="31" t="n">
        <f aca="false">H24/$C$9</f>
        <v>0.242315970492224</v>
      </c>
      <c r="I26" s="31" t="n">
        <f aca="false">I24/$C$9</f>
        <v>0.214877313661483</v>
      </c>
      <c r="J26" s="31" t="n">
        <f aca="false">J24/$C$9</f>
        <v>0.187438656830741</v>
      </c>
      <c r="K26" s="31" t="n">
        <f aca="false">K24/$C$9</f>
        <v>0.16</v>
      </c>
    </row>
    <row r="27" customFormat="false" ht="15" hidden="false" customHeight="false" outlineLevel="0" collapsed="false">
      <c r="A27" s="13" t="s">
        <v>1037</v>
      </c>
      <c r="C27" s="80" t="n">
        <f aca="false">C17+C19+C20+C21+C22+C23</f>
        <v>2381.88125263857</v>
      </c>
      <c r="D27" s="80" t="n">
        <f aca="false">D17+D19+D20+D21+D22+D23</f>
        <v>3758.49438125599</v>
      </c>
      <c r="E27" s="80" t="n">
        <f aca="false">E17+E19+E20+E21+E22+E23</f>
        <v>4972.15003274515</v>
      </c>
      <c r="F27" s="80" t="n">
        <f aca="false">F17+F19+F20+F21+F22+F23</f>
        <v>5858.39634560427</v>
      </c>
      <c r="G27" s="80" t="n">
        <f aca="false">G25*(1-G24/$C$9)</f>
        <v>5186.16242811831</v>
      </c>
      <c r="H27" s="80" t="n">
        <f aca="false">H25*(1-H24/$C$9)</f>
        <v>5707.00765041842</v>
      </c>
      <c r="I27" s="80" t="n">
        <f aca="false">I25*(1-I24/$C$9)</f>
        <v>6231.35931557227</v>
      </c>
      <c r="J27" s="80" t="n">
        <f aca="false">J25*(1-J24/$C$9)</f>
        <v>6751.3386331405</v>
      </c>
      <c r="K27" s="80" t="n">
        <f aca="false">K25*(1-K24/$C$9)</f>
        <v>7258.49128744854</v>
      </c>
    </row>
    <row r="28" customFormat="false" ht="15" hidden="false" customHeight="false" outlineLevel="0" collapsed="false">
      <c r="A28" s="11" t="s">
        <v>1038</v>
      </c>
      <c r="C28" s="105" t="n">
        <f aca="false">1/(1+$C$7)^C16</f>
        <v>0.918033388874353</v>
      </c>
      <c r="D28" s="105" t="n">
        <f aca="false">1/(1+$C$7)^D16</f>
        <v>0.84278530308813</v>
      </c>
      <c r="E28" s="105" t="n">
        <f aca="false">1/(1+$C$7)^E16</f>
        <v>0.773705047887495</v>
      </c>
      <c r="F28" s="105" t="n">
        <f aca="false">1/(1+$C$7)^F16</f>
        <v>0.710287067101351</v>
      </c>
      <c r="G28" s="105" t="n">
        <f aca="false">1/(1+$C$7)^G16</f>
        <v>0.652067243284678</v>
      </c>
      <c r="H28" s="105" t="n">
        <f aca="false">1/(1+$C$7)^H16</f>
        <v>0.59861950112659</v>
      </c>
      <c r="I28" s="105" t="n">
        <f aca="false">1/(1+$C$7)^I16</f>
        <v>0.549552689265519</v>
      </c>
      <c r="J28" s="105" t="n">
        <f aca="false">1/(1+$C$7)^J16</f>
        <v>0.504507717691438</v>
      </c>
      <c r="K28" s="105" t="n">
        <f aca="false">1/(1+$C$7)^K16</f>
        <v>0.463154929785537</v>
      </c>
    </row>
    <row r="29" customFormat="false" ht="15" hidden="false" customHeight="false" outlineLevel="0" collapsed="false">
      <c r="A29" s="4" t="s">
        <v>1039</v>
      </c>
      <c r="C29" s="33" t="n">
        <f aca="false">C27*C28</f>
        <v>2186.64651825608</v>
      </c>
      <c r="D29" s="33" t="n">
        <f aca="false">D27*D28</f>
        <v>3167.60382626186</v>
      </c>
      <c r="E29" s="33" t="n">
        <f aca="false">E27*E28</f>
        <v>3846.9775791889</v>
      </c>
      <c r="F29" s="33" t="n">
        <f aca="false">F27*F28</f>
        <v>4161.14315823653</v>
      </c>
      <c r="G29" s="33" t="n">
        <f aca="false">G27*G28</f>
        <v>3381.72663772968</v>
      </c>
      <c r="H29" s="33" t="n">
        <f aca="false">H27*H28</f>
        <v>3416.32607261911</v>
      </c>
      <c r="I29" s="33" t="n">
        <f aca="false">I27*I28</f>
        <v>3424.46026965248</v>
      </c>
      <c r="J29" s="33" t="n">
        <f aca="false">J27*J28</f>
        <v>3406.10244516775</v>
      </c>
      <c r="K29" s="33" t="n">
        <f aca="false">K27*K28</f>
        <v>3361.80602258716</v>
      </c>
    </row>
    <row r="31" customFormat="false" ht="15" hidden="false" customHeight="false" outlineLevel="0" collapsed="false">
      <c r="A31" s="5" t="s">
        <v>1040</v>
      </c>
      <c r="B31" s="6"/>
      <c r="C31" s="6"/>
      <c r="D31" s="6"/>
      <c r="E31" s="6"/>
      <c r="F31" s="6"/>
      <c r="G31" s="6"/>
      <c r="H31" s="6"/>
      <c r="I31" s="6"/>
      <c r="J31" s="6"/>
      <c r="K31" s="6"/>
      <c r="L31" s="6"/>
      <c r="M31" s="6"/>
      <c r="N31" s="6"/>
    </row>
    <row r="32" customFormat="false" ht="15" hidden="false" customHeight="false" outlineLevel="0" collapsed="false">
      <c r="A32" s="4" t="s">
        <v>1041</v>
      </c>
      <c r="C32" s="33" t="n">
        <f aca="false">SUM(C29:K29)</f>
        <v>30352.7925296995</v>
      </c>
    </row>
    <row r="33" customFormat="false" ht="15" hidden="false" customHeight="false" outlineLevel="0" collapsed="false">
      <c r="A33" s="11" t="s">
        <v>1042</v>
      </c>
      <c r="C33" s="33" t="n">
        <f aca="false">K25*(1+$C$8)*(1-$C$8/$C$9)/($C$7-$C$8)</f>
        <v>132111.963255448</v>
      </c>
    </row>
    <row r="34" customFormat="false" ht="15" hidden="false" customHeight="false" outlineLevel="0" collapsed="false">
      <c r="A34" s="11" t="s">
        <v>1043</v>
      </c>
      <c r="C34" s="33" t="n">
        <f aca="false">$C$33*K28</f>
        <v>61188.3070654064</v>
      </c>
    </row>
    <row r="35" customFormat="false" ht="15" hidden="false" customHeight="false" outlineLevel="0" collapsed="false">
      <c r="A35" s="11" t="s">
        <v>1044</v>
      </c>
      <c r="C35" s="33" t="n">
        <f aca="false">$C$32+$C$34</f>
        <v>91541.0995951059</v>
      </c>
    </row>
    <row r="36" customFormat="false" ht="15" hidden="false" customHeight="false" outlineLevel="0" collapsed="false">
      <c r="A36" s="11" t="s">
        <v>1045</v>
      </c>
      <c r="C36" s="31" t="n">
        <f aca="false">IFERROR($C$34/$C$35,0)</f>
        <v>0.668424427235935</v>
      </c>
    </row>
    <row r="37" customFormat="false" ht="15" hidden="false" customHeight="false" outlineLevel="0" collapsed="false">
      <c r="A37" s="11" t="s">
        <v>1046</v>
      </c>
      <c r="C37" s="10" t="n">
        <f aca="false">融资与资金!H43</f>
        <v>18350.2198242582</v>
      </c>
    </row>
    <row r="38" customFormat="false" ht="15" hidden="false" customHeight="false" outlineLevel="0" collapsed="false">
      <c r="A38" s="11" t="s">
        <v>1047</v>
      </c>
      <c r="C38" s="10" t="n">
        <f aca="false">三表预测!H68</f>
        <v>4.2831</v>
      </c>
    </row>
    <row r="39" customFormat="false" ht="15" hidden="false" customHeight="false" outlineLevel="0" collapsed="false">
      <c r="A39" s="11" t="s">
        <v>1048</v>
      </c>
      <c r="C39" s="33" t="n">
        <f aca="false">$C$35+$C$37-$C$38</f>
        <v>109887.036319364</v>
      </c>
    </row>
    <row r="40" customFormat="false" ht="15" hidden="false" customHeight="false" outlineLevel="0" collapsed="false">
      <c r="A40" s="11" t="s">
        <v>1049</v>
      </c>
      <c r="C40" s="10" t="n">
        <f aca="false">股本与每股!H8</f>
        <v>1996.718571</v>
      </c>
      <c r="D40" s="2" t="s">
        <v>1050</v>
      </c>
    </row>
    <row r="41" customFormat="false" ht="15" hidden="false" customHeight="false" outlineLevel="0" collapsed="false">
      <c r="A41" s="11" t="s">
        <v>1051</v>
      </c>
      <c r="C41" s="106" t="n">
        <f aca="false">IFERROR($C$39/$C$40,0)</f>
        <v>55.0338129345541</v>
      </c>
    </row>
    <row r="42" customFormat="false" ht="15" hidden="false" customHeight="false" outlineLevel="0" collapsed="false">
      <c r="A42" s="11" t="s">
        <v>1052</v>
      </c>
      <c r="C42" s="14" t="n">
        <f aca="false">$C$41/(1+$C$5)^假设!$C$17</f>
        <v>53.8546472774509</v>
      </c>
    </row>
    <row r="43" customFormat="false" ht="15" hidden="false" customHeight="false" outlineLevel="0" collapsed="false">
      <c r="A43" s="11" t="s">
        <v>1053</v>
      </c>
      <c r="C43" s="14" t="n">
        <f aca="false">假设!$C$6</f>
        <v>118.5</v>
      </c>
    </row>
    <row r="44" customFormat="false" ht="15" hidden="false" customHeight="false" outlineLevel="0" collapsed="false">
      <c r="A44" s="11" t="s">
        <v>44</v>
      </c>
      <c r="C44" s="31" t="n">
        <f aca="false">IFERROR($C$42/$C$43-1,0)</f>
        <v>-0.545530402721933</v>
      </c>
    </row>
    <row r="45" customFormat="false" ht="15" hidden="false" customHeight="false" outlineLevel="0" collapsed="false">
      <c r="A45" s="11" t="s">
        <v>1054</v>
      </c>
      <c r="C45" s="16" t="n">
        <f aca="false">IFERROR($C$35/三表预测!I33,0)</f>
        <v>12.8367690993244</v>
      </c>
    </row>
    <row r="46" customFormat="false" ht="15" hidden="false" customHeight="false" outlineLevel="0" collapsed="false">
      <c r="A46" s="11" t="s">
        <v>1055</v>
      </c>
      <c r="C46" s="16" t="n">
        <f aca="false">IFERROR($C$39/三表预测!I26,0)</f>
        <v>19.5107171375715</v>
      </c>
    </row>
    <row r="48" customFormat="false" ht="15" hidden="false" customHeight="false" outlineLevel="0" collapsed="false">
      <c r="A48" s="5" t="s">
        <v>1056</v>
      </c>
      <c r="B48" s="6"/>
      <c r="C48" s="6"/>
      <c r="D48" s="6"/>
      <c r="E48" s="6"/>
      <c r="F48" s="6"/>
      <c r="G48" s="6"/>
      <c r="H48" s="6"/>
      <c r="I48" s="6"/>
      <c r="J48" s="6"/>
      <c r="K48" s="6"/>
      <c r="L48" s="6"/>
      <c r="M48" s="6"/>
      <c r="N48" s="6"/>
    </row>
    <row r="49" customFormat="false" ht="15" hidden="false" customHeight="false" outlineLevel="0" collapsed="false">
      <c r="A49" s="11" t="s">
        <v>1057</v>
      </c>
      <c r="C49" s="10" t="n">
        <f aca="false">假设!$C$6*(1+$C$5)^假设!$C$17*$C$40</f>
        <v>241791.831571364</v>
      </c>
    </row>
    <row r="50" customFormat="false" ht="15" hidden="false" customHeight="false" outlineLevel="0" collapsed="false">
      <c r="A50" s="11" t="s">
        <v>1058</v>
      </c>
      <c r="C50" s="33" t="n">
        <f aca="false">$C$49-$C$37+$C$38</f>
        <v>223445.894847106</v>
      </c>
    </row>
    <row r="51" customFormat="false" ht="15" hidden="false" customHeight="false" outlineLevel="0" collapsed="false">
      <c r="A51" s="11" t="s">
        <v>1059</v>
      </c>
      <c r="C51" s="33" t="n">
        <f aca="false">($C$50-$C$32)/K28</f>
        <v>416908.230701157</v>
      </c>
    </row>
    <row r="52" customFormat="false" ht="15" hidden="false" customHeight="false" outlineLevel="0" collapsed="false">
      <c r="A52" s="11" t="s">
        <v>1060</v>
      </c>
      <c r="C52" s="107" t="n">
        <f aca="false">IFERROR((-(K25*(1-1/$C$9)+$C$51)+SQRT((K25*(1-1/$C$9)+$C$51)^2-4*(-K25/$C$9)*(K25-$C$51*$C$7)))/(2*(-K25/$C$9)),0)</f>
        <v>0.0735826999571934</v>
      </c>
      <c r="D52" s="2" t="s">
        <v>1061</v>
      </c>
    </row>
    <row r="53" customFormat="false" ht="15" hidden="false" customHeight="false" outlineLevel="0" collapsed="false">
      <c r="A53" s="11" t="s">
        <v>1062</v>
      </c>
      <c r="C53" s="108" t="n">
        <f aca="false">IFERROR($C$51/K25,0)</f>
        <v>48.2473423085244</v>
      </c>
    </row>
    <row r="54" customFormat="false" ht="15" hidden="false" customHeight="false" outlineLevel="0" collapsed="false">
      <c r="A54" s="11" t="s">
        <v>1063</v>
      </c>
      <c r="C54" s="16" t="n">
        <f aca="false">IFERROR($C$50/三表预测!I33,0)</f>
        <v>31.3337219132286</v>
      </c>
    </row>
    <row r="55" customFormat="false" ht="15" hidden="false" customHeight="false" outlineLevel="0" collapsed="false">
      <c r="A55" s="11" t="s">
        <v>1064</v>
      </c>
      <c r="C55" s="16" t="n">
        <f aca="false">IFERROR(假设!$C$6/三表预测!I29,0)</f>
        <v>41.5898851298166</v>
      </c>
    </row>
    <row r="56" customFormat="false" ht="15" hidden="false" customHeight="false" outlineLevel="0" collapsed="false">
      <c r="A56" s="11" t="s">
        <v>1065</v>
      </c>
      <c r="C56" s="109" t="n">
        <f aca="false">IFERROR($C$37/$C$40,0)</f>
        <v>9.19018838747414</v>
      </c>
    </row>
    <row r="57" customFormat="false" ht="15" hidden="false" customHeight="false" outlineLevel="0" collapsed="false">
      <c r="A57" s="11" t="s">
        <v>1066</v>
      </c>
      <c r="C57" s="4"/>
    </row>
    <row r="59" customFormat="false" ht="15" hidden="false" customHeight="false" outlineLevel="0" collapsed="false">
      <c r="A59" s="5" t="s">
        <v>1067</v>
      </c>
      <c r="B59" s="6"/>
      <c r="C59" s="6"/>
      <c r="D59" s="6"/>
      <c r="E59" s="6"/>
      <c r="F59" s="6"/>
      <c r="G59" s="6"/>
      <c r="H59" s="6"/>
      <c r="I59" s="6"/>
      <c r="J59" s="6"/>
      <c r="K59" s="6"/>
      <c r="L59" s="6"/>
      <c r="M59" s="6"/>
      <c r="N59" s="6"/>
    </row>
    <row r="60" customFormat="false" ht="15" hidden="false" customHeight="false" outlineLevel="0" collapsed="false">
      <c r="A60" s="13" t="s">
        <v>1068</v>
      </c>
      <c r="C60" s="71" t="n">
        <f aca="false">$C$8+(-0.01)</f>
        <v>0.02</v>
      </c>
      <c r="D60" s="71" t="n">
        <f aca="false">$C$8+(-0.005)</f>
        <v>0.025</v>
      </c>
      <c r="E60" s="71" t="n">
        <f aca="false">$C$8+(0)</f>
        <v>0.03</v>
      </c>
      <c r="F60" s="71" t="n">
        <f aca="false">$C$8+(0.005)</f>
        <v>0.035</v>
      </c>
      <c r="G60" s="71" t="n">
        <f aca="false">$C$8+(0.01)</f>
        <v>0.04</v>
      </c>
    </row>
    <row r="61" customFormat="false" ht="15" hidden="false" customHeight="false" outlineLevel="0" collapsed="false">
      <c r="B61" s="71" t="n">
        <f aca="false">$C$7+(-0.01)</f>
        <v>0.079285</v>
      </c>
      <c r="C61" s="109" t="n">
        <f aca="false">IFERROR((SUMPRODUCT($C$27:$K$27/(1+$B61)^$C$16:$K$16)+$K$25*(1+C$60)*(1-C$60/$C$9)/($B61-C$60)/(1+$B61)^$K$16+$C$37-$C$38)/$C$40,0)</f>
        <v>59.6015446565154</v>
      </c>
      <c r="D61" s="109" t="n">
        <f aca="false">IFERROR((SUMPRODUCT($C$27:$K$27/(1+$B61)^$C$16:$K$16)+$K$25*(1+D$60)*(1-D$60/$C$9)/($B61-D$60)/(1+$B61)^$K$16+$C$37-$C$38)/$C$40,0)</f>
        <v>62.1387662883574</v>
      </c>
      <c r="E61" s="109" t="n">
        <f aca="false">IFERROR((SUMPRODUCT($C$27:$K$27/(1+$B61)^$C$16:$K$16)+$K$25*(1+E$60)*(1-E$60/$C$9)/($B61-E$60)/(1+$B61)^$K$16+$C$37-$C$38)/$C$40,0)</f>
        <v>65.1819562542999</v>
      </c>
      <c r="F61" s="109" t="n">
        <f aca="false">IFERROR((SUMPRODUCT($C$27:$K$27/(1+$B61)^$C$16:$K$16)+$K$25*(1+F$60)*(1-F$60/$C$9)/($B61-F$60)/(1+$B61)^$K$16+$C$37-$C$38)/$C$40,0)</f>
        <v>68.90249368975</v>
      </c>
      <c r="G61" s="109" t="n">
        <f aca="false">IFERROR((SUMPRODUCT($C$27:$K$27/(1+$B61)^$C$16:$K$16)+$K$25*(1+G$60)*(1-G$60/$C$9)/($B61-G$60)/(1+$B61)^$K$16+$C$37-$C$38)/$C$40,0)</f>
        <v>73.5590068763067</v>
      </c>
    </row>
    <row r="62" customFormat="false" ht="15" hidden="false" customHeight="false" outlineLevel="0" collapsed="false">
      <c r="B62" s="71" t="n">
        <f aca="false">$C$7+(-0.005)</f>
        <v>0.084285</v>
      </c>
      <c r="C62" s="109" t="n">
        <f aca="false">IFERROR((SUMPRODUCT($C$27:$K$27/(1+$B62)^$C$16:$K$16)+$K$25*(1+C$60)*(1-C$60/$C$9)/($B62-C$60)/(1+$B62)^$K$16+$C$37-$C$38)/$C$40,0)</f>
        <v>55.248767275774</v>
      </c>
      <c r="D62" s="109" t="n">
        <f aca="false">IFERROR((SUMPRODUCT($C$27:$K$27/(1+$B62)^$C$16:$K$16)+$K$25*(1+D$60)*(1-D$60/$C$9)/($B62-D$60)/(1+$B62)^$K$16+$C$37-$C$38)/$C$40,0)</f>
        <v>57.2604301400475</v>
      </c>
      <c r="E62" s="109" t="n">
        <f aca="false">IFERROR((SUMPRODUCT($C$27:$K$27/(1+$B62)^$C$16:$K$16)+$K$25*(1+E$60)*(1-E$60/$C$9)/($B62-E$60)/(1+$B62)^$K$16+$C$37-$C$38)/$C$40,0)</f>
        <v>59.6349705708861</v>
      </c>
      <c r="F62" s="109" t="n">
        <f aca="false">IFERROR((SUMPRODUCT($C$27:$K$27/(1+$B62)^$C$16:$K$16)+$K$25*(1+F$60)*(1-F$60/$C$9)/($B62-F$60)/(1+$B62)^$K$16+$C$37-$C$38)/$C$40,0)</f>
        <v>62.4828311674269</v>
      </c>
      <c r="G62" s="109" t="n">
        <f aca="false">IFERROR((SUMPRODUCT($C$27:$K$27/(1+$B62)^$C$16:$K$16)+$K$25*(1+G$60)*(1-G$60/$C$9)/($B62-G$60)/(1+$B62)^$K$16+$C$37-$C$38)/$C$40,0)</f>
        <v>65.9643326361289</v>
      </c>
    </row>
    <row r="63" customFormat="false" ht="15" hidden="false" customHeight="false" outlineLevel="0" collapsed="false">
      <c r="B63" s="71" t="n">
        <f aca="false">$C$7+(0)</f>
        <v>0.089285</v>
      </c>
      <c r="C63" s="109" t="n">
        <f aca="false">IFERROR((SUMPRODUCT($C$27:$K$27/(1+$B63)^$C$16:$K$16)+$K$25*(1+C$60)*(1-C$60/$C$9)/($B63-C$60)/(1+$B63)^$K$16+$C$37-$C$38)/$C$40,0)</f>
        <v>51.536595821018</v>
      </c>
      <c r="D63" s="109" t="n">
        <f aca="false">IFERROR((SUMPRODUCT($C$27:$K$27/(1+$B63)^$C$16:$K$16)+$K$25*(1+D$60)*(1-D$60/$C$9)/($B63-D$60)/(1+$B63)^$K$16+$C$37-$C$38)/$C$40,0)</f>
        <v>53.1523179124574</v>
      </c>
      <c r="E63" s="109" t="n">
        <f aca="false">IFERROR((SUMPRODUCT($C$27:$K$27/(1+$B63)^$C$16:$K$16)+$K$25*(1+E$60)*(1-E$60/$C$9)/($B63-E$60)/(1+$B63)^$K$16+$C$37-$C$38)/$C$40,0)</f>
        <v>55.0338129345541</v>
      </c>
      <c r="F63" s="109" t="n">
        <f aca="false">IFERROR((SUMPRODUCT($C$27:$K$27/(1+$B63)^$C$16:$K$16)+$K$25*(1+F$60)*(1-F$60/$C$9)/($B63-F$60)/(1+$B63)^$K$16+$C$37-$C$38)/$C$40,0)</f>
        <v>57.2545191107558</v>
      </c>
      <c r="G63" s="109" t="n">
        <f aca="false">IFERROR((SUMPRODUCT($C$27:$K$27/(1+$B63)^$C$16:$K$16)+$K$25*(1+G$60)*(1-G$60/$C$9)/($B63-G$60)/(1+$B63)^$K$16+$C$37-$C$38)/$C$40,0)</f>
        <v>59.9176761146261</v>
      </c>
    </row>
    <row r="64" customFormat="false" ht="15" hidden="false" customHeight="false" outlineLevel="0" collapsed="false">
      <c r="B64" s="71" t="n">
        <f aca="false">$C$7+(0.005)</f>
        <v>0.094285</v>
      </c>
      <c r="C64" s="109" t="n">
        <f aca="false">IFERROR((SUMPRODUCT($C$27:$K$27/(1+$B64)^$C$16:$K$16)+$K$25*(1+C$60)*(1-C$60/$C$9)/($B64-C$60)/(1+$B64)^$K$16+$C$37-$C$38)/$C$40,0)</f>
        <v>48.3352031916124</v>
      </c>
      <c r="D64" s="109" t="n">
        <f aca="false">IFERROR((SUMPRODUCT($C$27:$K$27/(1+$B64)^$C$16:$K$16)+$K$25*(1+D$60)*(1-D$60/$C$9)/($B64-D$60)/(1+$B64)^$K$16+$C$37-$C$38)/$C$40,0)</f>
        <v>49.647253282255</v>
      </c>
      <c r="E64" s="109" t="n">
        <f aca="false">IFERROR((SUMPRODUCT($C$27:$K$27/(1+$B64)^$C$16:$K$16)+$K$25*(1+E$60)*(1-E$60/$C$9)/($B64-E$60)/(1+$B64)^$K$16+$C$37-$C$38)/$C$40,0)</f>
        <v>51.1574182530337</v>
      </c>
      <c r="F64" s="109" t="n">
        <f aca="false">IFERROR((SUMPRODUCT($C$27:$K$27/(1+$B64)^$C$16:$K$16)+$K$25*(1+F$60)*(1-F$60/$C$9)/($B64-F$60)/(1+$B64)^$K$16+$C$37-$C$38)/$C$40,0)</f>
        <v>52.9158241594775</v>
      </c>
      <c r="G64" s="109" t="n">
        <f aca="false">IFERROR((SUMPRODUCT($C$27:$K$27/(1+$B64)^$C$16:$K$16)+$K$25*(1+G$60)*(1-G$60/$C$9)/($B64-G$60)/(1+$B64)^$K$16+$C$37-$C$38)/$C$40,0)</f>
        <v>54.9910647942542</v>
      </c>
    </row>
    <row r="65" customFormat="false" ht="15" hidden="false" customHeight="false" outlineLevel="0" collapsed="false">
      <c r="B65" s="71" t="n">
        <f aca="false">$C$7+(0.01)</f>
        <v>0.099285</v>
      </c>
      <c r="C65" s="109" t="n">
        <f aca="false">IFERROR((SUMPRODUCT($C$27:$K$27/(1+$B65)^$C$16:$K$16)+$K$25*(1+C$60)*(1-C$60/$C$9)/($B65-C$60)/(1+$B65)^$K$16+$C$37-$C$38)/$C$40,0)</f>
        <v>45.5475329542963</v>
      </c>
      <c r="D65" s="109" t="n">
        <f aca="false">IFERROR((SUMPRODUCT($C$27:$K$27/(1+$B65)^$C$16:$K$16)+$K$25*(1+D$60)*(1-D$60/$C$9)/($B65-D$60)/(1+$B65)^$K$16+$C$37-$C$38)/$C$40,0)</f>
        <v>46.6230881457317</v>
      </c>
      <c r="E65" s="109" t="n">
        <f aca="false">IFERROR((SUMPRODUCT($C$27:$K$27/(1+$B65)^$C$16:$K$16)+$K$25*(1+E$60)*(1-E$60/$C$9)/($B65-E$60)/(1+$B65)^$K$16+$C$37-$C$38)/$C$40,0)</f>
        <v>47.8485506761125</v>
      </c>
      <c r="F65" s="109" t="n">
        <f aca="false">IFERROR((SUMPRODUCT($C$27:$K$27/(1+$B65)^$C$16:$K$16)+$K$25*(1+F$60)*(1-F$60/$C$9)/($B65-F$60)/(1+$B65)^$K$16+$C$37-$C$38)/$C$40,0)</f>
        <v>49.258899313179</v>
      </c>
      <c r="G65" s="109" t="n">
        <f aca="false">IFERROR((SUMPRODUCT($C$27:$K$27/(1+$B65)^$C$16:$K$16)+$K$25*(1+G$60)*(1-G$60/$C$9)/($B65-G$60)/(1+$B65)^$K$16+$C$37-$C$38)/$C$40,0)</f>
        <v>50.9009130330683</v>
      </c>
    </row>
    <row r="67" customFormat="false" ht="15" hidden="false" customHeight="false" outlineLevel="0" collapsed="false">
      <c r="A67" s="5" t="s">
        <v>1069</v>
      </c>
      <c r="B67" s="6"/>
      <c r="C67" s="6"/>
      <c r="D67" s="6"/>
      <c r="E67" s="6"/>
      <c r="F67" s="6"/>
      <c r="G67" s="6"/>
      <c r="H67" s="6"/>
      <c r="I67" s="6"/>
      <c r="J67" s="6"/>
      <c r="K67" s="6"/>
      <c r="L67" s="6"/>
      <c r="M67" s="6"/>
      <c r="N67" s="6"/>
    </row>
    <row r="68" customFormat="false" ht="15" hidden="false" customHeight="false" outlineLevel="0" collapsed="false">
      <c r="A68" s="13" t="s">
        <v>1070</v>
      </c>
      <c r="C68" s="71" t="n">
        <f aca="false">$C$11+(-0.04)</f>
        <v>0.0274386568307415</v>
      </c>
      <c r="D68" s="71" t="n">
        <f aca="false">$C$11+(-0.02)</f>
        <v>0.0474386568307415</v>
      </c>
      <c r="E68" s="71" t="n">
        <f aca="false">$C$11+(0)</f>
        <v>0.0674386568307415</v>
      </c>
      <c r="F68" s="71" t="n">
        <f aca="false">$C$11+(0.02)</f>
        <v>0.0874386568307415</v>
      </c>
      <c r="G68" s="71" t="n">
        <f aca="false">$C$11+(0.04)</f>
        <v>0.107438656830741</v>
      </c>
    </row>
    <row r="69" customFormat="false" ht="15" hidden="false" customHeight="false" outlineLevel="0" collapsed="false">
      <c r="B69" s="71" t="n">
        <f aca="false">$C$7+(-0.01)</f>
        <v>0.079285</v>
      </c>
      <c r="C69" s="109" t="n">
        <f aca="false">IFERROR((SUMPRODUCT($C$27:$F$27/(1+$B69)^$C$16:$F$16)+$F$25*(1+(C$68+($C$12-C$68)*0/4))*(1-(C$68+($C$12-C$68)*0/4)/$C$9)/(1+$B69)^5+$F$25*(1+(C$68+($C$12-C$68)*0/4))*(1+(C$68+($C$12-C$68)*1/4))*(1-(C$68+($C$12-C$68)*1/4)/$C$9)/(1+$B69)^6+$F$25*(1+(C$68+($C$12-C$68)*0/4))*(1+(C$68+($C$12-C$68)*1/4))*(1+(C$68+($C$12-C$68)*2/4))*(1-(C$68+($C$12-C$68)*2/4)/$C$9)/(1+$B69)^7+$F$25*(1+(C$68+($C$12-C$68)*0/4))*(1+(C$68+($C$12-C$68)*1/4))*(1+(C$68+($C$12-C$68)*2/4))*(1+(C$68+($C$12-C$68)*3/4))*(1-(C$68+($C$12-C$68)*3/4)/$C$9)/(1+$B69)^8+$F$25*(1+(C$68+($C$12-C$68)*0/4))*(1+(C$68+($C$12-C$68)*1/4))*(1+(C$68+($C$12-C$68)*2/4))*(1+(C$68+($C$12-C$68)*3/4))*(1+(C$68+($C$12-C$68)*4/4))*(1-(C$68+($C$12-C$68)*4/4)/$C$9)/(1+$B69)^9+$F$25*(1+(C$68+($C$12-C$68)*0/4))*(1+(C$68+($C$12-C$68)*1/4))*(1+(C$68+($C$12-C$68)*2/4))*(1+(C$68+($C$12-C$68)*3/4))*(1+(C$68+($C$12-C$68)*4/4))*(1+$C$8)*(1-$C$8/$C$9)/($B69-$C$8)/(1+$B69)^9+$C$37-$C$38)/$C$40,0)</f>
        <v>61.7549206632661</v>
      </c>
      <c r="D69" s="109" t="n">
        <f aca="false">IFERROR((SUMPRODUCT($C$27:$F$27/(1+$B69)^$C$16:$F$16)+$F$25*(1+(D$68+($C$12-D$68)*0/4))*(1-(D$68+($C$12-D$68)*0/4)/$C$9)/(1+$B69)^5+$F$25*(1+(D$68+($C$12-D$68)*0/4))*(1+(D$68+($C$12-D$68)*1/4))*(1-(D$68+($C$12-D$68)*1/4)/$C$9)/(1+$B69)^6+$F$25*(1+(D$68+($C$12-D$68)*0/4))*(1+(D$68+($C$12-D$68)*1/4))*(1+(D$68+($C$12-D$68)*2/4))*(1-(D$68+($C$12-D$68)*2/4)/$C$9)/(1+$B69)^7+$F$25*(1+(D$68+($C$12-D$68)*0/4))*(1+(D$68+($C$12-D$68)*1/4))*(1+(D$68+($C$12-D$68)*2/4))*(1+(D$68+($C$12-D$68)*3/4))*(1-(D$68+($C$12-D$68)*3/4)/$C$9)/(1+$B69)^8+$F$25*(1+(D$68+($C$12-D$68)*0/4))*(1+(D$68+($C$12-D$68)*1/4))*(1+(D$68+($C$12-D$68)*2/4))*(1+(D$68+($C$12-D$68)*3/4))*(1+(D$68+($C$12-D$68)*4/4))*(1-(D$68+($C$12-D$68)*4/4)/$C$9)/(1+$B69)^9+$F$25*(1+(D$68+($C$12-D$68)*0/4))*(1+(D$68+($C$12-D$68)*1/4))*(1+(D$68+($C$12-D$68)*2/4))*(1+(D$68+($C$12-D$68)*3/4))*(1+(D$68+($C$12-D$68)*4/4))*(1+$C$8)*(1-$C$8/$C$9)/($B69-$C$8)/(1+$B69)^9+$C$37-$C$38)/$C$40,0)</f>
        <v>63.4475825430185</v>
      </c>
      <c r="E69" s="109" t="n">
        <f aca="false">IFERROR((SUMPRODUCT($C$27:$F$27/(1+$B69)^$C$16:$F$16)+$F$25*(1+(E$68+($C$12-E$68)*0/4))*(1-(E$68+($C$12-E$68)*0/4)/$C$9)/(1+$B69)^5+$F$25*(1+(E$68+($C$12-E$68)*0/4))*(1+(E$68+($C$12-E$68)*1/4))*(1-(E$68+($C$12-E$68)*1/4)/$C$9)/(1+$B69)^6+$F$25*(1+(E$68+($C$12-E$68)*0/4))*(1+(E$68+($C$12-E$68)*1/4))*(1+(E$68+($C$12-E$68)*2/4))*(1-(E$68+($C$12-E$68)*2/4)/$C$9)/(1+$B69)^7+$F$25*(1+(E$68+($C$12-E$68)*0/4))*(1+(E$68+($C$12-E$68)*1/4))*(1+(E$68+($C$12-E$68)*2/4))*(1+(E$68+($C$12-E$68)*3/4))*(1-(E$68+($C$12-E$68)*3/4)/$C$9)/(1+$B69)^8+$F$25*(1+(E$68+($C$12-E$68)*0/4))*(1+(E$68+($C$12-E$68)*1/4))*(1+(E$68+($C$12-E$68)*2/4))*(1+(E$68+($C$12-E$68)*3/4))*(1+(E$68+($C$12-E$68)*4/4))*(1-(E$68+($C$12-E$68)*4/4)/$C$9)/(1+$B69)^9+$F$25*(1+(E$68+($C$12-E$68)*0/4))*(1+(E$68+($C$12-E$68)*1/4))*(1+(E$68+($C$12-E$68)*2/4))*(1+(E$68+($C$12-E$68)*3/4))*(1+(E$68+($C$12-E$68)*4/4))*(1+$C$8)*(1-$C$8/$C$9)/($B69-$C$8)/(1+$B69)^9+$C$37-$C$38)/$C$40,0)</f>
        <v>65.1819562542999</v>
      </c>
      <c r="F69" s="109" t="n">
        <f aca="false">IFERROR((SUMPRODUCT($C$27:$F$27/(1+$B69)^$C$16:$F$16)+$F$25*(1+(F$68+($C$12-F$68)*0/4))*(1-(F$68+($C$12-F$68)*0/4)/$C$9)/(1+$B69)^5+$F$25*(1+(F$68+($C$12-F$68)*0/4))*(1+(F$68+($C$12-F$68)*1/4))*(1-(F$68+($C$12-F$68)*1/4)/$C$9)/(1+$B69)^6+$F$25*(1+(F$68+($C$12-F$68)*0/4))*(1+(F$68+($C$12-F$68)*1/4))*(1+(F$68+($C$12-F$68)*2/4))*(1-(F$68+($C$12-F$68)*2/4)/$C$9)/(1+$B69)^7+$F$25*(1+(F$68+($C$12-F$68)*0/4))*(1+(F$68+($C$12-F$68)*1/4))*(1+(F$68+($C$12-F$68)*2/4))*(1+(F$68+($C$12-F$68)*3/4))*(1-(F$68+($C$12-F$68)*3/4)/$C$9)/(1+$B69)^8+$F$25*(1+(F$68+($C$12-F$68)*0/4))*(1+(F$68+($C$12-F$68)*1/4))*(1+(F$68+($C$12-F$68)*2/4))*(1+(F$68+($C$12-F$68)*3/4))*(1+(F$68+($C$12-F$68)*4/4))*(1-(F$68+($C$12-F$68)*4/4)/$C$9)/(1+$B69)^9+$F$25*(1+(F$68+($C$12-F$68)*0/4))*(1+(F$68+($C$12-F$68)*1/4))*(1+(F$68+($C$12-F$68)*2/4))*(1+(F$68+($C$12-F$68)*3/4))*(1+(F$68+($C$12-F$68)*4/4))*(1+$C$8)*(1-$C$8/$C$9)/($B69-$C$8)/(1+$B69)^9+$C$37-$C$38)/$C$40,0)</f>
        <v>66.9586896004231</v>
      </c>
      <c r="G69" s="109" t="n">
        <f aca="false">IFERROR((SUMPRODUCT($C$27:$F$27/(1+$B69)^$C$16:$F$16)+$F$25*(1+(G$68+($C$12-G$68)*0/4))*(1-(G$68+($C$12-G$68)*0/4)/$C$9)/(1+$B69)^5+$F$25*(1+(G$68+($C$12-G$68)*0/4))*(1+(G$68+($C$12-G$68)*1/4))*(1-(G$68+($C$12-G$68)*1/4)/$C$9)/(1+$B69)^6+$F$25*(1+(G$68+($C$12-G$68)*0/4))*(1+(G$68+($C$12-G$68)*1/4))*(1+(G$68+($C$12-G$68)*2/4))*(1-(G$68+($C$12-G$68)*2/4)/$C$9)/(1+$B69)^7+$F$25*(1+(G$68+($C$12-G$68)*0/4))*(1+(G$68+($C$12-G$68)*1/4))*(1+(G$68+($C$12-G$68)*2/4))*(1+(G$68+($C$12-G$68)*3/4))*(1-(G$68+($C$12-G$68)*3/4)/$C$9)/(1+$B69)^8+$F$25*(1+(G$68+($C$12-G$68)*0/4))*(1+(G$68+($C$12-G$68)*1/4))*(1+(G$68+($C$12-G$68)*2/4))*(1+(G$68+($C$12-G$68)*3/4))*(1+(G$68+($C$12-G$68)*4/4))*(1-(G$68+($C$12-G$68)*4/4)/$C$9)/(1+$B69)^9+$F$25*(1+(G$68+($C$12-G$68)*0/4))*(1+(G$68+($C$12-G$68)*1/4))*(1+(G$68+($C$12-G$68)*2/4))*(1+(G$68+($C$12-G$68)*3/4))*(1+(G$68+($C$12-G$68)*4/4))*(1+$C$8)*(1-$C$8/$C$9)/($B69-$C$8)/(1+$B69)^9+$C$37-$C$38)/$C$40,0)</f>
        <v>68.7784316440071</v>
      </c>
    </row>
    <row r="70" customFormat="false" ht="15" hidden="false" customHeight="false" outlineLevel="0" collapsed="false">
      <c r="B70" s="71" t="n">
        <f aca="false">$C$7+(-0.005)</f>
        <v>0.084285</v>
      </c>
      <c r="C70" s="109" t="n">
        <f aca="false">IFERROR((SUMPRODUCT($C$27:$F$27/(1+$B70)^$C$16:$F$16)+$F$25*(1+(C$68+($C$12-C$68)*0/4))*(1-(C$68+($C$12-C$68)*0/4)/$C$9)/(1+$B70)^5+$F$25*(1+(C$68+($C$12-C$68)*0/4))*(1+(C$68+($C$12-C$68)*1/4))*(1-(C$68+($C$12-C$68)*1/4)/$C$9)/(1+$B70)^6+$F$25*(1+(C$68+($C$12-C$68)*0/4))*(1+(C$68+($C$12-C$68)*1/4))*(1+(C$68+($C$12-C$68)*2/4))*(1-(C$68+($C$12-C$68)*2/4)/$C$9)/(1+$B70)^7+$F$25*(1+(C$68+($C$12-C$68)*0/4))*(1+(C$68+($C$12-C$68)*1/4))*(1+(C$68+($C$12-C$68)*2/4))*(1+(C$68+($C$12-C$68)*3/4))*(1-(C$68+($C$12-C$68)*3/4)/$C$9)/(1+$B70)^8+$F$25*(1+(C$68+($C$12-C$68)*0/4))*(1+(C$68+($C$12-C$68)*1/4))*(1+(C$68+($C$12-C$68)*2/4))*(1+(C$68+($C$12-C$68)*3/4))*(1+(C$68+($C$12-C$68)*4/4))*(1-(C$68+($C$12-C$68)*4/4)/$C$9)/(1+$B70)^9+$F$25*(1+(C$68+($C$12-C$68)*0/4))*(1+(C$68+($C$12-C$68)*1/4))*(1+(C$68+($C$12-C$68)*2/4))*(1+(C$68+($C$12-C$68)*3/4))*(1+(C$68+($C$12-C$68)*4/4))*(1+$C$8)*(1-$C$8/$C$9)/($B70-$C$8)/(1+$B70)^9+$C$37-$C$38)/$C$40,0)</f>
        <v>56.6776909240617</v>
      </c>
      <c r="D70" s="109" t="n">
        <f aca="false">IFERROR((SUMPRODUCT($C$27:$F$27/(1+$B70)^$C$16:$F$16)+$F$25*(1+(D$68+($C$12-D$68)*0/4))*(1-(D$68+($C$12-D$68)*0/4)/$C$9)/(1+$B70)^5+$F$25*(1+(D$68+($C$12-D$68)*0/4))*(1+(D$68+($C$12-D$68)*1/4))*(1-(D$68+($C$12-D$68)*1/4)/$C$9)/(1+$B70)^6+$F$25*(1+(D$68+($C$12-D$68)*0/4))*(1+(D$68+($C$12-D$68)*1/4))*(1+(D$68+($C$12-D$68)*2/4))*(1-(D$68+($C$12-D$68)*2/4)/$C$9)/(1+$B70)^7+$F$25*(1+(D$68+($C$12-D$68)*0/4))*(1+(D$68+($C$12-D$68)*1/4))*(1+(D$68+($C$12-D$68)*2/4))*(1+(D$68+($C$12-D$68)*3/4))*(1-(D$68+($C$12-D$68)*3/4)/$C$9)/(1+$B70)^8+$F$25*(1+(D$68+($C$12-D$68)*0/4))*(1+(D$68+($C$12-D$68)*1/4))*(1+(D$68+($C$12-D$68)*2/4))*(1+(D$68+($C$12-D$68)*3/4))*(1+(D$68+($C$12-D$68)*4/4))*(1-(D$68+($C$12-D$68)*4/4)/$C$9)/(1+$B70)^9+$F$25*(1+(D$68+($C$12-D$68)*0/4))*(1+(D$68+($C$12-D$68)*1/4))*(1+(D$68+($C$12-D$68)*2/4))*(1+(D$68+($C$12-D$68)*3/4))*(1+(D$68+($C$12-D$68)*4/4))*(1+$C$8)*(1-$C$8/$C$9)/($B70-$C$8)/(1+$B70)^9+$C$37-$C$38)/$C$40,0)</f>
        <v>58.1391745838596</v>
      </c>
      <c r="E70" s="109" t="n">
        <f aca="false">IFERROR((SUMPRODUCT($C$27:$F$27/(1+$B70)^$C$16:$F$16)+$F$25*(1+(E$68+($C$12-E$68)*0/4))*(1-(E$68+($C$12-E$68)*0/4)/$C$9)/(1+$B70)^5+$F$25*(1+(E$68+($C$12-E$68)*0/4))*(1+(E$68+($C$12-E$68)*1/4))*(1-(E$68+($C$12-E$68)*1/4)/$C$9)/(1+$B70)^6+$F$25*(1+(E$68+($C$12-E$68)*0/4))*(1+(E$68+($C$12-E$68)*1/4))*(1+(E$68+($C$12-E$68)*2/4))*(1-(E$68+($C$12-E$68)*2/4)/$C$9)/(1+$B70)^7+$F$25*(1+(E$68+($C$12-E$68)*0/4))*(1+(E$68+($C$12-E$68)*1/4))*(1+(E$68+($C$12-E$68)*2/4))*(1+(E$68+($C$12-E$68)*3/4))*(1-(E$68+($C$12-E$68)*3/4)/$C$9)/(1+$B70)^8+$F$25*(1+(E$68+($C$12-E$68)*0/4))*(1+(E$68+($C$12-E$68)*1/4))*(1+(E$68+($C$12-E$68)*2/4))*(1+(E$68+($C$12-E$68)*3/4))*(1+(E$68+($C$12-E$68)*4/4))*(1-(E$68+($C$12-E$68)*4/4)/$C$9)/(1+$B70)^9+$F$25*(1+(E$68+($C$12-E$68)*0/4))*(1+(E$68+($C$12-E$68)*1/4))*(1+(E$68+($C$12-E$68)*2/4))*(1+(E$68+($C$12-E$68)*3/4))*(1+(E$68+($C$12-E$68)*4/4))*(1+$C$8)*(1-$C$8/$C$9)/($B70-$C$8)/(1+$B70)^9+$C$37-$C$38)/$C$40,0)</f>
        <v>59.6349705708861</v>
      </c>
      <c r="F70" s="109" t="n">
        <f aca="false">IFERROR((SUMPRODUCT($C$27:$F$27/(1+$B70)^$C$16:$F$16)+$F$25*(1+(F$68+($C$12-F$68)*0/4))*(1-(F$68+($C$12-F$68)*0/4)/$C$9)/(1+$B70)^5+$F$25*(1+(F$68+($C$12-F$68)*0/4))*(1+(F$68+($C$12-F$68)*1/4))*(1-(F$68+($C$12-F$68)*1/4)/$C$9)/(1+$B70)^6+$F$25*(1+(F$68+($C$12-F$68)*0/4))*(1+(F$68+($C$12-F$68)*1/4))*(1+(F$68+($C$12-F$68)*2/4))*(1-(F$68+($C$12-F$68)*2/4)/$C$9)/(1+$B70)^7+$F$25*(1+(F$68+($C$12-F$68)*0/4))*(1+(F$68+($C$12-F$68)*1/4))*(1+(F$68+($C$12-F$68)*2/4))*(1+(F$68+($C$12-F$68)*3/4))*(1-(F$68+($C$12-F$68)*3/4)/$C$9)/(1+$B70)^8+$F$25*(1+(F$68+($C$12-F$68)*0/4))*(1+(F$68+($C$12-F$68)*1/4))*(1+(F$68+($C$12-F$68)*2/4))*(1+(F$68+($C$12-F$68)*3/4))*(1+(F$68+($C$12-F$68)*4/4))*(1-(F$68+($C$12-F$68)*4/4)/$C$9)/(1+$B70)^9+$F$25*(1+(F$68+($C$12-F$68)*0/4))*(1+(F$68+($C$12-F$68)*1/4))*(1+(F$68+($C$12-F$68)*2/4))*(1+(F$68+($C$12-F$68)*3/4))*(1+(F$68+($C$12-F$68)*4/4))*(1+$C$8)*(1-$C$8/$C$9)/($B70-$C$8)/(1+$B70)^9+$C$37-$C$38)/$C$40,0)</f>
        <v>61.1655825668496</v>
      </c>
      <c r="G70" s="109" t="n">
        <f aca="false">IFERROR((SUMPRODUCT($C$27:$F$27/(1+$B70)^$C$16:$F$16)+$F$25*(1+(G$68+($C$12-G$68)*0/4))*(1-(G$68+($C$12-G$68)*0/4)/$C$9)/(1+$B70)^5+$F$25*(1+(G$68+($C$12-G$68)*0/4))*(1+(G$68+($C$12-G$68)*1/4))*(1-(G$68+($C$12-G$68)*1/4)/$C$9)/(1+$B70)^6+$F$25*(1+(G$68+($C$12-G$68)*0/4))*(1+(G$68+($C$12-G$68)*1/4))*(1+(G$68+($C$12-G$68)*2/4))*(1-(G$68+($C$12-G$68)*2/4)/$C$9)/(1+$B70)^7+$F$25*(1+(G$68+($C$12-G$68)*0/4))*(1+(G$68+($C$12-G$68)*1/4))*(1+(G$68+($C$12-G$68)*2/4))*(1+(G$68+($C$12-G$68)*3/4))*(1-(G$68+($C$12-G$68)*3/4)/$C$9)/(1+$B70)^8+$F$25*(1+(G$68+($C$12-G$68)*0/4))*(1+(G$68+($C$12-G$68)*1/4))*(1+(G$68+($C$12-G$68)*2/4))*(1+(G$68+($C$12-G$68)*3/4))*(1+(G$68+($C$12-G$68)*4/4))*(1-(G$68+($C$12-G$68)*4/4)/$C$9)/(1+$B70)^9+$F$25*(1+(G$68+($C$12-G$68)*0/4))*(1+(G$68+($C$12-G$68)*1/4))*(1+(G$68+($C$12-G$68)*2/4))*(1+(G$68+($C$12-G$68)*3/4))*(1+(G$68+($C$12-G$68)*4/4))*(1+$C$8)*(1-$C$8/$C$9)/($B70-$C$8)/(1+$B70)^9+$C$37-$C$38)/$C$40,0)</f>
        <v>62.7315143681479</v>
      </c>
    </row>
    <row r="71" customFormat="false" ht="15" hidden="false" customHeight="false" outlineLevel="0" collapsed="false">
      <c r="B71" s="71" t="n">
        <f aca="false">$C$7+(0)</f>
        <v>0.089285</v>
      </c>
      <c r="C71" s="109" t="n">
        <f aca="false">IFERROR((SUMPRODUCT($C$27:$F$27/(1+$B71)^$C$16:$F$16)+$F$25*(1+(C$68+($C$12-C$68)*0/4))*(1-(C$68+($C$12-C$68)*0/4)/$C$9)/(1+$B71)^5+$F$25*(1+(C$68+($C$12-C$68)*0/4))*(1+(C$68+($C$12-C$68)*1/4))*(1-(C$68+($C$12-C$68)*1/4)/$C$9)/(1+$B71)^6+$F$25*(1+(C$68+($C$12-C$68)*0/4))*(1+(C$68+($C$12-C$68)*1/4))*(1+(C$68+($C$12-C$68)*2/4))*(1-(C$68+($C$12-C$68)*2/4)/$C$9)/(1+$B71)^7+$F$25*(1+(C$68+($C$12-C$68)*0/4))*(1+(C$68+($C$12-C$68)*1/4))*(1+(C$68+($C$12-C$68)*2/4))*(1+(C$68+($C$12-C$68)*3/4))*(1-(C$68+($C$12-C$68)*3/4)/$C$9)/(1+$B71)^8+$F$25*(1+(C$68+($C$12-C$68)*0/4))*(1+(C$68+($C$12-C$68)*1/4))*(1+(C$68+($C$12-C$68)*2/4))*(1+(C$68+($C$12-C$68)*3/4))*(1+(C$68+($C$12-C$68)*4/4))*(1-(C$68+($C$12-C$68)*4/4)/$C$9)/(1+$B71)^9+$F$25*(1+(C$68+($C$12-C$68)*0/4))*(1+(C$68+($C$12-C$68)*1/4))*(1+(C$68+($C$12-C$68)*2/4))*(1+(C$68+($C$12-C$68)*3/4))*(1+(C$68+($C$12-C$68)*4/4))*(1+$C$8)*(1-$C$8/$C$9)/($B71-$C$8)/(1+$B71)^9+$C$37-$C$38)/$C$40,0)</f>
        <v>52.4610687911953</v>
      </c>
      <c r="D71" s="109" t="n">
        <f aca="false">IFERROR((SUMPRODUCT($C$27:$F$27/(1+$B71)^$C$16:$F$16)+$F$25*(1+(D$68+($C$12-D$68)*0/4))*(1-(D$68+($C$12-D$68)*0/4)/$C$9)/(1+$B71)^5+$F$25*(1+(D$68+($C$12-D$68)*0/4))*(1+(D$68+($C$12-D$68)*1/4))*(1-(D$68+($C$12-D$68)*1/4)/$C$9)/(1+$B71)^6+$F$25*(1+(D$68+($C$12-D$68)*0/4))*(1+(D$68+($C$12-D$68)*1/4))*(1+(D$68+($C$12-D$68)*2/4))*(1-(D$68+($C$12-D$68)*2/4)/$C$9)/(1+$B71)^7+$F$25*(1+(D$68+($C$12-D$68)*0/4))*(1+(D$68+($C$12-D$68)*1/4))*(1+(D$68+($C$12-D$68)*2/4))*(1+(D$68+($C$12-D$68)*3/4))*(1-(D$68+($C$12-D$68)*3/4)/$C$9)/(1+$B71)^8+$F$25*(1+(D$68+($C$12-D$68)*0/4))*(1+(D$68+($C$12-D$68)*1/4))*(1+(D$68+($C$12-D$68)*2/4))*(1+(D$68+($C$12-D$68)*3/4))*(1+(D$68+($C$12-D$68)*4/4))*(1-(D$68+($C$12-D$68)*4/4)/$C$9)/(1+$B71)^9+$F$25*(1+(D$68+($C$12-D$68)*0/4))*(1+(D$68+($C$12-D$68)*1/4))*(1+(D$68+($C$12-D$68)*2/4))*(1+(D$68+($C$12-D$68)*3/4))*(1+(D$68+($C$12-D$68)*4/4))*(1+$C$8)*(1-$C$8/$C$9)/($B71-$C$8)/(1+$B71)^9+$C$37-$C$38)/$C$40,0)</f>
        <v>53.7332790761252</v>
      </c>
      <c r="E71" s="109" t="n">
        <f aca="false">IFERROR((SUMPRODUCT($C$27:$F$27/(1+$B71)^$C$16:$F$16)+$F$25*(1+(E$68+($C$12-E$68)*0/4))*(1-(E$68+($C$12-E$68)*0/4)/$C$9)/(1+$B71)^5+$F$25*(1+(E$68+($C$12-E$68)*0/4))*(1+(E$68+($C$12-E$68)*1/4))*(1-(E$68+($C$12-E$68)*1/4)/$C$9)/(1+$B71)^6+$F$25*(1+(E$68+($C$12-E$68)*0/4))*(1+(E$68+($C$12-E$68)*1/4))*(1+(E$68+($C$12-E$68)*2/4))*(1-(E$68+($C$12-E$68)*2/4)/$C$9)/(1+$B71)^7+$F$25*(1+(E$68+($C$12-E$68)*0/4))*(1+(E$68+($C$12-E$68)*1/4))*(1+(E$68+($C$12-E$68)*2/4))*(1+(E$68+($C$12-E$68)*3/4))*(1-(E$68+($C$12-E$68)*3/4)/$C$9)/(1+$B71)^8+$F$25*(1+(E$68+($C$12-E$68)*0/4))*(1+(E$68+($C$12-E$68)*1/4))*(1+(E$68+($C$12-E$68)*2/4))*(1+(E$68+($C$12-E$68)*3/4))*(1+(E$68+($C$12-E$68)*4/4))*(1-(E$68+($C$12-E$68)*4/4)/$C$9)/(1+$B71)^9+$F$25*(1+(E$68+($C$12-E$68)*0/4))*(1+(E$68+($C$12-E$68)*1/4))*(1+(E$68+($C$12-E$68)*2/4))*(1+(E$68+($C$12-E$68)*3/4))*(1+(E$68+($C$12-E$68)*4/4))*(1+$C$8)*(1-$C$8/$C$9)/($B71-$C$8)/(1+$B71)^9+$C$37-$C$38)/$C$40,0)</f>
        <v>55.0338129345541</v>
      </c>
      <c r="F71" s="109" t="n">
        <f aca="false">IFERROR((SUMPRODUCT($C$27:$F$27/(1+$B71)^$C$16:$F$16)+$F$25*(1+(F$68+($C$12-F$68)*0/4))*(1-(F$68+($C$12-F$68)*0/4)/$C$9)/(1+$B71)^5+$F$25*(1+(F$68+($C$12-F$68)*0/4))*(1+(F$68+($C$12-F$68)*1/4))*(1-(F$68+($C$12-F$68)*1/4)/$C$9)/(1+$B71)^6+$F$25*(1+(F$68+($C$12-F$68)*0/4))*(1+(F$68+($C$12-F$68)*1/4))*(1+(F$68+($C$12-F$68)*2/4))*(1-(F$68+($C$12-F$68)*2/4)/$C$9)/(1+$B71)^7+$F$25*(1+(F$68+($C$12-F$68)*0/4))*(1+(F$68+($C$12-F$68)*1/4))*(1+(F$68+($C$12-F$68)*2/4))*(1+(F$68+($C$12-F$68)*3/4))*(1-(F$68+($C$12-F$68)*3/4)/$C$9)/(1+$B71)^8+$F$25*(1+(F$68+($C$12-F$68)*0/4))*(1+(F$68+($C$12-F$68)*1/4))*(1+(F$68+($C$12-F$68)*2/4))*(1+(F$68+($C$12-F$68)*3/4))*(1+(F$68+($C$12-F$68)*4/4))*(1-(F$68+($C$12-F$68)*4/4)/$C$9)/(1+$B71)^9+$F$25*(1+(F$68+($C$12-F$68)*0/4))*(1+(F$68+($C$12-F$68)*1/4))*(1+(F$68+($C$12-F$68)*2/4))*(1+(F$68+($C$12-F$68)*3/4))*(1+(F$68+($C$12-F$68)*4/4))*(1+$C$8)*(1-$C$8/$C$9)/($B71-$C$8)/(1+$B71)^9+$C$37-$C$38)/$C$40,0)</f>
        <v>56.3630586568163</v>
      </c>
      <c r="G71" s="109" t="n">
        <f aca="false">IFERROR((SUMPRODUCT($C$27:$F$27/(1+$B71)^$C$16:$F$16)+$F$25*(1+(G$68+($C$12-G$68)*0/4))*(1-(G$68+($C$12-G$68)*0/4)/$C$9)/(1+$B71)^5+$F$25*(1+(G$68+($C$12-G$68)*0/4))*(1+(G$68+($C$12-G$68)*1/4))*(1-(G$68+($C$12-G$68)*1/4)/$C$9)/(1+$B71)^6+$F$25*(1+(G$68+($C$12-G$68)*0/4))*(1+(G$68+($C$12-G$68)*1/4))*(1+(G$68+($C$12-G$68)*2/4))*(1-(G$68+($C$12-G$68)*2/4)/$C$9)/(1+$B71)^7+$F$25*(1+(G$68+($C$12-G$68)*0/4))*(1+(G$68+($C$12-G$68)*1/4))*(1+(G$68+($C$12-G$68)*2/4))*(1+(G$68+($C$12-G$68)*3/4))*(1-(G$68+($C$12-G$68)*3/4)/$C$9)/(1+$B71)^8+$F$25*(1+(G$68+($C$12-G$68)*0/4))*(1+(G$68+($C$12-G$68)*1/4))*(1+(G$68+($C$12-G$68)*2/4))*(1+(G$68+($C$12-G$68)*3/4))*(1+(G$68+($C$12-G$68)*4/4))*(1-(G$68+($C$12-G$68)*4/4)/$C$9)/(1+$B71)^9+$F$25*(1+(G$68+($C$12-G$68)*0/4))*(1+(G$68+($C$12-G$68)*1/4))*(1+(G$68+($C$12-G$68)*2/4))*(1+(G$68+($C$12-G$68)*3/4))*(1+(G$68+($C$12-G$68)*4/4))*(1+$C$8)*(1-$C$8/$C$9)/($B71-$C$8)/(1+$B71)^9+$C$37-$C$38)/$C$40,0)</f>
        <v>57.7214037591933</v>
      </c>
    </row>
    <row r="72" customFormat="false" ht="15" hidden="false" customHeight="false" outlineLevel="0" collapsed="false">
      <c r="B72" s="71" t="n">
        <f aca="false">$C$7+(0.005)</f>
        <v>0.094285</v>
      </c>
      <c r="C72" s="109" t="n">
        <f aca="false">IFERROR((SUMPRODUCT($C$27:$F$27/(1+$B72)^$C$16:$F$16)+$F$25*(1+(C$68+($C$12-C$68)*0/4))*(1-(C$68+($C$12-C$68)*0/4)/$C$9)/(1+$B72)^5+$F$25*(1+(C$68+($C$12-C$68)*0/4))*(1+(C$68+($C$12-C$68)*1/4))*(1-(C$68+($C$12-C$68)*1/4)/$C$9)/(1+$B72)^6+$F$25*(1+(C$68+($C$12-C$68)*0/4))*(1+(C$68+($C$12-C$68)*1/4))*(1+(C$68+($C$12-C$68)*2/4))*(1-(C$68+($C$12-C$68)*2/4)/$C$9)/(1+$B72)^7+$F$25*(1+(C$68+($C$12-C$68)*0/4))*(1+(C$68+($C$12-C$68)*1/4))*(1+(C$68+($C$12-C$68)*2/4))*(1+(C$68+($C$12-C$68)*3/4))*(1-(C$68+($C$12-C$68)*3/4)/$C$9)/(1+$B72)^8+$F$25*(1+(C$68+($C$12-C$68)*0/4))*(1+(C$68+($C$12-C$68)*1/4))*(1+(C$68+($C$12-C$68)*2/4))*(1+(C$68+($C$12-C$68)*3/4))*(1+(C$68+($C$12-C$68)*4/4))*(1-(C$68+($C$12-C$68)*4/4)/$C$9)/(1+$B72)^9+$F$25*(1+(C$68+($C$12-C$68)*0/4))*(1+(C$68+($C$12-C$68)*1/4))*(1+(C$68+($C$12-C$68)*2/4))*(1+(C$68+($C$12-C$68)*3/4))*(1+(C$68+($C$12-C$68)*4/4))*(1+$C$8)*(1-$C$8/$C$9)/($B72-$C$8)/(1+$B72)^9+$C$37-$C$38)/$C$40,0)</f>
        <v>48.904116886237</v>
      </c>
      <c r="D72" s="109" t="n">
        <f aca="false">IFERROR((SUMPRODUCT($C$27:$F$27/(1+$B72)^$C$16:$F$16)+$F$25*(1+(D$68+($C$12-D$68)*0/4))*(1-(D$68+($C$12-D$68)*0/4)/$C$9)/(1+$B72)^5+$F$25*(1+(D$68+($C$12-D$68)*0/4))*(1+(D$68+($C$12-D$68)*1/4))*(1-(D$68+($C$12-D$68)*1/4)/$C$9)/(1+$B72)^6+$F$25*(1+(D$68+($C$12-D$68)*0/4))*(1+(D$68+($C$12-D$68)*1/4))*(1+(D$68+($C$12-D$68)*2/4))*(1-(D$68+($C$12-D$68)*2/4)/$C$9)/(1+$B72)^7+$F$25*(1+(D$68+($C$12-D$68)*0/4))*(1+(D$68+($C$12-D$68)*1/4))*(1+(D$68+($C$12-D$68)*2/4))*(1+(D$68+($C$12-D$68)*3/4))*(1-(D$68+($C$12-D$68)*3/4)/$C$9)/(1+$B72)^8+$F$25*(1+(D$68+($C$12-D$68)*0/4))*(1+(D$68+($C$12-D$68)*1/4))*(1+(D$68+($C$12-D$68)*2/4))*(1+(D$68+($C$12-D$68)*3/4))*(1+(D$68+($C$12-D$68)*4/4))*(1-(D$68+($C$12-D$68)*4/4)/$C$9)/(1+$B72)^9+$F$25*(1+(D$68+($C$12-D$68)*0/4))*(1+(D$68+($C$12-D$68)*1/4))*(1+(D$68+($C$12-D$68)*2/4))*(1+(D$68+($C$12-D$68)*3/4))*(1+(D$68+($C$12-D$68)*4/4))*(1+$C$8)*(1-$C$8/$C$9)/($B72-$C$8)/(1+$B72)^9+$C$37-$C$38)/$C$40,0)</f>
        <v>50.0190629739519</v>
      </c>
      <c r="E72" s="109" t="n">
        <f aca="false">IFERROR((SUMPRODUCT($C$27:$F$27/(1+$B72)^$C$16:$F$16)+$F$25*(1+(E$68+($C$12-E$68)*0/4))*(1-(E$68+($C$12-E$68)*0/4)/$C$9)/(1+$B72)^5+$F$25*(1+(E$68+($C$12-E$68)*0/4))*(1+(E$68+($C$12-E$68)*1/4))*(1-(E$68+($C$12-E$68)*1/4)/$C$9)/(1+$B72)^6+$F$25*(1+(E$68+($C$12-E$68)*0/4))*(1+(E$68+($C$12-E$68)*1/4))*(1+(E$68+($C$12-E$68)*2/4))*(1-(E$68+($C$12-E$68)*2/4)/$C$9)/(1+$B72)^7+$F$25*(1+(E$68+($C$12-E$68)*0/4))*(1+(E$68+($C$12-E$68)*1/4))*(1+(E$68+($C$12-E$68)*2/4))*(1+(E$68+($C$12-E$68)*3/4))*(1-(E$68+($C$12-E$68)*3/4)/$C$9)/(1+$B72)^8+$F$25*(1+(E$68+($C$12-E$68)*0/4))*(1+(E$68+($C$12-E$68)*1/4))*(1+(E$68+($C$12-E$68)*2/4))*(1+(E$68+($C$12-E$68)*3/4))*(1+(E$68+($C$12-E$68)*4/4))*(1-(E$68+($C$12-E$68)*4/4)/$C$9)/(1+$B72)^9+$F$25*(1+(E$68+($C$12-E$68)*0/4))*(1+(E$68+($C$12-E$68)*1/4))*(1+(E$68+($C$12-E$68)*2/4))*(1+(E$68+($C$12-E$68)*3/4))*(1+(E$68+($C$12-E$68)*4/4))*(1+$C$8)*(1-$C$8/$C$9)/($B72-$C$8)/(1+$B72)^9+$C$37-$C$38)/$C$40,0)</f>
        <v>51.1574182530337</v>
      </c>
      <c r="F72" s="109" t="n">
        <f aca="false">IFERROR((SUMPRODUCT($C$27:$F$27/(1+$B72)^$C$16:$F$16)+$F$25*(1+(F$68+($C$12-F$68)*0/4))*(1-(F$68+($C$12-F$68)*0/4)/$C$9)/(1+$B72)^5+$F$25*(1+(F$68+($C$12-F$68)*0/4))*(1+(F$68+($C$12-F$68)*1/4))*(1-(F$68+($C$12-F$68)*1/4)/$C$9)/(1+$B72)^6+$F$25*(1+(F$68+($C$12-F$68)*0/4))*(1+(F$68+($C$12-F$68)*1/4))*(1+(F$68+($C$12-F$68)*2/4))*(1-(F$68+($C$12-F$68)*2/4)/$C$9)/(1+$B72)^7+$F$25*(1+(F$68+($C$12-F$68)*0/4))*(1+(F$68+($C$12-F$68)*1/4))*(1+(F$68+($C$12-F$68)*2/4))*(1+(F$68+($C$12-F$68)*3/4))*(1-(F$68+($C$12-F$68)*3/4)/$C$9)/(1+$B72)^8+$F$25*(1+(F$68+($C$12-F$68)*0/4))*(1+(F$68+($C$12-F$68)*1/4))*(1+(F$68+($C$12-F$68)*2/4))*(1+(F$68+($C$12-F$68)*3/4))*(1+(F$68+($C$12-F$68)*4/4))*(1-(F$68+($C$12-F$68)*4/4)/$C$9)/(1+$B72)^9+$F$25*(1+(F$68+($C$12-F$68)*0/4))*(1+(F$68+($C$12-F$68)*1/4))*(1+(F$68+($C$12-F$68)*2/4))*(1+(F$68+($C$12-F$68)*3/4))*(1+(F$68+($C$12-F$68)*4/4))*(1+$C$8)*(1-$C$8/$C$9)/($B72-$C$8)/(1+$B72)^9+$C$37-$C$38)/$C$40,0)</f>
        <v>52.3194774348601</v>
      </c>
      <c r="G72" s="109" t="n">
        <f aca="false">IFERROR((SUMPRODUCT($C$27:$F$27/(1+$B72)^$C$16:$F$16)+$F$25*(1+(G$68+($C$12-G$68)*0/4))*(1-(G$68+($C$12-G$68)*0/4)/$C$9)/(1+$B72)^5+$F$25*(1+(G$68+($C$12-G$68)*0/4))*(1+(G$68+($C$12-G$68)*1/4))*(1-(G$68+($C$12-G$68)*1/4)/$C$9)/(1+$B72)^6+$F$25*(1+(G$68+($C$12-G$68)*0/4))*(1+(G$68+($C$12-G$68)*1/4))*(1+(G$68+($C$12-G$68)*2/4))*(1-(G$68+($C$12-G$68)*2/4)/$C$9)/(1+$B72)^7+$F$25*(1+(G$68+($C$12-G$68)*0/4))*(1+(G$68+($C$12-G$68)*1/4))*(1+(G$68+($C$12-G$68)*2/4))*(1+(G$68+($C$12-G$68)*3/4))*(1-(G$68+($C$12-G$68)*3/4)/$C$9)/(1+$B72)^8+$F$25*(1+(G$68+($C$12-G$68)*0/4))*(1+(G$68+($C$12-G$68)*1/4))*(1+(G$68+($C$12-G$68)*2/4))*(1+(G$68+($C$12-G$68)*3/4))*(1+(G$68+($C$12-G$68)*4/4))*(1-(G$68+($C$12-G$68)*4/4)/$C$9)/(1+$B72)^9+$F$25*(1+(G$68+($C$12-G$68)*0/4))*(1+(G$68+($C$12-G$68)*1/4))*(1+(G$68+($C$12-G$68)*2/4))*(1+(G$68+($C$12-G$68)*3/4))*(1+(G$68+($C$12-G$68)*4/4))*(1+$C$8)*(1-$C$8/$C$9)/($B72-$C$8)/(1+$B72)^9+$C$37-$C$38)/$C$40,0)</f>
        <v>53.5055337608676</v>
      </c>
    </row>
    <row r="73" customFormat="false" ht="15" hidden="false" customHeight="false" outlineLevel="0" collapsed="false">
      <c r="B73" s="71" t="n">
        <f aca="false">$C$7+(0.01)</f>
        <v>0.099285</v>
      </c>
      <c r="C73" s="109" t="n">
        <f aca="false">IFERROR((SUMPRODUCT($C$27:$F$27/(1+$B73)^$C$16:$F$16)+$F$25*(1+(C$68+($C$12-C$68)*0/4))*(1-(C$68+($C$12-C$68)*0/4)/$C$9)/(1+$B73)^5+$F$25*(1+(C$68+($C$12-C$68)*0/4))*(1+(C$68+($C$12-C$68)*1/4))*(1-(C$68+($C$12-C$68)*1/4)/$C$9)/(1+$B73)^6+$F$25*(1+(C$68+($C$12-C$68)*0/4))*(1+(C$68+($C$12-C$68)*1/4))*(1+(C$68+($C$12-C$68)*2/4))*(1-(C$68+($C$12-C$68)*2/4)/$C$9)/(1+$B73)^7+$F$25*(1+(C$68+($C$12-C$68)*0/4))*(1+(C$68+($C$12-C$68)*1/4))*(1+(C$68+($C$12-C$68)*2/4))*(1+(C$68+($C$12-C$68)*3/4))*(1-(C$68+($C$12-C$68)*3/4)/$C$9)/(1+$B73)^8+$F$25*(1+(C$68+($C$12-C$68)*0/4))*(1+(C$68+($C$12-C$68)*1/4))*(1+(C$68+($C$12-C$68)*2/4))*(1+(C$68+($C$12-C$68)*3/4))*(1+(C$68+($C$12-C$68)*4/4))*(1-(C$68+($C$12-C$68)*4/4)/$C$9)/(1+$B73)^9+$F$25*(1+(C$68+($C$12-C$68)*0/4))*(1+(C$68+($C$12-C$68)*1/4))*(1+(C$68+($C$12-C$68)*2/4))*(1+(C$68+($C$12-C$68)*3/4))*(1+(C$68+($C$12-C$68)*4/4))*(1+$C$8)*(1-$C$8/$C$9)/($B73-$C$8)/(1+$B73)^9+$C$37-$C$38)/$C$40,0)</f>
        <v>45.8639062986381</v>
      </c>
      <c r="D73" s="109" t="n">
        <f aca="false">IFERROR((SUMPRODUCT($C$27:$F$27/(1+$B73)^$C$16:$F$16)+$F$25*(1+(D$68+($C$12-D$68)*0/4))*(1-(D$68+($C$12-D$68)*0/4)/$C$9)/(1+$B73)^5+$F$25*(1+(D$68+($C$12-D$68)*0/4))*(1+(D$68+($C$12-D$68)*1/4))*(1-(D$68+($C$12-D$68)*1/4)/$C$9)/(1+$B73)^6+$F$25*(1+(D$68+($C$12-D$68)*0/4))*(1+(D$68+($C$12-D$68)*1/4))*(1+(D$68+($C$12-D$68)*2/4))*(1-(D$68+($C$12-D$68)*2/4)/$C$9)/(1+$B73)^7+$F$25*(1+(D$68+($C$12-D$68)*0/4))*(1+(D$68+($C$12-D$68)*1/4))*(1+(D$68+($C$12-D$68)*2/4))*(1+(D$68+($C$12-D$68)*3/4))*(1-(D$68+($C$12-D$68)*3/4)/$C$9)/(1+$B73)^8+$F$25*(1+(D$68+($C$12-D$68)*0/4))*(1+(D$68+($C$12-D$68)*1/4))*(1+(D$68+($C$12-D$68)*2/4))*(1+(D$68+($C$12-D$68)*3/4))*(1+(D$68+($C$12-D$68)*4/4))*(1-(D$68+($C$12-D$68)*4/4)/$C$9)/(1+$B73)^9+$F$25*(1+(D$68+($C$12-D$68)*0/4))*(1+(D$68+($C$12-D$68)*1/4))*(1+(D$68+($C$12-D$68)*2/4))*(1+(D$68+($C$12-D$68)*3/4))*(1+(D$68+($C$12-D$68)*4/4))*(1+$C$8)*(1-$C$8/$C$9)/($B73-$C$8)/(1+$B73)^9+$C$37-$C$38)/$C$40,0)</f>
        <v>46.8465633689984</v>
      </c>
      <c r="E73" s="109" t="n">
        <f aca="false">IFERROR((SUMPRODUCT($C$27:$F$27/(1+$B73)^$C$16:$F$16)+$F$25*(1+(E$68+($C$12-E$68)*0/4))*(1-(E$68+($C$12-E$68)*0/4)/$C$9)/(1+$B73)^5+$F$25*(1+(E$68+($C$12-E$68)*0/4))*(1+(E$68+($C$12-E$68)*1/4))*(1-(E$68+($C$12-E$68)*1/4)/$C$9)/(1+$B73)^6+$F$25*(1+(E$68+($C$12-E$68)*0/4))*(1+(E$68+($C$12-E$68)*1/4))*(1+(E$68+($C$12-E$68)*2/4))*(1-(E$68+($C$12-E$68)*2/4)/$C$9)/(1+$B73)^7+$F$25*(1+(E$68+($C$12-E$68)*0/4))*(1+(E$68+($C$12-E$68)*1/4))*(1+(E$68+($C$12-E$68)*2/4))*(1+(E$68+($C$12-E$68)*3/4))*(1-(E$68+($C$12-E$68)*3/4)/$C$9)/(1+$B73)^8+$F$25*(1+(E$68+($C$12-E$68)*0/4))*(1+(E$68+($C$12-E$68)*1/4))*(1+(E$68+($C$12-E$68)*2/4))*(1+(E$68+($C$12-E$68)*3/4))*(1+(E$68+($C$12-E$68)*4/4))*(1-(E$68+($C$12-E$68)*4/4)/$C$9)/(1+$B73)^9+$F$25*(1+(E$68+($C$12-E$68)*0/4))*(1+(E$68+($C$12-E$68)*1/4))*(1+(E$68+($C$12-E$68)*2/4))*(1+(E$68+($C$12-E$68)*3/4))*(1+(E$68+($C$12-E$68)*4/4))*(1+$C$8)*(1-$C$8/$C$9)/($B73-$C$8)/(1+$B73)^9+$C$37-$C$38)/$C$40,0)</f>
        <v>47.8485506761125</v>
      </c>
      <c r="F73" s="109" t="n">
        <f aca="false">IFERROR((SUMPRODUCT($C$27:$F$27/(1+$B73)^$C$16:$F$16)+$F$25*(1+(F$68+($C$12-F$68)*0/4))*(1-(F$68+($C$12-F$68)*0/4)/$C$9)/(1+$B73)^5+$F$25*(1+(F$68+($C$12-F$68)*0/4))*(1+(F$68+($C$12-F$68)*1/4))*(1-(F$68+($C$12-F$68)*1/4)/$C$9)/(1+$B73)^6+$F$25*(1+(F$68+($C$12-F$68)*0/4))*(1+(F$68+($C$12-F$68)*1/4))*(1+(F$68+($C$12-F$68)*2/4))*(1-(F$68+($C$12-F$68)*2/4)/$C$9)/(1+$B73)^7+$F$25*(1+(F$68+($C$12-F$68)*0/4))*(1+(F$68+($C$12-F$68)*1/4))*(1+(F$68+($C$12-F$68)*2/4))*(1+(F$68+($C$12-F$68)*3/4))*(1-(F$68+($C$12-F$68)*3/4)/$C$9)/(1+$B73)^8+$F$25*(1+(F$68+($C$12-F$68)*0/4))*(1+(F$68+($C$12-F$68)*1/4))*(1+(F$68+($C$12-F$68)*2/4))*(1+(F$68+($C$12-F$68)*3/4))*(1+(F$68+($C$12-F$68)*4/4))*(1-(F$68+($C$12-F$68)*4/4)/$C$9)/(1+$B73)^9+$F$25*(1+(F$68+($C$12-F$68)*0/4))*(1+(F$68+($C$12-F$68)*1/4))*(1+(F$68+($C$12-F$68)*2/4))*(1+(F$68+($C$12-F$68)*3/4))*(1+(F$68+($C$12-F$68)*4/4))*(1+$C$8)*(1-$C$8/$C$9)/($B73-$C$8)/(1+$B73)^9+$C$37-$C$38)/$C$40,0)</f>
        <v>48.8700862545527</v>
      </c>
      <c r="G73" s="109" t="n">
        <f aca="false">IFERROR((SUMPRODUCT($C$27:$F$27/(1+$B73)^$C$16:$F$16)+$F$25*(1+(G$68+($C$12-G$68)*0/4))*(1-(G$68+($C$12-G$68)*0/4)/$C$9)/(1+$B73)^5+$F$25*(1+(G$68+($C$12-G$68)*0/4))*(1+(G$68+($C$12-G$68)*1/4))*(1-(G$68+($C$12-G$68)*1/4)/$C$9)/(1+$B73)^6+$F$25*(1+(G$68+($C$12-G$68)*0/4))*(1+(G$68+($C$12-G$68)*1/4))*(1+(G$68+($C$12-G$68)*2/4))*(1-(G$68+($C$12-G$68)*2/4)/$C$9)/(1+$B73)^7+$F$25*(1+(G$68+($C$12-G$68)*0/4))*(1+(G$68+($C$12-G$68)*1/4))*(1+(G$68+($C$12-G$68)*2/4))*(1+(G$68+($C$12-G$68)*3/4))*(1-(G$68+($C$12-G$68)*3/4)/$C$9)/(1+$B73)^8+$F$25*(1+(G$68+($C$12-G$68)*0/4))*(1+(G$68+($C$12-G$68)*1/4))*(1+(G$68+($C$12-G$68)*2/4))*(1+(G$68+($C$12-G$68)*3/4))*(1+(G$68+($C$12-G$68)*4/4))*(1-(G$68+($C$12-G$68)*4/4)/$C$9)/(1+$B73)^9+$F$25*(1+(G$68+($C$12-G$68)*0/4))*(1+(G$68+($C$12-G$68)*1/4))*(1+(G$68+($C$12-G$68)*2/4))*(1+(G$68+($C$12-G$68)*3/4))*(1+(G$68+($C$12-G$68)*4/4))*(1+$C$8)*(1-$C$8/$C$9)/($B73-$C$8)/(1+$B73)^9+$C$37-$C$38)/$C$40,0)</f>
        <v>49.911386121261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5" min="2" style="0" width="12"/>
    <col collapsed="false" customWidth="true" hidden="false" outlineLevel="0" max="6" min="6" style="0" width="30"/>
  </cols>
  <sheetData>
    <row r="1" customFormat="false" ht="21.6" hidden="false" customHeight="false" outlineLevel="0" collapsed="false">
      <c r="A1" s="1" t="s">
        <v>1071</v>
      </c>
    </row>
    <row r="2" customFormat="false" ht="15" hidden="false" customHeight="false" outlineLevel="0" collapsed="false">
      <c r="A2" s="2" t="s">
        <v>1072</v>
      </c>
    </row>
    <row r="4" customFormat="false" ht="15" hidden="false" customHeight="false" outlineLevel="0" collapsed="false">
      <c r="A4" s="40" t="s">
        <v>1073</v>
      </c>
      <c r="B4" s="6"/>
      <c r="C4" s="6"/>
      <c r="D4" s="6"/>
      <c r="E4" s="6"/>
      <c r="F4" s="6"/>
      <c r="G4" s="6"/>
      <c r="H4" s="6"/>
      <c r="I4" s="6"/>
      <c r="J4" s="6"/>
    </row>
    <row r="5" customFormat="false" ht="15" hidden="false" customHeight="false" outlineLevel="0" collapsed="false">
      <c r="A5" s="39" t="s">
        <v>1074</v>
      </c>
      <c r="B5" s="54"/>
      <c r="C5" s="8" t="s">
        <v>12</v>
      </c>
      <c r="D5" s="8" t="s">
        <v>13</v>
      </c>
      <c r="E5" s="8" t="s">
        <v>14</v>
      </c>
    </row>
    <row r="6" customFormat="false" ht="15" hidden="false" customHeight="false" outlineLevel="0" collapsed="false">
      <c r="A6" s="20" t="n">
        <f aca="false">假设!$C$32+(假设!$C$33-假设!$C$32)*0/5</f>
        <v>30</v>
      </c>
      <c r="C6" s="14" t="n">
        <f aca="false">$A6*三表预测!H29</f>
        <v>64.6583473776425</v>
      </c>
      <c r="D6" s="14" t="n">
        <f aca="false">$A6*三表预测!I29</f>
        <v>85.4775142778972</v>
      </c>
      <c r="E6" s="14" t="n">
        <f aca="false">$A6*三表预测!J29</f>
        <v>94.6689793243681</v>
      </c>
    </row>
    <row r="7" customFormat="false" ht="15" hidden="false" customHeight="false" outlineLevel="0" collapsed="false">
      <c r="A7" s="20" t="n">
        <f aca="false">假设!$C$32+(假设!$C$33-假设!$C$32)*1/5</f>
        <v>35</v>
      </c>
      <c r="C7" s="14" t="n">
        <f aca="false">$A7*三表预测!H29</f>
        <v>75.4347386072496</v>
      </c>
      <c r="D7" s="14" t="n">
        <f aca="false">$A7*三表预测!I29</f>
        <v>99.7237666575467</v>
      </c>
      <c r="E7" s="14" t="n">
        <f aca="false">$A7*三表预测!J29</f>
        <v>110.447142545096</v>
      </c>
    </row>
    <row r="8" customFormat="false" ht="15" hidden="false" customHeight="false" outlineLevel="0" collapsed="false">
      <c r="A8" s="20" t="n">
        <f aca="false">假设!$C$32+(假设!$C$33-假设!$C$32)*2/5</f>
        <v>40</v>
      </c>
      <c r="C8" s="14" t="n">
        <f aca="false">$A8*三表预测!H29</f>
        <v>86.2111298368567</v>
      </c>
      <c r="D8" s="14" t="n">
        <f aca="false">$A8*三表预测!I29</f>
        <v>113.970019037196</v>
      </c>
      <c r="E8" s="14" t="n">
        <f aca="false">$A8*三表预测!J29</f>
        <v>126.225305765824</v>
      </c>
    </row>
    <row r="9" customFormat="false" ht="15" hidden="false" customHeight="false" outlineLevel="0" collapsed="false">
      <c r="A9" s="20" t="n">
        <f aca="false">假设!$C$32+(假设!$C$33-假设!$C$32)*3/5</f>
        <v>45</v>
      </c>
      <c r="C9" s="14" t="n">
        <f aca="false">$A9*三表预测!H29</f>
        <v>96.9875210664638</v>
      </c>
      <c r="D9" s="14" t="n">
        <f aca="false">$A9*三表预测!I29</f>
        <v>128.216271416846</v>
      </c>
      <c r="E9" s="14" t="n">
        <f aca="false">$A9*三表预测!J29</f>
        <v>142.003468986552</v>
      </c>
    </row>
    <row r="10" customFormat="false" ht="15" hidden="false" customHeight="false" outlineLevel="0" collapsed="false">
      <c r="A10" s="20" t="n">
        <f aca="false">假设!$C$32+(假设!$C$33-假设!$C$32)*4/5</f>
        <v>50</v>
      </c>
      <c r="C10" s="14" t="n">
        <f aca="false">$A10*三表预测!H29</f>
        <v>107.763912296071</v>
      </c>
      <c r="D10" s="14" t="n">
        <f aca="false">$A10*三表预测!I29</f>
        <v>142.462523796495</v>
      </c>
      <c r="E10" s="14" t="n">
        <f aca="false">$A10*三表预测!J29</f>
        <v>157.78163220728</v>
      </c>
    </row>
    <row r="11" customFormat="false" ht="15" hidden="false" customHeight="false" outlineLevel="0" collapsed="false">
      <c r="A11" s="20" t="n">
        <f aca="false">假设!$C$32+(假设!$C$33-假设!$C$32)*5/5</f>
        <v>55</v>
      </c>
      <c r="C11" s="14" t="n">
        <f aca="false">$A11*三表预测!H29</f>
        <v>118.540303525678</v>
      </c>
      <c r="D11" s="14" t="n">
        <f aca="false">$A11*三表预测!I29</f>
        <v>156.708776176145</v>
      </c>
      <c r="E11" s="14" t="n">
        <f aca="false">$A11*三表预测!J29</f>
        <v>173.559795428008</v>
      </c>
    </row>
    <row r="12" customFormat="false" ht="15" hidden="false" customHeight="false" outlineLevel="0" collapsed="false">
      <c r="A12" s="13" t="s">
        <v>1075</v>
      </c>
      <c r="C12" s="14" t="n">
        <f aca="false">三表预测!H29</f>
        <v>2.15527824592142</v>
      </c>
      <c r="D12" s="14" t="n">
        <f aca="false">三表预测!I29</f>
        <v>2.84925047592991</v>
      </c>
      <c r="E12" s="14" t="n">
        <f aca="false">三表预测!J29</f>
        <v>3.1556326441456</v>
      </c>
    </row>
    <row r="13" customFormat="false" ht="15" hidden="false" customHeight="false" outlineLevel="0" collapsed="false">
      <c r="A13" s="9" t="s">
        <v>1076</v>
      </c>
      <c r="C13" s="16" t="n">
        <f aca="false">回报分析!H16</f>
        <v>54.9813000823656</v>
      </c>
      <c r="D13" s="16" t="n">
        <f aca="false">回报分析!I16</f>
        <v>41.5898851298166</v>
      </c>
      <c r="E13" s="16" t="n">
        <f aca="false">回报分析!J16</f>
        <v>37.5518995279263</v>
      </c>
    </row>
    <row r="14" customFormat="false" ht="15" hidden="false" customHeight="false" outlineLevel="0" collapsed="false">
      <c r="A14" s="9" t="s">
        <v>1077</v>
      </c>
      <c r="C14" s="16" t="n">
        <f aca="false">回报分析!H17</f>
        <v>7.74896624199771</v>
      </c>
      <c r="D14" s="16" t="n">
        <f aca="false">回报分析!I17</f>
        <v>6.79847833565038</v>
      </c>
      <c r="E14" s="16" t="n">
        <f aca="false">回报分析!J17</f>
        <v>6.0318386273917</v>
      </c>
    </row>
    <row r="15" customFormat="false" ht="15" hidden="false" customHeight="false" outlineLevel="0" collapsed="false">
      <c r="A15" s="9" t="s">
        <v>1078</v>
      </c>
      <c r="C15" s="16" t="n">
        <f aca="false">回报分析!H18</f>
        <v>39.8832539736028</v>
      </c>
      <c r="D15" s="16" t="n">
        <f aca="false">回报分析!I18</f>
        <v>30.2741228267509</v>
      </c>
      <c r="E15" s="16" t="n">
        <f aca="false">回报分析!J18</f>
        <v>27.0879276761629</v>
      </c>
    </row>
    <row r="17" customFormat="false" ht="15" hidden="false" customHeight="false" outlineLevel="0" collapsed="false">
      <c r="A17" s="5" t="s">
        <v>1079</v>
      </c>
      <c r="B17" s="6"/>
      <c r="C17" s="6"/>
      <c r="D17" s="6"/>
      <c r="E17" s="6"/>
      <c r="F17" s="6"/>
      <c r="G17" s="6"/>
      <c r="H17" s="6"/>
      <c r="I17" s="6"/>
      <c r="J17" s="6"/>
    </row>
    <row r="18" customFormat="false" ht="15" hidden="false" customHeight="false" outlineLevel="0" collapsed="false">
      <c r="A18" s="7" t="s">
        <v>1080</v>
      </c>
      <c r="B18" s="54" t="s">
        <v>1081</v>
      </c>
      <c r="C18" s="8" t="s">
        <v>1082</v>
      </c>
      <c r="D18" s="8" t="s">
        <v>1083</v>
      </c>
      <c r="E18" s="8" t="s">
        <v>1084</v>
      </c>
      <c r="F18" s="54" t="s">
        <v>1085</v>
      </c>
    </row>
    <row r="19" customFormat="false" ht="15" hidden="false" customHeight="false" outlineLevel="0" collapsed="false">
      <c r="A19" s="11" t="s">
        <v>1086</v>
      </c>
      <c r="B19" s="4" t="s">
        <v>1087</v>
      </c>
      <c r="C19" s="110"/>
      <c r="D19" s="110"/>
      <c r="E19" s="110"/>
      <c r="F19" s="37" t="s">
        <v>1088</v>
      </c>
    </row>
    <row r="20" customFormat="false" ht="15" hidden="false" customHeight="false" outlineLevel="0" collapsed="false">
      <c r="A20" s="11" t="s">
        <v>1089</v>
      </c>
      <c r="B20" s="4" t="s">
        <v>1090</v>
      </c>
      <c r="C20" s="110"/>
      <c r="D20" s="110"/>
      <c r="E20" s="110"/>
      <c r="F20" s="2" t="s">
        <v>1091</v>
      </c>
    </row>
    <row r="21" customFormat="false" ht="15" hidden="false" customHeight="false" outlineLevel="0" collapsed="false">
      <c r="A21" s="11" t="s">
        <v>1092</v>
      </c>
      <c r="B21" s="4" t="s">
        <v>1093</v>
      </c>
      <c r="C21" s="110"/>
      <c r="D21" s="110"/>
      <c r="E21" s="110"/>
      <c r="F21" s="2" t="s">
        <v>1094</v>
      </c>
    </row>
    <row r="22" customFormat="false" ht="15" hidden="false" customHeight="false" outlineLevel="0" collapsed="false">
      <c r="A22" s="11" t="s">
        <v>1095</v>
      </c>
      <c r="B22" s="4" t="s">
        <v>1096</v>
      </c>
      <c r="C22" s="110"/>
      <c r="D22" s="110"/>
      <c r="E22" s="110"/>
      <c r="F22" s="37" t="s">
        <v>1097</v>
      </c>
    </row>
    <row r="23" customFormat="false" ht="15" hidden="false" customHeight="false" outlineLevel="0" collapsed="false">
      <c r="A23" s="11" t="s">
        <v>1098</v>
      </c>
      <c r="B23" s="4" t="s">
        <v>1099</v>
      </c>
      <c r="C23" s="110"/>
      <c r="D23" s="110"/>
      <c r="E23" s="110"/>
      <c r="F23" s="37" t="s">
        <v>1100</v>
      </c>
    </row>
    <row r="24" customFormat="false" ht="15" hidden="false" customHeight="false" outlineLevel="0" collapsed="false">
      <c r="A24" s="11" t="s">
        <v>1101</v>
      </c>
      <c r="B24" s="4" t="s">
        <v>1102</v>
      </c>
      <c r="C24" s="110"/>
      <c r="D24" s="110"/>
      <c r="E24" s="110"/>
      <c r="F24" s="2" t="s">
        <v>1103</v>
      </c>
    </row>
    <row r="25" customFormat="false" ht="15" hidden="false" customHeight="false" outlineLevel="0" collapsed="false">
      <c r="A25" s="11" t="s">
        <v>1104</v>
      </c>
      <c r="B25" s="4" t="s">
        <v>1105</v>
      </c>
      <c r="C25" s="110"/>
      <c r="D25" s="110"/>
      <c r="E25" s="110"/>
      <c r="F25" s="37" t="s">
        <v>1100</v>
      </c>
    </row>
    <row r="26" customFormat="false" ht="15" hidden="false" customHeight="false" outlineLevel="0" collapsed="false">
      <c r="A26" s="9" t="s">
        <v>1106</v>
      </c>
      <c r="C26" s="111" t="n">
        <f aca="false">IFERROR(MEDIAN(C19:C25),0)</f>
        <v>0</v>
      </c>
      <c r="D26" s="111" t="n">
        <f aca="false">IFERROR(MEDIAN(D19:D25),0)</f>
        <v>0</v>
      </c>
      <c r="E26" s="111" t="n">
        <f aca="false">IFERROR(MEDIAN(E19:E25),0)</f>
        <v>0</v>
      </c>
    </row>
    <row r="27" customFormat="false" ht="15" hidden="false" customHeight="false" outlineLevel="0" collapsed="false">
      <c r="A27" s="9" t="s">
        <v>1107</v>
      </c>
      <c r="C27" s="14" t="n">
        <f aca="false">C26*三表预测!H29</f>
        <v>0</v>
      </c>
      <c r="D27" s="14" t="n">
        <f aca="false">D26*三表预测!I29</f>
        <v>0</v>
      </c>
      <c r="E27" s="14" t="n">
        <f aca="false">E26*融资与资金!H36/股本与每股!H12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13" min="2" style="0" width="12.5"/>
  </cols>
  <sheetData>
    <row r="1" customFormat="false" ht="21.6" hidden="false" customHeight="false" outlineLevel="0" collapsed="false">
      <c r="A1" s="1" t="s">
        <v>1108</v>
      </c>
    </row>
    <row r="2" customFormat="false" ht="15" hidden="false" customHeight="false" outlineLevel="0" collapsed="false">
      <c r="A2" s="2" t="s">
        <v>1109</v>
      </c>
    </row>
    <row r="4" customFormat="false" ht="15" hidden="false" customHeight="false" outlineLevel="0" collapsed="false">
      <c r="A4" s="40" t="s">
        <v>1110</v>
      </c>
      <c r="B4" s="6"/>
      <c r="C4" s="6"/>
      <c r="D4" s="6"/>
      <c r="E4" s="6"/>
      <c r="F4" s="6"/>
      <c r="G4" s="6"/>
      <c r="H4" s="6"/>
      <c r="I4" s="6"/>
      <c r="J4" s="6"/>
      <c r="K4" s="6"/>
      <c r="L4" s="6"/>
      <c r="M4" s="6"/>
    </row>
    <row r="5" customFormat="false" ht="15" hidden="false" customHeight="false" outlineLevel="0" collapsed="false">
      <c r="A5" s="4" t="s">
        <v>1111</v>
      </c>
      <c r="C5" s="112" t="n">
        <v>4260.35652053686</v>
      </c>
    </row>
    <row r="6" customFormat="false" ht="15" hidden="false" customHeight="false" outlineLevel="0" collapsed="false">
      <c r="A6" s="4" t="s">
        <v>1112</v>
      </c>
      <c r="C6" s="112" t="n">
        <v>5632.13722717327</v>
      </c>
    </row>
    <row r="7" customFormat="false" ht="15" hidden="false" customHeight="false" outlineLevel="0" collapsed="false">
      <c r="A7" s="4" t="s">
        <v>1113</v>
      </c>
      <c r="C7" s="112" t="n">
        <v>7002.64916789525</v>
      </c>
    </row>
    <row r="8" customFormat="false" ht="15" hidden="false" customHeight="false" outlineLevel="0" collapsed="false">
      <c r="A8" s="4" t="s">
        <v>1114</v>
      </c>
      <c r="C8" s="112" t="n">
        <v>2579.24763921631</v>
      </c>
    </row>
    <row r="9" customFormat="false" ht="15" hidden="false" customHeight="false" outlineLevel="0" collapsed="false">
      <c r="A9" s="4" t="s">
        <v>42</v>
      </c>
      <c r="C9" s="113" t="n">
        <v>55.0338129345541</v>
      </c>
    </row>
    <row r="10" customFormat="false" ht="15" hidden="false" customHeight="false" outlineLevel="0" collapsed="false">
      <c r="A10" s="4" t="s">
        <v>43</v>
      </c>
      <c r="C10" s="113" t="n">
        <v>53.8546472774509</v>
      </c>
    </row>
    <row r="11" customFormat="false" ht="15" hidden="false" customHeight="false" outlineLevel="0" collapsed="false">
      <c r="A11" s="11" t="s">
        <v>1053</v>
      </c>
      <c r="C11" s="113" t="n">
        <v>118.5</v>
      </c>
    </row>
    <row r="12" customFormat="false" ht="15" hidden="false" customHeight="false" outlineLevel="0" collapsed="false">
      <c r="A12" s="11" t="s">
        <v>44</v>
      </c>
      <c r="C12" s="114" t="n">
        <v>-0.545530402721933</v>
      </c>
    </row>
    <row r="14" customFormat="false" ht="15.65" hidden="false" customHeight="false" outlineLevel="0" collapsed="false">
      <c r="A14" s="40" t="s">
        <v>1115</v>
      </c>
      <c r="B14" s="6"/>
      <c r="C14" s="6"/>
      <c r="D14" s="6"/>
      <c r="E14" s="6"/>
      <c r="F14" s="6"/>
      <c r="G14" s="6"/>
      <c r="H14" s="6"/>
      <c r="I14" s="6"/>
      <c r="J14" s="6"/>
      <c r="K14" s="6"/>
      <c r="L14" s="6"/>
      <c r="M14" s="6"/>
    </row>
    <row r="15" customFormat="false" ht="15.65" hidden="false" customHeight="false" outlineLevel="0" collapsed="false">
      <c r="A15" s="7" t="s">
        <v>1116</v>
      </c>
      <c r="B15" s="54" t="s">
        <v>1117</v>
      </c>
      <c r="C15" s="54" t="s">
        <v>1118</v>
      </c>
      <c r="D15" s="8" t="s">
        <v>1119</v>
      </c>
      <c r="E15" s="8" t="s">
        <v>1120</v>
      </c>
      <c r="F15" s="8" t="s">
        <v>1121</v>
      </c>
      <c r="G15" s="8" t="s">
        <v>1122</v>
      </c>
      <c r="H15" s="8" t="s">
        <v>1123</v>
      </c>
      <c r="I15" s="8" t="s">
        <v>1124</v>
      </c>
      <c r="J15" s="8" t="s">
        <v>1125</v>
      </c>
      <c r="K15" s="8" t="s">
        <v>1126</v>
      </c>
      <c r="L15" s="54" t="s">
        <v>1127</v>
      </c>
    </row>
    <row r="16" customFormat="false" ht="15.65" hidden="false" customHeight="false" outlineLevel="0" collapsed="false">
      <c r="A16" s="4" t="s">
        <v>1128</v>
      </c>
      <c r="B16" s="115" t="n">
        <v>1.3</v>
      </c>
      <c r="C16" s="115" t="n">
        <v>0.9</v>
      </c>
      <c r="D16" s="112" t="n">
        <v>5632.13722717327</v>
      </c>
      <c r="E16" s="112" t="n">
        <v>5632.13722717327</v>
      </c>
      <c r="F16" s="112" t="n">
        <v>0</v>
      </c>
      <c r="G16" s="112" t="n">
        <v>0</v>
      </c>
      <c r="H16" s="113" t="n">
        <v>46.233321546406</v>
      </c>
      <c r="I16" s="113" t="n">
        <v>68.7328780777436</v>
      </c>
      <c r="J16" s="113" t="n">
        <v>-8.80049138814808</v>
      </c>
      <c r="K16" s="113" t="n">
        <v>13.6990651431895</v>
      </c>
      <c r="L16" s="113" t="n">
        <v>22.4995565313376</v>
      </c>
    </row>
    <row r="17" customFormat="false" ht="15.65" hidden="false" customHeight="false" outlineLevel="0" collapsed="false">
      <c r="A17" s="11" t="s">
        <v>1129</v>
      </c>
      <c r="B17" s="114" t="n">
        <v>0.075</v>
      </c>
      <c r="C17" s="114" t="n">
        <v>0.055</v>
      </c>
      <c r="D17" s="112" t="n">
        <v>5632.13722717327</v>
      </c>
      <c r="E17" s="112" t="n">
        <v>5632.13722717327</v>
      </c>
      <c r="F17" s="112" t="n">
        <v>0</v>
      </c>
      <c r="G17" s="112" t="n">
        <v>0</v>
      </c>
      <c r="H17" s="113" t="n">
        <v>47.3756466523806</v>
      </c>
      <c r="I17" s="113" t="n">
        <v>66.151556217544</v>
      </c>
      <c r="J17" s="113" t="n">
        <v>-7.6581662821735</v>
      </c>
      <c r="K17" s="113" t="n">
        <v>11.11774328299</v>
      </c>
      <c r="L17" s="113" t="n">
        <v>18.7759095651635</v>
      </c>
    </row>
    <row r="18" customFormat="false" ht="15.65" hidden="false" customHeight="false" outlineLevel="0" collapsed="false">
      <c r="A18" s="11" t="s">
        <v>1130</v>
      </c>
      <c r="B18" s="114" t="n">
        <v>-0.05</v>
      </c>
      <c r="C18" s="114" t="n">
        <v>0.05</v>
      </c>
      <c r="D18" s="112" t="n">
        <v>5466.49876553739</v>
      </c>
      <c r="E18" s="112" t="n">
        <v>5801.68353646004</v>
      </c>
      <c r="F18" s="112" t="n">
        <v>-165.638461635876</v>
      </c>
      <c r="G18" s="112" t="n">
        <v>169.546309286773</v>
      </c>
      <c r="H18" s="113" t="n">
        <v>49.2106754132956</v>
      </c>
      <c r="I18" s="113" t="n">
        <v>62.1888661440586</v>
      </c>
      <c r="J18" s="113" t="n">
        <v>-5.82313752125847</v>
      </c>
      <c r="K18" s="113" t="n">
        <v>7.15505320950449</v>
      </c>
      <c r="L18" s="113" t="n">
        <v>12.978190730763</v>
      </c>
    </row>
    <row r="19" customFormat="false" ht="15.65" hidden="false" customHeight="false" outlineLevel="0" collapsed="false">
      <c r="A19" s="11" t="s">
        <v>1131</v>
      </c>
      <c r="B19" s="114" t="n">
        <v>-0.03</v>
      </c>
      <c r="C19" s="114" t="n">
        <v>0.03</v>
      </c>
      <c r="D19" s="112" t="n">
        <v>5513.28319944544</v>
      </c>
      <c r="E19" s="112" t="n">
        <v>5753.07106177413</v>
      </c>
      <c r="F19" s="112" t="n">
        <v>-118.854027727835</v>
      </c>
      <c r="G19" s="112" t="n">
        <v>120.933834600863</v>
      </c>
      <c r="H19" s="113" t="n">
        <v>50.9255638561378</v>
      </c>
      <c r="I19" s="113" t="n">
        <v>59.7634995855705</v>
      </c>
      <c r="J19" s="113" t="n">
        <v>-4.10824907841631</v>
      </c>
      <c r="K19" s="113" t="n">
        <v>4.72968665101648</v>
      </c>
      <c r="L19" s="113" t="n">
        <v>8.83793572943279</v>
      </c>
    </row>
    <row r="20" customFormat="false" ht="15.65" hidden="false" customHeight="false" outlineLevel="0" collapsed="false">
      <c r="A20" s="11" t="s">
        <v>1132</v>
      </c>
      <c r="B20" s="114" t="n">
        <v>0.024</v>
      </c>
      <c r="C20" s="114" t="n">
        <v>0.014</v>
      </c>
      <c r="D20" s="112" t="n">
        <v>5632.13722717327</v>
      </c>
      <c r="E20" s="112" t="n">
        <v>5632.13722717327</v>
      </c>
      <c r="F20" s="112" t="n">
        <v>0</v>
      </c>
      <c r="G20" s="112" t="n">
        <v>0</v>
      </c>
      <c r="H20" s="113" t="n">
        <v>51.2289413074503</v>
      </c>
      <c r="I20" s="113" t="n">
        <v>59.5345490121693</v>
      </c>
      <c r="J20" s="113" t="n">
        <v>-3.80487162710377</v>
      </c>
      <c r="K20" s="113" t="n">
        <v>4.50073607761527</v>
      </c>
      <c r="L20" s="113" t="n">
        <v>8.30560770471903</v>
      </c>
    </row>
    <row r="21" customFormat="false" ht="15.65" hidden="false" customHeight="false" outlineLevel="0" collapsed="false">
      <c r="A21" s="11" t="s">
        <v>1133</v>
      </c>
      <c r="B21" s="114" t="n">
        <v>-0.05</v>
      </c>
      <c r="C21" s="114" t="n">
        <v>0.05</v>
      </c>
      <c r="D21" s="112" t="n">
        <v>5536.97295335871</v>
      </c>
      <c r="E21" s="112" t="n">
        <v>5729.46020376674</v>
      </c>
      <c r="F21" s="112" t="n">
        <v>-95.1642738145611</v>
      </c>
      <c r="G21" s="112" t="n">
        <v>97.3229765934666</v>
      </c>
      <c r="H21" s="113" t="n">
        <v>51.7350860676097</v>
      </c>
      <c r="I21" s="113" t="n">
        <v>59.0204146545759</v>
      </c>
      <c r="J21" s="113" t="n">
        <v>-3.29872686694434</v>
      </c>
      <c r="K21" s="113" t="n">
        <v>3.98660172002187</v>
      </c>
      <c r="L21" s="113" t="n">
        <v>7.2853285869662</v>
      </c>
    </row>
    <row r="22" customFormat="false" ht="15.65" hidden="false" customHeight="false" outlineLevel="0" collapsed="false">
      <c r="A22" s="11" t="s">
        <v>1134</v>
      </c>
      <c r="B22" s="114" t="n">
        <v>0.15</v>
      </c>
      <c r="C22" s="114" t="n">
        <v>0.35</v>
      </c>
      <c r="D22" s="112" t="n">
        <v>5632.13722717327</v>
      </c>
      <c r="E22" s="112" t="n">
        <v>5632.13722717327</v>
      </c>
      <c r="F22" s="112" t="n">
        <v>0</v>
      </c>
      <c r="G22" s="112" t="n">
        <v>0</v>
      </c>
      <c r="H22" s="113" t="n">
        <v>50.6770186803482</v>
      </c>
      <c r="I22" s="113" t="n">
        <v>56.9010104720709</v>
      </c>
      <c r="J22" s="113" t="n">
        <v>-4.35679425420588</v>
      </c>
      <c r="K22" s="113" t="n">
        <v>1.8671975375168</v>
      </c>
      <c r="L22" s="113" t="n">
        <v>6.22399179172268</v>
      </c>
    </row>
    <row r="23" customFormat="false" ht="15.65" hidden="false" customHeight="false" outlineLevel="0" collapsed="false">
      <c r="A23" s="11" t="s">
        <v>1135</v>
      </c>
      <c r="B23" s="114" t="n">
        <v>-0.02</v>
      </c>
      <c r="C23" s="114" t="n">
        <v>0.02</v>
      </c>
      <c r="D23" s="112" t="n">
        <v>5335.84187784938</v>
      </c>
      <c r="E23" s="112" t="n">
        <v>5928.43257649716</v>
      </c>
      <c r="F23" s="112" t="n">
        <v>-296.295349323892</v>
      </c>
      <c r="G23" s="112" t="n">
        <v>296.295349323893</v>
      </c>
      <c r="H23" s="113" t="n">
        <v>52.0221003443448</v>
      </c>
      <c r="I23" s="113" t="n">
        <v>58.0453382176422</v>
      </c>
      <c r="J23" s="113" t="n">
        <v>-3.0117125902093</v>
      </c>
      <c r="K23" s="113" t="n">
        <v>3.0115252830881</v>
      </c>
      <c r="L23" s="113" t="n">
        <v>6.0232378732974</v>
      </c>
    </row>
    <row r="24" customFormat="false" ht="15.65" hidden="false" customHeight="false" outlineLevel="0" collapsed="false">
      <c r="A24" s="11" t="s">
        <v>1136</v>
      </c>
      <c r="B24" s="114" t="n">
        <v>-0.04</v>
      </c>
      <c r="C24" s="114" t="n">
        <v>0.04</v>
      </c>
      <c r="D24" s="112" t="n">
        <v>5632.13722717327</v>
      </c>
      <c r="E24" s="112" t="n">
        <v>5632.13722717327</v>
      </c>
      <c r="F24" s="112" t="n">
        <v>0</v>
      </c>
      <c r="G24" s="112" t="n">
        <v>0</v>
      </c>
      <c r="H24" s="113" t="n">
        <v>51.90650371241</v>
      </c>
      <c r="I24" s="113" t="n">
        <v>57.7214037591933</v>
      </c>
      <c r="J24" s="113" t="n">
        <v>-3.12730922214406</v>
      </c>
      <c r="K24" s="113" t="n">
        <v>2.68759082463922</v>
      </c>
      <c r="L24" s="113" t="n">
        <v>5.81490004678328</v>
      </c>
    </row>
    <row r="25" customFormat="false" ht="15.65" hidden="false" customHeight="false" outlineLevel="0" collapsed="false">
      <c r="A25" s="11" t="s">
        <v>1137</v>
      </c>
      <c r="B25" s="114" t="n">
        <v>0.03</v>
      </c>
      <c r="C25" s="114" t="n">
        <v>-0.03</v>
      </c>
      <c r="D25" s="112" t="n">
        <v>5546.87863692982</v>
      </c>
      <c r="E25" s="112" t="n">
        <v>5715.79212675291</v>
      </c>
      <c r="F25" s="112" t="n">
        <v>-85.2585902434475</v>
      </c>
      <c r="G25" s="112" t="n">
        <v>83.6548995796375</v>
      </c>
      <c r="H25" s="113" t="n">
        <v>52.6123534505487</v>
      </c>
      <c r="I25" s="113" t="n">
        <v>57.2297531127095</v>
      </c>
      <c r="J25" s="113" t="n">
        <v>-2.42145948400535</v>
      </c>
      <c r="K25" s="113" t="n">
        <v>2.19594017815543</v>
      </c>
      <c r="L25" s="113" t="n">
        <v>4.61739966216078</v>
      </c>
    </row>
    <row r="26" customFormat="false" ht="15.65" hidden="false" customHeight="false" outlineLevel="0" collapsed="false">
      <c r="A26" s="11" t="s">
        <v>1138</v>
      </c>
      <c r="B26" s="114" t="n">
        <v>0.025</v>
      </c>
      <c r="C26" s="114" t="n">
        <v>0.035</v>
      </c>
      <c r="D26" s="112" t="n">
        <v>5632.13722717327</v>
      </c>
      <c r="E26" s="112" t="n">
        <v>5632.13722717327</v>
      </c>
      <c r="F26" s="112" t="n">
        <v>0</v>
      </c>
      <c r="G26" s="112" t="n">
        <v>0</v>
      </c>
      <c r="H26" s="113" t="n">
        <v>53.1523179124574</v>
      </c>
      <c r="I26" s="113" t="n">
        <v>57.2545191107558</v>
      </c>
      <c r="J26" s="113" t="n">
        <v>-1.8814950220967</v>
      </c>
      <c r="K26" s="113" t="n">
        <v>2.22070617620175</v>
      </c>
      <c r="L26" s="113" t="n">
        <v>4.10220119829845</v>
      </c>
    </row>
    <row r="27" customFormat="false" ht="15.65" hidden="false" customHeight="false" outlineLevel="0" collapsed="false">
      <c r="A27" s="11" t="s">
        <v>1139</v>
      </c>
      <c r="B27" s="114" t="n">
        <v>0.03</v>
      </c>
      <c r="C27" s="114" t="n">
        <v>-0.03</v>
      </c>
      <c r="D27" s="112" t="n">
        <v>5577.40837409502</v>
      </c>
      <c r="E27" s="112" t="n">
        <v>5686.11863772456</v>
      </c>
      <c r="F27" s="112" t="n">
        <v>-54.7288530782507</v>
      </c>
      <c r="G27" s="112" t="n">
        <v>53.9814105512842</v>
      </c>
      <c r="H27" s="113" t="n">
        <v>52.9686431363277</v>
      </c>
      <c r="I27" s="113" t="n">
        <v>56.9319720217841</v>
      </c>
      <c r="J27" s="113" t="n">
        <v>-2.0651697982264</v>
      </c>
      <c r="K27" s="113" t="n">
        <v>1.89815908723008</v>
      </c>
      <c r="L27" s="113" t="n">
        <v>3.96332888545648</v>
      </c>
    </row>
    <row r="28" customFormat="false" ht="15.65" hidden="false" customHeight="false" outlineLevel="0" collapsed="false">
      <c r="A28" s="11" t="s">
        <v>1140</v>
      </c>
      <c r="B28" s="114" t="n">
        <v>-0.02</v>
      </c>
      <c r="C28" s="114" t="n">
        <v>0.02</v>
      </c>
      <c r="D28" s="112" t="n">
        <v>5577.21376471282</v>
      </c>
      <c r="E28" s="112" t="n">
        <v>5687.82648851246</v>
      </c>
      <c r="F28" s="112" t="n">
        <v>-54.9234624604524</v>
      </c>
      <c r="G28" s="112" t="n">
        <v>55.6892613391883</v>
      </c>
      <c r="H28" s="113" t="n">
        <v>53.319908284709</v>
      </c>
      <c r="I28" s="113" t="n">
        <v>56.9178563456748</v>
      </c>
      <c r="J28" s="113" t="n">
        <v>-1.71390464984509</v>
      </c>
      <c r="K28" s="113" t="n">
        <v>1.88404341112076</v>
      </c>
      <c r="L28" s="113" t="n">
        <v>3.59794806096586</v>
      </c>
    </row>
    <row r="29" customFormat="false" ht="15.65" hidden="false" customHeight="false" outlineLevel="0" collapsed="false">
      <c r="A29" s="11" t="s">
        <v>1141</v>
      </c>
      <c r="B29" s="114" t="n">
        <v>0.25</v>
      </c>
      <c r="C29" s="114" t="n">
        <v>-0.25</v>
      </c>
      <c r="D29" s="112" t="n">
        <v>5610.37241745733</v>
      </c>
      <c r="E29" s="112" t="n">
        <v>5653.88514180017</v>
      </c>
      <c r="F29" s="112" t="n">
        <v>-21.7648097159454</v>
      </c>
      <c r="G29" s="112" t="n">
        <v>21.7479146268979</v>
      </c>
      <c r="H29" s="113" t="n">
        <v>53.3351525055641</v>
      </c>
      <c r="I29" s="113" t="n">
        <v>56.7021864488552</v>
      </c>
      <c r="J29" s="113" t="n">
        <v>-1.69866042899</v>
      </c>
      <c r="K29" s="113" t="n">
        <v>1.66837351430118</v>
      </c>
      <c r="L29" s="113" t="n">
        <v>3.36703394329118</v>
      </c>
    </row>
    <row r="30" customFormat="false" ht="15.65" hidden="false" customHeight="false" outlineLevel="0" collapsed="false">
      <c r="A30" s="11" t="s">
        <v>1142</v>
      </c>
      <c r="B30" s="114" t="n">
        <v>-0.05</v>
      </c>
      <c r="C30" s="114" t="n">
        <v>0.05</v>
      </c>
      <c r="D30" s="112" t="n">
        <v>5592.11137547112</v>
      </c>
      <c r="E30" s="112" t="n">
        <v>5673.35287003019</v>
      </c>
      <c r="F30" s="112" t="n">
        <v>-40.0258517021539</v>
      </c>
      <c r="G30" s="112" t="n">
        <v>41.2156428569197</v>
      </c>
      <c r="H30" s="113" t="n">
        <v>53.8390583073431</v>
      </c>
      <c r="I30" s="113" t="n">
        <v>56.499223818879</v>
      </c>
      <c r="J30" s="113" t="n">
        <v>-1.19475462721101</v>
      </c>
      <c r="K30" s="113" t="n">
        <v>1.46541088432497</v>
      </c>
      <c r="L30" s="113" t="n">
        <v>2.66016551153599</v>
      </c>
    </row>
    <row r="31" customFormat="false" ht="15.65" hidden="false" customHeight="false" outlineLevel="0" collapsed="false">
      <c r="A31" s="11" t="s">
        <v>1143</v>
      </c>
      <c r="B31" s="114" t="n">
        <v>0.02</v>
      </c>
      <c r="C31" s="114" t="n">
        <v>-0.02</v>
      </c>
      <c r="D31" s="112" t="n">
        <v>5500.50471965271</v>
      </c>
      <c r="E31" s="112" t="n">
        <v>5763.80509542844</v>
      </c>
      <c r="F31" s="112" t="n">
        <v>-131.632507520561</v>
      </c>
      <c r="G31" s="112" t="n">
        <v>131.66786825517</v>
      </c>
      <c r="H31" s="113" t="n">
        <v>53.8741935993593</v>
      </c>
      <c r="I31" s="113" t="n">
        <v>56.1934328888446</v>
      </c>
      <c r="J31" s="113" t="n">
        <v>-1.15961933519475</v>
      </c>
      <c r="K31" s="113" t="n">
        <v>1.15961995429055</v>
      </c>
      <c r="L31" s="113" t="n">
        <v>2.3192392894853</v>
      </c>
    </row>
    <row r="32" customFormat="false" ht="15.65" hidden="false" customHeight="false" outlineLevel="0" collapsed="false">
      <c r="A32" s="11" t="s">
        <v>1144</v>
      </c>
      <c r="B32" s="116" t="n">
        <v>15</v>
      </c>
      <c r="C32" s="116" t="n">
        <v>-15</v>
      </c>
      <c r="D32" s="112" t="n">
        <v>5610.37643213088</v>
      </c>
      <c r="E32" s="112" t="n">
        <v>5653.89802221567</v>
      </c>
      <c r="F32" s="112" t="n">
        <v>-21.7607950423953</v>
      </c>
      <c r="G32" s="112" t="n">
        <v>21.7607950423944</v>
      </c>
      <c r="H32" s="113" t="n">
        <v>54.240432898162</v>
      </c>
      <c r="I32" s="113" t="n">
        <v>55.8272232346701</v>
      </c>
      <c r="J32" s="113" t="n">
        <v>-0.793380036392087</v>
      </c>
      <c r="K32" s="113" t="n">
        <v>0.793410300116051</v>
      </c>
      <c r="L32" s="113" t="n">
        <v>1.58679033650814</v>
      </c>
    </row>
    <row r="33" customFormat="false" ht="15.65" hidden="false" customHeight="false" outlineLevel="0" collapsed="false">
      <c r="A33" s="11" t="s">
        <v>1145</v>
      </c>
      <c r="B33" s="114" t="n">
        <v>0.1</v>
      </c>
      <c r="C33" s="114" t="n">
        <v>-0.1</v>
      </c>
      <c r="D33" s="112" t="n">
        <v>5557.73047579735</v>
      </c>
      <c r="E33" s="112" t="n">
        <v>5706.47587874633</v>
      </c>
      <c r="F33" s="112" t="n">
        <v>-74.4067513759201</v>
      </c>
      <c r="G33" s="112" t="n">
        <v>74.3386515730545</v>
      </c>
      <c r="H33" s="113" t="n">
        <v>54.278820848231</v>
      </c>
      <c r="I33" s="113" t="n">
        <v>55.7785912077986</v>
      </c>
      <c r="J33" s="113" t="n">
        <v>-0.75499208632305</v>
      </c>
      <c r="K33" s="113" t="n">
        <v>0.744778273244499</v>
      </c>
      <c r="L33" s="113" t="n">
        <v>1.49977035956755</v>
      </c>
    </row>
    <row r="34" customFormat="false" ht="15.65" hidden="false" customHeight="false" outlineLevel="0" collapsed="false">
      <c r="A34" s="11" t="s">
        <v>1146</v>
      </c>
      <c r="B34" s="114" t="n">
        <v>-0.15</v>
      </c>
      <c r="C34" s="114" t="n">
        <v>0.15</v>
      </c>
      <c r="D34" s="112" t="n">
        <v>5566.57223797144</v>
      </c>
      <c r="E34" s="112" t="n">
        <v>5697.7022163751</v>
      </c>
      <c r="F34" s="112" t="n">
        <v>-65.5649892018282</v>
      </c>
      <c r="G34" s="112" t="n">
        <v>65.5649892018273</v>
      </c>
      <c r="H34" s="113" t="n">
        <v>54.524134776259</v>
      </c>
      <c r="I34" s="113" t="n">
        <v>55.5435197870743</v>
      </c>
      <c r="J34" s="113" t="n">
        <v>-0.509678158295067</v>
      </c>
      <c r="K34" s="113" t="n">
        <v>0.509706852520203</v>
      </c>
      <c r="L34" s="113" t="n">
        <v>1.01938501081527</v>
      </c>
    </row>
    <row r="35" customFormat="false" ht="15.65" hidden="false" customHeight="false" outlineLevel="0" collapsed="false">
      <c r="A35" s="11" t="s">
        <v>1147</v>
      </c>
      <c r="B35" s="114" t="n">
        <v>-0.003</v>
      </c>
      <c r="C35" s="114" t="n">
        <v>0.003</v>
      </c>
      <c r="D35" s="112" t="n">
        <v>5587.5899855008</v>
      </c>
      <c r="E35" s="112" t="n">
        <v>5676.68446884574</v>
      </c>
      <c r="F35" s="112" t="n">
        <v>-44.5472416724679</v>
      </c>
      <c r="G35" s="112" t="n">
        <v>44.547241672467</v>
      </c>
      <c r="H35" s="113" t="n">
        <v>54.5881649240567</v>
      </c>
      <c r="I35" s="113" t="n">
        <v>55.479456489447</v>
      </c>
      <c r="J35" s="113" t="n">
        <v>-0.445648010497365</v>
      </c>
      <c r="K35" s="113" t="n">
        <v>0.445643554892953</v>
      </c>
      <c r="L35" s="113" t="n">
        <v>0.891291565390318</v>
      </c>
    </row>
    <row r="36" customFormat="false" ht="15.65" hidden="false" customHeight="false" outlineLevel="0" collapsed="false">
      <c r="A36" s="11" t="s">
        <v>1148</v>
      </c>
      <c r="B36" s="114" t="n">
        <v>0.003</v>
      </c>
      <c r="C36" s="114" t="n">
        <v>-0.003</v>
      </c>
      <c r="D36" s="112" t="n">
        <v>5587.5899855008</v>
      </c>
      <c r="E36" s="112" t="n">
        <v>5676.68446884574</v>
      </c>
      <c r="F36" s="112" t="n">
        <v>-44.5472416724679</v>
      </c>
      <c r="G36" s="112" t="n">
        <v>44.5472416724679</v>
      </c>
      <c r="H36" s="113" t="n">
        <v>54.5881649240567</v>
      </c>
      <c r="I36" s="113" t="n">
        <v>55.479456489447</v>
      </c>
      <c r="J36" s="113" t="n">
        <v>-0.445648010497365</v>
      </c>
      <c r="K36" s="113" t="n">
        <v>0.445643554892939</v>
      </c>
      <c r="L36" s="113" t="n">
        <v>0.891291565390304</v>
      </c>
    </row>
    <row r="37" customFormat="false" ht="15.65" hidden="false" customHeight="false" outlineLevel="0" collapsed="false">
      <c r="A37" s="4" t="s">
        <v>1149</v>
      </c>
      <c r="B37" s="114" t="n">
        <v>-0.3</v>
      </c>
      <c r="C37" s="114" t="n">
        <v>0.3</v>
      </c>
      <c r="D37" s="112" t="n">
        <v>5546.92139377282</v>
      </c>
      <c r="E37" s="112" t="n">
        <v>5717.35306057372</v>
      </c>
      <c r="F37" s="112" t="n">
        <v>-85.2158334004471</v>
      </c>
      <c r="G37" s="112" t="n">
        <v>85.2158334004471</v>
      </c>
      <c r="H37" s="113" t="n">
        <v>54.665142661354</v>
      </c>
      <c r="I37" s="113" t="n">
        <v>55.403029373146</v>
      </c>
      <c r="J37" s="113" t="n">
        <v>-0.368670273200102</v>
      </c>
      <c r="K37" s="113" t="n">
        <v>0.369216438591927</v>
      </c>
      <c r="L37" s="113" t="n">
        <v>0.737886711792029</v>
      </c>
    </row>
    <row r="38" customFormat="false" ht="15.65" hidden="false" customHeight="false" outlineLevel="0" collapsed="false">
      <c r="A38" s="11" t="s">
        <v>1150</v>
      </c>
      <c r="B38" s="114" t="n">
        <v>-0.15</v>
      </c>
      <c r="C38" s="114" t="n">
        <v>0.15</v>
      </c>
      <c r="D38" s="112" t="n">
        <v>5589.52931047305</v>
      </c>
      <c r="E38" s="112" t="n">
        <v>5674.7451438735</v>
      </c>
      <c r="F38" s="112" t="n">
        <v>-42.6079167002235</v>
      </c>
      <c r="G38" s="112" t="n">
        <v>42.6079167002245</v>
      </c>
      <c r="H38" s="113" t="n">
        <v>54.8494082738212</v>
      </c>
      <c r="I38" s="113" t="n">
        <v>55.2183541215126</v>
      </c>
      <c r="J38" s="113" t="n">
        <v>-0.184404660732895</v>
      </c>
      <c r="K38" s="113" t="n">
        <v>0.184541186958519</v>
      </c>
      <c r="L38" s="113" t="n">
        <v>0.368945847691414</v>
      </c>
    </row>
    <row r="39" customFormat="false" ht="15.65" hidden="false" customHeight="false" outlineLevel="0" collapsed="false">
      <c r="A39" s="11" t="s">
        <v>1151</v>
      </c>
      <c r="B39" s="114" t="n">
        <v>-0.005</v>
      </c>
      <c r="C39" s="114" t="n">
        <v>0.005</v>
      </c>
      <c r="D39" s="112" t="n">
        <v>5552.14149766886</v>
      </c>
      <c r="E39" s="112" t="n">
        <v>5712.41538707659</v>
      </c>
      <c r="F39" s="112" t="n">
        <v>-79.9957295044151</v>
      </c>
      <c r="G39" s="112" t="n">
        <v>80.2781599033178</v>
      </c>
      <c r="H39" s="113" t="n">
        <v>55.0361904631891</v>
      </c>
      <c r="I39" s="113" t="n">
        <v>55.0317269178601</v>
      </c>
      <c r="J39" s="113" t="n">
        <v>0.00237752863504426</v>
      </c>
      <c r="K39" s="113" t="n">
        <v>-0.002086016693994</v>
      </c>
      <c r="L39" s="113" t="n">
        <v>0.00446354532903825</v>
      </c>
    </row>
    <row r="53" customFormat="false" ht="15" hidden="false" customHeight="false" outlineLevel="0" collapsed="false">
      <c r="A53" s="40" t="s">
        <v>1152</v>
      </c>
      <c r="B53" s="6"/>
      <c r="C53" s="6"/>
      <c r="D53" s="6"/>
      <c r="E53" s="6"/>
      <c r="F53" s="6"/>
      <c r="G53" s="6"/>
      <c r="H53" s="6"/>
      <c r="I53" s="6"/>
      <c r="J53" s="6"/>
      <c r="K53" s="6"/>
      <c r="L53" s="6"/>
      <c r="M53" s="6"/>
    </row>
    <row r="54" customFormat="false" ht="15" hidden="false" customHeight="false" outlineLevel="0" collapsed="false">
      <c r="A54" s="7" t="s">
        <v>1116</v>
      </c>
      <c r="B54" s="54" t="s">
        <v>1117</v>
      </c>
      <c r="C54" s="54" t="s">
        <v>1118</v>
      </c>
      <c r="D54" s="8" t="s">
        <v>1119</v>
      </c>
      <c r="E54" s="8" t="s">
        <v>1120</v>
      </c>
      <c r="F54" s="8" t="s">
        <v>1121</v>
      </c>
      <c r="G54" s="8" t="s">
        <v>1122</v>
      </c>
      <c r="H54" s="8" t="s">
        <v>1123</v>
      </c>
      <c r="I54" s="8" t="s">
        <v>1124</v>
      </c>
      <c r="J54" s="8" t="s">
        <v>1125</v>
      </c>
      <c r="K54" s="8" t="s">
        <v>1126</v>
      </c>
      <c r="L54" s="54" t="s">
        <v>1127</v>
      </c>
    </row>
    <row r="55" customFormat="false" ht="15" hidden="false" customHeight="false" outlineLevel="0" collapsed="false">
      <c r="A55" s="11" t="s">
        <v>1135</v>
      </c>
      <c r="B55" s="114" t="n">
        <v>-0.02</v>
      </c>
      <c r="C55" s="114" t="n">
        <v>0.02</v>
      </c>
      <c r="D55" s="112" t="n">
        <v>5335.84187784938</v>
      </c>
      <c r="E55" s="112" t="n">
        <v>5928.43257649716</v>
      </c>
      <c r="F55" s="112" t="n">
        <v>-296.295349323892</v>
      </c>
      <c r="G55" s="112" t="n">
        <v>296.295349323893</v>
      </c>
      <c r="H55" s="113" t="n">
        <v>52.0221003443448</v>
      </c>
      <c r="I55" s="113" t="n">
        <v>58.0453382176422</v>
      </c>
      <c r="J55" s="113" t="n">
        <v>-3.0117125902093</v>
      </c>
      <c r="K55" s="113" t="n">
        <v>3.0115252830881</v>
      </c>
      <c r="L55" s="112" t="n">
        <v>592.590698647785</v>
      </c>
    </row>
    <row r="56" customFormat="false" ht="15" hidden="false" customHeight="false" outlineLevel="0" collapsed="false">
      <c r="A56" s="11" t="s">
        <v>1130</v>
      </c>
      <c r="B56" s="114" t="n">
        <v>-0.05</v>
      </c>
      <c r="C56" s="114" t="n">
        <v>0.05</v>
      </c>
      <c r="D56" s="112" t="n">
        <v>5466.49876553739</v>
      </c>
      <c r="E56" s="112" t="n">
        <v>5801.68353646004</v>
      </c>
      <c r="F56" s="112" t="n">
        <v>-165.638461635876</v>
      </c>
      <c r="G56" s="112" t="n">
        <v>169.546309286773</v>
      </c>
      <c r="H56" s="113" t="n">
        <v>49.2106754132956</v>
      </c>
      <c r="I56" s="113" t="n">
        <v>62.1888661440586</v>
      </c>
      <c r="J56" s="113" t="n">
        <v>-5.82313752125847</v>
      </c>
      <c r="K56" s="113" t="n">
        <v>7.15505320950449</v>
      </c>
      <c r="L56" s="112" t="n">
        <v>335.18477092265</v>
      </c>
    </row>
    <row r="57" customFormat="false" ht="15" hidden="false" customHeight="false" outlineLevel="0" collapsed="false">
      <c r="A57" s="11" t="s">
        <v>1143</v>
      </c>
      <c r="B57" s="114" t="n">
        <v>0.02</v>
      </c>
      <c r="C57" s="114" t="n">
        <v>-0.02</v>
      </c>
      <c r="D57" s="112" t="n">
        <v>5500.50471965271</v>
      </c>
      <c r="E57" s="112" t="n">
        <v>5763.80509542844</v>
      </c>
      <c r="F57" s="112" t="n">
        <v>-131.632507520561</v>
      </c>
      <c r="G57" s="112" t="n">
        <v>131.66786825517</v>
      </c>
      <c r="H57" s="113" t="n">
        <v>53.8741935993593</v>
      </c>
      <c r="I57" s="113" t="n">
        <v>56.1934328888446</v>
      </c>
      <c r="J57" s="113" t="n">
        <v>-1.15961933519475</v>
      </c>
      <c r="K57" s="113" t="n">
        <v>1.15961995429055</v>
      </c>
      <c r="L57" s="112" t="n">
        <v>263.300375775732</v>
      </c>
    </row>
    <row r="58" customFormat="false" ht="15" hidden="false" customHeight="false" outlineLevel="0" collapsed="false">
      <c r="A58" s="11" t="s">
        <v>1131</v>
      </c>
      <c r="B58" s="114" t="n">
        <v>-0.03</v>
      </c>
      <c r="C58" s="114" t="n">
        <v>0.03</v>
      </c>
      <c r="D58" s="112" t="n">
        <v>5513.28319944544</v>
      </c>
      <c r="E58" s="112" t="n">
        <v>5753.07106177413</v>
      </c>
      <c r="F58" s="112" t="n">
        <v>-118.854027727835</v>
      </c>
      <c r="G58" s="112" t="n">
        <v>120.933834600863</v>
      </c>
      <c r="H58" s="113" t="n">
        <v>50.9255638561378</v>
      </c>
      <c r="I58" s="113" t="n">
        <v>59.7634995855705</v>
      </c>
      <c r="J58" s="113" t="n">
        <v>-4.10824907841631</v>
      </c>
      <c r="K58" s="113" t="n">
        <v>4.72968665101648</v>
      </c>
      <c r="L58" s="112" t="n">
        <v>239.787862328698</v>
      </c>
    </row>
    <row r="59" customFormat="false" ht="15" hidden="false" customHeight="false" outlineLevel="0" collapsed="false">
      <c r="A59" s="11" t="s">
        <v>1133</v>
      </c>
      <c r="B59" s="114" t="n">
        <v>-0.05</v>
      </c>
      <c r="C59" s="114" t="n">
        <v>0.05</v>
      </c>
      <c r="D59" s="112" t="n">
        <v>5536.97295335871</v>
      </c>
      <c r="E59" s="112" t="n">
        <v>5729.46020376674</v>
      </c>
      <c r="F59" s="112" t="n">
        <v>-95.1642738145611</v>
      </c>
      <c r="G59" s="112" t="n">
        <v>97.3229765934666</v>
      </c>
      <c r="H59" s="113" t="n">
        <v>51.7350860676097</v>
      </c>
      <c r="I59" s="113" t="n">
        <v>59.0204146545759</v>
      </c>
      <c r="J59" s="113" t="n">
        <v>-3.29872686694434</v>
      </c>
      <c r="K59" s="113" t="n">
        <v>3.98660172002187</v>
      </c>
      <c r="L59" s="112" t="n">
        <v>192.487250408028</v>
      </c>
    </row>
    <row r="60" customFormat="false" ht="15" hidden="false" customHeight="false" outlineLevel="0" collapsed="false">
      <c r="A60" s="4" t="s">
        <v>1149</v>
      </c>
      <c r="B60" s="114" t="n">
        <v>-0.3</v>
      </c>
      <c r="C60" s="114" t="n">
        <v>0.3</v>
      </c>
      <c r="D60" s="112" t="n">
        <v>5546.92139377282</v>
      </c>
      <c r="E60" s="112" t="n">
        <v>5717.35306057372</v>
      </c>
      <c r="F60" s="112" t="n">
        <v>-85.2158334004471</v>
      </c>
      <c r="G60" s="112" t="n">
        <v>85.2158334004471</v>
      </c>
      <c r="H60" s="113" t="n">
        <v>54.665142661354</v>
      </c>
      <c r="I60" s="113" t="n">
        <v>55.403029373146</v>
      </c>
      <c r="J60" s="113" t="n">
        <v>-0.368670273200102</v>
      </c>
      <c r="K60" s="113" t="n">
        <v>0.369216438591927</v>
      </c>
      <c r="L60" s="112" t="n">
        <v>170.431666800894</v>
      </c>
    </row>
    <row r="61" customFormat="false" ht="15" hidden="false" customHeight="false" outlineLevel="0" collapsed="false">
      <c r="A61" s="11" t="s">
        <v>1137</v>
      </c>
      <c r="B61" s="114" t="n">
        <v>0.03</v>
      </c>
      <c r="C61" s="114" t="n">
        <v>-0.03</v>
      </c>
      <c r="D61" s="112" t="n">
        <v>5546.87863692982</v>
      </c>
      <c r="E61" s="112" t="n">
        <v>5715.79212675291</v>
      </c>
      <c r="F61" s="112" t="n">
        <v>-85.2585902434475</v>
      </c>
      <c r="G61" s="112" t="n">
        <v>83.6548995796375</v>
      </c>
      <c r="H61" s="113" t="n">
        <v>52.6123534505487</v>
      </c>
      <c r="I61" s="113" t="n">
        <v>57.2297531127095</v>
      </c>
      <c r="J61" s="113" t="n">
        <v>-2.42145948400535</v>
      </c>
      <c r="K61" s="113" t="n">
        <v>2.19594017815543</v>
      </c>
      <c r="L61" s="112" t="n">
        <v>168.913489823085</v>
      </c>
    </row>
    <row r="62" customFormat="false" ht="15" hidden="false" customHeight="false" outlineLevel="0" collapsed="false">
      <c r="A62" s="11" t="s">
        <v>1151</v>
      </c>
      <c r="B62" s="114" t="n">
        <v>-0.005</v>
      </c>
      <c r="C62" s="114" t="n">
        <v>0.005</v>
      </c>
      <c r="D62" s="112" t="n">
        <v>5552.14149766886</v>
      </c>
      <c r="E62" s="112" t="n">
        <v>5712.41538707659</v>
      </c>
      <c r="F62" s="112" t="n">
        <v>-79.9957295044151</v>
      </c>
      <c r="G62" s="112" t="n">
        <v>80.2781599033178</v>
      </c>
      <c r="H62" s="113" t="n">
        <v>55.0361904631891</v>
      </c>
      <c r="I62" s="113" t="n">
        <v>55.0317269178601</v>
      </c>
      <c r="J62" s="113" t="n">
        <v>0.00237752863504426</v>
      </c>
      <c r="K62" s="113" t="n">
        <v>-0.002086016693994</v>
      </c>
      <c r="L62" s="112" t="n">
        <v>160.273889407733</v>
      </c>
    </row>
    <row r="63" customFormat="false" ht="15" hidden="false" customHeight="false" outlineLevel="0" collapsed="false">
      <c r="A63" s="11" t="s">
        <v>1145</v>
      </c>
      <c r="B63" s="114" t="n">
        <v>0.1</v>
      </c>
      <c r="C63" s="114" t="n">
        <v>-0.1</v>
      </c>
      <c r="D63" s="112" t="n">
        <v>5557.73047579735</v>
      </c>
      <c r="E63" s="112" t="n">
        <v>5706.47587874633</v>
      </c>
      <c r="F63" s="112" t="n">
        <v>-74.4067513759201</v>
      </c>
      <c r="G63" s="112" t="n">
        <v>74.3386515730545</v>
      </c>
      <c r="H63" s="113" t="n">
        <v>54.278820848231</v>
      </c>
      <c r="I63" s="113" t="n">
        <v>55.7785912077986</v>
      </c>
      <c r="J63" s="113" t="n">
        <v>-0.75499208632305</v>
      </c>
      <c r="K63" s="113" t="n">
        <v>0.744778273244499</v>
      </c>
      <c r="L63" s="112" t="n">
        <v>148.745402948975</v>
      </c>
    </row>
    <row r="64" customFormat="false" ht="15" hidden="false" customHeight="false" outlineLevel="0" collapsed="false">
      <c r="A64" s="11" t="s">
        <v>1146</v>
      </c>
      <c r="B64" s="114" t="n">
        <v>-0.15</v>
      </c>
      <c r="C64" s="114" t="n">
        <v>0.15</v>
      </c>
      <c r="D64" s="112" t="n">
        <v>5566.57223797144</v>
      </c>
      <c r="E64" s="112" t="n">
        <v>5697.7022163751</v>
      </c>
      <c r="F64" s="112" t="n">
        <v>-65.5649892018282</v>
      </c>
      <c r="G64" s="112" t="n">
        <v>65.5649892018273</v>
      </c>
      <c r="H64" s="113" t="n">
        <v>54.524134776259</v>
      </c>
      <c r="I64" s="113" t="n">
        <v>55.5435197870743</v>
      </c>
      <c r="J64" s="113" t="n">
        <v>-0.509678158295067</v>
      </c>
      <c r="K64" s="113" t="n">
        <v>0.509706852520203</v>
      </c>
      <c r="L64" s="112" t="n">
        <v>131.129978403656</v>
      </c>
    </row>
    <row r="65" customFormat="false" ht="15" hidden="false" customHeight="false" outlineLevel="0" collapsed="false">
      <c r="A65" s="11" t="s">
        <v>1140</v>
      </c>
      <c r="B65" s="114" t="n">
        <v>-0.02</v>
      </c>
      <c r="C65" s="114" t="n">
        <v>0.02</v>
      </c>
      <c r="D65" s="112" t="n">
        <v>5577.21376471282</v>
      </c>
      <c r="E65" s="112" t="n">
        <v>5687.82648851246</v>
      </c>
      <c r="F65" s="112" t="n">
        <v>-54.9234624604524</v>
      </c>
      <c r="G65" s="112" t="n">
        <v>55.6892613391883</v>
      </c>
      <c r="H65" s="113" t="n">
        <v>53.319908284709</v>
      </c>
      <c r="I65" s="113" t="n">
        <v>56.9178563456748</v>
      </c>
      <c r="J65" s="113" t="n">
        <v>-1.71390464984509</v>
      </c>
      <c r="K65" s="113" t="n">
        <v>1.88404341112076</v>
      </c>
      <c r="L65" s="112" t="n">
        <v>110.612723799641</v>
      </c>
    </row>
    <row r="66" customFormat="false" ht="15" hidden="false" customHeight="false" outlineLevel="0" collapsed="false">
      <c r="A66" s="11" t="s">
        <v>1139</v>
      </c>
      <c r="B66" s="114" t="n">
        <v>0.03</v>
      </c>
      <c r="C66" s="114" t="n">
        <v>-0.03</v>
      </c>
      <c r="D66" s="112" t="n">
        <v>5577.40837409502</v>
      </c>
      <c r="E66" s="112" t="n">
        <v>5686.11863772456</v>
      </c>
      <c r="F66" s="112" t="n">
        <v>-54.7288530782507</v>
      </c>
      <c r="G66" s="112" t="n">
        <v>53.9814105512842</v>
      </c>
      <c r="H66" s="113" t="n">
        <v>52.9686431363277</v>
      </c>
      <c r="I66" s="113" t="n">
        <v>56.9319720217841</v>
      </c>
      <c r="J66" s="113" t="n">
        <v>-2.0651697982264</v>
      </c>
      <c r="K66" s="113" t="n">
        <v>1.89815908723008</v>
      </c>
      <c r="L66" s="112" t="n">
        <v>108.710263629535</v>
      </c>
    </row>
    <row r="67" customFormat="false" ht="15" hidden="false" customHeight="false" outlineLevel="0" collapsed="false">
      <c r="A67" s="11" t="s">
        <v>1148</v>
      </c>
      <c r="B67" s="114" t="n">
        <v>0.003</v>
      </c>
      <c r="C67" s="114" t="n">
        <v>-0.003</v>
      </c>
      <c r="D67" s="112" t="n">
        <v>5587.5899855008</v>
      </c>
      <c r="E67" s="112" t="n">
        <v>5676.68446884574</v>
      </c>
      <c r="F67" s="112" t="n">
        <v>-44.5472416724679</v>
      </c>
      <c r="G67" s="112" t="n">
        <v>44.5472416724679</v>
      </c>
      <c r="H67" s="113" t="n">
        <v>54.5881649240567</v>
      </c>
      <c r="I67" s="113" t="n">
        <v>55.479456489447</v>
      </c>
      <c r="J67" s="113" t="n">
        <v>-0.445648010497365</v>
      </c>
      <c r="K67" s="113" t="n">
        <v>0.445643554892939</v>
      </c>
      <c r="L67" s="112" t="n">
        <v>89.0944833449357</v>
      </c>
    </row>
    <row r="68" customFormat="false" ht="15" hidden="false" customHeight="false" outlineLevel="0" collapsed="false">
      <c r="A68" s="11" t="s">
        <v>1147</v>
      </c>
      <c r="B68" s="114" t="n">
        <v>-0.003</v>
      </c>
      <c r="C68" s="114" t="n">
        <v>0.003</v>
      </c>
      <c r="D68" s="112" t="n">
        <v>5587.5899855008</v>
      </c>
      <c r="E68" s="112" t="n">
        <v>5676.68446884574</v>
      </c>
      <c r="F68" s="112" t="n">
        <v>-44.5472416724679</v>
      </c>
      <c r="G68" s="112" t="n">
        <v>44.547241672467</v>
      </c>
      <c r="H68" s="113" t="n">
        <v>54.5881649240567</v>
      </c>
      <c r="I68" s="113" t="n">
        <v>55.479456489447</v>
      </c>
      <c r="J68" s="113" t="n">
        <v>-0.445648010497365</v>
      </c>
      <c r="K68" s="113" t="n">
        <v>0.445643554892953</v>
      </c>
      <c r="L68" s="112" t="n">
        <v>89.0944833449348</v>
      </c>
    </row>
    <row r="69" customFormat="false" ht="15" hidden="false" customHeight="false" outlineLevel="0" collapsed="false">
      <c r="A69" s="11" t="s">
        <v>1150</v>
      </c>
      <c r="B69" s="114" t="n">
        <v>-0.15</v>
      </c>
      <c r="C69" s="114" t="n">
        <v>0.15</v>
      </c>
      <c r="D69" s="112" t="n">
        <v>5589.52931047305</v>
      </c>
      <c r="E69" s="112" t="n">
        <v>5674.7451438735</v>
      </c>
      <c r="F69" s="112" t="n">
        <v>-42.6079167002235</v>
      </c>
      <c r="G69" s="112" t="n">
        <v>42.6079167002245</v>
      </c>
      <c r="H69" s="113" t="n">
        <v>54.8494082738212</v>
      </c>
      <c r="I69" s="113" t="n">
        <v>55.2183541215126</v>
      </c>
      <c r="J69" s="113" t="n">
        <v>-0.184404660732895</v>
      </c>
      <c r="K69" s="113" t="n">
        <v>0.184541186958519</v>
      </c>
      <c r="L69" s="112" t="n">
        <v>85.215833400448</v>
      </c>
    </row>
    <row r="70" customFormat="false" ht="15" hidden="false" customHeight="false" outlineLevel="0" collapsed="false">
      <c r="A70" s="11" t="s">
        <v>1142</v>
      </c>
      <c r="B70" s="114" t="n">
        <v>-0.05</v>
      </c>
      <c r="C70" s="114" t="n">
        <v>0.05</v>
      </c>
      <c r="D70" s="112" t="n">
        <v>5592.11137547112</v>
      </c>
      <c r="E70" s="112" t="n">
        <v>5673.35287003019</v>
      </c>
      <c r="F70" s="112" t="n">
        <v>-40.0258517021539</v>
      </c>
      <c r="G70" s="112" t="n">
        <v>41.2156428569197</v>
      </c>
      <c r="H70" s="113" t="n">
        <v>53.8390583073431</v>
      </c>
      <c r="I70" s="113" t="n">
        <v>56.499223818879</v>
      </c>
      <c r="J70" s="113" t="n">
        <v>-1.19475462721101</v>
      </c>
      <c r="K70" s="113" t="n">
        <v>1.46541088432497</v>
      </c>
      <c r="L70" s="112" t="n">
        <v>81.2414945590735</v>
      </c>
    </row>
    <row r="71" customFormat="false" ht="15" hidden="false" customHeight="false" outlineLevel="0" collapsed="false">
      <c r="A71" s="11" t="s">
        <v>1144</v>
      </c>
      <c r="B71" s="116" t="n">
        <v>15</v>
      </c>
      <c r="C71" s="116" t="n">
        <v>-15</v>
      </c>
      <c r="D71" s="112" t="n">
        <v>5610.37643213088</v>
      </c>
      <c r="E71" s="112" t="n">
        <v>5653.89802221567</v>
      </c>
      <c r="F71" s="112" t="n">
        <v>-21.7607950423953</v>
      </c>
      <c r="G71" s="112" t="n">
        <v>21.7607950423944</v>
      </c>
      <c r="H71" s="113" t="n">
        <v>54.240432898162</v>
      </c>
      <c r="I71" s="113" t="n">
        <v>55.8272232346701</v>
      </c>
      <c r="J71" s="113" t="n">
        <v>-0.793380036392087</v>
      </c>
      <c r="K71" s="113" t="n">
        <v>0.793410300116051</v>
      </c>
      <c r="L71" s="112" t="n">
        <v>43.5215900847898</v>
      </c>
    </row>
    <row r="72" customFormat="false" ht="15" hidden="false" customHeight="false" outlineLevel="0" collapsed="false">
      <c r="A72" s="11" t="s">
        <v>1141</v>
      </c>
      <c r="B72" s="114" t="n">
        <v>0.25</v>
      </c>
      <c r="C72" s="114" t="n">
        <v>-0.25</v>
      </c>
      <c r="D72" s="112" t="n">
        <v>5610.37241745733</v>
      </c>
      <c r="E72" s="112" t="n">
        <v>5653.88514180017</v>
      </c>
      <c r="F72" s="112" t="n">
        <v>-21.7648097159454</v>
      </c>
      <c r="G72" s="112" t="n">
        <v>21.7479146268979</v>
      </c>
      <c r="H72" s="113" t="n">
        <v>53.3351525055641</v>
      </c>
      <c r="I72" s="113" t="n">
        <v>56.7021864488552</v>
      </c>
      <c r="J72" s="113" t="n">
        <v>-1.69866042899</v>
      </c>
      <c r="K72" s="113" t="n">
        <v>1.66837351430118</v>
      </c>
      <c r="L72" s="112" t="n">
        <v>43.5127243428433</v>
      </c>
    </row>
    <row r="83" customFormat="false" ht="15" hidden="false" customHeight="false" outlineLevel="0" collapsed="false">
      <c r="A83" s="40" t="s">
        <v>1153</v>
      </c>
      <c r="B83" s="6"/>
      <c r="C83" s="6"/>
      <c r="D83" s="6"/>
      <c r="E83" s="6"/>
      <c r="F83" s="6"/>
      <c r="G83" s="6"/>
      <c r="H83" s="6"/>
      <c r="I83" s="6"/>
      <c r="J83" s="6"/>
      <c r="K83" s="6"/>
      <c r="L83" s="6"/>
      <c r="M83" s="6"/>
    </row>
    <row r="84" customFormat="false" ht="15" hidden="false" customHeight="false" outlineLevel="0" collapsed="false">
      <c r="A84" s="38" t="s">
        <v>1154</v>
      </c>
    </row>
    <row r="85" customFormat="false" ht="15" hidden="false" customHeight="false" outlineLevel="0" collapsed="false">
      <c r="B85" s="13" t="s">
        <v>1155</v>
      </c>
      <c r="I85" s="13" t="s">
        <v>1156</v>
      </c>
    </row>
    <row r="86" customFormat="false" ht="15" hidden="false" customHeight="false" outlineLevel="0" collapsed="false">
      <c r="B86" s="9" t="s">
        <v>1157</v>
      </c>
      <c r="C86" s="117" t="n">
        <v>-0.2</v>
      </c>
      <c r="D86" s="117" t="n">
        <v>-0.1</v>
      </c>
      <c r="E86" s="117" t="n">
        <v>0</v>
      </c>
      <c r="F86" s="117" t="n">
        <v>0.1</v>
      </c>
      <c r="G86" s="117" t="n">
        <v>0.2</v>
      </c>
      <c r="I86" s="9" t="s">
        <v>1157</v>
      </c>
      <c r="J86" s="117" t="n">
        <v>-0.2</v>
      </c>
      <c r="K86" s="117" t="n">
        <v>-0.1</v>
      </c>
      <c r="L86" s="117" t="n">
        <v>0</v>
      </c>
      <c r="M86" s="117" t="n">
        <v>0.1</v>
      </c>
      <c r="N86" s="117" t="n">
        <v>0.2</v>
      </c>
    </row>
    <row r="87" customFormat="false" ht="15" hidden="false" customHeight="false" outlineLevel="0" collapsed="false">
      <c r="B87" s="117" t="n">
        <v>-0.4</v>
      </c>
      <c r="C87" s="112" t="n">
        <v>5466.08899469378</v>
      </c>
      <c r="D87" s="112" t="n">
        <v>5492.30255533323</v>
      </c>
      <c r="E87" s="112" t="n">
        <v>5518.51611597268</v>
      </c>
      <c r="F87" s="112" t="n">
        <v>5544.72967661212</v>
      </c>
      <c r="G87" s="112" t="n">
        <v>5570.94323725157</v>
      </c>
      <c r="I87" s="117" t="n">
        <v>-0.4</v>
      </c>
      <c r="J87" s="113" t="n">
        <v>54.1324612056208</v>
      </c>
      <c r="K87" s="113" t="n">
        <v>54.3374165375119</v>
      </c>
      <c r="L87" s="113" t="n">
        <v>54.542377442366</v>
      </c>
      <c r="M87" s="113" t="n">
        <v>54.7473438368531</v>
      </c>
      <c r="N87" s="113" t="n">
        <v>54.9523156392956</v>
      </c>
    </row>
    <row r="88" customFormat="false" ht="15" hidden="false" customHeight="false" outlineLevel="0" collapsed="false">
      <c r="B88" s="117" t="n">
        <v>-0.2</v>
      </c>
      <c r="C88" s="112" t="n">
        <v>5505.40311813231</v>
      </c>
      <c r="D88" s="112" t="n">
        <v>5540.36489485264</v>
      </c>
      <c r="E88" s="112" t="n">
        <v>5575.32667157298</v>
      </c>
      <c r="F88" s="112" t="n">
        <v>5610.28844829331</v>
      </c>
      <c r="G88" s="112" t="n">
        <v>5645.25022501364</v>
      </c>
      <c r="I88" s="117" t="n">
        <v>-0.2</v>
      </c>
      <c r="J88" s="113" t="n">
        <v>54.2432539503943</v>
      </c>
      <c r="K88" s="113" t="n">
        <v>54.5156078335425</v>
      </c>
      <c r="L88" s="113" t="n">
        <v>54.7879708268683</v>
      </c>
      <c r="M88" s="113" t="n">
        <v>55.0603427505416</v>
      </c>
      <c r="N88" s="113" t="n">
        <v>55.3327234294332</v>
      </c>
    </row>
    <row r="89" customFormat="false" ht="15" hidden="false" customHeight="false" outlineLevel="0" collapsed="false">
      <c r="B89" s="117" t="n">
        <v>0</v>
      </c>
      <c r="C89" s="112" t="n">
        <v>5544.71724157083</v>
      </c>
      <c r="D89" s="112" t="n">
        <v>5588.42723437205</v>
      </c>
      <c r="E89" s="118" t="n">
        <v>5632.13722717327</v>
      </c>
      <c r="F89" s="112" t="n">
        <v>5675.84721997449</v>
      </c>
      <c r="G89" s="112" t="n">
        <v>5719.55721277571</v>
      </c>
      <c r="I89" s="117" t="n">
        <v>0</v>
      </c>
      <c r="J89" s="113" t="n">
        <v>54.3542486196271</v>
      </c>
      <c r="K89" s="113" t="n">
        <v>54.6940242414566</v>
      </c>
      <c r="L89" s="119" t="n">
        <v>55.0338129345541</v>
      </c>
      <c r="M89" s="113" t="n">
        <v>55.373614379566</v>
      </c>
      <c r="N89" s="113" t="n">
        <v>55.7134282674555</v>
      </c>
    </row>
    <row r="90" customFormat="false" ht="15" hidden="false" customHeight="false" outlineLevel="0" collapsed="false">
      <c r="B90" s="117" t="n">
        <v>0.2</v>
      </c>
      <c r="C90" s="112" t="n">
        <v>5584.03136500936</v>
      </c>
      <c r="D90" s="112" t="n">
        <v>5636.48957389146</v>
      </c>
      <c r="E90" s="112" t="n">
        <v>5688.94778277357</v>
      </c>
      <c r="F90" s="112" t="n">
        <v>5741.40599165568</v>
      </c>
      <c r="G90" s="112" t="n">
        <v>5793.86420053778</v>
      </c>
      <c r="I90" s="117" t="n">
        <v>0.2</v>
      </c>
      <c r="J90" s="113" t="n">
        <v>54.4654422642322</v>
      </c>
      <c r="K90" s="113" t="n">
        <v>54.872661390062</v>
      </c>
      <c r="L90" s="113" t="n">
        <v>55.2798977624992</v>
      </c>
      <c r="M90" s="113" t="n">
        <v>55.6871508808467</v>
      </c>
      <c r="N90" s="113" t="n">
        <v>56.0944202635989</v>
      </c>
    </row>
    <row r="91" customFormat="false" ht="15" hidden="false" customHeight="false" outlineLevel="0" collapsed="false">
      <c r="B91" s="117" t="n">
        <v>0.4</v>
      </c>
      <c r="C91" s="112" t="n">
        <v>5623.34548844788</v>
      </c>
      <c r="D91" s="112" t="n">
        <v>5684.55191341087</v>
      </c>
      <c r="E91" s="112" t="n">
        <v>5745.75833837387</v>
      </c>
      <c r="F91" s="112" t="n">
        <v>5806.96476333686</v>
      </c>
      <c r="G91" s="112" t="n">
        <v>5868.17118829986</v>
      </c>
      <c r="I91" s="117" t="n">
        <v>0.4</v>
      </c>
      <c r="J91" s="113" t="n">
        <v>54.5768319919866</v>
      </c>
      <c r="K91" s="113" t="n">
        <v>55.0515150202569</v>
      </c>
      <c r="L91" s="113" t="n">
        <v>55.5262194989831</v>
      </c>
      <c r="M91" s="113" t="n">
        <v>56.0009447086874</v>
      </c>
      <c r="N91" s="113" t="n">
        <v>56.4756899617049</v>
      </c>
    </row>
    <row r="93" customFormat="false" ht="15" hidden="false" customHeight="false" outlineLevel="0" collapsed="false">
      <c r="A93" s="3" t="s">
        <v>1158</v>
      </c>
    </row>
    <row r="94" customFormat="false" ht="15" hidden="false" customHeight="false" outlineLevel="0" collapsed="false">
      <c r="B94" s="13" t="s">
        <v>1155</v>
      </c>
      <c r="I94" s="13" t="s">
        <v>1156</v>
      </c>
    </row>
    <row r="95" customFormat="false" ht="15" hidden="false" customHeight="false" outlineLevel="0" collapsed="false">
      <c r="B95" s="9" t="s">
        <v>1157</v>
      </c>
      <c r="C95" s="117" t="n">
        <v>-0.1</v>
      </c>
      <c r="D95" s="117" t="n">
        <v>-0.05</v>
      </c>
      <c r="E95" s="117" t="n">
        <v>0</v>
      </c>
      <c r="F95" s="117" t="n">
        <v>0.05</v>
      </c>
      <c r="G95" s="117" t="n">
        <v>0.1</v>
      </c>
      <c r="I95" s="9" t="s">
        <v>1157</v>
      </c>
      <c r="J95" s="117" t="n">
        <v>-0.1</v>
      </c>
      <c r="K95" s="117" t="n">
        <v>-0.05</v>
      </c>
      <c r="L95" s="117" t="n">
        <v>0</v>
      </c>
      <c r="M95" s="117" t="n">
        <v>0.05</v>
      </c>
      <c r="N95" s="117" t="n">
        <v>0.1</v>
      </c>
    </row>
    <row r="96" customFormat="false" ht="15" hidden="false" customHeight="false" outlineLevel="0" collapsed="false">
      <c r="B96" s="117" t="n">
        <v>-0.06</v>
      </c>
      <c r="C96" s="112" t="n">
        <v>5095.12745457027</v>
      </c>
      <c r="D96" s="112" t="n">
        <v>5244.01936607448</v>
      </c>
      <c r="E96" s="112" t="n">
        <v>5396.50897859062</v>
      </c>
      <c r="F96" s="112" t="n">
        <v>5552.59629211869</v>
      </c>
      <c r="G96" s="112" t="n">
        <v>5712.28130665869</v>
      </c>
      <c r="I96" s="117" t="n">
        <v>-0.06</v>
      </c>
      <c r="J96" s="113" t="n">
        <v>40.4473668606062</v>
      </c>
      <c r="K96" s="113" t="n">
        <v>43.2435884382083</v>
      </c>
      <c r="L96" s="113" t="n">
        <v>47.2372692260916</v>
      </c>
      <c r="M96" s="113" t="n">
        <v>52.419184685891</v>
      </c>
      <c r="N96" s="113" t="n">
        <v>58.568210043743</v>
      </c>
    </row>
    <row r="97" customFormat="false" ht="15" hidden="false" customHeight="false" outlineLevel="0" collapsed="false">
      <c r="B97" s="117" t="n">
        <v>-0.03</v>
      </c>
      <c r="C97" s="112" t="n">
        <v>5199.02256266164</v>
      </c>
      <c r="D97" s="112" t="n">
        <v>5354.27717803483</v>
      </c>
      <c r="E97" s="112" t="n">
        <v>5513.28319944544</v>
      </c>
      <c r="F97" s="112" t="n">
        <v>5676.04062689346</v>
      </c>
      <c r="G97" s="112" t="n">
        <v>5842.54946037889</v>
      </c>
      <c r="I97" s="117" t="n">
        <v>-0.03</v>
      </c>
      <c r="J97" s="113" t="n">
        <v>42.2691706430805</v>
      </c>
      <c r="K97" s="113" t="n">
        <v>45.6194050419237</v>
      </c>
      <c r="L97" s="113" t="n">
        <v>50.9255638561378</v>
      </c>
      <c r="M97" s="113" t="n">
        <v>56.9478404783539</v>
      </c>
      <c r="N97" s="113" t="n">
        <v>64.298442802021</v>
      </c>
    </row>
    <row r="98" customFormat="false" ht="15" hidden="false" customHeight="false" outlineLevel="0" collapsed="false">
      <c r="B98" s="117" t="n">
        <v>0</v>
      </c>
      <c r="C98" s="112" t="n">
        <v>5304.7681515524</v>
      </c>
      <c r="D98" s="112" t="n">
        <v>5466.49876553739</v>
      </c>
      <c r="E98" s="118" t="n">
        <v>5632.13722717327</v>
      </c>
      <c r="F98" s="112" t="n">
        <v>5801.68353646004</v>
      </c>
      <c r="G98" s="112" t="n">
        <v>5975.1376933977</v>
      </c>
      <c r="I98" s="117" t="n">
        <v>0</v>
      </c>
      <c r="J98" s="113" t="n">
        <v>44.2796534021377</v>
      </c>
      <c r="K98" s="113" t="n">
        <v>49.2106754132956</v>
      </c>
      <c r="L98" s="119" t="n">
        <v>55.0338129345541</v>
      </c>
      <c r="M98" s="113" t="n">
        <v>62.1888661440586</v>
      </c>
      <c r="N98" s="113" t="n">
        <v>70.9550225842606</v>
      </c>
    </row>
    <row r="99" customFormat="false" ht="15" hidden="false" customHeight="false" outlineLevel="0" collapsed="false">
      <c r="B99" s="117" t="n">
        <v>0.03</v>
      </c>
      <c r="C99" s="112" t="n">
        <v>5412.36422124256</v>
      </c>
      <c r="D99" s="112" t="n">
        <v>5580.68412858217</v>
      </c>
      <c r="E99" s="112" t="n">
        <v>5753.07106177413</v>
      </c>
      <c r="F99" s="112" t="n">
        <v>5929.52502081846</v>
      </c>
      <c r="G99" s="112" t="n">
        <v>6110.04600571514</v>
      </c>
      <c r="I99" s="117" t="n">
        <v>0.03</v>
      </c>
      <c r="J99" s="113" t="n">
        <v>47.159801799267</v>
      </c>
      <c r="K99" s="113" t="n">
        <v>52.8864676152854</v>
      </c>
      <c r="L99" s="113" t="n">
        <v>59.7634995855705</v>
      </c>
      <c r="M99" s="113" t="n">
        <v>68.2455529426916</v>
      </c>
      <c r="N99" s="113" t="n">
        <v>78.6757513848669</v>
      </c>
    </row>
    <row r="100" customFormat="false" ht="15" hidden="false" customHeight="false" outlineLevel="0" collapsed="false">
      <c r="B100" s="117" t="n">
        <v>0.06</v>
      </c>
      <c r="C100" s="112" t="n">
        <v>5521.81077173211</v>
      </c>
      <c r="D100" s="112" t="n">
        <v>5696.83326716916</v>
      </c>
      <c r="E100" s="112" t="n">
        <v>5876.08470324802</v>
      </c>
      <c r="F100" s="112" t="n">
        <v>6059.5650799687</v>
      </c>
      <c r="G100" s="112" t="n">
        <v>6247.27439733119</v>
      </c>
      <c r="I100" s="117" t="n">
        <v>0.06</v>
      </c>
      <c r="J100" s="113" t="n">
        <v>50.5707635167052</v>
      </c>
      <c r="K100" s="113" t="n">
        <v>57.0965218014389</v>
      </c>
      <c r="L100" s="113" t="n">
        <v>65.201276690715</v>
      </c>
      <c r="M100" s="113" t="n">
        <v>75.2348484554785</v>
      </c>
      <c r="N100" s="113" t="n">
        <v>87.616707487628</v>
      </c>
    </row>
    <row r="102" customFormat="false" ht="15" hidden="false" customHeight="false" outlineLevel="0" collapsed="false">
      <c r="A102" s="3" t="s">
        <v>1159</v>
      </c>
    </row>
    <row r="103" customFormat="false" ht="15" hidden="false" customHeight="false" outlineLevel="0" collapsed="false">
      <c r="B103" s="13" t="s">
        <v>1155</v>
      </c>
      <c r="I103" s="13" t="s">
        <v>1156</v>
      </c>
    </row>
    <row r="104" customFormat="false" ht="15" hidden="false" customHeight="false" outlineLevel="0" collapsed="false">
      <c r="B104" s="9" t="s">
        <v>1157</v>
      </c>
      <c r="C104" s="117" t="n">
        <v>-0.1</v>
      </c>
      <c r="D104" s="117" t="n">
        <v>-0.05</v>
      </c>
      <c r="E104" s="117" t="n">
        <v>0</v>
      </c>
      <c r="F104" s="117" t="n">
        <v>0.05</v>
      </c>
      <c r="G104" s="117" t="n">
        <v>0.1</v>
      </c>
      <c r="I104" s="9" t="s">
        <v>1157</v>
      </c>
      <c r="J104" s="117" t="n">
        <v>-0.1</v>
      </c>
      <c r="K104" s="117" t="n">
        <v>-0.05</v>
      </c>
      <c r="L104" s="117" t="n">
        <v>0</v>
      </c>
      <c r="M104" s="117" t="n">
        <v>0.05</v>
      </c>
      <c r="N104" s="117" t="n">
        <v>0.1</v>
      </c>
    </row>
    <row r="105" customFormat="false" ht="15" hidden="false" customHeight="false" outlineLevel="0" collapsed="false">
      <c r="B105" s="117" t="n">
        <v>-0.03</v>
      </c>
      <c r="C105" s="112" t="n">
        <v>5012.72864514059</v>
      </c>
      <c r="D105" s="112" t="n">
        <v>5099.20762792009</v>
      </c>
      <c r="E105" s="112" t="n">
        <v>5187.69420318743</v>
      </c>
      <c r="F105" s="112" t="n">
        <v>5278.18837094263</v>
      </c>
      <c r="G105" s="112" t="n">
        <v>5370.69013118567</v>
      </c>
      <c r="I105" s="117" t="n">
        <v>-0.03</v>
      </c>
      <c r="J105" s="113" t="n">
        <v>44.9984194591032</v>
      </c>
      <c r="K105" s="113" t="n">
        <v>47.4907069162054</v>
      </c>
      <c r="L105" s="113" t="n">
        <v>50.5161622893124</v>
      </c>
      <c r="M105" s="113" t="n">
        <v>54.1729061167376</v>
      </c>
      <c r="N105" s="113" t="n">
        <v>58.5774440479678</v>
      </c>
    </row>
    <row r="106" customFormat="false" ht="15" hidden="false" customHeight="false" outlineLevel="0" collapsed="false">
      <c r="B106" s="117" t="n">
        <v>-0.015</v>
      </c>
      <c r="C106" s="112" t="n">
        <v>5228.34801373182</v>
      </c>
      <c r="D106" s="112" t="n">
        <v>5318.0902906394</v>
      </c>
      <c r="E106" s="112" t="n">
        <v>5409.91571518035</v>
      </c>
      <c r="F106" s="112" t="n">
        <v>5503.82428735468</v>
      </c>
      <c r="G106" s="112" t="n">
        <v>5599.81600716239</v>
      </c>
      <c r="I106" s="117" t="n">
        <v>-0.015</v>
      </c>
      <c r="J106" s="113" t="n">
        <v>47.0081378294057</v>
      </c>
      <c r="K106" s="113" t="n">
        <v>49.6129619095933</v>
      </c>
      <c r="L106" s="113" t="n">
        <v>52.7750479732512</v>
      </c>
      <c r="M106" s="113" t="n">
        <v>56.5967157970793</v>
      </c>
      <c r="N106" s="113" t="n">
        <v>61.1994123375343</v>
      </c>
    </row>
    <row r="107" customFormat="false" ht="15" hidden="false" customHeight="false" outlineLevel="0" collapsed="false">
      <c r="B107" s="117" t="n">
        <v>0</v>
      </c>
      <c r="C107" s="112" t="n">
        <v>5443.96738232306</v>
      </c>
      <c r="D107" s="112" t="n">
        <v>5536.97295335871</v>
      </c>
      <c r="E107" s="118" t="n">
        <v>5632.13722717327</v>
      </c>
      <c r="F107" s="112" t="n">
        <v>5729.46020376674</v>
      </c>
      <c r="G107" s="112" t="n">
        <v>5828.94188313911</v>
      </c>
      <c r="I107" s="117" t="n">
        <v>0</v>
      </c>
      <c r="J107" s="113" t="n">
        <v>49.0177151336814</v>
      </c>
      <c r="K107" s="113" t="n">
        <v>51.7350860676097</v>
      </c>
      <c r="L107" s="119" t="n">
        <v>55.0338129345541</v>
      </c>
      <c r="M107" s="113" t="n">
        <v>59.0204146545759</v>
      </c>
      <c r="N107" s="113" t="n">
        <v>63.8212794218091</v>
      </c>
    </row>
    <row r="108" customFormat="false" ht="15" hidden="false" customHeight="false" outlineLevel="0" collapsed="false">
      <c r="B108" s="117" t="n">
        <v>0.015</v>
      </c>
      <c r="C108" s="112" t="n">
        <v>5659.58675091429</v>
      </c>
      <c r="D108" s="112" t="n">
        <v>5755.85561607802</v>
      </c>
      <c r="E108" s="112" t="n">
        <v>5854.35873916619</v>
      </c>
      <c r="F108" s="112" t="n">
        <v>5955.0961201788</v>
      </c>
      <c r="G108" s="112" t="n">
        <v>6058.06775911584</v>
      </c>
      <c r="I108" s="117" t="n">
        <v>0.015</v>
      </c>
      <c r="J108" s="113" t="n">
        <v>51.0271698469273</v>
      </c>
      <c r="K108" s="113" t="n">
        <v>53.8570963744678</v>
      </c>
      <c r="L108" s="113" t="n">
        <v>57.2924727004992</v>
      </c>
      <c r="M108" s="113" t="n">
        <v>61.4440168083508</v>
      </c>
      <c r="N108" s="113" t="n">
        <v>66.4430580709949</v>
      </c>
    </row>
    <row r="109" customFormat="false" ht="15" hidden="false" customHeight="false" outlineLevel="0" collapsed="false">
      <c r="B109" s="117" t="n">
        <v>0.03</v>
      </c>
      <c r="C109" s="112" t="n">
        <v>5875.20611950553</v>
      </c>
      <c r="D109" s="112" t="n">
        <v>5974.73827879734</v>
      </c>
      <c r="E109" s="112" t="n">
        <v>6076.58025115912</v>
      </c>
      <c r="F109" s="112" t="n">
        <v>6180.73203659085</v>
      </c>
      <c r="G109" s="112" t="n">
        <v>6287.19363509256</v>
      </c>
      <c r="I109" s="117" t="n">
        <v>0.03</v>
      </c>
      <c r="J109" s="113" t="n">
        <v>53.0365173496961</v>
      </c>
      <c r="K109" s="113" t="n">
        <v>55.9790069938526</v>
      </c>
      <c r="L109" s="113" t="n">
        <v>59.5510402427339</v>
      </c>
      <c r="M109" s="113" t="n">
        <v>63.8675340749433</v>
      </c>
      <c r="N109" s="113" t="n">
        <v>69.0647589920294</v>
      </c>
    </row>
    <row r="111" customFormat="false" ht="15" hidden="false" customHeight="false" outlineLevel="0" collapsed="false">
      <c r="A111" s="3" t="s">
        <v>1160</v>
      </c>
    </row>
    <row r="112" customFormat="false" ht="15" hidden="false" customHeight="false" outlineLevel="0" collapsed="false">
      <c r="B112" s="13" t="s">
        <v>1161</v>
      </c>
      <c r="I112" s="13" t="s">
        <v>1156</v>
      </c>
    </row>
    <row r="113" customFormat="false" ht="15" hidden="false" customHeight="false" outlineLevel="0" collapsed="false">
      <c r="B113" s="9" t="s">
        <v>1157</v>
      </c>
      <c r="C113" s="120" t="n">
        <v>-20</v>
      </c>
      <c r="D113" s="120" t="n">
        <v>-10</v>
      </c>
      <c r="E113" s="120" t="n">
        <v>0</v>
      </c>
      <c r="F113" s="120" t="n">
        <v>10</v>
      </c>
      <c r="G113" s="120" t="n">
        <v>20</v>
      </c>
      <c r="I113" s="9" t="s">
        <v>1157</v>
      </c>
      <c r="J113" s="120" t="n">
        <v>-20</v>
      </c>
      <c r="K113" s="120" t="n">
        <v>-10</v>
      </c>
      <c r="L113" s="120" t="n">
        <v>0</v>
      </c>
      <c r="M113" s="120" t="n">
        <v>10</v>
      </c>
      <c r="N113" s="120" t="n">
        <v>20</v>
      </c>
    </row>
    <row r="114" customFormat="false" ht="15" hidden="false" customHeight="false" outlineLevel="0" collapsed="false">
      <c r="B114" s="117" t="n">
        <v>-0.3</v>
      </c>
      <c r="C114" s="112" t="n">
        <v>3693.55694523464</v>
      </c>
      <c r="D114" s="112" t="n">
        <v>3526.13818425798</v>
      </c>
      <c r="E114" s="112" t="n">
        <v>3358.71942328131</v>
      </c>
      <c r="F114" s="112" t="n">
        <v>3191.30066230465</v>
      </c>
      <c r="G114" s="112" t="n">
        <v>3023.88190132799</v>
      </c>
      <c r="I114" s="117" t="n">
        <v>-0.3</v>
      </c>
      <c r="J114" s="113" t="n">
        <v>58.0868648901512</v>
      </c>
      <c r="K114" s="113" t="n">
        <v>57.5595482687875</v>
      </c>
      <c r="L114" s="113" t="n">
        <v>57.0322441661396</v>
      </c>
      <c r="M114" s="113" t="n">
        <v>56.5049526931812</v>
      </c>
      <c r="N114" s="113" t="n">
        <v>55.9776739622024</v>
      </c>
    </row>
    <row r="115" customFormat="false" ht="15" hidden="false" customHeight="false" outlineLevel="0" collapsed="false">
      <c r="B115" s="117" t="n">
        <v>-0.15</v>
      </c>
      <c r="C115" s="112" t="n">
        <v>3304.52050955851</v>
      </c>
      <c r="D115" s="112" t="n">
        <v>3136.85686050063</v>
      </c>
      <c r="E115" s="112" t="n">
        <v>2969.19321144275</v>
      </c>
      <c r="F115" s="112" t="n">
        <v>2801.52956238486</v>
      </c>
      <c r="G115" s="112" t="n">
        <v>2633.86591332698</v>
      </c>
      <c r="I115" s="117" t="n">
        <v>-0.15</v>
      </c>
      <c r="J115" s="113" t="n">
        <v>57.0947069497236</v>
      </c>
      <c r="K115" s="113" t="n">
        <v>56.5665764163139</v>
      </c>
      <c r="L115" s="113" t="n">
        <v>56.0384587965177</v>
      </c>
      <c r="M115" s="113" t="n">
        <v>55.5103542063392</v>
      </c>
      <c r="N115" s="113" t="n">
        <v>54.9822627631771</v>
      </c>
    </row>
    <row r="116" customFormat="false" ht="15" hidden="false" customHeight="false" outlineLevel="0" collapsed="false">
      <c r="B116" s="117" t="n">
        <v>0</v>
      </c>
      <c r="C116" s="112" t="n">
        <v>2915.06504032694</v>
      </c>
      <c r="D116" s="112" t="n">
        <v>2747.15633977163</v>
      </c>
      <c r="E116" s="118" t="n">
        <v>2579.24763921631</v>
      </c>
      <c r="F116" s="112" t="n">
        <v>2411.33893866099</v>
      </c>
      <c r="G116" s="112" t="n">
        <v>2243.43023810568</v>
      </c>
      <c r="I116" s="117" t="n">
        <v>0</v>
      </c>
      <c r="J116" s="113" t="n">
        <v>56.0916999891809</v>
      </c>
      <c r="K116" s="113" t="n">
        <v>55.5627497973575</v>
      </c>
      <c r="L116" s="119" t="n">
        <v>55.0338129345541</v>
      </c>
      <c r="M116" s="113" t="n">
        <v>54.5048895221405</v>
      </c>
      <c r="N116" s="113" t="n">
        <v>53.9759796829662</v>
      </c>
    </row>
    <row r="117" customFormat="false" ht="15" hidden="false" customHeight="false" outlineLevel="0" collapsed="false">
      <c r="B117" s="117" t="n">
        <v>0.15</v>
      </c>
      <c r="C117" s="112" t="n">
        <v>2525.19053753994</v>
      </c>
      <c r="D117" s="112" t="n">
        <v>2357.03662207098</v>
      </c>
      <c r="E117" s="112" t="n">
        <v>2188.88270660201</v>
      </c>
      <c r="F117" s="112" t="n">
        <v>2020.72879113306</v>
      </c>
      <c r="G117" s="112" t="n">
        <v>1852.5748756641</v>
      </c>
      <c r="I117" s="117" t="n">
        <v>0.15</v>
      </c>
      <c r="J117" s="113" t="n">
        <v>55.0778010802368</v>
      </c>
      <c r="K117" s="113" t="n">
        <v>54.5480255374771</v>
      </c>
      <c r="L117" s="113" t="n">
        <v>54.0182637610965</v>
      </c>
      <c r="M117" s="113" t="n">
        <v>53.4885158781947</v>
      </c>
      <c r="N117" s="113" t="n">
        <v>52.9587820174429</v>
      </c>
    </row>
    <row r="118" customFormat="false" ht="15" hidden="false" customHeight="false" outlineLevel="0" collapsed="false">
      <c r="B118" s="117" t="n">
        <v>0.3</v>
      </c>
      <c r="C118" s="112" t="n">
        <v>2134.89700119748</v>
      </c>
      <c r="D118" s="112" t="n">
        <v>1966.49770739867</v>
      </c>
      <c r="E118" s="112" t="n">
        <v>1798.09841359986</v>
      </c>
      <c r="F118" s="112" t="n">
        <v>1629.69911980104</v>
      </c>
      <c r="G118" s="112" t="n">
        <v>1461.29982600223</v>
      </c>
      <c r="I118" s="117" t="n">
        <v>0.3</v>
      </c>
      <c r="J118" s="113" t="n">
        <v>54.0529674328599</v>
      </c>
      <c r="K118" s="113" t="n">
        <v>53.5223609062763</v>
      </c>
      <c r="L118" s="113" t="n">
        <v>52.9917686069564</v>
      </c>
      <c r="M118" s="113" t="n">
        <v>52.4611906681262</v>
      </c>
      <c r="N118" s="113" t="n">
        <v>51.9306272246822</v>
      </c>
    </row>
    <row r="120" customFormat="false" ht="15" hidden="false" customHeight="false" outlineLevel="0" collapsed="false">
      <c r="A120" s="3" t="s">
        <v>1162</v>
      </c>
    </row>
    <row r="121" customFormat="false" ht="15" hidden="false" customHeight="false" outlineLevel="0" collapsed="false">
      <c r="B121" s="13" t="s">
        <v>1155</v>
      </c>
      <c r="I121" s="13" t="s">
        <v>1156</v>
      </c>
    </row>
    <row r="122" customFormat="false" ht="15" hidden="false" customHeight="false" outlineLevel="0" collapsed="false">
      <c r="B122" s="9" t="s">
        <v>1157</v>
      </c>
      <c r="C122" s="117" t="n">
        <v>-0.04</v>
      </c>
      <c r="D122" s="117" t="n">
        <v>-0.02</v>
      </c>
      <c r="E122" s="117" t="n">
        <v>0</v>
      </c>
      <c r="F122" s="117" t="n">
        <v>0.02</v>
      </c>
      <c r="G122" s="117" t="n">
        <v>0.04</v>
      </c>
      <c r="I122" s="9" t="s">
        <v>1157</v>
      </c>
      <c r="J122" s="117" t="n">
        <v>-0.04</v>
      </c>
      <c r="K122" s="117" t="n">
        <v>-0.02</v>
      </c>
      <c r="L122" s="117" t="n">
        <v>0</v>
      </c>
      <c r="M122" s="117" t="n">
        <v>0.02</v>
      </c>
      <c r="N122" s="117" t="n">
        <v>0.04</v>
      </c>
    </row>
    <row r="123" customFormat="false" ht="15" hidden="false" customHeight="false" outlineLevel="0" collapsed="false">
      <c r="B123" s="117" t="n">
        <v>-0.03</v>
      </c>
      <c r="C123" s="112" t="n">
        <v>5784.55788414364</v>
      </c>
      <c r="D123" s="112" t="n">
        <v>5750.33405308258</v>
      </c>
      <c r="E123" s="112" t="n">
        <v>5715.79212675291</v>
      </c>
      <c r="F123" s="112" t="n">
        <v>5680.93210515461</v>
      </c>
      <c r="G123" s="112" t="n">
        <v>5645.7539882877</v>
      </c>
      <c r="I123" s="117" t="n">
        <v>-0.03</v>
      </c>
      <c r="J123" s="113" t="n">
        <v>59.4278234196357</v>
      </c>
      <c r="K123" s="113" t="n">
        <v>58.3600068888204</v>
      </c>
      <c r="L123" s="113" t="n">
        <v>57.2297531127095</v>
      </c>
      <c r="M123" s="113" t="n">
        <v>56.0343556682852</v>
      </c>
      <c r="N123" s="113" t="n">
        <v>54.7710262936128</v>
      </c>
    </row>
    <row r="124" customFormat="false" ht="15" hidden="false" customHeight="false" outlineLevel="0" collapsed="false">
      <c r="B124" s="117" t="n">
        <v>-0.015</v>
      </c>
      <c r="C124" s="112" t="n">
        <v>5744.44526502325</v>
      </c>
      <c r="D124" s="112" t="n">
        <v>5709.46775769766</v>
      </c>
      <c r="E124" s="112" t="n">
        <v>5674.16513829607</v>
      </c>
      <c r="F124" s="112" t="n">
        <v>5638.53740681845</v>
      </c>
      <c r="G124" s="112" t="n">
        <v>5602.58456326482</v>
      </c>
      <c r="I124" s="117" t="n">
        <v>-0.015</v>
      </c>
      <c r="J124" s="113" t="n">
        <v>58.5019591315145</v>
      </c>
      <c r="K124" s="113" t="n">
        <v>57.3637749415773</v>
      </c>
      <c r="L124" s="113" t="n">
        <v>56.1589274139786</v>
      </c>
      <c r="M124" s="113" t="n">
        <v>54.8845199604119</v>
      </c>
      <c r="N124" s="113" t="n">
        <v>53.5375665539509</v>
      </c>
    </row>
    <row r="125" customFormat="false" ht="15" hidden="false" customHeight="false" outlineLevel="0" collapsed="false">
      <c r="B125" s="117" t="n">
        <v>0</v>
      </c>
      <c r="C125" s="112" t="n">
        <v>5703.94634290233</v>
      </c>
      <c r="D125" s="112" t="n">
        <v>5668.20788337712</v>
      </c>
      <c r="E125" s="118" t="n">
        <v>5632.13722717327</v>
      </c>
      <c r="F125" s="112" t="n">
        <v>5595.73437429077</v>
      </c>
      <c r="G125" s="112" t="n">
        <v>5558.99932472961</v>
      </c>
      <c r="I125" s="117" t="n">
        <v>0</v>
      </c>
      <c r="J125" s="113" t="n">
        <v>57.5293860663164</v>
      </c>
      <c r="K125" s="113" t="n">
        <v>56.3171584436389</v>
      </c>
      <c r="L125" s="119" t="n">
        <v>55.0338129345541</v>
      </c>
      <c r="M125" s="113" t="n">
        <v>53.6762506683958</v>
      </c>
      <c r="N125" s="113" t="n">
        <v>52.2412745384501</v>
      </c>
    </row>
    <row r="126" customFormat="false" ht="15" hidden="false" customHeight="false" outlineLevel="0" collapsed="false">
      <c r="B126" s="117" t="n">
        <v>0.015</v>
      </c>
      <c r="C126" s="112" t="n">
        <v>5663.06111778087</v>
      </c>
      <c r="D126" s="112" t="n">
        <v>5626.55443012096</v>
      </c>
      <c r="E126" s="112" t="n">
        <v>5589.70839338452</v>
      </c>
      <c r="F126" s="112" t="n">
        <v>5552.52300757156</v>
      </c>
      <c r="G126" s="112" t="n">
        <v>5514.99827268207</v>
      </c>
      <c r="I126" s="117" t="n">
        <v>0.015</v>
      </c>
      <c r="J126" s="113" t="n">
        <v>56.5083287075888</v>
      </c>
      <c r="K126" s="113" t="n">
        <v>55.2182366532485</v>
      </c>
      <c r="L126" s="113" t="n">
        <v>53.8523331247885</v>
      </c>
      <c r="M126" s="113" t="n">
        <v>52.4073036460934</v>
      </c>
      <c r="N126" s="113" t="n">
        <v>50.8797251085337</v>
      </c>
    </row>
    <row r="127" customFormat="false" ht="15" hidden="false" customHeight="false" outlineLevel="0" collapsed="false">
      <c r="B127" s="117" t="n">
        <v>0.03</v>
      </c>
      <c r="C127" s="112" t="n">
        <v>5621.78958965888</v>
      </c>
      <c r="D127" s="112" t="n">
        <v>5584.50739792917</v>
      </c>
      <c r="E127" s="112" t="n">
        <v>5546.87863692982</v>
      </c>
      <c r="F127" s="112" t="n">
        <v>5508.90330666083</v>
      </c>
      <c r="G127" s="112" t="n">
        <v>5470.58140712218</v>
      </c>
      <c r="I127" s="117" t="n">
        <v>0.03</v>
      </c>
      <c r="J127" s="113" t="n">
        <v>55.4369643560434</v>
      </c>
      <c r="K127" s="113" t="n">
        <v>54.0650366783041</v>
      </c>
      <c r="L127" s="113" t="n">
        <v>52.6123534505487</v>
      </c>
      <c r="M127" s="113" t="n">
        <v>51.0753697254767</v>
      </c>
      <c r="N127" s="113" t="n">
        <v>49.4504193341668</v>
      </c>
    </row>
    <row r="129" customFormat="false" ht="15" hidden="false" customHeight="false" outlineLevel="0" collapsed="false">
      <c r="A129" s="40" t="s">
        <v>1163</v>
      </c>
      <c r="B129" s="6"/>
      <c r="C129" s="6"/>
      <c r="D129" s="6"/>
      <c r="E129" s="6"/>
      <c r="F129" s="6"/>
      <c r="G129" s="6"/>
      <c r="H129" s="6"/>
      <c r="I129" s="6"/>
      <c r="J129" s="6"/>
      <c r="K129" s="6"/>
      <c r="L129" s="6"/>
      <c r="M129" s="6"/>
    </row>
    <row r="130" customFormat="false" ht="15" hidden="false" customHeight="false" outlineLevel="0" collapsed="false">
      <c r="A130" s="7" t="s">
        <v>1164</v>
      </c>
      <c r="B130" s="54" t="s">
        <v>1165</v>
      </c>
      <c r="C130" s="54" t="s">
        <v>1166</v>
      </c>
      <c r="D130" s="54" t="s">
        <v>1167</v>
      </c>
      <c r="E130" s="54" t="s">
        <v>1168</v>
      </c>
      <c r="F130" s="54" t="s">
        <v>1169</v>
      </c>
    </row>
    <row r="131" customFormat="false" ht="15" hidden="false" customHeight="false" outlineLevel="0" collapsed="false">
      <c r="A131" s="4" t="s">
        <v>1170</v>
      </c>
      <c r="B131" s="121" t="n">
        <v>0.089285</v>
      </c>
      <c r="C131" s="122" t="n">
        <v>0.0558464972877502</v>
      </c>
      <c r="D131" s="121" t="n">
        <v>-0.0334385027122498</v>
      </c>
      <c r="E131" s="112" t="n">
        <v>5632.13722717327</v>
      </c>
      <c r="F131" s="37" t="s">
        <v>1171</v>
      </c>
    </row>
    <row r="132" customFormat="false" ht="15" hidden="false" customHeight="false" outlineLevel="0" collapsed="false">
      <c r="A132" s="11" t="s">
        <v>268</v>
      </c>
      <c r="B132" s="114" t="n">
        <v>0</v>
      </c>
      <c r="C132" s="123" t="s">
        <v>1172</v>
      </c>
      <c r="F132" s="2" t="s">
        <v>1173</v>
      </c>
    </row>
    <row r="133" customFormat="false" ht="15" hidden="false" customHeight="false" outlineLevel="0" collapsed="false">
      <c r="A133" s="11" t="s">
        <v>1174</v>
      </c>
      <c r="B133" s="114" t="n">
        <v>0</v>
      </c>
      <c r="C133" s="124" t="n">
        <v>0.278633880615234</v>
      </c>
      <c r="D133" s="114" t="n">
        <v>0.278633880615234</v>
      </c>
      <c r="E133" s="112" t="n">
        <v>6626.7541497416</v>
      </c>
      <c r="F133" s="37" t="s">
        <v>1175</v>
      </c>
    </row>
    <row r="134" customFormat="false" ht="15" hidden="false" customHeight="false" outlineLevel="0" collapsed="false">
      <c r="A134" s="4" t="s">
        <v>1176</v>
      </c>
      <c r="B134" s="114" t="n">
        <v>0</v>
      </c>
      <c r="C134" s="123" t="s">
        <v>1177</v>
      </c>
      <c r="F134" s="37" t="s">
        <v>1178</v>
      </c>
    </row>
    <row r="135" customFormat="false" ht="15" hidden="false" customHeight="false" outlineLevel="0" collapsed="false">
      <c r="A135" s="11" t="s">
        <v>1179</v>
      </c>
      <c r="B135" s="114" t="n">
        <v>0</v>
      </c>
      <c r="C135" s="123" t="s">
        <v>1180</v>
      </c>
      <c r="F135" s="2" t="s">
        <v>1181</v>
      </c>
    </row>
    <row r="136" customFormat="false" ht="15" hidden="false" customHeight="false" outlineLevel="0" collapsed="false">
      <c r="A136" s="11" t="s">
        <v>1182</v>
      </c>
      <c r="B136" s="99" t="n">
        <f aca="false">DCF估值!$C$8</f>
        <v>0.03</v>
      </c>
      <c r="C136" s="125" t="n">
        <f aca="false">DCF估值!$C$52</f>
        <v>0.0735826999571934</v>
      </c>
      <c r="D136" s="92" t="n">
        <f aca="false">C136-B136</f>
        <v>0.0435826999571934</v>
      </c>
      <c r="F136" s="37" t="s">
        <v>1183</v>
      </c>
    </row>
    <row r="138" customFormat="false" ht="15" hidden="false" customHeight="false" outlineLevel="0" collapsed="false">
      <c r="A138" s="40" t="s">
        <v>1184</v>
      </c>
      <c r="B138" s="6"/>
      <c r="C138" s="6"/>
      <c r="D138" s="6"/>
      <c r="E138" s="6"/>
      <c r="F138" s="6"/>
      <c r="G138" s="6"/>
      <c r="H138" s="6"/>
      <c r="I138" s="6"/>
      <c r="J138" s="6"/>
      <c r="K138" s="6"/>
      <c r="L138" s="6"/>
      <c r="M138" s="6"/>
    </row>
    <row r="139" customFormat="false" ht="15" hidden="false" customHeight="false" outlineLevel="0" collapsed="false">
      <c r="A139" s="7" t="s">
        <v>10</v>
      </c>
      <c r="B139" s="54" t="s">
        <v>1185</v>
      </c>
      <c r="C139" s="54" t="s">
        <v>1186</v>
      </c>
      <c r="D139" s="8" t="s">
        <v>1187</v>
      </c>
      <c r="E139" s="54" t="s">
        <v>1188</v>
      </c>
    </row>
    <row r="140" customFormat="false" ht="15" hidden="false" customHeight="false" outlineLevel="0" collapsed="false">
      <c r="A140" s="4" t="s">
        <v>1112</v>
      </c>
      <c r="B140" s="112" t="n">
        <v>5632.13722717327</v>
      </c>
      <c r="C140" s="112" t="n">
        <v>5348.08444917178</v>
      </c>
      <c r="D140" s="112" t="n">
        <v>284.052778001494</v>
      </c>
      <c r="E140" s="114" t="n">
        <v>0.0504342785951715</v>
      </c>
    </row>
    <row r="141" customFormat="false" ht="15" hidden="false" customHeight="false" outlineLevel="0" collapsed="false">
      <c r="A141" s="4" t="s">
        <v>42</v>
      </c>
      <c r="B141" s="113" t="n">
        <v>55.0338129345541</v>
      </c>
      <c r="C141" s="113" t="n">
        <v>53.8071526941537</v>
      </c>
      <c r="D141" s="113" t="n">
        <v>1.22666024040038</v>
      </c>
      <c r="E141" s="114" t="n">
        <v>0.0222892104869985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8" min="3" style="0" width="12"/>
  </cols>
  <sheetData>
    <row r="1" customFormat="false" ht="21.6" hidden="false" customHeight="false" outlineLevel="0" collapsed="false">
      <c r="A1" s="1" t="s">
        <v>1189</v>
      </c>
    </row>
    <row r="2" customFormat="false" ht="15" hidden="false" customHeight="false" outlineLevel="0" collapsed="false">
      <c r="A2" s="37" t="s">
        <v>1190</v>
      </c>
    </row>
    <row r="4" customFormat="false" ht="15" hidden="false" customHeight="false" outlineLevel="0" collapsed="false">
      <c r="A4" s="40" t="s">
        <v>1191</v>
      </c>
      <c r="B4" s="6"/>
      <c r="C4" s="6"/>
      <c r="D4" s="6"/>
      <c r="E4" s="6"/>
      <c r="F4" s="6"/>
      <c r="G4" s="6"/>
      <c r="H4" s="6"/>
      <c r="I4" s="6"/>
      <c r="J4" s="6"/>
      <c r="K4" s="6"/>
      <c r="L4" s="6"/>
    </row>
    <row r="5" customFormat="false" ht="15" hidden="false" customHeight="false" outlineLevel="0" collapsed="false">
      <c r="A5" s="7" t="s">
        <v>1192</v>
      </c>
      <c r="B5" s="54" t="s">
        <v>1193</v>
      </c>
      <c r="C5" s="8" t="s">
        <v>12</v>
      </c>
      <c r="D5" s="8" t="s">
        <v>13</v>
      </c>
      <c r="E5" s="8" t="s">
        <v>14</v>
      </c>
      <c r="F5" s="8" t="s">
        <v>15</v>
      </c>
      <c r="G5" s="8" t="s">
        <v>16</v>
      </c>
    </row>
    <row r="6" customFormat="false" ht="15" hidden="false" customHeight="false" outlineLevel="0" collapsed="false">
      <c r="A6" s="9" t="s">
        <v>1194</v>
      </c>
      <c r="B6" s="55" t="s">
        <v>1185</v>
      </c>
      <c r="C6" s="12" t="n">
        <f aca="false">假设!H65</f>
        <v>0.52</v>
      </c>
      <c r="D6" s="12" t="n">
        <f aca="false">假设!I65</f>
        <v>0.25</v>
      </c>
      <c r="E6" s="12" t="n">
        <f aca="false">假设!J65</f>
        <v>0.16</v>
      </c>
      <c r="F6" s="12" t="n">
        <f aca="false">假设!K65</f>
        <v>0.12</v>
      </c>
      <c r="G6" s="12" t="n">
        <f aca="false">假设!L65</f>
        <v>0.1</v>
      </c>
    </row>
    <row r="7" customFormat="false" ht="15" hidden="false" customHeight="false" outlineLevel="0" collapsed="false">
      <c r="A7" s="4"/>
      <c r="B7" s="55" t="s">
        <v>1195</v>
      </c>
      <c r="C7" s="12" t="n">
        <f aca="false">假设!H66</f>
        <v>0.58</v>
      </c>
      <c r="D7" s="12" t="n">
        <f aca="false">假设!I66</f>
        <v>0.3</v>
      </c>
      <c r="E7" s="12" t="n">
        <f aca="false">假设!J66</f>
        <v>0.2</v>
      </c>
      <c r="F7" s="12" t="n">
        <f aca="false">假设!K66</f>
        <v>0.15</v>
      </c>
      <c r="G7" s="12" t="n">
        <f aca="false">假设!L66</f>
        <v>0.12</v>
      </c>
    </row>
    <row r="8" customFormat="false" ht="15" hidden="false" customHeight="false" outlineLevel="0" collapsed="false">
      <c r="A8" s="4"/>
      <c r="B8" s="55" t="s">
        <v>1196</v>
      </c>
      <c r="C8" s="12" t="n">
        <f aca="false">假设!H67</f>
        <v>0.46</v>
      </c>
      <c r="D8" s="12" t="n">
        <f aca="false">假设!I67</f>
        <v>0.15</v>
      </c>
      <c r="E8" s="12" t="n">
        <f aca="false">假设!J67</f>
        <v>0.1</v>
      </c>
      <c r="F8" s="12" t="n">
        <f aca="false">假设!K67</f>
        <v>0.08</v>
      </c>
      <c r="G8" s="12" t="n">
        <f aca="false">假设!L67</f>
        <v>0.06</v>
      </c>
    </row>
    <row r="9" customFormat="false" ht="15" hidden="false" customHeight="false" outlineLevel="0" collapsed="false">
      <c r="A9" s="9" t="s">
        <v>1197</v>
      </c>
      <c r="B9" s="55" t="s">
        <v>1185</v>
      </c>
      <c r="C9" s="12" t="n">
        <f aca="false">假设!H69</f>
        <v>0.19</v>
      </c>
      <c r="D9" s="12" t="n">
        <f aca="false">假设!I69</f>
        <v>0.08</v>
      </c>
      <c r="E9" s="12" t="n">
        <f aca="false">假设!J69</f>
        <v>0.035</v>
      </c>
      <c r="F9" s="12" t="n">
        <f aca="false">假设!K69</f>
        <v>0</v>
      </c>
      <c r="G9" s="12" t="n">
        <f aca="false">假设!L69</f>
        <v>-0.02</v>
      </c>
    </row>
    <row r="10" customFormat="false" ht="15" hidden="false" customHeight="false" outlineLevel="0" collapsed="false">
      <c r="A10" s="4"/>
      <c r="B10" s="55" t="s">
        <v>1195</v>
      </c>
      <c r="C10" s="12" t="n">
        <f aca="false">假设!H70</f>
        <v>0.22</v>
      </c>
      <c r="D10" s="12" t="n">
        <f aca="false">假设!I70</f>
        <v>0.115</v>
      </c>
      <c r="E10" s="12" t="n">
        <f aca="false">假设!J70</f>
        <v>0.04</v>
      </c>
      <c r="F10" s="12" t="n">
        <f aca="false">假设!K70</f>
        <v>0</v>
      </c>
      <c r="G10" s="12" t="n">
        <f aca="false">假设!L70</f>
        <v>-0.02</v>
      </c>
    </row>
    <row r="11" customFormat="false" ht="15" hidden="false" customHeight="false" outlineLevel="0" collapsed="false">
      <c r="A11" s="4"/>
      <c r="B11" s="55" t="s">
        <v>1196</v>
      </c>
      <c r="C11" s="12" t="n">
        <f aca="false">假设!H71</f>
        <v>0.15</v>
      </c>
      <c r="D11" s="12" t="n">
        <f aca="false">假设!I71</f>
        <v>0.045</v>
      </c>
      <c r="E11" s="12" t="n">
        <f aca="false">假设!J71</f>
        <v>0</v>
      </c>
      <c r="F11" s="12" t="n">
        <f aca="false">假设!K71</f>
        <v>-0.02</v>
      </c>
      <c r="G11" s="12" t="n">
        <f aca="false">假设!L71</f>
        <v>-0.02</v>
      </c>
    </row>
    <row r="12" customFormat="false" ht="15" hidden="false" customHeight="false" outlineLevel="0" collapsed="false">
      <c r="A12" s="9" t="s">
        <v>1198</v>
      </c>
      <c r="B12" s="55" t="s">
        <v>1185</v>
      </c>
      <c r="C12" s="12" t="n">
        <f aca="false">假设!H73</f>
        <v>0.58</v>
      </c>
      <c r="D12" s="12" t="n">
        <f aca="false">假设!I73</f>
        <v>0.3</v>
      </c>
      <c r="E12" s="12" t="n">
        <f aca="false">假设!J73</f>
        <v>0.2</v>
      </c>
      <c r="F12" s="12" t="n">
        <f aca="false">假设!K73</f>
        <v>0.14</v>
      </c>
      <c r="G12" s="12" t="n">
        <f aca="false">假设!L73</f>
        <v>0.11</v>
      </c>
    </row>
    <row r="13" customFormat="false" ht="15" hidden="false" customHeight="false" outlineLevel="0" collapsed="false">
      <c r="A13" s="4"/>
      <c r="B13" s="55" t="s">
        <v>1195</v>
      </c>
      <c r="C13" s="12" t="n">
        <f aca="false">假设!H74</f>
        <v>0.65</v>
      </c>
      <c r="D13" s="12" t="n">
        <f aca="false">假设!I74</f>
        <v>0.4</v>
      </c>
      <c r="E13" s="12" t="n">
        <f aca="false">假设!J74</f>
        <v>0.24</v>
      </c>
      <c r="F13" s="12" t="n">
        <f aca="false">假设!K74</f>
        <v>0.16</v>
      </c>
      <c r="G13" s="12" t="n">
        <f aca="false">假设!L74</f>
        <v>0.13</v>
      </c>
    </row>
    <row r="14" customFormat="false" ht="15" hidden="false" customHeight="false" outlineLevel="0" collapsed="false">
      <c r="A14" s="4"/>
      <c r="B14" s="55" t="s">
        <v>1196</v>
      </c>
      <c r="C14" s="12" t="n">
        <f aca="false">假设!H75</f>
        <v>0.5</v>
      </c>
      <c r="D14" s="12" t="n">
        <f aca="false">假设!I75</f>
        <v>0.17</v>
      </c>
      <c r="E14" s="12" t="n">
        <f aca="false">假设!J75</f>
        <v>0.13</v>
      </c>
      <c r="F14" s="12" t="n">
        <f aca="false">假设!K75</f>
        <v>0.095</v>
      </c>
      <c r="G14" s="12" t="n">
        <f aca="false">假设!L75</f>
        <v>0.08</v>
      </c>
    </row>
    <row r="15" customFormat="false" ht="15" hidden="false" customHeight="false" outlineLevel="0" collapsed="false">
      <c r="A15" s="9" t="s">
        <v>1199</v>
      </c>
      <c r="B15" s="55" t="s">
        <v>1185</v>
      </c>
      <c r="C15" s="12" t="n">
        <f aca="false">假设!H77</f>
        <v>-0.035</v>
      </c>
      <c r="D15" s="12" t="n">
        <f aca="false">假设!I77</f>
        <v>-0.04</v>
      </c>
      <c r="E15" s="12" t="n">
        <f aca="false">假设!J77</f>
        <v>-0.04</v>
      </c>
      <c r="F15" s="12" t="n">
        <f aca="false">假设!K77</f>
        <v>-0.035</v>
      </c>
      <c r="G15" s="12" t="n">
        <f aca="false">假设!L77</f>
        <v>-0.03</v>
      </c>
    </row>
    <row r="16" customFormat="false" ht="15" hidden="false" customHeight="false" outlineLevel="0" collapsed="false">
      <c r="A16" s="4"/>
      <c r="B16" s="55" t="s">
        <v>1195</v>
      </c>
      <c r="C16" s="12" t="n">
        <f aca="false">假设!H78</f>
        <v>-0.03</v>
      </c>
      <c r="D16" s="12" t="n">
        <f aca="false">假设!I78</f>
        <v>-0.035</v>
      </c>
      <c r="E16" s="12" t="n">
        <f aca="false">假设!J78</f>
        <v>-0.03</v>
      </c>
      <c r="F16" s="12" t="n">
        <f aca="false">假设!K78</f>
        <v>-0.035</v>
      </c>
      <c r="G16" s="12" t="n">
        <f aca="false">假设!L78</f>
        <v>-0.025</v>
      </c>
    </row>
    <row r="17" customFormat="false" ht="15" hidden="false" customHeight="false" outlineLevel="0" collapsed="false">
      <c r="A17" s="4"/>
      <c r="B17" s="55" t="s">
        <v>1196</v>
      </c>
      <c r="C17" s="12" t="n">
        <f aca="false">假设!H79</f>
        <v>-0.04</v>
      </c>
      <c r="D17" s="12" t="n">
        <f aca="false">假设!I79</f>
        <v>-0.045</v>
      </c>
      <c r="E17" s="12" t="n">
        <f aca="false">假设!J79</f>
        <v>-0.045</v>
      </c>
      <c r="F17" s="12" t="n">
        <f aca="false">假设!K79</f>
        <v>-0.04</v>
      </c>
      <c r="G17" s="12" t="n">
        <f aca="false">假设!L79</f>
        <v>-0.035</v>
      </c>
    </row>
    <row r="18" customFormat="false" ht="15" hidden="false" customHeight="false" outlineLevel="0" collapsed="false">
      <c r="A18" s="9" t="s">
        <v>668</v>
      </c>
      <c r="B18" s="55" t="s">
        <v>1185</v>
      </c>
      <c r="C18" s="12" t="n">
        <f aca="false">假设!H116</f>
        <v>0.46</v>
      </c>
      <c r="D18" s="12" t="n">
        <f aca="false">假设!I116</f>
        <v>0.47</v>
      </c>
      <c r="E18" s="12" t="n">
        <f aca="false">假设!J116</f>
        <v>0.46</v>
      </c>
      <c r="F18" s="12" t="n">
        <f aca="false">假设!K116</f>
        <v>0.45</v>
      </c>
      <c r="G18" s="12" t="n">
        <f aca="false">假设!L116</f>
        <v>0.44</v>
      </c>
    </row>
    <row r="19" customFormat="false" ht="15" hidden="false" customHeight="false" outlineLevel="0" collapsed="false">
      <c r="A19" s="4"/>
      <c r="B19" s="55" t="s">
        <v>1195</v>
      </c>
      <c r="C19" s="12" t="n">
        <f aca="false">假设!H117</f>
        <v>0.48</v>
      </c>
      <c r="D19" s="12" t="n">
        <f aca="false">假设!I117</f>
        <v>0.49</v>
      </c>
      <c r="E19" s="12" t="n">
        <f aca="false">假设!J117</f>
        <v>0.48</v>
      </c>
      <c r="F19" s="12" t="n">
        <f aca="false">假设!K117</f>
        <v>0.47</v>
      </c>
      <c r="G19" s="12" t="n">
        <f aca="false">假设!L117</f>
        <v>0.46</v>
      </c>
    </row>
    <row r="20" customFormat="false" ht="15" hidden="false" customHeight="false" outlineLevel="0" collapsed="false">
      <c r="A20" s="4"/>
      <c r="B20" s="55" t="s">
        <v>1196</v>
      </c>
      <c r="C20" s="12" t="n">
        <f aca="false">假设!H118</f>
        <v>0.44</v>
      </c>
      <c r="D20" s="12" t="n">
        <f aca="false">假设!I118</f>
        <v>0.43</v>
      </c>
      <c r="E20" s="12" t="n">
        <f aca="false">假设!J118</f>
        <v>0.42</v>
      </c>
      <c r="F20" s="12" t="n">
        <f aca="false">假设!K118</f>
        <v>0.41</v>
      </c>
      <c r="G20" s="12" t="n">
        <f aca="false">假设!L118</f>
        <v>0.4</v>
      </c>
    </row>
    <row r="21" customFormat="false" ht="15" hidden="false" customHeight="false" outlineLevel="0" collapsed="false">
      <c r="A21" s="9" t="s">
        <v>670</v>
      </c>
      <c r="B21" s="55" t="s">
        <v>1185</v>
      </c>
      <c r="C21" s="12" t="n">
        <f aca="false">假设!H120</f>
        <v>0.46</v>
      </c>
      <c r="D21" s="12" t="n">
        <f aca="false">假设!I120</f>
        <v>0.46</v>
      </c>
      <c r="E21" s="12" t="n">
        <f aca="false">假设!J120</f>
        <v>0.45</v>
      </c>
      <c r="F21" s="12" t="n">
        <f aca="false">假设!K120</f>
        <v>0.44</v>
      </c>
      <c r="G21" s="12" t="n">
        <f aca="false">假设!L120</f>
        <v>0.44</v>
      </c>
    </row>
    <row r="22" customFormat="false" ht="15" hidden="false" customHeight="false" outlineLevel="0" collapsed="false">
      <c r="A22" s="4"/>
      <c r="B22" s="55" t="s">
        <v>1195</v>
      </c>
      <c r="C22" s="12" t="n">
        <f aca="false">假设!H121</f>
        <v>0.48</v>
      </c>
      <c r="D22" s="12" t="n">
        <f aca="false">假设!I121</f>
        <v>0.48</v>
      </c>
      <c r="E22" s="12" t="n">
        <f aca="false">假设!J121</f>
        <v>0.47</v>
      </c>
      <c r="F22" s="12" t="n">
        <f aca="false">假设!K121</f>
        <v>0.46</v>
      </c>
      <c r="G22" s="12" t="n">
        <f aca="false">假设!L121</f>
        <v>0.46</v>
      </c>
    </row>
    <row r="23" customFormat="false" ht="15" hidden="false" customHeight="false" outlineLevel="0" collapsed="false">
      <c r="A23" s="4"/>
      <c r="B23" s="55" t="s">
        <v>1196</v>
      </c>
      <c r="C23" s="12" t="n">
        <f aca="false">假设!H122</f>
        <v>0.44</v>
      </c>
      <c r="D23" s="12" t="n">
        <f aca="false">假设!I122</f>
        <v>0.43</v>
      </c>
      <c r="E23" s="12" t="n">
        <f aca="false">假设!J122</f>
        <v>0.42</v>
      </c>
      <c r="F23" s="12" t="n">
        <f aca="false">假设!K122</f>
        <v>0.42</v>
      </c>
      <c r="G23" s="12" t="n">
        <f aca="false">假设!L122</f>
        <v>0.41</v>
      </c>
    </row>
    <row r="24" customFormat="false" ht="15" hidden="false" customHeight="false" outlineLevel="0" collapsed="false">
      <c r="A24" s="13" t="s">
        <v>1200</v>
      </c>
      <c r="B24" s="55" t="s">
        <v>1185</v>
      </c>
      <c r="C24" s="126" t="n">
        <f aca="false">假设!H99</f>
        <v>1.45</v>
      </c>
      <c r="D24" s="126" t="n">
        <f aca="false">假设!I99</f>
        <v>2.5</v>
      </c>
      <c r="E24" s="126" t="n">
        <f aca="false">假设!J99</f>
        <v>3.2</v>
      </c>
      <c r="F24" s="126" t="n">
        <f aca="false">假设!K99</f>
        <v>3.8</v>
      </c>
      <c r="G24" s="126" t="n">
        <f aca="false">假设!L99</f>
        <v>4.4</v>
      </c>
    </row>
    <row r="25" customFormat="false" ht="15" hidden="false" customHeight="false" outlineLevel="0" collapsed="false">
      <c r="A25" s="4"/>
      <c r="B25" s="55" t="s">
        <v>1195</v>
      </c>
      <c r="C25" s="126" t="n">
        <f aca="false">假设!H100</f>
        <v>1.6</v>
      </c>
      <c r="D25" s="126" t="n">
        <f aca="false">假设!I100</f>
        <v>3</v>
      </c>
      <c r="E25" s="126" t="n">
        <f aca="false">假设!J100</f>
        <v>4</v>
      </c>
      <c r="F25" s="126" t="n">
        <f aca="false">假设!K100</f>
        <v>4.8</v>
      </c>
      <c r="G25" s="126" t="n">
        <f aca="false">假设!L100</f>
        <v>5.5</v>
      </c>
    </row>
    <row r="26" customFormat="false" ht="15" hidden="false" customHeight="false" outlineLevel="0" collapsed="false">
      <c r="A26" s="4"/>
      <c r="B26" s="55" t="s">
        <v>1196</v>
      </c>
      <c r="C26" s="126" t="n">
        <f aca="false">假设!H101</f>
        <v>1.3</v>
      </c>
      <c r="D26" s="126" t="n">
        <f aca="false">假设!I101</f>
        <v>2</v>
      </c>
      <c r="E26" s="126" t="n">
        <f aca="false">假设!J101</f>
        <v>2.4</v>
      </c>
      <c r="F26" s="126" t="n">
        <f aca="false">假设!K101</f>
        <v>2.8</v>
      </c>
      <c r="G26" s="126" t="n">
        <f aca="false">假设!L101</f>
        <v>3.2</v>
      </c>
    </row>
    <row r="27" customFormat="false" ht="15" hidden="false" customHeight="false" outlineLevel="0" collapsed="false">
      <c r="A27" s="9" t="s">
        <v>1201</v>
      </c>
      <c r="B27" s="55" t="s">
        <v>1185</v>
      </c>
      <c r="C27" s="12" t="n">
        <f aca="false">假设!H107</f>
        <v>0.75</v>
      </c>
      <c r="D27" s="12" t="n">
        <f aca="false">假设!I107</f>
        <v>0.65</v>
      </c>
      <c r="E27" s="12" t="n">
        <f aca="false">假设!J107</f>
        <v>0.52</v>
      </c>
      <c r="F27" s="12" t="n">
        <f aca="false">假设!K107</f>
        <v>0.47</v>
      </c>
      <c r="G27" s="12" t="n">
        <f aca="false">假设!L107</f>
        <v>0.42</v>
      </c>
    </row>
    <row r="28" customFormat="false" ht="15" hidden="false" customHeight="false" outlineLevel="0" collapsed="false">
      <c r="A28" s="4"/>
      <c r="B28" s="55" t="s">
        <v>1195</v>
      </c>
      <c r="C28" s="12" t="n">
        <f aca="false">假设!H108</f>
        <v>0.85</v>
      </c>
      <c r="D28" s="12" t="n">
        <f aca="false">假设!I108</f>
        <v>0.78</v>
      </c>
      <c r="E28" s="12" t="n">
        <f aca="false">假设!J108</f>
        <v>0.68</v>
      </c>
      <c r="F28" s="12" t="n">
        <f aca="false">假设!K108</f>
        <v>0.62</v>
      </c>
      <c r="G28" s="12" t="n">
        <f aca="false">假设!L108</f>
        <v>0.57</v>
      </c>
    </row>
    <row r="29" customFormat="false" ht="15" hidden="false" customHeight="false" outlineLevel="0" collapsed="false">
      <c r="A29" s="4"/>
      <c r="B29" s="55" t="s">
        <v>1196</v>
      </c>
      <c r="C29" s="12" t="n">
        <f aca="false">假设!H109</f>
        <v>0.7</v>
      </c>
      <c r="D29" s="12" t="n">
        <f aca="false">假设!I109</f>
        <v>0.52</v>
      </c>
      <c r="E29" s="12" t="n">
        <f aca="false">假设!J109</f>
        <v>0.38</v>
      </c>
      <c r="F29" s="12" t="n">
        <f aca="false">假设!K109</f>
        <v>0.33</v>
      </c>
      <c r="G29" s="12" t="n">
        <f aca="false">假设!L109</f>
        <v>0.28</v>
      </c>
    </row>
    <row r="30" customFormat="false" ht="15" hidden="false" customHeight="false" outlineLevel="0" collapsed="false">
      <c r="A30" s="9" t="s">
        <v>1202</v>
      </c>
      <c r="B30" s="55" t="s">
        <v>1185</v>
      </c>
      <c r="C30" s="126" t="n">
        <f aca="false">假设!H111</f>
        <v>18</v>
      </c>
      <c r="D30" s="126" t="n">
        <f aca="false">假设!I111</f>
        <v>17</v>
      </c>
      <c r="E30" s="126" t="n">
        <f aca="false">假设!J111</f>
        <v>16.2</v>
      </c>
      <c r="F30" s="126" t="n">
        <f aca="false">假设!K111</f>
        <v>15.4</v>
      </c>
      <c r="G30" s="126" t="n">
        <f aca="false">假设!L111</f>
        <v>14.6</v>
      </c>
    </row>
    <row r="31" customFormat="false" ht="15" hidden="false" customHeight="false" outlineLevel="0" collapsed="false">
      <c r="A31" s="4"/>
      <c r="B31" s="55" t="s">
        <v>1195</v>
      </c>
      <c r="C31" s="126" t="n">
        <f aca="false">假设!H112</f>
        <v>19.5</v>
      </c>
      <c r="D31" s="126" t="n">
        <f aca="false">假设!I112</f>
        <v>18.5</v>
      </c>
      <c r="E31" s="126" t="n">
        <f aca="false">假设!J112</f>
        <v>17.8</v>
      </c>
      <c r="F31" s="126" t="n">
        <f aca="false">假设!K112</f>
        <v>17</v>
      </c>
      <c r="G31" s="126" t="n">
        <f aca="false">假设!L112</f>
        <v>16.2</v>
      </c>
    </row>
    <row r="32" customFormat="false" ht="15" hidden="false" customHeight="false" outlineLevel="0" collapsed="false">
      <c r="A32" s="4"/>
      <c r="B32" s="55" t="s">
        <v>1196</v>
      </c>
      <c r="C32" s="126" t="n">
        <f aca="false">假设!H113</f>
        <v>16.5</v>
      </c>
      <c r="D32" s="126" t="n">
        <f aca="false">假设!I113</f>
        <v>15.5</v>
      </c>
      <c r="E32" s="126" t="n">
        <f aca="false">假设!J113</f>
        <v>14.5</v>
      </c>
      <c r="F32" s="126" t="n">
        <f aca="false">假设!K113</f>
        <v>13.8</v>
      </c>
      <c r="G32" s="126" t="n">
        <f aca="false">假设!L113</f>
        <v>13</v>
      </c>
    </row>
    <row r="33" customFormat="false" ht="15" hidden="false" customHeight="false" outlineLevel="0" collapsed="false">
      <c r="A33" s="9" t="s">
        <v>1203</v>
      </c>
      <c r="B33" s="55" t="s">
        <v>1185</v>
      </c>
      <c r="C33" s="10" t="n">
        <f aca="false">假设!H164</f>
        <v>900</v>
      </c>
      <c r="D33" s="10" t="n">
        <f aca="false">假设!I164</f>
        <v>1100</v>
      </c>
      <c r="E33" s="10" t="n">
        <f aca="false">假设!J164</f>
        <v>950</v>
      </c>
      <c r="F33" s="10" t="n">
        <f aca="false">假设!K164</f>
        <v>850</v>
      </c>
      <c r="G33" s="10" t="n">
        <f aca="false">假设!L164</f>
        <v>800</v>
      </c>
    </row>
    <row r="34" customFormat="false" ht="15" hidden="false" customHeight="false" outlineLevel="0" collapsed="false">
      <c r="A34" s="4"/>
      <c r="B34" s="55" t="s">
        <v>1195</v>
      </c>
      <c r="C34" s="10" t="n">
        <f aca="false">假设!H165</f>
        <v>1000</v>
      </c>
      <c r="D34" s="10" t="n">
        <f aca="false">假设!I165</f>
        <v>1400</v>
      </c>
      <c r="E34" s="10" t="n">
        <f aca="false">假设!J165</f>
        <v>1150</v>
      </c>
      <c r="F34" s="10" t="n">
        <f aca="false">假设!K165</f>
        <v>950</v>
      </c>
      <c r="G34" s="10" t="n">
        <f aca="false">假设!L165</f>
        <v>900</v>
      </c>
    </row>
    <row r="35" customFormat="false" ht="15" hidden="false" customHeight="false" outlineLevel="0" collapsed="false">
      <c r="A35" s="4"/>
      <c r="B35" s="55" t="s">
        <v>1196</v>
      </c>
      <c r="C35" s="10" t="n">
        <f aca="false">假设!H166</f>
        <v>700</v>
      </c>
      <c r="D35" s="10" t="n">
        <f aca="false">假设!I166</f>
        <v>800</v>
      </c>
      <c r="E35" s="10" t="n">
        <f aca="false">假设!J166</f>
        <v>650</v>
      </c>
      <c r="F35" s="10" t="n">
        <f aca="false">假设!K166</f>
        <v>550</v>
      </c>
      <c r="G35" s="10" t="n">
        <f aca="false">假设!L166</f>
        <v>500</v>
      </c>
    </row>
    <row r="37" customFormat="false" ht="15" hidden="false" customHeight="false" outlineLevel="0" collapsed="false">
      <c r="A37" s="40" t="s">
        <v>1204</v>
      </c>
      <c r="B37" s="6"/>
      <c r="C37" s="6"/>
      <c r="D37" s="6"/>
      <c r="E37" s="6"/>
      <c r="F37" s="6"/>
      <c r="G37" s="6"/>
      <c r="H37" s="6"/>
      <c r="I37" s="6"/>
      <c r="J37" s="6"/>
      <c r="K37" s="6"/>
      <c r="L37" s="6"/>
    </row>
    <row r="38" customFormat="false" ht="15" hidden="false" customHeight="false" outlineLevel="0" collapsed="false">
      <c r="A38" s="7" t="s">
        <v>10</v>
      </c>
      <c r="B38" s="54" t="s">
        <v>1193</v>
      </c>
      <c r="C38" s="8" t="s">
        <v>11</v>
      </c>
      <c r="D38" s="8" t="s">
        <v>12</v>
      </c>
      <c r="E38" s="8" t="s">
        <v>13</v>
      </c>
      <c r="F38" s="8" t="s">
        <v>14</v>
      </c>
      <c r="G38" s="8" t="s">
        <v>15</v>
      </c>
      <c r="H38" s="8" t="s">
        <v>16</v>
      </c>
    </row>
    <row r="39" customFormat="false" ht="15" hidden="false" customHeight="false" outlineLevel="0" collapsed="false">
      <c r="A39" s="9" t="s">
        <v>17</v>
      </c>
      <c r="B39" s="55" t="s">
        <v>1185</v>
      </c>
      <c r="C39" s="112" t="n">
        <v>9007.1539</v>
      </c>
      <c r="D39" s="112" t="n">
        <v>13863.1874625892</v>
      </c>
      <c r="E39" s="112" t="n">
        <v>17550.9029528349</v>
      </c>
      <c r="F39" s="112" t="n">
        <v>20155.2171358948</v>
      </c>
      <c r="G39" s="112" t="n">
        <v>22196.9566424501</v>
      </c>
      <c r="H39" s="112" t="n">
        <v>23693.8895841471</v>
      </c>
    </row>
    <row r="40" customFormat="false" ht="15" hidden="false" customHeight="false" outlineLevel="0" collapsed="false">
      <c r="A40" s="4"/>
      <c r="B40" s="55" t="s">
        <v>1195</v>
      </c>
      <c r="C40" s="112" t="n">
        <v>9007.1539</v>
      </c>
      <c r="D40" s="112" t="n">
        <v>14375.3341054132</v>
      </c>
      <c r="E40" s="112" t="n">
        <v>19977.4687314026</v>
      </c>
      <c r="F40" s="112" t="n">
        <v>23619.4777317329</v>
      </c>
      <c r="G40" s="112" t="n">
        <v>26562.6981783175</v>
      </c>
      <c r="H40" s="112" t="n">
        <v>28814.8790347946</v>
      </c>
    </row>
    <row r="41" customFormat="false" ht="15" hidden="false" customHeight="false" outlineLevel="0" collapsed="false">
      <c r="A41" s="4"/>
      <c r="B41" s="55" t="s">
        <v>1196</v>
      </c>
      <c r="C41" s="112" t="n">
        <v>9007.1539</v>
      </c>
      <c r="D41" s="112" t="n">
        <v>13320.8398511608</v>
      </c>
      <c r="E41" s="112" t="n">
        <v>15015.5298100764</v>
      </c>
      <c r="F41" s="112" t="n">
        <v>16062.2948525631</v>
      </c>
      <c r="G41" s="112" t="n">
        <v>16842.1197773938</v>
      </c>
      <c r="H41" s="112" t="n">
        <v>17393.5294464663</v>
      </c>
    </row>
    <row r="42" customFormat="false" ht="15" hidden="false" customHeight="false" outlineLevel="0" collapsed="false">
      <c r="A42" s="9" t="s">
        <v>1205</v>
      </c>
      <c r="B42" s="55" t="s">
        <v>1185</v>
      </c>
      <c r="C42" s="114" t="n">
        <v>0.221310526922962</v>
      </c>
      <c r="D42" s="114" t="n">
        <v>0.53913074168625</v>
      </c>
      <c r="E42" s="114" t="n">
        <v>0.266007763380335</v>
      </c>
      <c r="F42" s="114" t="n">
        <v>0.148386336022629</v>
      </c>
      <c r="G42" s="114" t="n">
        <v>0.101300794369472</v>
      </c>
      <c r="H42" s="114" t="n">
        <v>0.0674386568307415</v>
      </c>
    </row>
    <row r="43" customFormat="false" ht="15" hidden="false" customHeight="false" outlineLevel="0" collapsed="false">
      <c r="A43" s="4"/>
      <c r="B43" s="55" t="s">
        <v>1195</v>
      </c>
      <c r="C43" s="114" t="n">
        <v>0.221310526922962</v>
      </c>
      <c r="D43" s="114" t="n">
        <v>0.595990727483095</v>
      </c>
      <c r="E43" s="114" t="n">
        <v>0.389704655551613</v>
      </c>
      <c r="F43" s="114" t="n">
        <v>0.182305829096627</v>
      </c>
      <c r="G43" s="114" t="n">
        <v>0.124609886806698</v>
      </c>
      <c r="H43" s="114" t="n">
        <v>0.0847873526009331</v>
      </c>
    </row>
    <row r="44" customFormat="false" ht="15" hidden="false" customHeight="false" outlineLevel="0" collapsed="false">
      <c r="A44" s="4"/>
      <c r="B44" s="55" t="s">
        <v>1196</v>
      </c>
      <c r="C44" s="114" t="n">
        <v>0.221310526922962</v>
      </c>
      <c r="D44" s="114" t="n">
        <v>0.478917757934702</v>
      </c>
      <c r="E44" s="114" t="n">
        <v>0.127220954373075</v>
      </c>
      <c r="F44" s="114" t="n">
        <v>0.0697121617236776</v>
      </c>
      <c r="G44" s="114" t="n">
        <v>0.0485500317351146</v>
      </c>
      <c r="H44" s="114" t="n">
        <v>0.032739920886478</v>
      </c>
    </row>
    <row r="45" customFormat="false" ht="15" hidden="false" customHeight="false" outlineLevel="0" collapsed="false">
      <c r="A45" s="13" t="s">
        <v>1206</v>
      </c>
      <c r="B45" s="55" t="s">
        <v>1185</v>
      </c>
      <c r="C45" s="112" t="n">
        <v>330.717999</v>
      </c>
      <c r="D45" s="112" t="n">
        <v>652.5</v>
      </c>
      <c r="E45" s="112" t="n">
        <v>920.833333333333</v>
      </c>
      <c r="F45" s="112" t="n">
        <v>829.44</v>
      </c>
      <c r="G45" s="112" t="n">
        <v>846.289230769231</v>
      </c>
      <c r="H45" s="112" t="n">
        <v>770.88</v>
      </c>
    </row>
    <row r="46" customFormat="false" ht="15" hidden="false" customHeight="false" outlineLevel="0" collapsed="false">
      <c r="A46" s="4"/>
      <c r="B46" s="55" t="s">
        <v>1195</v>
      </c>
      <c r="C46" s="112" t="n">
        <v>330.717999</v>
      </c>
      <c r="D46" s="112" t="n">
        <v>795.652173913044</v>
      </c>
      <c r="E46" s="112" t="n">
        <v>1731.6</v>
      </c>
      <c r="F46" s="112" t="n">
        <v>1613.86666666667</v>
      </c>
      <c r="G46" s="112" t="n">
        <v>1686.4</v>
      </c>
      <c r="H46" s="112" t="n">
        <v>1562.67692307692</v>
      </c>
    </row>
    <row r="47" customFormat="false" ht="15" hidden="false" customHeight="false" outlineLevel="0" collapsed="false">
      <c r="A47" s="4"/>
      <c r="B47" s="55" t="s">
        <v>1196</v>
      </c>
      <c r="C47" s="112" t="n">
        <v>330.717999</v>
      </c>
      <c r="D47" s="112" t="n">
        <v>550.275</v>
      </c>
      <c r="E47" s="112" t="n">
        <v>496</v>
      </c>
      <c r="F47" s="112" t="n">
        <v>377.828571428571</v>
      </c>
      <c r="G47" s="112" t="n">
        <v>364.32</v>
      </c>
      <c r="H47" s="112" t="n">
        <v>310.613333333333</v>
      </c>
    </row>
    <row r="48" customFormat="false" ht="15" hidden="false" customHeight="false" outlineLevel="0" collapsed="false">
      <c r="A48" s="9" t="s">
        <v>23</v>
      </c>
      <c r="B48" s="55" t="s">
        <v>1185</v>
      </c>
      <c r="C48" s="114" t="n">
        <v>0.421375302580319</v>
      </c>
      <c r="D48" s="114" t="n">
        <v>0.449287174922178</v>
      </c>
      <c r="E48" s="114" t="n">
        <v>0.452142070624818</v>
      </c>
      <c r="F48" s="114" t="n">
        <v>0.443741718008581</v>
      </c>
      <c r="G48" s="114" t="n">
        <v>0.434285878007441</v>
      </c>
      <c r="H48" s="114" t="n">
        <v>0.428881968115238</v>
      </c>
    </row>
    <row r="49" customFormat="false" ht="15" hidden="false" customHeight="false" outlineLevel="0" collapsed="false">
      <c r="A49" s="4"/>
      <c r="B49" s="55" t="s">
        <v>1195</v>
      </c>
      <c r="C49" s="114" t="n">
        <v>0.421375302580319</v>
      </c>
      <c r="D49" s="114" t="n">
        <v>0.458488791618103</v>
      </c>
      <c r="E49" s="114" t="n">
        <v>0.469884453774134</v>
      </c>
      <c r="F49" s="114" t="n">
        <v>0.461556084813447</v>
      </c>
      <c r="G49" s="114" t="n">
        <v>0.451852931707255</v>
      </c>
      <c r="H49" s="114" t="n">
        <v>0.446486249120898</v>
      </c>
    </row>
    <row r="50" customFormat="false" ht="15" hidden="false" customHeight="false" outlineLevel="0" collapsed="false">
      <c r="A50" s="4"/>
      <c r="B50" s="55" t="s">
        <v>1196</v>
      </c>
      <c r="C50" s="114" t="n">
        <v>0.421375302580319</v>
      </c>
      <c r="D50" s="114" t="n">
        <v>0.439360262051851</v>
      </c>
      <c r="E50" s="114" t="n">
        <v>0.418314752811668</v>
      </c>
      <c r="F50" s="114" t="n">
        <v>0.410854007434635</v>
      </c>
      <c r="G50" s="114" t="n">
        <v>0.404670863141674</v>
      </c>
      <c r="H50" s="114" t="n">
        <v>0.39792464571866</v>
      </c>
    </row>
    <row r="51" customFormat="false" ht="15" hidden="false" customHeight="false" outlineLevel="0" collapsed="false">
      <c r="A51" s="9" t="s">
        <v>25</v>
      </c>
      <c r="B51" s="55" t="s">
        <v>1185</v>
      </c>
      <c r="C51" s="112" t="n">
        <v>2618.3839</v>
      </c>
      <c r="D51" s="112" t="n">
        <v>4260.35652053686</v>
      </c>
      <c r="E51" s="112" t="n">
        <v>5632.13722717327</v>
      </c>
      <c r="F51" s="112" t="n">
        <v>6237.76541954429</v>
      </c>
      <c r="G51" s="112" t="n">
        <v>6667.03169617248</v>
      </c>
      <c r="H51" s="112" t="n">
        <v>7002.64916789525</v>
      </c>
    </row>
    <row r="52" customFormat="false" ht="15" hidden="false" customHeight="false" outlineLevel="0" collapsed="false">
      <c r="A52" s="4"/>
      <c r="B52" s="55" t="s">
        <v>1195</v>
      </c>
      <c r="C52" s="112" t="n">
        <v>2618.3839</v>
      </c>
      <c r="D52" s="112" t="n">
        <v>4548.57203990357</v>
      </c>
      <c r="E52" s="112" t="n">
        <v>6784.94197949527</v>
      </c>
      <c r="F52" s="112" t="n">
        <v>7779.16863582985</v>
      </c>
      <c r="G52" s="112" t="n">
        <v>8528.93849668091</v>
      </c>
      <c r="H52" s="112" t="n">
        <v>9141.79437878248</v>
      </c>
    </row>
    <row r="53" customFormat="false" ht="15" hidden="false" customHeight="false" outlineLevel="0" collapsed="false">
      <c r="A53" s="4"/>
      <c r="B53" s="55" t="s">
        <v>1196</v>
      </c>
      <c r="C53" s="112" t="n">
        <v>2618.3839</v>
      </c>
      <c r="D53" s="112" t="n">
        <v>3961.93551241667</v>
      </c>
      <c r="E53" s="112" t="n">
        <v>4313.36693188141</v>
      </c>
      <c r="F53" s="112" t="n">
        <v>4389.28540313832</v>
      </c>
      <c r="G53" s="112" t="n">
        <v>4447.51516947897</v>
      </c>
      <c r="H53" s="112" t="n">
        <v>4450.56087017031</v>
      </c>
    </row>
    <row r="54" customFormat="false" ht="15" hidden="false" customHeight="false" outlineLevel="0" collapsed="false">
      <c r="A54" s="9" t="s">
        <v>1207</v>
      </c>
      <c r="B54" s="55" t="s">
        <v>1185</v>
      </c>
      <c r="C54" s="114" t="n">
        <v>0.195363900701281</v>
      </c>
      <c r="D54" s="114" t="n">
        <v>0.627093918709498</v>
      </c>
      <c r="E54" s="114" t="n">
        <v>0.321987303180803</v>
      </c>
      <c r="F54" s="114" t="n">
        <v>0.107530794784092</v>
      </c>
      <c r="G54" s="114" t="n">
        <v>0.068817316419628</v>
      </c>
      <c r="H54" s="114" t="n">
        <v>0.0503398644280408</v>
      </c>
    </row>
    <row r="55" customFormat="false" ht="15" hidden="false" customHeight="false" outlineLevel="0" collapsed="false">
      <c r="A55" s="4"/>
      <c r="B55" s="55" t="s">
        <v>1195</v>
      </c>
      <c r="C55" s="114" t="n">
        <v>0.195363900701281</v>
      </c>
      <c r="D55" s="114" t="n">
        <v>0.737167739193466</v>
      </c>
      <c r="E55" s="114" t="n">
        <v>0.491664179433138</v>
      </c>
      <c r="F55" s="114" t="n">
        <v>0.146534290099934</v>
      </c>
      <c r="G55" s="114" t="n">
        <v>0.0963817466814789</v>
      </c>
      <c r="H55" s="114" t="n">
        <v>0.0718560559839967</v>
      </c>
    </row>
    <row r="56" customFormat="false" ht="15" hidden="false" customHeight="false" outlineLevel="0" collapsed="false">
      <c r="A56" s="4"/>
      <c r="B56" s="55" t="s">
        <v>1196</v>
      </c>
      <c r="C56" s="114" t="n">
        <v>0.195363900701281</v>
      </c>
      <c r="D56" s="114" t="n">
        <v>0.513122469327997</v>
      </c>
      <c r="E56" s="114" t="n">
        <v>0.0887019534677838</v>
      </c>
      <c r="F56" s="114" t="n">
        <v>0.0176007449530358</v>
      </c>
      <c r="G56" s="114" t="n">
        <v>0.0132663431498492</v>
      </c>
      <c r="H56" s="114" t="n">
        <v>0.000684809511666273</v>
      </c>
    </row>
    <row r="57" customFormat="false" ht="15" hidden="false" customHeight="false" outlineLevel="0" collapsed="false">
      <c r="A57" s="13" t="s">
        <v>1208</v>
      </c>
      <c r="B57" s="55" t="s">
        <v>1185</v>
      </c>
      <c r="C57" s="113" t="n">
        <v>1.36990363305402</v>
      </c>
      <c r="D57" s="113" t="n">
        <v>2.15527824592142</v>
      </c>
      <c r="E57" s="113" t="n">
        <v>2.84925047592991</v>
      </c>
      <c r="F57" s="113" t="n">
        <v>3.1556326441456</v>
      </c>
      <c r="G57" s="113" t="n">
        <v>3.37279481432188</v>
      </c>
      <c r="H57" s="113" t="n">
        <v>3.54258084801844</v>
      </c>
    </row>
    <row r="58" customFormat="false" ht="15" hidden="false" customHeight="false" outlineLevel="0" collapsed="false">
      <c r="A58" s="4"/>
      <c r="B58" s="55" t="s">
        <v>1195</v>
      </c>
      <c r="C58" s="113" t="n">
        <v>1.36990363305402</v>
      </c>
      <c r="D58" s="113" t="n">
        <v>2.30108403377828</v>
      </c>
      <c r="E58" s="113" t="n">
        <v>3.43244462705258</v>
      </c>
      <c r="F58" s="113" t="n">
        <v>3.93541546378506</v>
      </c>
      <c r="G58" s="113" t="n">
        <v>4.31471768010197</v>
      </c>
      <c r="H58" s="113" t="n">
        <v>4.62475627527851</v>
      </c>
    </row>
    <row r="59" customFormat="false" ht="15" hidden="false" customHeight="false" outlineLevel="0" collapsed="false">
      <c r="A59" s="4"/>
      <c r="B59" s="55" t="s">
        <v>1196</v>
      </c>
      <c r="C59" s="113" t="n">
        <v>1.36990363305402</v>
      </c>
      <c r="D59" s="113" t="n">
        <v>2.00430958782274</v>
      </c>
      <c r="E59" s="113" t="n">
        <v>2.18209576361683</v>
      </c>
      <c r="F59" s="113" t="n">
        <v>2.22050227461535</v>
      </c>
      <c r="G59" s="113" t="n">
        <v>2.24996021975542</v>
      </c>
      <c r="H59" s="113" t="n">
        <v>2.25150101391478</v>
      </c>
    </row>
    <row r="60" customFormat="false" ht="15" hidden="false" customHeight="false" outlineLevel="0" collapsed="false">
      <c r="A60" s="13" t="s">
        <v>110</v>
      </c>
      <c r="B60" s="55" t="s">
        <v>1185</v>
      </c>
      <c r="C60" s="112" t="n">
        <v>3500.242785</v>
      </c>
      <c r="D60" s="112" t="n">
        <v>5413.04179022431</v>
      </c>
      <c r="E60" s="112" t="n">
        <v>7131.16352618075</v>
      </c>
      <c r="F60" s="112" t="n">
        <v>7969.96075411197</v>
      </c>
      <c r="G60" s="112" t="n">
        <v>8597.08672780736</v>
      </c>
      <c r="H60" s="112" t="n">
        <v>9064.83423453159</v>
      </c>
    </row>
    <row r="61" customFormat="false" ht="15" hidden="false" customHeight="false" outlineLevel="0" collapsed="false">
      <c r="A61" s="4"/>
      <c r="B61" s="55" t="s">
        <v>1195</v>
      </c>
      <c r="C61" s="112" t="n">
        <v>3500.242785</v>
      </c>
      <c r="D61" s="112" t="n">
        <v>5753.52405267791</v>
      </c>
      <c r="E61" s="112" t="n">
        <v>8503.00716348073</v>
      </c>
      <c r="F61" s="112" t="n">
        <v>9814.53398473342</v>
      </c>
      <c r="G61" s="112" t="n">
        <v>10825.3693362874</v>
      </c>
      <c r="H61" s="112" t="n">
        <v>11616.9637530532</v>
      </c>
    </row>
    <row r="62" customFormat="false" ht="15" hidden="false" customHeight="false" outlineLevel="0" collapsed="false">
      <c r="A62" s="4"/>
      <c r="B62" s="55" t="s">
        <v>1196</v>
      </c>
      <c r="C62" s="112" t="n">
        <v>3500.242785</v>
      </c>
      <c r="D62" s="112" t="n">
        <v>5059.69454185964</v>
      </c>
      <c r="E62" s="112" t="n">
        <v>5558.92283828843</v>
      </c>
      <c r="F62" s="112" t="n">
        <v>5758.27019969992</v>
      </c>
      <c r="G62" s="112" t="n">
        <v>5934.05948497539</v>
      </c>
      <c r="H62" s="112" t="n">
        <v>5998.74279861465</v>
      </c>
    </row>
    <row r="63" customFormat="false" ht="15" hidden="false" customHeight="false" outlineLevel="0" collapsed="false">
      <c r="A63" s="9" t="s">
        <v>142</v>
      </c>
      <c r="B63" s="55" t="s">
        <v>1185</v>
      </c>
      <c r="C63" s="112" t="n">
        <v>-580.092</v>
      </c>
      <c r="D63" s="112" t="n">
        <v>-1787.9753332932</v>
      </c>
      <c r="E63" s="112" t="n">
        <v>-2593.59246892886</v>
      </c>
      <c r="F63" s="112" t="n">
        <v>-2358.51372418855</v>
      </c>
      <c r="G63" s="112" t="n">
        <v>-1918.93536545505</v>
      </c>
      <c r="H63" s="112" t="n">
        <v>-1679.45915863418</v>
      </c>
    </row>
    <row r="64" customFormat="false" ht="15" hidden="false" customHeight="false" outlineLevel="0" collapsed="false">
      <c r="A64" s="4"/>
      <c r="B64" s="55" t="s">
        <v>1195</v>
      </c>
      <c r="C64" s="112" t="n">
        <v>-580.092</v>
      </c>
      <c r="D64" s="112" t="n">
        <v>-1837.9753332932</v>
      </c>
      <c r="E64" s="112" t="n">
        <v>-2894.11528717886</v>
      </c>
      <c r="F64" s="112" t="n">
        <v>-2563.06664004594</v>
      </c>
      <c r="G64" s="112" t="n">
        <v>-2031.78592403831</v>
      </c>
      <c r="H64" s="112" t="n">
        <v>-1800.66839383871</v>
      </c>
    </row>
    <row r="65" customFormat="false" ht="15" hidden="false" customHeight="false" outlineLevel="0" collapsed="false">
      <c r="A65" s="4"/>
      <c r="B65" s="55" t="s">
        <v>1196</v>
      </c>
      <c r="C65" s="112" t="n">
        <v>-580.092</v>
      </c>
      <c r="D65" s="112" t="n">
        <v>-1687.9753332932</v>
      </c>
      <c r="E65" s="112" t="n">
        <v>-2292.54683242886</v>
      </c>
      <c r="F65" s="112" t="n">
        <v>-2052.51658697376</v>
      </c>
      <c r="G65" s="112" t="n">
        <v>-1602.99097019063</v>
      </c>
      <c r="H65" s="112" t="n">
        <v>-1350.66746999087</v>
      </c>
    </row>
    <row r="66" customFormat="false" ht="15" hidden="false" customHeight="false" outlineLevel="0" collapsed="false">
      <c r="A66" s="9" t="s">
        <v>1209</v>
      </c>
      <c r="B66" s="55" t="s">
        <v>1185</v>
      </c>
      <c r="C66" s="112" t="n">
        <v>2297.5171</v>
      </c>
      <c r="D66" s="112" t="n">
        <v>1878.04058652066</v>
      </c>
      <c r="E66" s="112" t="n">
        <v>2579.24763921631</v>
      </c>
      <c r="F66" s="112" t="n">
        <v>3956.3348454413</v>
      </c>
      <c r="G66" s="112" t="n">
        <v>5180.03142966526</v>
      </c>
      <c r="H66" s="112" t="n">
        <v>6105.22011247984</v>
      </c>
    </row>
    <row r="67" customFormat="false" ht="15" hidden="false" customHeight="false" outlineLevel="0" collapsed="false">
      <c r="A67" s="4"/>
      <c r="B67" s="55" t="s">
        <v>1195</v>
      </c>
      <c r="C67" s="112" t="n">
        <v>2297.5171</v>
      </c>
      <c r="D67" s="112" t="n">
        <v>1932.77001717659</v>
      </c>
      <c r="E67" s="112" t="n">
        <v>2720.09354291676</v>
      </c>
      <c r="F67" s="112" t="n">
        <v>4916.41150482138</v>
      </c>
      <c r="G67" s="112" t="n">
        <v>6614.69711970442</v>
      </c>
      <c r="H67" s="112" t="n">
        <v>7876.44098160173</v>
      </c>
    </row>
    <row r="68" customFormat="false" ht="15" hidden="false" customHeight="false" outlineLevel="0" collapsed="false">
      <c r="A68" s="4"/>
      <c r="B68" s="55" t="s">
        <v>1196</v>
      </c>
      <c r="C68" s="112" t="n">
        <v>2297.5171</v>
      </c>
      <c r="D68" s="112" t="n">
        <v>1873.90919067331</v>
      </c>
      <c r="E68" s="112" t="n">
        <v>2283.45585693621</v>
      </c>
      <c r="F68" s="112" t="n">
        <v>2993.39469029925</v>
      </c>
      <c r="G68" s="112" t="n">
        <v>3727.70530141604</v>
      </c>
      <c r="H68" s="112" t="n">
        <v>4177.27857617469</v>
      </c>
    </row>
    <row r="69" customFormat="false" ht="15" hidden="false" customHeight="false" outlineLevel="0" collapsed="false">
      <c r="A69" s="13" t="s">
        <v>29</v>
      </c>
      <c r="B69" s="55" t="s">
        <v>1185</v>
      </c>
      <c r="C69" s="114" t="n">
        <v>0.254801709744815</v>
      </c>
      <c r="D69" s="114" t="n">
        <v>0.372908874690275</v>
      </c>
      <c r="E69" s="114" t="n">
        <v>0.401102458353147</v>
      </c>
      <c r="F69" s="114" t="n">
        <v>0.373702818036969</v>
      </c>
      <c r="G69" s="114" t="n">
        <v>0.35914986418445</v>
      </c>
      <c r="H69" s="114" t="n">
        <v>0.353670012315508</v>
      </c>
    </row>
    <row r="70" customFormat="false" ht="15" hidden="false" customHeight="false" outlineLevel="0" collapsed="false">
      <c r="A70" s="4"/>
      <c r="B70" s="55" t="s">
        <v>1195</v>
      </c>
      <c r="C70" s="114" t="n">
        <v>0.254801709744815</v>
      </c>
      <c r="D70" s="114" t="n">
        <v>0.395566056236395</v>
      </c>
      <c r="E70" s="114" t="n">
        <v>0.461940183190285</v>
      </c>
      <c r="F70" s="114" t="n">
        <v>0.429108543148375</v>
      </c>
      <c r="G70" s="114" t="n">
        <v>0.415922864460071</v>
      </c>
      <c r="H70" s="114" t="n">
        <v>0.412848183470463</v>
      </c>
    </row>
    <row r="71" customFormat="false" ht="15" hidden="false" customHeight="false" outlineLevel="0" collapsed="false">
      <c r="A71" s="4"/>
      <c r="B71" s="55" t="s">
        <v>1196</v>
      </c>
      <c r="C71" s="114" t="n">
        <v>0.254801709744815</v>
      </c>
      <c r="D71" s="114" t="n">
        <v>0.349785582415923</v>
      </c>
      <c r="E71" s="114" t="n">
        <v>0.321514189145406</v>
      </c>
      <c r="F71" s="114" t="n">
        <v>0.289639280621707</v>
      </c>
      <c r="G71" s="114" t="n">
        <v>0.274283666247038</v>
      </c>
      <c r="H71" s="114" t="n">
        <v>0.265173922961141</v>
      </c>
    </row>
    <row r="72" customFormat="false" ht="15" hidden="false" customHeight="false" outlineLevel="0" collapsed="false">
      <c r="A72" s="9" t="s">
        <v>1210</v>
      </c>
      <c r="B72" s="55" t="s">
        <v>1185</v>
      </c>
      <c r="C72" s="112" t="n">
        <v>12080.846696</v>
      </c>
      <c r="D72" s="112" t="n">
        <v>18350.2198242582</v>
      </c>
      <c r="E72" s="112" t="n">
        <v>19604.4260848219</v>
      </c>
      <c r="F72" s="112" t="n">
        <v>21788.0002288223</v>
      </c>
      <c r="G72" s="112" t="n">
        <v>25001.5242319624</v>
      </c>
      <c r="H72" s="112" t="n">
        <v>29004.1911404062</v>
      </c>
    </row>
    <row r="73" customFormat="false" ht="15" hidden="false" customHeight="false" outlineLevel="0" collapsed="false">
      <c r="A73" s="4"/>
      <c r="B73" s="55" t="s">
        <v>1195</v>
      </c>
      <c r="C73" s="112" t="n">
        <v>12080.846696</v>
      </c>
      <c r="D73" s="112" t="n">
        <v>18404.9492549141</v>
      </c>
      <c r="E73" s="112" t="n">
        <v>19704.9581990373</v>
      </c>
      <c r="F73" s="112" t="n">
        <v>22468.7039587216</v>
      </c>
      <c r="G73" s="112" t="n">
        <v>26609.3712388571</v>
      </c>
      <c r="H73" s="112" t="n">
        <v>31770.4322089519</v>
      </c>
    </row>
    <row r="74" customFormat="false" ht="15" hidden="false" customHeight="false" outlineLevel="0" collapsed="false">
      <c r="A74" s="4"/>
      <c r="B74" s="55" t="s">
        <v>1196</v>
      </c>
      <c r="C74" s="112" t="n">
        <v>12080.846696</v>
      </c>
      <c r="D74" s="112" t="n">
        <v>18346.0884284108</v>
      </c>
      <c r="E74" s="112" t="n">
        <v>19402.8460368741</v>
      </c>
      <c r="F74" s="112" t="n">
        <v>21058.0345965388</v>
      </c>
      <c r="G74" s="112" t="n">
        <v>23427.8091029937</v>
      </c>
      <c r="H74" s="112" t="n">
        <v>26232.6695533376</v>
      </c>
    </row>
    <row r="76" customFormat="false" ht="15" hidden="false" customHeight="false" outlineLevel="0" collapsed="false">
      <c r="A76" s="40" t="s">
        <v>1211</v>
      </c>
      <c r="B76" s="6"/>
      <c r="C76" s="6"/>
      <c r="D76" s="6"/>
      <c r="E76" s="6"/>
      <c r="F76" s="6"/>
      <c r="G76" s="6"/>
      <c r="H76" s="6"/>
      <c r="I76" s="6"/>
      <c r="J76" s="6"/>
      <c r="K76" s="6"/>
      <c r="L76" s="6"/>
    </row>
    <row r="77" customFormat="false" ht="15" hidden="false" customHeight="false" outlineLevel="0" collapsed="false">
      <c r="A77" s="7" t="s">
        <v>10</v>
      </c>
      <c r="B77" s="54"/>
      <c r="C77" s="54" t="s">
        <v>1185</v>
      </c>
      <c r="D77" s="54" t="s">
        <v>1195</v>
      </c>
      <c r="E77" s="54" t="s">
        <v>1196</v>
      </c>
    </row>
    <row r="78" customFormat="false" ht="15" hidden="false" customHeight="false" outlineLevel="0" collapsed="false">
      <c r="A78" s="4" t="s">
        <v>42</v>
      </c>
      <c r="C78" s="113" t="n">
        <v>55.0338129345541</v>
      </c>
      <c r="D78" s="113" t="n">
        <v>70.6944638129988</v>
      </c>
      <c r="E78" s="113" t="n">
        <v>36.6960513701314</v>
      </c>
    </row>
    <row r="79" customFormat="false" ht="15" hidden="false" customHeight="false" outlineLevel="0" collapsed="false">
      <c r="A79" s="4" t="s">
        <v>43</v>
      </c>
      <c r="C79" s="113" t="n">
        <v>53.8546472774509</v>
      </c>
      <c r="D79" s="113" t="n">
        <v>69.1797498684146</v>
      </c>
      <c r="E79" s="113" t="n">
        <v>35.9097943179732</v>
      </c>
    </row>
    <row r="80" customFormat="false" ht="15" hidden="false" customHeight="false" outlineLevel="0" collapsed="false">
      <c r="A80" s="11" t="s">
        <v>44</v>
      </c>
      <c r="C80" s="114" t="n">
        <v>-0.545530402721933</v>
      </c>
      <c r="D80" s="114" t="n">
        <v>-0.416204642460637</v>
      </c>
      <c r="E80" s="114" t="n">
        <v>-0.696963761029762</v>
      </c>
    </row>
    <row r="81" customFormat="false" ht="15" hidden="false" customHeight="false" outlineLevel="0" collapsed="false">
      <c r="A81" s="4" t="s">
        <v>45</v>
      </c>
      <c r="C81" s="127" t="n">
        <v>19.5107171375715</v>
      </c>
      <c r="D81" s="127" t="n">
        <v>20.8044444873503</v>
      </c>
      <c r="E81" s="127" t="n">
        <v>16.9871212930062</v>
      </c>
    </row>
    <row r="82" customFormat="false" ht="15" hidden="false" customHeight="false" outlineLevel="0" collapsed="false">
      <c r="A82" s="4" t="s">
        <v>1212</v>
      </c>
      <c r="C82" s="127" t="n">
        <v>12.8367690993244</v>
      </c>
      <c r="D82" s="127" t="n">
        <v>14.4368080900378</v>
      </c>
      <c r="E82" s="127" t="n">
        <v>9.88138952862552</v>
      </c>
    </row>
    <row r="83" customFormat="false" ht="15" hidden="false" customHeight="false" outlineLevel="0" collapsed="false">
      <c r="A83" s="11" t="s">
        <v>1213</v>
      </c>
      <c r="C83" s="121" t="n">
        <v>0.0735826999571934</v>
      </c>
      <c r="D83" s="121" t="n">
        <v>0.0659275827479022</v>
      </c>
      <c r="E83" s="121" t="n">
        <v>0.0812174672955115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8" min="3" style="0" width="11"/>
  </cols>
  <sheetData>
    <row r="1" customFormat="false" ht="21.6" hidden="false" customHeight="false" outlineLevel="0" collapsed="false">
      <c r="A1" s="36" t="s">
        <v>1214</v>
      </c>
    </row>
    <row r="2" customFormat="false" ht="15" hidden="false" customHeight="false" outlineLevel="0" collapsed="false">
      <c r="A2" s="2" t="s">
        <v>1215</v>
      </c>
    </row>
    <row r="4" customFormat="false" ht="15" hidden="false" customHeight="false" outlineLevel="0" collapsed="false">
      <c r="A4" s="4" t="s">
        <v>1216</v>
      </c>
      <c r="C4" s="126" t="n">
        <f aca="false">假设!I102</f>
        <v>2.5</v>
      </c>
    </row>
    <row r="5" customFormat="false" ht="15" hidden="false" customHeight="false" outlineLevel="0" collapsed="false">
      <c r="A5" s="4" t="s">
        <v>1217</v>
      </c>
      <c r="C5" s="128" t="n">
        <f aca="false">假设!I106</f>
        <v>30</v>
      </c>
    </row>
    <row r="6" customFormat="false" ht="15" hidden="false" customHeight="false" outlineLevel="0" collapsed="false">
      <c r="A6" s="4" t="s">
        <v>1218</v>
      </c>
      <c r="C6" s="12" t="n">
        <f aca="false">假设!I131</f>
        <v>0.4</v>
      </c>
    </row>
    <row r="7" customFormat="false" ht="15" hidden="false" customHeight="false" outlineLevel="0" collapsed="false">
      <c r="A7" s="11" t="s">
        <v>1219</v>
      </c>
      <c r="C7" s="12" t="n">
        <f aca="false">IFERROR(三表预测!I26/三表预测!I9,0)</f>
        <v>0.709739284212181</v>
      </c>
    </row>
    <row r="8" customFormat="false" ht="15" hidden="false" customHeight="false" outlineLevel="0" collapsed="false">
      <c r="A8" s="4" t="s">
        <v>1220</v>
      </c>
      <c r="C8" s="10" t="n">
        <f aca="false">三表预测!I26</f>
        <v>5632.13722717327</v>
      </c>
    </row>
    <row r="9" customFormat="false" ht="15" hidden="false" customHeight="false" outlineLevel="0" collapsed="false">
      <c r="A9" s="4" t="s">
        <v>1221</v>
      </c>
      <c r="C9" s="10" t="n">
        <f aca="false">收入拆解!I38</f>
        <v>920.833333333333</v>
      </c>
    </row>
    <row r="11" customFormat="false" ht="15" hidden="false" customHeight="false" outlineLevel="0" collapsed="false">
      <c r="A11" s="40" t="s">
        <v>1222</v>
      </c>
      <c r="B11" s="6"/>
      <c r="C11" s="6"/>
      <c r="D11" s="6"/>
      <c r="E11" s="6"/>
      <c r="F11" s="6"/>
      <c r="G11" s="6"/>
      <c r="H11" s="6"/>
      <c r="I11" s="6"/>
      <c r="J11" s="6"/>
    </row>
    <row r="12" customFormat="false" ht="15" hidden="false" customHeight="false" outlineLevel="0" collapsed="false">
      <c r="A12" s="9" t="s">
        <v>1223</v>
      </c>
      <c r="C12" s="74" t="n">
        <v>16</v>
      </c>
      <c r="D12" s="74" t="n">
        <v>18</v>
      </c>
      <c r="E12" s="74" t="n">
        <v>20</v>
      </c>
      <c r="F12" s="74" t="n">
        <v>22</v>
      </c>
      <c r="G12" s="74" t="n">
        <v>24</v>
      </c>
      <c r="H12" s="74" t="n">
        <v>26</v>
      </c>
    </row>
    <row r="13" customFormat="false" ht="15" hidden="false" customHeight="false" outlineLevel="0" collapsed="false">
      <c r="B13" s="61" t="n">
        <v>0.4</v>
      </c>
      <c r="C13" s="33" t="n">
        <f aca="false">$C$4*1000/$C$5*$B13*C$12</f>
        <v>533.333333333333</v>
      </c>
      <c r="D13" s="33" t="n">
        <f aca="false">$C$4*1000/$C$5*$B13*D$12</f>
        <v>600</v>
      </c>
      <c r="E13" s="33" t="n">
        <f aca="false">$C$4*1000/$C$5*$B13*E$12</f>
        <v>666.666666666667</v>
      </c>
      <c r="F13" s="33" t="n">
        <f aca="false">$C$4*1000/$C$5*$B13*F$12</f>
        <v>733.333333333333</v>
      </c>
      <c r="G13" s="33" t="n">
        <f aca="false">$C$4*1000/$C$5*$B13*G$12</f>
        <v>800</v>
      </c>
      <c r="H13" s="33" t="n">
        <f aca="false">$C$4*1000/$C$5*$B13*H$12</f>
        <v>866.666666666667</v>
      </c>
    </row>
    <row r="14" customFormat="false" ht="15" hidden="false" customHeight="false" outlineLevel="0" collapsed="false">
      <c r="B14" s="61" t="n">
        <v>0.5</v>
      </c>
      <c r="C14" s="33" t="n">
        <f aca="false">$C$4*1000/$C$5*$B14*C$12</f>
        <v>666.666666666667</v>
      </c>
      <c r="D14" s="33" t="n">
        <f aca="false">$C$4*1000/$C$5*$B14*D$12</f>
        <v>750</v>
      </c>
      <c r="E14" s="33" t="n">
        <f aca="false">$C$4*1000/$C$5*$B14*E$12</f>
        <v>833.333333333333</v>
      </c>
      <c r="F14" s="33" t="n">
        <f aca="false">$C$4*1000/$C$5*$B14*F$12</f>
        <v>916.666666666667</v>
      </c>
      <c r="G14" s="33" t="n">
        <f aca="false">$C$4*1000/$C$5*$B14*G$12</f>
        <v>1000</v>
      </c>
      <c r="H14" s="33" t="n">
        <f aca="false">$C$4*1000/$C$5*$B14*H$12</f>
        <v>1083.33333333333</v>
      </c>
    </row>
    <row r="15" customFormat="false" ht="15" hidden="false" customHeight="false" outlineLevel="0" collapsed="false">
      <c r="B15" s="61" t="n">
        <v>0.6</v>
      </c>
      <c r="C15" s="33" t="n">
        <f aca="false">$C$4*1000/$C$5*$B15*C$12</f>
        <v>800</v>
      </c>
      <c r="D15" s="33" t="n">
        <f aca="false">$C$4*1000/$C$5*$B15*D$12</f>
        <v>900</v>
      </c>
      <c r="E15" s="33" t="n">
        <f aca="false">$C$4*1000/$C$5*$B15*E$12</f>
        <v>1000</v>
      </c>
      <c r="F15" s="33" t="n">
        <f aca="false">$C$4*1000/$C$5*$B15*F$12</f>
        <v>1100</v>
      </c>
      <c r="G15" s="33" t="n">
        <f aca="false">$C$4*1000/$C$5*$B15*G$12</f>
        <v>1200</v>
      </c>
      <c r="H15" s="33" t="n">
        <f aca="false">$C$4*1000/$C$5*$B15*H$12</f>
        <v>1300</v>
      </c>
    </row>
    <row r="16" customFormat="false" ht="15" hidden="false" customHeight="false" outlineLevel="0" collapsed="false">
      <c r="B16" s="61" t="n">
        <v>0.7</v>
      </c>
      <c r="C16" s="33" t="n">
        <f aca="false">$C$4*1000/$C$5*$B16*C$12</f>
        <v>933.333333333333</v>
      </c>
      <c r="D16" s="33" t="n">
        <f aca="false">$C$4*1000/$C$5*$B16*D$12</f>
        <v>1050</v>
      </c>
      <c r="E16" s="33" t="n">
        <f aca="false">$C$4*1000/$C$5*$B16*E$12</f>
        <v>1166.66666666667</v>
      </c>
      <c r="F16" s="33" t="n">
        <f aca="false">$C$4*1000/$C$5*$B16*F$12</f>
        <v>1283.33333333333</v>
      </c>
      <c r="G16" s="33" t="n">
        <f aca="false">$C$4*1000/$C$5*$B16*G$12</f>
        <v>1400</v>
      </c>
      <c r="H16" s="33" t="n">
        <f aca="false">$C$4*1000/$C$5*$B16*H$12</f>
        <v>1516.66666666667</v>
      </c>
    </row>
    <row r="17" customFormat="false" ht="15" hidden="false" customHeight="false" outlineLevel="0" collapsed="false">
      <c r="B17" s="61" t="n">
        <v>0.8</v>
      </c>
      <c r="C17" s="33" t="n">
        <f aca="false">$C$4*1000/$C$5*$B17*C$12</f>
        <v>1066.66666666667</v>
      </c>
      <c r="D17" s="33" t="n">
        <f aca="false">$C$4*1000/$C$5*$B17*D$12</f>
        <v>1200</v>
      </c>
      <c r="E17" s="33" t="n">
        <f aca="false">$C$4*1000/$C$5*$B17*E$12</f>
        <v>1333.33333333333</v>
      </c>
      <c r="F17" s="33" t="n">
        <f aca="false">$C$4*1000/$C$5*$B17*F$12</f>
        <v>1466.66666666667</v>
      </c>
      <c r="G17" s="33" t="n">
        <f aca="false">$C$4*1000/$C$5*$B17*G$12</f>
        <v>1600</v>
      </c>
      <c r="H17" s="33" t="n">
        <f aca="false">$C$4*1000/$C$5*$B17*H$12</f>
        <v>1733.33333333333</v>
      </c>
    </row>
    <row r="18" customFormat="false" ht="15" hidden="false" customHeight="false" outlineLevel="0" collapsed="false">
      <c r="B18" s="61" t="n">
        <v>0.9</v>
      </c>
      <c r="C18" s="33" t="n">
        <f aca="false">$C$4*1000/$C$5*$B18*C$12</f>
        <v>1200</v>
      </c>
      <c r="D18" s="33" t="n">
        <f aca="false">$C$4*1000/$C$5*$B18*D$12</f>
        <v>1350</v>
      </c>
      <c r="E18" s="33" t="n">
        <f aca="false">$C$4*1000/$C$5*$B18*E$12</f>
        <v>1500</v>
      </c>
      <c r="F18" s="33" t="n">
        <f aca="false">$C$4*1000/$C$5*$B18*F$12</f>
        <v>1650</v>
      </c>
      <c r="G18" s="33" t="n">
        <f aca="false">$C$4*1000/$C$5*$B18*G$12</f>
        <v>1800</v>
      </c>
      <c r="H18" s="33" t="n">
        <f aca="false">$C$4*1000/$C$5*$B18*H$12</f>
        <v>1950</v>
      </c>
    </row>
    <row r="20" customFormat="false" ht="15" hidden="false" customHeight="false" outlineLevel="0" collapsed="false">
      <c r="A20" s="40" t="s">
        <v>1224</v>
      </c>
      <c r="B20" s="6"/>
      <c r="C20" s="6"/>
      <c r="D20" s="6"/>
      <c r="E20" s="6"/>
      <c r="F20" s="6"/>
      <c r="G20" s="6"/>
      <c r="H20" s="6"/>
      <c r="I20" s="6"/>
      <c r="J20" s="6"/>
    </row>
    <row r="21" customFormat="false" ht="15" hidden="false" customHeight="false" outlineLevel="0" collapsed="false">
      <c r="A21" s="9" t="s">
        <v>1223</v>
      </c>
      <c r="C21" s="74" t="n">
        <v>16</v>
      </c>
      <c r="D21" s="74" t="n">
        <v>18</v>
      </c>
      <c r="E21" s="74" t="n">
        <v>20</v>
      </c>
      <c r="F21" s="74" t="n">
        <v>22</v>
      </c>
      <c r="G21" s="74" t="n">
        <v>24</v>
      </c>
      <c r="H21" s="74" t="n">
        <v>26</v>
      </c>
    </row>
    <row r="22" customFormat="false" ht="15" hidden="false" customHeight="false" outlineLevel="0" collapsed="false">
      <c r="B22" s="61" t="n">
        <v>0.4</v>
      </c>
      <c r="C22" s="31" t="n">
        <f aca="false">IFERROR($C$4*1000/$C$5*$B22*C$21*$C$6*$C$7/$C$8,0)</f>
        <v>0.0268834087649869</v>
      </c>
      <c r="D22" s="31" t="n">
        <f aca="false">IFERROR($C$4*1000/$C$5*$B22*D$21*$C$6*$C$7/$C$8,0)</f>
        <v>0.0302438348606102</v>
      </c>
      <c r="E22" s="31" t="n">
        <f aca="false">IFERROR($C$4*1000/$C$5*$B22*E$21*$C$6*$C$7/$C$8,0)</f>
        <v>0.0336042609562336</v>
      </c>
      <c r="F22" s="31" t="n">
        <f aca="false">IFERROR($C$4*1000/$C$5*$B22*F$21*$C$6*$C$7/$C$8,0)</f>
        <v>0.0369646870518569</v>
      </c>
      <c r="G22" s="31" t="n">
        <f aca="false">IFERROR($C$4*1000/$C$5*$B22*G$21*$C$6*$C$7/$C$8,0)</f>
        <v>0.0403251131474803</v>
      </c>
      <c r="H22" s="31" t="n">
        <f aca="false">IFERROR($C$4*1000/$C$5*$B22*H$21*$C$6*$C$7/$C$8,0)</f>
        <v>0.0436855392431036</v>
      </c>
    </row>
    <row r="23" customFormat="false" ht="15" hidden="false" customHeight="false" outlineLevel="0" collapsed="false">
      <c r="B23" s="61" t="n">
        <v>0.5</v>
      </c>
      <c r="C23" s="31" t="n">
        <f aca="false">IFERROR($C$4*1000/$C$5*$B23*C$21*$C$6*$C$7/$C$8,0)</f>
        <v>0.0336042609562336</v>
      </c>
      <c r="D23" s="31" t="n">
        <f aca="false">IFERROR($C$4*1000/$C$5*$B23*D$21*$C$6*$C$7/$C$8,0)</f>
        <v>0.0378047935757628</v>
      </c>
      <c r="E23" s="31" t="n">
        <f aca="false">IFERROR($C$4*1000/$C$5*$B23*E$21*$C$6*$C$7/$C$8,0)</f>
        <v>0.0420053261952919</v>
      </c>
      <c r="F23" s="31" t="n">
        <f aca="false">IFERROR($C$4*1000/$C$5*$B23*F$21*$C$6*$C$7/$C$8,0)</f>
        <v>0.0462058588148211</v>
      </c>
      <c r="G23" s="31" t="n">
        <f aca="false">IFERROR($C$4*1000/$C$5*$B23*G$21*$C$6*$C$7/$C$8,0)</f>
        <v>0.0504063914343503</v>
      </c>
      <c r="H23" s="31" t="n">
        <f aca="false">IFERROR($C$4*1000/$C$5*$B23*H$21*$C$6*$C$7/$C$8,0)</f>
        <v>0.0546069240538795</v>
      </c>
    </row>
    <row r="24" customFormat="false" ht="15" hidden="false" customHeight="false" outlineLevel="0" collapsed="false">
      <c r="B24" s="61" t="n">
        <v>0.6</v>
      </c>
      <c r="C24" s="31" t="n">
        <f aca="false">IFERROR($C$4*1000/$C$5*$B24*C$21*$C$6*$C$7/$C$8,0)</f>
        <v>0.0403251131474803</v>
      </c>
      <c r="D24" s="31" t="n">
        <f aca="false">IFERROR($C$4*1000/$C$5*$B24*D$21*$C$6*$C$7/$C$8,0)</f>
        <v>0.0453657522909153</v>
      </c>
      <c r="E24" s="31" t="n">
        <f aca="false">IFERROR($C$4*1000/$C$5*$B24*E$21*$C$6*$C$7/$C$8,0)</f>
        <v>0.0504063914343503</v>
      </c>
      <c r="F24" s="31" t="n">
        <f aca="false">IFERROR($C$4*1000/$C$5*$B24*F$21*$C$6*$C$7/$C$8,0)</f>
        <v>0.0554470305777854</v>
      </c>
      <c r="G24" s="31" t="n">
        <f aca="false">IFERROR($C$4*1000/$C$5*$B24*G$21*$C$6*$C$7/$C$8,0)</f>
        <v>0.0604876697212204</v>
      </c>
      <c r="H24" s="31" t="n">
        <f aca="false">IFERROR($C$4*1000/$C$5*$B24*H$21*$C$6*$C$7/$C$8,0)</f>
        <v>0.0655283088646554</v>
      </c>
    </row>
    <row r="25" customFormat="false" ht="15" hidden="false" customHeight="false" outlineLevel="0" collapsed="false">
      <c r="B25" s="61" t="n">
        <v>0.7</v>
      </c>
      <c r="C25" s="31" t="n">
        <f aca="false">IFERROR($C$4*1000/$C$5*$B25*C$21*$C$6*$C$7/$C$8,0)</f>
        <v>0.047045965338727</v>
      </c>
      <c r="D25" s="31" t="n">
        <f aca="false">IFERROR($C$4*1000/$C$5*$B25*D$21*$C$6*$C$7/$C$8,0)</f>
        <v>0.0529267110060679</v>
      </c>
      <c r="E25" s="31" t="n">
        <f aca="false">IFERROR($C$4*1000/$C$5*$B25*E$21*$C$6*$C$7/$C$8,0)</f>
        <v>0.0588074566734087</v>
      </c>
      <c r="F25" s="31" t="n">
        <f aca="false">IFERROR($C$4*1000/$C$5*$B25*F$21*$C$6*$C$7/$C$8,0)</f>
        <v>0.0646882023407496</v>
      </c>
      <c r="G25" s="31" t="n">
        <f aca="false">IFERROR($C$4*1000/$C$5*$B25*G$21*$C$6*$C$7/$C$8,0)</f>
        <v>0.0705689480080905</v>
      </c>
      <c r="H25" s="31" t="n">
        <f aca="false">IFERROR($C$4*1000/$C$5*$B25*H$21*$C$6*$C$7/$C$8,0)</f>
        <v>0.0764496936754313</v>
      </c>
    </row>
    <row r="26" customFormat="false" ht="15" hidden="false" customHeight="false" outlineLevel="0" collapsed="false">
      <c r="B26" s="61" t="n">
        <v>0.8</v>
      </c>
      <c r="C26" s="31" t="n">
        <f aca="false">IFERROR($C$4*1000/$C$5*$B26*C$21*$C$6*$C$7/$C$8,0)</f>
        <v>0.0537668175299737</v>
      </c>
      <c r="D26" s="31" t="n">
        <f aca="false">IFERROR($C$4*1000/$C$5*$B26*D$21*$C$6*$C$7/$C$8,0)</f>
        <v>0.0604876697212204</v>
      </c>
      <c r="E26" s="31" t="n">
        <f aca="false">IFERROR($C$4*1000/$C$5*$B26*E$21*$C$6*$C$7/$C$8,0)</f>
        <v>0.0672085219124671</v>
      </c>
      <c r="F26" s="31" t="n">
        <f aca="false">IFERROR($C$4*1000/$C$5*$B26*F$21*$C$6*$C$7/$C$8,0)</f>
        <v>0.0739293741037138</v>
      </c>
      <c r="G26" s="31" t="n">
        <f aca="false">IFERROR($C$4*1000/$C$5*$B26*G$21*$C$6*$C$7/$C$8,0)</f>
        <v>0.0806502262949605</v>
      </c>
      <c r="H26" s="31" t="n">
        <f aca="false">IFERROR($C$4*1000/$C$5*$B26*H$21*$C$6*$C$7/$C$8,0)</f>
        <v>0.0873710784862073</v>
      </c>
    </row>
    <row r="27" customFormat="false" ht="15" hidden="false" customHeight="false" outlineLevel="0" collapsed="false">
      <c r="B27" s="61" t="n">
        <v>0.9</v>
      </c>
      <c r="C27" s="31" t="n">
        <f aca="false">IFERROR($C$4*1000/$C$5*$B27*C$21*$C$6*$C$7/$C$8,0)</f>
        <v>0.0604876697212204</v>
      </c>
      <c r="D27" s="31" t="n">
        <f aca="false">IFERROR($C$4*1000/$C$5*$B27*D$21*$C$6*$C$7/$C$8,0)</f>
        <v>0.068048628436373</v>
      </c>
      <c r="E27" s="31" t="n">
        <f aca="false">IFERROR($C$4*1000/$C$5*$B27*E$21*$C$6*$C$7/$C$8,0)</f>
        <v>0.0756095871515255</v>
      </c>
      <c r="F27" s="31" t="n">
        <f aca="false">IFERROR($C$4*1000/$C$5*$B27*F$21*$C$6*$C$7/$C$8,0)</f>
        <v>0.0831705458666781</v>
      </c>
      <c r="G27" s="31" t="n">
        <f aca="false">IFERROR($C$4*1000/$C$5*$B27*G$21*$C$6*$C$7/$C$8,0)</f>
        <v>0.0907315045818306</v>
      </c>
      <c r="H27" s="31" t="n">
        <f aca="false">IFERROR($C$4*1000/$C$5*$B27*H$21*$C$6*$C$7/$C$8,0)</f>
        <v>0.0982924632969831</v>
      </c>
    </row>
    <row r="29" customFormat="false" ht="15" hidden="false" customHeight="false" outlineLevel="0" collapsed="false">
      <c r="A29" s="40" t="s">
        <v>1225</v>
      </c>
      <c r="B29" s="6"/>
      <c r="C29" s="6"/>
      <c r="D29" s="6"/>
      <c r="E29" s="6"/>
      <c r="F29" s="6"/>
      <c r="G29" s="6"/>
      <c r="H29" s="6"/>
      <c r="I29" s="6"/>
      <c r="J29" s="6"/>
    </row>
    <row r="30" customFormat="false" ht="15" hidden="false" customHeight="false" outlineLevel="0" collapsed="false">
      <c r="A30" s="13" t="s">
        <v>1226</v>
      </c>
      <c r="C30" s="129" t="n">
        <v>25</v>
      </c>
      <c r="D30" s="129" t="n">
        <v>27.5</v>
      </c>
      <c r="E30" s="129" t="n">
        <v>30</v>
      </c>
      <c r="F30" s="129" t="n">
        <v>32.5</v>
      </c>
      <c r="G30" s="129" t="n">
        <v>35</v>
      </c>
      <c r="H30" s="129" t="n">
        <v>37.5</v>
      </c>
    </row>
    <row r="31" customFormat="false" ht="15" hidden="false" customHeight="false" outlineLevel="0" collapsed="false">
      <c r="B31" s="129" t="n">
        <v>1.5</v>
      </c>
      <c r="C31" s="10" t="n">
        <f aca="false">$B31*1000/C$30*假设!I110*假设!I114</f>
        <v>663</v>
      </c>
      <c r="D31" s="10" t="n">
        <f aca="false">$B31*1000/D$30*假设!I110*假设!I114</f>
        <v>602.727272727273</v>
      </c>
      <c r="E31" s="10" t="n">
        <f aca="false">$B31*1000/E$30*假设!I110*假设!I114</f>
        <v>552.5</v>
      </c>
      <c r="F31" s="10" t="n">
        <f aca="false">$B31*1000/F$30*假设!I110*假设!I114</f>
        <v>510</v>
      </c>
      <c r="G31" s="10" t="n">
        <f aca="false">$B31*1000/G$30*假设!I110*假设!I114</f>
        <v>473.571428571429</v>
      </c>
      <c r="H31" s="10" t="n">
        <f aca="false">$B31*1000/H$30*假设!I110*假设!I114</f>
        <v>442</v>
      </c>
    </row>
    <row r="32" customFormat="false" ht="15" hidden="false" customHeight="false" outlineLevel="0" collapsed="false">
      <c r="B32" s="129" t="n">
        <v>2</v>
      </c>
      <c r="C32" s="10" t="n">
        <f aca="false">$B32*1000/C$30*假设!I110*假设!I114</f>
        <v>884</v>
      </c>
      <c r="D32" s="10" t="n">
        <f aca="false">$B32*1000/D$30*假设!I110*假设!I114</f>
        <v>803.636363636364</v>
      </c>
      <c r="E32" s="10" t="n">
        <f aca="false">$B32*1000/E$30*假设!I110*假设!I114</f>
        <v>736.666666666667</v>
      </c>
      <c r="F32" s="10" t="n">
        <f aca="false">$B32*1000/F$30*假设!I110*假设!I114</f>
        <v>680</v>
      </c>
      <c r="G32" s="10" t="n">
        <f aca="false">$B32*1000/G$30*假设!I110*假设!I114</f>
        <v>631.428571428571</v>
      </c>
      <c r="H32" s="10" t="n">
        <f aca="false">$B32*1000/H$30*假设!I110*假设!I114</f>
        <v>589.333333333333</v>
      </c>
    </row>
    <row r="33" customFormat="false" ht="15" hidden="false" customHeight="false" outlineLevel="0" collapsed="false">
      <c r="B33" s="129" t="n">
        <v>2.5</v>
      </c>
      <c r="C33" s="10" t="n">
        <f aca="false">$B33*1000/C$30*假设!I110*假设!I114</f>
        <v>1105</v>
      </c>
      <c r="D33" s="10" t="n">
        <f aca="false">$B33*1000/D$30*假设!I110*假设!I114</f>
        <v>1004.54545454545</v>
      </c>
      <c r="E33" s="10" t="n">
        <f aca="false">$B33*1000/E$30*假设!I110*假设!I114</f>
        <v>920.833333333333</v>
      </c>
      <c r="F33" s="10" t="n">
        <f aca="false">$B33*1000/F$30*假设!I110*假设!I114</f>
        <v>850</v>
      </c>
      <c r="G33" s="10" t="n">
        <f aca="false">$B33*1000/G$30*假设!I110*假设!I114</f>
        <v>789.285714285714</v>
      </c>
      <c r="H33" s="10" t="n">
        <f aca="false">$B33*1000/H$30*假设!I110*假设!I114</f>
        <v>736.666666666667</v>
      </c>
    </row>
    <row r="34" customFormat="false" ht="15" hidden="false" customHeight="false" outlineLevel="0" collapsed="false">
      <c r="B34" s="129" t="n">
        <v>3</v>
      </c>
      <c r="C34" s="10" t="n">
        <f aca="false">$B34*1000/C$30*假设!I110*假设!I114</f>
        <v>1326</v>
      </c>
      <c r="D34" s="10" t="n">
        <f aca="false">$B34*1000/D$30*假设!I110*假设!I114</f>
        <v>1205.45454545455</v>
      </c>
      <c r="E34" s="10" t="n">
        <f aca="false">$B34*1000/E$30*假设!I110*假设!I114</f>
        <v>1105</v>
      </c>
      <c r="F34" s="10" t="n">
        <f aca="false">$B34*1000/F$30*假设!I110*假设!I114</f>
        <v>1020</v>
      </c>
      <c r="G34" s="10" t="n">
        <f aca="false">$B34*1000/G$30*假设!I110*假设!I114</f>
        <v>947.142857142857</v>
      </c>
      <c r="H34" s="10" t="n">
        <f aca="false">$B34*1000/H$30*假设!I110*假设!I114</f>
        <v>884</v>
      </c>
    </row>
    <row r="35" customFormat="false" ht="15" hidden="false" customHeight="false" outlineLevel="0" collapsed="false">
      <c r="B35" s="129" t="n">
        <v>3.5</v>
      </c>
      <c r="C35" s="10" t="n">
        <f aca="false">$B35*1000/C$30*假设!I110*假设!I114</f>
        <v>1547</v>
      </c>
      <c r="D35" s="10" t="n">
        <f aca="false">$B35*1000/D$30*假设!I110*假设!I114</f>
        <v>1406.36363636364</v>
      </c>
      <c r="E35" s="10" t="n">
        <f aca="false">$B35*1000/E$30*假设!I110*假设!I114</f>
        <v>1289.16666666667</v>
      </c>
      <c r="F35" s="10" t="n">
        <f aca="false">$B35*1000/F$30*假设!I110*假设!I114</f>
        <v>1190</v>
      </c>
      <c r="G35" s="10" t="n">
        <f aca="false">$B35*1000/G$30*假设!I110*假设!I114</f>
        <v>1105</v>
      </c>
      <c r="H35" s="10" t="n">
        <f aca="false">$B35*1000/H$30*假设!I110*假设!I114</f>
        <v>1031.33333333333</v>
      </c>
    </row>
    <row r="36" customFormat="false" ht="15" hidden="false" customHeight="false" outlineLevel="0" collapsed="false">
      <c r="B36" s="129" t="n">
        <v>4</v>
      </c>
      <c r="C36" s="10" t="n">
        <f aca="false">$B36*1000/C$30*假设!I110*假设!I114</f>
        <v>1768</v>
      </c>
      <c r="D36" s="10" t="n">
        <f aca="false">$B36*1000/D$30*假设!I110*假设!I114</f>
        <v>1607.27272727273</v>
      </c>
      <c r="E36" s="10" t="n">
        <f aca="false">$B36*1000/E$30*假设!I110*假设!I114</f>
        <v>1473.33333333333</v>
      </c>
      <c r="F36" s="10" t="n">
        <f aca="false">$B36*1000/F$30*假设!I110*假设!I114</f>
        <v>1360</v>
      </c>
      <c r="G36" s="10" t="n">
        <f aca="false">$B36*1000/G$30*假设!I110*假设!I114</f>
        <v>1262.85714285714</v>
      </c>
      <c r="H36" s="10" t="n">
        <f aca="false">$B36*1000/H$30*假设!I110*假设!I114</f>
        <v>1178.66666666667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5" min="3" style="0" width="12"/>
  </cols>
  <sheetData>
    <row r="1" customFormat="false" ht="21.6" hidden="false" customHeight="false" outlineLevel="0" collapsed="false">
      <c r="A1" s="1" t="s">
        <v>1227</v>
      </c>
    </row>
    <row r="2" customFormat="false" ht="15" hidden="false" customHeight="false" outlineLevel="0" collapsed="false">
      <c r="A2" s="2" t="s">
        <v>1228</v>
      </c>
    </row>
    <row r="4" customFormat="false" ht="15" hidden="false" customHeight="false" outlineLevel="0" collapsed="false">
      <c r="A4" s="7" t="s">
        <v>1021</v>
      </c>
      <c r="B4" s="54"/>
      <c r="C4" s="8" t="s">
        <v>12</v>
      </c>
      <c r="D4" s="8" t="s">
        <v>13</v>
      </c>
      <c r="E4" s="8" t="s">
        <v>14</v>
      </c>
    </row>
    <row r="5" customFormat="false" ht="15" hidden="false" customHeight="false" outlineLevel="0" collapsed="false">
      <c r="A5" s="11" t="s">
        <v>1229</v>
      </c>
      <c r="C5" s="30" t="n">
        <v>13140</v>
      </c>
      <c r="D5" s="30" t="n">
        <v>17470</v>
      </c>
      <c r="E5" s="30" t="n">
        <v>20690</v>
      </c>
    </row>
    <row r="6" customFormat="false" ht="15" hidden="false" customHeight="false" outlineLevel="0" collapsed="false">
      <c r="A6" s="11" t="s">
        <v>1230</v>
      </c>
      <c r="C6" s="30" t="n">
        <v>4198</v>
      </c>
      <c r="D6" s="30" t="n">
        <v>6142</v>
      </c>
      <c r="E6" s="30" t="n">
        <v>7143</v>
      </c>
    </row>
    <row r="7" customFormat="false" ht="15" hidden="false" customHeight="false" outlineLevel="0" collapsed="false">
      <c r="A7" s="4" t="s">
        <v>1231</v>
      </c>
      <c r="C7" s="43" t="n">
        <v>2.1</v>
      </c>
      <c r="D7" s="43" t="n">
        <v>3.08</v>
      </c>
      <c r="E7" s="43" t="n">
        <v>3.58</v>
      </c>
    </row>
    <row r="8" customFormat="false" ht="15" hidden="false" customHeight="false" outlineLevel="0" collapsed="false">
      <c r="A8" s="9" t="s">
        <v>1232</v>
      </c>
      <c r="C8" s="23" t="n">
        <f aca="false">三表预测!H6</f>
        <v>13863.1874625892</v>
      </c>
      <c r="D8" s="23" t="n">
        <f aca="false">三表预测!I6</f>
        <v>17550.9029528349</v>
      </c>
      <c r="E8" s="23" t="n">
        <f aca="false">三表预测!J6</f>
        <v>20155.2171358948</v>
      </c>
    </row>
    <row r="9" customFormat="false" ht="15" hidden="false" customHeight="false" outlineLevel="0" collapsed="false">
      <c r="A9" s="9" t="s">
        <v>1233</v>
      </c>
      <c r="C9" s="23" t="n">
        <f aca="false">三表预测!H26</f>
        <v>4260.35652053686</v>
      </c>
      <c r="D9" s="23" t="n">
        <f aca="false">三表预测!I26</f>
        <v>5632.13722717327</v>
      </c>
      <c r="E9" s="23" t="n">
        <f aca="false">三表预测!J26</f>
        <v>6237.76541954429</v>
      </c>
    </row>
    <row r="10" customFormat="false" ht="15" hidden="false" customHeight="false" outlineLevel="0" collapsed="false">
      <c r="A10" s="13" t="s">
        <v>1234</v>
      </c>
      <c r="C10" s="18" t="n">
        <f aca="false">三表预测!H29</f>
        <v>2.15527824592142</v>
      </c>
      <c r="D10" s="18" t="n">
        <f aca="false">三表预测!I29</f>
        <v>2.84925047592991</v>
      </c>
      <c r="E10" s="18" t="n">
        <f aca="false">三表预测!J29</f>
        <v>3.1556326441456</v>
      </c>
    </row>
    <row r="11" customFormat="false" ht="15" hidden="false" customHeight="false" outlineLevel="0" collapsed="false">
      <c r="A11" s="11" t="s">
        <v>1235</v>
      </c>
      <c r="C11" s="31" t="n">
        <f aca="false">IFERROR(C8/C5-1,0)</f>
        <v>0.0550370976095282</v>
      </c>
      <c r="D11" s="31" t="n">
        <f aca="false">IFERROR(D8/D5-1,0)</f>
        <v>0.00463096467285928</v>
      </c>
      <c r="E11" s="31" t="n">
        <f aca="false">IFERROR(E8/E5-1,0)</f>
        <v>-0.0258474076416264</v>
      </c>
    </row>
    <row r="12" customFormat="false" ht="15" hidden="false" customHeight="false" outlineLevel="0" collapsed="false">
      <c r="A12" s="11" t="s">
        <v>1236</v>
      </c>
      <c r="C12" s="31" t="n">
        <f aca="false">IFERROR(C9/C6-1,0)</f>
        <v>0.0148538638725244</v>
      </c>
      <c r="D12" s="31" t="n">
        <f aca="false">IFERROR(D9/D6-1,0)</f>
        <v>-0.0830124996461624</v>
      </c>
      <c r="E12" s="31" t="n">
        <f aca="false">IFERROR(E9/E6-1,0)</f>
        <v>-0.126730306657667</v>
      </c>
    </row>
    <row r="13" customFormat="false" ht="15" hidden="false" customHeight="false" outlineLevel="0" collapsed="false">
      <c r="A13" s="4" t="s">
        <v>1237</v>
      </c>
      <c r="C13" s="31" t="n">
        <f aca="false">IFERROR(C10/C7-1,0)</f>
        <v>0.0263229742482938</v>
      </c>
      <c r="D13" s="31" t="n">
        <f aca="false">IFERROR(D10/D7-1,0)</f>
        <v>-0.0749186766461344</v>
      </c>
      <c r="E13" s="31" t="n">
        <f aca="false">IFERROR(E10/E7-1,0)</f>
        <v>-0.118538367557095</v>
      </c>
    </row>
    <row r="15" customFormat="false" ht="15" hidden="false" customHeight="false" outlineLevel="0" collapsed="false">
      <c r="A15" s="5" t="s">
        <v>1238</v>
      </c>
      <c r="B15" s="6"/>
      <c r="C15" s="6"/>
      <c r="D15" s="6"/>
      <c r="E15" s="6"/>
      <c r="F15" s="6"/>
    </row>
    <row r="16" customFormat="false" ht="15" hidden="false" customHeight="false" outlineLevel="0" collapsed="false">
      <c r="A16" s="11" t="s">
        <v>1239</v>
      </c>
      <c r="C16" s="30" t="n">
        <v>4206</v>
      </c>
    </row>
    <row r="17" customFormat="false" ht="15" hidden="false" customHeight="false" outlineLevel="0" collapsed="false">
      <c r="A17" s="11" t="s">
        <v>1240</v>
      </c>
      <c r="C17" s="30" t="n">
        <v>5503</v>
      </c>
    </row>
    <row r="18" customFormat="false" ht="15" hidden="false" customHeight="false" outlineLevel="0" collapsed="false">
      <c r="A18" s="11" t="s">
        <v>1241</v>
      </c>
      <c r="C18" s="30" t="n">
        <v>3367</v>
      </c>
    </row>
    <row r="19" customFormat="false" ht="15" hidden="false" customHeight="false" outlineLevel="0" collapsed="false">
      <c r="A19" s="11" t="s">
        <v>1242</v>
      </c>
      <c r="C19" s="30" t="n">
        <v>720.8</v>
      </c>
    </row>
    <row r="20" customFormat="false" ht="15" hidden="false" customHeight="false" outlineLevel="0" collapsed="false">
      <c r="A20" s="11" t="s">
        <v>1243</v>
      </c>
      <c r="C20" s="30"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4"/>
    <col collapsed="false" customWidth="true" hidden="false" outlineLevel="0" max="12" min="3" style="0" width="11"/>
  </cols>
  <sheetData>
    <row r="1" customFormat="false" ht="17.35" hidden="false" customHeight="false" outlineLevel="0" collapsed="false">
      <c r="A1" s="1" t="s">
        <v>1244</v>
      </c>
    </row>
    <row r="2" customFormat="false" ht="15" hidden="false" customHeight="false" outlineLevel="0" collapsed="false">
      <c r="A2" s="2" t="s">
        <v>1245</v>
      </c>
    </row>
    <row r="4" customFormat="false" ht="15" hidden="false" customHeight="false" outlineLevel="0" collapsed="false">
      <c r="A4" s="7" t="s">
        <v>1021</v>
      </c>
      <c r="B4" s="54"/>
      <c r="C4" s="8" t="s">
        <v>1246</v>
      </c>
      <c r="D4" s="8" t="s">
        <v>1247</v>
      </c>
      <c r="E4" s="8" t="s">
        <v>1248</v>
      </c>
      <c r="F4" s="8" t="s">
        <v>1249</v>
      </c>
      <c r="G4" s="8" t="s">
        <v>89</v>
      </c>
      <c r="H4" s="8" t="s">
        <v>90</v>
      </c>
      <c r="I4" s="8" t="s">
        <v>91</v>
      </c>
      <c r="J4" s="8" t="s">
        <v>92</v>
      </c>
      <c r="K4" s="8" t="s">
        <v>93</v>
      </c>
      <c r="L4" s="8" t="s">
        <v>94</v>
      </c>
    </row>
    <row r="5" customFormat="false" ht="15" hidden="false" customHeight="false" outlineLevel="0" collapsed="false">
      <c r="A5" s="9" t="s">
        <v>17</v>
      </c>
      <c r="C5" s="30" t="n">
        <v>1563.6153</v>
      </c>
      <c r="D5" s="30" t="n">
        <v>1863.7904</v>
      </c>
      <c r="E5" s="30" t="n">
        <v>1953.374</v>
      </c>
      <c r="F5" s="30" t="n">
        <v>1994.2111</v>
      </c>
      <c r="G5" s="30" t="n">
        <v>1833.141</v>
      </c>
      <c r="H5" s="30" t="n">
        <v>2315.6541</v>
      </c>
      <c r="I5" s="30" t="n">
        <v>2359.5738</v>
      </c>
      <c r="J5" s="30" t="n">
        <v>2498.785</v>
      </c>
      <c r="K5" s="30" t="n">
        <v>2680.9934</v>
      </c>
      <c r="L5" s="30" t="n">
        <v>3742.3384</v>
      </c>
    </row>
    <row r="6" customFormat="false" ht="15" hidden="false" customHeight="false" outlineLevel="0" collapsed="false">
      <c r="A6" s="11" t="s">
        <v>951</v>
      </c>
      <c r="C6" s="30" t="n">
        <v>935.946</v>
      </c>
      <c r="D6" s="30" t="n">
        <v>1055.4619</v>
      </c>
      <c r="E6" s="30" t="n">
        <v>1088.1091</v>
      </c>
      <c r="F6" s="30" t="n">
        <v>1125.3467</v>
      </c>
      <c r="G6" s="30" t="n">
        <v>1081.3268</v>
      </c>
      <c r="H6" s="30" t="n">
        <v>1326.0529</v>
      </c>
      <c r="I6" s="30" t="n">
        <v>1335.6835</v>
      </c>
      <c r="J6" s="30" t="n">
        <v>1468.6984</v>
      </c>
      <c r="K6" s="30" t="n">
        <v>1515.058</v>
      </c>
      <c r="L6" s="30" t="n">
        <v>2061.4749</v>
      </c>
    </row>
    <row r="7" customFormat="false" ht="15" hidden="false" customHeight="false" outlineLevel="0" collapsed="false">
      <c r="A7" s="11" t="s">
        <v>909</v>
      </c>
      <c r="C7" s="30" t="n">
        <v>18.8928</v>
      </c>
      <c r="D7" s="30" t="n">
        <v>16.482</v>
      </c>
      <c r="E7" s="30" t="n">
        <v>20.0271</v>
      </c>
      <c r="F7" s="30" t="n">
        <v>23.7726</v>
      </c>
      <c r="G7" s="30" t="n">
        <v>27.3729</v>
      </c>
      <c r="H7" s="30" t="n">
        <v>27.3854</v>
      </c>
      <c r="I7" s="30" t="n">
        <v>25.8937</v>
      </c>
      <c r="J7" s="30" t="n">
        <v>27.1306</v>
      </c>
      <c r="K7" s="30" t="n">
        <v>28.1194</v>
      </c>
      <c r="L7" s="30" t="n">
        <v>32.0799</v>
      </c>
    </row>
    <row r="8" customFormat="false" ht="15" hidden="false" customHeight="false" outlineLevel="0" collapsed="false">
      <c r="A8" s="11" t="s">
        <v>98</v>
      </c>
      <c r="C8" s="30" t="n">
        <v>16.5916</v>
      </c>
      <c r="D8" s="30" t="n">
        <v>16.6425</v>
      </c>
      <c r="E8" s="30" t="n">
        <v>17.7552</v>
      </c>
      <c r="F8" s="30" t="n">
        <v>28.4024</v>
      </c>
      <c r="G8" s="30" t="n">
        <v>21.2322</v>
      </c>
      <c r="H8" s="30" t="n">
        <v>20.7534</v>
      </c>
      <c r="I8" s="30" t="n">
        <v>24.9725</v>
      </c>
      <c r="J8" s="30" t="n">
        <v>26.2412</v>
      </c>
      <c r="K8" s="30" t="n">
        <v>22.2371</v>
      </c>
      <c r="L8" s="30" t="n">
        <v>22.5728</v>
      </c>
    </row>
    <row r="9" customFormat="false" ht="15" hidden="false" customHeight="false" outlineLevel="0" collapsed="false">
      <c r="A9" s="11" t="s">
        <v>99</v>
      </c>
      <c r="C9" s="30" t="n">
        <v>79.9894</v>
      </c>
      <c r="D9" s="30" t="n">
        <v>89.2862</v>
      </c>
      <c r="E9" s="30" t="n">
        <v>93.4194</v>
      </c>
      <c r="F9" s="30" t="n">
        <v>147.1496</v>
      </c>
      <c r="G9" s="30" t="n">
        <v>93.9391</v>
      </c>
      <c r="H9" s="30" t="n">
        <v>97.5199</v>
      </c>
      <c r="I9" s="30" t="n">
        <v>108.3876</v>
      </c>
      <c r="J9" s="30" t="n">
        <v>181.1035</v>
      </c>
      <c r="K9" s="30" t="n">
        <v>123.0153</v>
      </c>
      <c r="L9" s="30" t="n">
        <v>131.9151</v>
      </c>
    </row>
    <row r="10" customFormat="false" ht="15" hidden="false" customHeight="false" outlineLevel="0" collapsed="false">
      <c r="A10" s="11" t="s">
        <v>100</v>
      </c>
      <c r="C10" s="30" t="n">
        <v>127.6636</v>
      </c>
      <c r="D10" s="30" t="n">
        <v>131.9825</v>
      </c>
      <c r="E10" s="30" t="n">
        <v>141.5881</v>
      </c>
      <c r="F10" s="30" t="n">
        <v>181.8381</v>
      </c>
      <c r="G10" s="30" t="n">
        <v>145.6916</v>
      </c>
      <c r="H10" s="30" t="n">
        <v>146.9448</v>
      </c>
      <c r="I10" s="30" t="n">
        <v>148.3194</v>
      </c>
      <c r="J10" s="30" t="n">
        <v>212.4809</v>
      </c>
      <c r="K10" s="30" t="n">
        <v>155.8096</v>
      </c>
      <c r="L10" s="30" t="n">
        <v>184.4559</v>
      </c>
    </row>
    <row r="11" customFormat="false" ht="15" hidden="false" customHeight="false" outlineLevel="0" collapsed="false">
      <c r="A11" s="11" t="s">
        <v>1250</v>
      </c>
      <c r="C11" s="30" t="n">
        <v>-44.9783</v>
      </c>
      <c r="D11" s="30" t="n">
        <v>-56.7403</v>
      </c>
      <c r="E11" s="30" t="n">
        <v>-4.9306</v>
      </c>
      <c r="F11" s="30" t="n">
        <v>-65.8527</v>
      </c>
      <c r="G11" s="30" t="n">
        <v>-38.1213</v>
      </c>
      <c r="H11" s="30" t="n">
        <v>-25.072</v>
      </c>
      <c r="I11" s="30" t="n">
        <v>-38.7991</v>
      </c>
      <c r="J11" s="30" t="n">
        <v>-25.7796</v>
      </c>
      <c r="K11" s="30" t="n">
        <v>-28.973</v>
      </c>
      <c r="L11" s="30" t="n">
        <v>-12.9393</v>
      </c>
    </row>
    <row r="12" customFormat="false" ht="15" hidden="false" customHeight="false" outlineLevel="0" collapsed="false">
      <c r="A12" s="11" t="s">
        <v>103</v>
      </c>
      <c r="C12" s="30" t="n">
        <v>64.1002</v>
      </c>
      <c r="D12" s="30" t="n">
        <v>77.6604</v>
      </c>
      <c r="E12" s="30" t="n">
        <v>53.3465</v>
      </c>
      <c r="F12" s="30" t="n">
        <v>109.9897</v>
      </c>
      <c r="G12" s="30" t="n">
        <v>87.1963</v>
      </c>
      <c r="H12" s="30" t="n">
        <v>90.7529</v>
      </c>
      <c r="I12" s="30" t="n">
        <v>87.9912</v>
      </c>
      <c r="J12" s="30" t="n">
        <v>124.2274</v>
      </c>
      <c r="K12" s="30" t="n">
        <v>85.4097</v>
      </c>
      <c r="L12" s="30" t="n">
        <v>53.7199</v>
      </c>
    </row>
    <row r="13" customFormat="false" ht="15" hidden="false" customHeight="false" outlineLevel="0" collapsed="false">
      <c r="A13" s="9" t="s">
        <v>104</v>
      </c>
      <c r="C13" s="30" t="n">
        <v>505.5875</v>
      </c>
      <c r="D13" s="30" t="n">
        <v>680.0402</v>
      </c>
      <c r="E13" s="30" t="n">
        <v>655.8087</v>
      </c>
      <c r="F13" s="30" t="n">
        <v>681.2689</v>
      </c>
      <c r="G13" s="30" t="n">
        <v>616.3601</v>
      </c>
      <c r="H13" s="30" t="n">
        <v>810.5954</v>
      </c>
      <c r="I13" s="30" t="n">
        <v>831.3498</v>
      </c>
      <c r="J13" s="30" t="n">
        <v>750.1603</v>
      </c>
      <c r="K13" s="30" t="n">
        <v>911.3291</v>
      </c>
      <c r="L13" s="30" t="n">
        <v>1315.4431</v>
      </c>
    </row>
    <row r="14" customFormat="false" ht="15" hidden="false" customHeight="false" outlineLevel="0" collapsed="false">
      <c r="A14" s="11" t="s">
        <v>106</v>
      </c>
      <c r="C14" s="30" t="n">
        <v>507.556</v>
      </c>
      <c r="D14" s="30" t="n">
        <v>675.7373</v>
      </c>
      <c r="E14" s="30" t="n">
        <v>658.3478</v>
      </c>
      <c r="F14" s="30" t="n">
        <v>677.3028</v>
      </c>
      <c r="G14" s="30" t="n">
        <v>618.439</v>
      </c>
      <c r="H14" s="30" t="n">
        <v>808.6791</v>
      </c>
      <c r="I14" s="30" t="n">
        <v>834.7089</v>
      </c>
      <c r="J14" s="30" t="n">
        <v>746.3495</v>
      </c>
      <c r="K14" s="30" t="n">
        <v>907.7421</v>
      </c>
      <c r="L14" s="30" t="n">
        <v>1316.2041</v>
      </c>
    </row>
    <row r="15" customFormat="false" ht="15" hidden="false" customHeight="false" outlineLevel="0" collapsed="false">
      <c r="A15" s="11" t="s">
        <v>954</v>
      </c>
      <c r="C15" s="30" t="n">
        <v>73.8903</v>
      </c>
      <c r="D15" s="30" t="n">
        <v>82.9915</v>
      </c>
      <c r="E15" s="30" t="n">
        <v>81.0467</v>
      </c>
      <c r="F15" s="30" t="n">
        <v>90.7816</v>
      </c>
      <c r="G15" s="30" t="n">
        <v>85.5439</v>
      </c>
      <c r="H15" s="30" t="n">
        <v>104.4896</v>
      </c>
      <c r="I15" s="30" t="n">
        <v>113.8549</v>
      </c>
      <c r="J15" s="30" t="n">
        <v>87.3079</v>
      </c>
      <c r="K15" s="30" t="n">
        <v>116.937</v>
      </c>
      <c r="L15" s="30" t="n">
        <v>175.0134</v>
      </c>
    </row>
    <row r="16" customFormat="false" ht="15" hidden="false" customHeight="false" outlineLevel="0" collapsed="false">
      <c r="A16" s="11" t="s">
        <v>955</v>
      </c>
      <c r="C16" s="30" t="n">
        <v>433.6656</v>
      </c>
      <c r="D16" s="30" t="n">
        <v>592.7458</v>
      </c>
      <c r="E16" s="30" t="n">
        <v>577.3011</v>
      </c>
      <c r="F16" s="30" t="n">
        <v>586.5212</v>
      </c>
      <c r="G16" s="30" t="n">
        <v>532.8951</v>
      </c>
      <c r="H16" s="30" t="n">
        <v>704.1895</v>
      </c>
      <c r="I16" s="30" t="n">
        <v>720.8541</v>
      </c>
      <c r="J16" s="30" t="n">
        <v>659.0416</v>
      </c>
      <c r="K16" s="30" t="n">
        <v>790.8051</v>
      </c>
      <c r="L16" s="30" t="n">
        <v>1141.1907</v>
      </c>
    </row>
    <row r="17" customFormat="false" ht="15" hidden="false" customHeight="false" outlineLevel="0" collapsed="false">
      <c r="A17" s="9" t="s">
        <v>25</v>
      </c>
      <c r="C17" s="30" t="n">
        <v>432.979</v>
      </c>
      <c r="D17" s="30" t="n">
        <v>592.5672</v>
      </c>
      <c r="E17" s="30" t="n">
        <v>577.7415</v>
      </c>
      <c r="F17" s="30" t="n">
        <v>587.1617</v>
      </c>
      <c r="G17" s="30" t="n">
        <v>532.6514</v>
      </c>
      <c r="H17" s="30" t="n">
        <v>704.4865</v>
      </c>
      <c r="I17" s="30" t="n">
        <v>721.3812</v>
      </c>
      <c r="J17" s="30" t="n">
        <v>659.8652</v>
      </c>
      <c r="K17" s="30" t="n">
        <v>790.8996</v>
      </c>
      <c r="L17" s="30" t="n">
        <v>1141.2187</v>
      </c>
    </row>
    <row r="18" customFormat="false" ht="15" hidden="false" customHeight="false" outlineLevel="0" collapsed="false">
      <c r="A18" s="9" t="s">
        <v>141</v>
      </c>
      <c r="C18" s="30" t="n">
        <v>185.462</v>
      </c>
      <c r="D18" s="30" t="n">
        <v>586.3893</v>
      </c>
      <c r="E18" s="30" t="n">
        <v>734.6378</v>
      </c>
      <c r="F18" s="30" t="n">
        <v>896.6333</v>
      </c>
      <c r="G18" s="30" t="n">
        <v>242.589</v>
      </c>
      <c r="H18" s="30" t="n">
        <v>885.1204</v>
      </c>
      <c r="I18" s="30" t="n">
        <v>862.7469</v>
      </c>
      <c r="J18" s="30" t="n">
        <v>887.1527</v>
      </c>
      <c r="K18" s="30" t="n">
        <v>156.6853</v>
      </c>
      <c r="L18" s="30" t="n">
        <v>1140.6343</v>
      </c>
    </row>
    <row r="19" customFormat="false" ht="15" hidden="false" customHeight="false" outlineLevel="0" collapsed="false">
      <c r="A19" s="11" t="s">
        <v>1251</v>
      </c>
      <c r="C19" s="30" t="n">
        <v>206.5505</v>
      </c>
      <c r="D19" s="30" t="n">
        <v>129.2686</v>
      </c>
      <c r="E19" s="30" t="n">
        <v>169.5093</v>
      </c>
      <c r="F19" s="30" t="n">
        <v>133.7069</v>
      </c>
      <c r="G19" s="30" t="n">
        <v>98.8266</v>
      </c>
      <c r="H19" s="30" t="n">
        <v>108.3401</v>
      </c>
      <c r="I19" s="30" t="n">
        <v>166.7533</v>
      </c>
      <c r="J19" s="30" t="n">
        <v>206.172</v>
      </c>
      <c r="K19" s="30" t="n">
        <v>188.4361</v>
      </c>
      <c r="L19" s="30" t="n">
        <v>287.9349</v>
      </c>
    </row>
    <row r="20" customFormat="false" ht="15" hidden="false" customHeight="false" outlineLevel="0" collapsed="false">
      <c r="A20" s="11" t="s">
        <v>1252</v>
      </c>
      <c r="C20" s="30" t="n">
        <v>5.4771</v>
      </c>
      <c r="D20" s="30" t="n">
        <v>5.9447</v>
      </c>
      <c r="E20" s="30" t="n">
        <v>540.0823</v>
      </c>
      <c r="F20" s="30" t="n">
        <v>2.1555</v>
      </c>
      <c r="G20" s="30" t="n">
        <v>0</v>
      </c>
      <c r="H20" s="30" t="n">
        <v>726.3767</v>
      </c>
      <c r="I20" s="30" t="n">
        <v>0.1353</v>
      </c>
      <c r="J20" s="30" t="n">
        <v>0.1137</v>
      </c>
      <c r="K20" s="30" t="n">
        <v>0.1622</v>
      </c>
      <c r="L20" s="30" t="n">
        <v>860.8047</v>
      </c>
    </row>
    <row r="22" customFormat="false" ht="15" hidden="false" customHeight="false" outlineLevel="0" collapsed="false">
      <c r="A22" s="5" t="s">
        <v>1253</v>
      </c>
      <c r="B22" s="6"/>
      <c r="C22" s="6"/>
      <c r="D22" s="6"/>
      <c r="E22" s="6"/>
      <c r="F22" s="6"/>
      <c r="G22" s="6"/>
      <c r="H22" s="6"/>
      <c r="I22" s="6"/>
      <c r="J22" s="6"/>
      <c r="K22" s="6"/>
      <c r="L22" s="6"/>
    </row>
    <row r="23" customFormat="false" ht="15" hidden="false" customHeight="false" outlineLevel="0" collapsed="false">
      <c r="A23" s="11" t="s">
        <v>23</v>
      </c>
      <c r="C23" s="31" t="n">
        <f aca="false">IFERROR(1-C6/C5,0)</f>
        <v>0.401421820316033</v>
      </c>
      <c r="D23" s="31" t="n">
        <f aca="false">IFERROR(1-D6/D5,0)</f>
        <v>0.433701396895273</v>
      </c>
      <c r="E23" s="31" t="n">
        <f aca="false">IFERROR(1-E6/E5,0)</f>
        <v>0.442959156823015</v>
      </c>
      <c r="F23" s="31" t="n">
        <f aca="false">IFERROR(1-F6/F5,0)</f>
        <v>0.435693292450333</v>
      </c>
      <c r="G23" s="31" t="n">
        <f aca="false">IFERROR(1-G6/G5,0)</f>
        <v>0.410123498410651</v>
      </c>
      <c r="H23" s="31" t="n">
        <f aca="false">IFERROR(1-H6/H5,0)</f>
        <v>0.427352772592418</v>
      </c>
      <c r="I23" s="31" t="n">
        <f aca="false">IFERROR(1-I6/I5,0)</f>
        <v>0.43393018688375</v>
      </c>
      <c r="J23" s="31" t="n">
        <f aca="false">IFERROR(1-J6/J5,0)</f>
        <v>0.412234986203295</v>
      </c>
      <c r="K23" s="31" t="n">
        <f aca="false">IFERROR(1-K6/K5,0)</f>
        <v>0.434889321249355</v>
      </c>
      <c r="L23" s="31" t="n">
        <f aca="false">IFERROR(1-L6/L5,0)</f>
        <v>0.44914791778317</v>
      </c>
    </row>
    <row r="24" customFormat="false" ht="15" hidden="false" customHeight="false" outlineLevel="0" collapsed="false">
      <c r="A24" s="11" t="s">
        <v>1254</v>
      </c>
      <c r="C24" s="31" t="n">
        <f aca="false">IFERROR((C8+C9+C10)/C5,0)</f>
        <v>0.143414176108407</v>
      </c>
      <c r="D24" s="31" t="n">
        <f aca="false">IFERROR((D8+D9+D10)/D5,0)</f>
        <v>0.127649117626102</v>
      </c>
      <c r="E24" s="31" t="n">
        <f aca="false">IFERROR((E8+E9+E10)/E5,0)</f>
        <v>0.129398005707048</v>
      </c>
      <c r="F24" s="31" t="n">
        <f aca="false">IFERROR((F8+F9+F10)/F5,0)</f>
        <v>0.179213775311952</v>
      </c>
      <c r="G24" s="31" t="n">
        <f aca="false">IFERROR((G8+G9+G10)/G5,0)</f>
        <v>0.142303783506015</v>
      </c>
      <c r="H24" s="31" t="n">
        <f aca="false">IFERROR((H8+H9+H10)/H5,0)</f>
        <v>0.11453269294408</v>
      </c>
      <c r="I24" s="31" t="n">
        <f aca="false">IFERROR((I8+I9+I10)/I5,0)</f>
        <v>0.119377279066245</v>
      </c>
      <c r="J24" s="31" t="n">
        <f aca="false">IFERROR((J8+J9+J10)/J5,0)</f>
        <v>0.168011893780377</v>
      </c>
      <c r="K24" s="31" t="n">
        <f aca="false">IFERROR((K8+K9+K10)/K5,0)</f>
        <v>0.112294942613436</v>
      </c>
      <c r="L24" s="31" t="n">
        <f aca="false">IFERROR((L8+L9+L10)/L5,0)</f>
        <v>0.0905700564117879</v>
      </c>
    </row>
    <row r="25" customFormat="false" ht="15" hidden="false" customHeight="false" outlineLevel="0" collapsed="false">
      <c r="A25" s="11" t="s">
        <v>1255</v>
      </c>
      <c r="C25" s="31" t="n">
        <f aca="false">IFERROR(C13/C5,0)</f>
        <v>0.32334519878387</v>
      </c>
      <c r="D25" s="31" t="n">
        <f aca="false">IFERROR(D13/D5,0)</f>
        <v>0.364869461716296</v>
      </c>
      <c r="E25" s="31" t="n">
        <f aca="false">IFERROR(E13/E5,0)</f>
        <v>0.335731252694057</v>
      </c>
      <c r="F25" s="31" t="n">
        <f aca="false">IFERROR(F13/F5,0)</f>
        <v>0.341623261449101</v>
      </c>
      <c r="G25" s="31" t="n">
        <f aca="false">IFERROR(G13/G5,0)</f>
        <v>0.336231691942955</v>
      </c>
      <c r="H25" s="31" t="n">
        <f aca="false">IFERROR(H13/H5,0)</f>
        <v>0.35005029464461</v>
      </c>
      <c r="I25" s="31" t="n">
        <f aca="false">IFERROR(I13/I5,0)</f>
        <v>0.352330492905117</v>
      </c>
      <c r="J25" s="31" t="n">
        <f aca="false">IFERROR(J13/J5,0)</f>
        <v>0.300210022070726</v>
      </c>
      <c r="K25" s="31" t="n">
        <f aca="false">IFERROR(K13/K5,0)</f>
        <v>0.339922172132166</v>
      </c>
      <c r="L25" s="31" t="n">
        <f aca="false">IFERROR(L13/L5,0)</f>
        <v>0.351502980061878</v>
      </c>
    </row>
    <row r="26" customFormat="false" ht="15" hidden="false" customHeight="false" outlineLevel="0" collapsed="false">
      <c r="A26" s="11" t="s">
        <v>998</v>
      </c>
      <c r="C26" s="31" t="n">
        <f aca="false">IFERROR(C17/C5,0)</f>
        <v>0.27690890463914</v>
      </c>
      <c r="D26" s="31" t="n">
        <f aca="false">IFERROR(D17/D5,0)</f>
        <v>0.317936609180946</v>
      </c>
      <c r="E26" s="31" t="n">
        <f aca="false">IFERROR(E17/E5,0)</f>
        <v>0.295765941391664</v>
      </c>
      <c r="F26" s="31" t="n">
        <f aca="false">IFERROR(F17/F5,0)</f>
        <v>0.294433071804685</v>
      </c>
      <c r="G26" s="31" t="n">
        <f aca="false">IFERROR(G17/G5,0)</f>
        <v>0.290567610456588</v>
      </c>
      <c r="H26" s="31" t="n">
        <f aca="false">IFERROR(H17/H5,0)</f>
        <v>0.304227863738371</v>
      </c>
      <c r="I26" s="31" t="n">
        <f aca="false">IFERROR(I17/I5,0)</f>
        <v>0.305725211900556</v>
      </c>
      <c r="J26" s="31" t="n">
        <f aca="false">IFERROR(J17/J5,0)</f>
        <v>0.264074420168202</v>
      </c>
      <c r="K26" s="31" t="n">
        <f aca="false">IFERROR(K17/K5,0)</f>
        <v>0.295002442005266</v>
      </c>
      <c r="L26" s="31" t="n">
        <f aca="false">IFERROR(L17/L5,0)</f>
        <v>0.304948023941395</v>
      </c>
    </row>
    <row r="27" customFormat="false" ht="15" hidden="false" customHeight="false" outlineLevel="0" collapsed="false">
      <c r="A27" s="11" t="s">
        <v>1256</v>
      </c>
      <c r="C27" s="31" t="n">
        <f aca="false">IFERROR(C15/C14,0)</f>
        <v>0.145580586181623</v>
      </c>
      <c r="D27" s="31" t="n">
        <f aca="false">IFERROR(D15/D14,0)</f>
        <v>0.122816218669592</v>
      </c>
      <c r="E27" s="31" t="n">
        <f aca="false">IFERROR(E15/E14,0)</f>
        <v>0.123106206172482</v>
      </c>
      <c r="F27" s="31" t="n">
        <f aca="false">IFERROR(F15/F14,0)</f>
        <v>0.134033994839531</v>
      </c>
      <c r="G27" s="31" t="n">
        <f aca="false">IFERROR(G15/G14,0)</f>
        <v>0.138322292093481</v>
      </c>
      <c r="H27" s="31" t="n">
        <f aca="false">IFERROR(H15/H14,0)</f>
        <v>0.1292102145338</v>
      </c>
      <c r="I27" s="31" t="n">
        <f aca="false">IFERROR(I15/I14,0)</f>
        <v>0.136400726049525</v>
      </c>
      <c r="J27" s="31" t="n">
        <f aca="false">IFERROR(J15/J14,0)</f>
        <v>0.116979913565963</v>
      </c>
      <c r="K27" s="31" t="n">
        <f aca="false">IFERROR(K15/K14,0)</f>
        <v>0.128821831663421</v>
      </c>
      <c r="L27" s="31" t="n">
        <f aca="false">IFERROR(L15/L14,0)</f>
        <v>0.132968283566356</v>
      </c>
    </row>
    <row r="28" customFormat="false" ht="15" hidden="false" customHeight="false" outlineLevel="0" collapsed="false">
      <c r="A28" s="11" t="s">
        <v>1205</v>
      </c>
      <c r="G28" s="31" t="n">
        <f aca="false">IFERROR(G5/C5-1,0)</f>
        <v>0.172373409239472</v>
      </c>
      <c r="H28" s="31" t="n">
        <f aca="false">IFERROR(H5/D5-1,0)</f>
        <v>0.242443409945668</v>
      </c>
      <c r="I28" s="31" t="n">
        <f aca="false">IFERROR(I5/E5-1,0)</f>
        <v>0.207947786752563</v>
      </c>
      <c r="J28" s="31" t="n">
        <f aca="false">IFERROR(J5/F5-1,0)</f>
        <v>0.253019301717857</v>
      </c>
      <c r="K28" s="31" t="n">
        <f aca="false">IFERROR(K5/G5-1,0)</f>
        <v>0.462513467321935</v>
      </c>
      <c r="L28" s="31" t="n">
        <f aca="false">IFERROR(L5/H5-1,0)</f>
        <v>0.616104235947847</v>
      </c>
    </row>
    <row r="29" customFormat="false" ht="15" hidden="false" customHeight="false" outlineLevel="0" collapsed="false">
      <c r="A29" s="11" t="s">
        <v>1257</v>
      </c>
      <c r="D29" s="31" t="n">
        <f aca="false">IFERROR(D5/C5-1,0)</f>
        <v>0.191975033756705</v>
      </c>
      <c r="E29" s="31" t="n">
        <f aca="false">IFERROR(E5/D5-1,0)</f>
        <v>0.048065276009577</v>
      </c>
      <c r="F29" s="31" t="n">
        <f aca="false">IFERROR(F5/E5-1,0)</f>
        <v>0.0209059299448031</v>
      </c>
      <c r="G29" s="31" t="n">
        <f aca="false">IFERROR(G5/F5-1,0)</f>
        <v>-0.0807688313438832</v>
      </c>
      <c r="H29" s="31" t="n">
        <f aca="false">IFERROR(H5/G5-1,0)</f>
        <v>0.263216577448216</v>
      </c>
      <c r="I29" s="31" t="n">
        <f aca="false">IFERROR(I5/H5-1,0)</f>
        <v>0.0189664337173674</v>
      </c>
      <c r="J29" s="31" t="n">
        <f aca="false">IFERROR(J5/I5-1,0)</f>
        <v>0.0589984513304902</v>
      </c>
      <c r="K29" s="31" t="n">
        <f aca="false">IFERROR(K5/J5-1,0)</f>
        <v>0.0729187985360886</v>
      </c>
      <c r="L29" s="31" t="n">
        <f aca="false">IFERROR(L5/K5-1,0)</f>
        <v>0.395877513163591</v>
      </c>
    </row>
    <row r="30" customFormat="false" ht="15" hidden="false" customHeight="false" outlineLevel="0" collapsed="false">
      <c r="A30" s="11" t="s">
        <v>1207</v>
      </c>
      <c r="G30" s="31" t="n">
        <f aca="false">IFERROR(G17/C17-1,0)</f>
        <v>0.230201464736165</v>
      </c>
      <c r="H30" s="31" t="n">
        <f aca="false">IFERROR(H17/D17-1,0)</f>
        <v>0.188871911911426</v>
      </c>
      <c r="I30" s="31" t="n">
        <f aca="false">IFERROR(I17/E17-1,0)</f>
        <v>0.248622783719016</v>
      </c>
      <c r="J30" s="31" t="n">
        <f aca="false">IFERROR(J17/F17-1,0)</f>
        <v>0.123821938658465</v>
      </c>
      <c r="K30" s="31" t="n">
        <f aca="false">IFERROR(K17/G17-1,0)</f>
        <v>0.484835297532307</v>
      </c>
      <c r="L30" s="31" t="n">
        <f aca="false">IFERROR(L17/H17-1,0)</f>
        <v>0.619929835419131</v>
      </c>
    </row>
    <row r="31" customFormat="false" ht="15" hidden="false" customHeight="false" outlineLevel="0" collapsed="false">
      <c r="A31" s="11" t="s">
        <v>1258</v>
      </c>
      <c r="D31" s="31" t="n">
        <f aca="false">IFERROR(D17/C17-1,0)</f>
        <v>0.368581848080392</v>
      </c>
      <c r="E31" s="31" t="n">
        <f aca="false">IFERROR(E17/D17-1,0)</f>
        <v>-0.0250194408330396</v>
      </c>
      <c r="F31" s="31" t="n">
        <f aca="false">IFERROR(F17/E17-1,0)</f>
        <v>0.0163052160871255</v>
      </c>
      <c r="G31" s="31" t="n">
        <f aca="false">IFERROR(G17/F17-1,0)</f>
        <v>-0.0928369476415101</v>
      </c>
      <c r="H31" s="31" t="n">
        <f aca="false">IFERROR(H17/G17-1,0)</f>
        <v>0.322603301145928</v>
      </c>
      <c r="I31" s="31" t="n">
        <f aca="false">IFERROR(I17/H17-1,0)</f>
        <v>0.0239815809103512</v>
      </c>
      <c r="J31" s="31" t="n">
        <f aca="false">IFERROR(J17/I17-1,0)</f>
        <v>-0.0852753024337203</v>
      </c>
      <c r="K31" s="31" t="n">
        <f aca="false">IFERROR(K17/J17-1,0)</f>
        <v>0.198577527652618</v>
      </c>
      <c r="L31" s="31" t="n">
        <f aca="false">IFERROR(L17/K17-1,0)</f>
        <v>0.442937510652427</v>
      </c>
    </row>
    <row r="33" customFormat="false" ht="15" hidden="false" customHeight="false" outlineLevel="0" collapsed="false">
      <c r="A33" s="40" t="s">
        <v>1259</v>
      </c>
      <c r="B33" s="6"/>
      <c r="C33" s="6"/>
      <c r="D33" s="6"/>
      <c r="E33" s="6"/>
      <c r="F33" s="6"/>
      <c r="G33" s="6"/>
      <c r="H33" s="6"/>
      <c r="I33" s="6"/>
      <c r="J33" s="6"/>
      <c r="K33" s="6"/>
      <c r="L33" s="6"/>
    </row>
    <row r="34" customFormat="false" ht="15" hidden="false" customHeight="false" outlineLevel="0" collapsed="false">
      <c r="A34" s="4" t="s">
        <v>1260</v>
      </c>
      <c r="C34" s="10" t="n">
        <f aca="false">三表预测!H6</f>
        <v>13863.1874625892</v>
      </c>
    </row>
    <row r="35" customFormat="false" ht="15" hidden="false" customHeight="false" outlineLevel="0" collapsed="false">
      <c r="A35" s="4" t="s">
        <v>1261</v>
      </c>
      <c r="C35" s="33" t="n">
        <f aca="false">K5+L5</f>
        <v>6423.3318</v>
      </c>
    </row>
    <row r="36" customFormat="false" ht="15" hidden="false" customHeight="false" outlineLevel="0" collapsed="false">
      <c r="A36" s="11" t="s">
        <v>1262</v>
      </c>
      <c r="C36" s="33" t="n">
        <f aca="false">C34-C35</f>
        <v>7439.8556625892</v>
      </c>
    </row>
    <row r="37" customFormat="false" ht="15" hidden="false" customHeight="false" outlineLevel="0" collapsed="false">
      <c r="A37" s="11" t="s">
        <v>1263</v>
      </c>
      <c r="C37" s="89" t="n">
        <f aca="false">IFERROR(C36/C35,0)</f>
        <v>1.15825492038092</v>
      </c>
    </row>
    <row r="38" customFormat="false" ht="15" hidden="false" customHeight="false" outlineLevel="0" collapsed="false">
      <c r="A38" s="11" t="s">
        <v>1264</v>
      </c>
      <c r="C38" s="89" t="n">
        <f aca="false">IFERROR((I5+J5)/(G5+H5),0)</f>
        <v>1.17102886088542</v>
      </c>
    </row>
    <row r="39" customFormat="false" ht="15" hidden="false" customHeight="false" outlineLevel="0" collapsed="false">
      <c r="A39" s="4" t="s">
        <v>1265</v>
      </c>
      <c r="C39" s="10" t="n">
        <f aca="false">三表预测!H26</f>
        <v>4260.35652053686</v>
      </c>
    </row>
    <row r="40" customFormat="false" ht="15" hidden="false" customHeight="false" outlineLevel="0" collapsed="false">
      <c r="A40" s="4" t="s">
        <v>1266</v>
      </c>
      <c r="C40" s="33" t="n">
        <f aca="false">K17+L17</f>
        <v>1932.1183</v>
      </c>
    </row>
    <row r="41" customFormat="false" ht="15" hidden="false" customHeight="false" outlineLevel="0" collapsed="false">
      <c r="A41" s="11" t="s">
        <v>1267</v>
      </c>
      <c r="C41" s="33" t="n">
        <f aca="false">C39-C40</f>
        <v>2328.23822053686</v>
      </c>
    </row>
    <row r="42" customFormat="false" ht="15" hidden="false" customHeight="false" outlineLevel="0" collapsed="false">
      <c r="A42" s="11" t="s">
        <v>1263</v>
      </c>
      <c r="C42" s="89" t="n">
        <f aca="false">IFERROR(C41/C40,0)</f>
        <v>1.20501846110399</v>
      </c>
    </row>
    <row r="43" customFormat="false" ht="15" hidden="false" customHeight="false" outlineLevel="0" collapsed="false">
      <c r="A43" s="11" t="s">
        <v>1264</v>
      </c>
      <c r="C43" s="89" t="n">
        <f aca="false">IFERROR((I17+J17)/(G17+H17),0)</f>
        <v>1.11648539746458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1" min="3" style="0" width="12"/>
  </cols>
  <sheetData>
    <row r="1" customFormat="false" ht="17.35" hidden="false" customHeight="false" outlineLevel="0" collapsed="false">
      <c r="A1" s="1" t="s">
        <v>1268</v>
      </c>
    </row>
    <row r="2" customFormat="false" ht="15" hidden="false" customHeight="false" outlineLevel="0" collapsed="false">
      <c r="A2" s="2" t="s">
        <v>1269</v>
      </c>
    </row>
    <row r="4" customFormat="false" ht="15" hidden="false" customHeight="false" outlineLevel="0" collapsed="false">
      <c r="A4" s="7" t="s">
        <v>1021</v>
      </c>
      <c r="B4" s="54"/>
      <c r="C4" s="8" t="s">
        <v>1270</v>
      </c>
      <c r="D4" s="8" t="s">
        <v>1271</v>
      </c>
      <c r="E4" s="8" t="s">
        <v>312</v>
      </c>
      <c r="F4" s="8" t="s">
        <v>313</v>
      </c>
      <c r="G4" s="8" t="s">
        <v>87</v>
      </c>
      <c r="H4" s="8" t="s">
        <v>88</v>
      </c>
      <c r="I4" s="8" t="s">
        <v>11</v>
      </c>
      <c r="J4" s="8" t="s">
        <v>1272</v>
      </c>
      <c r="K4" s="8" t="s">
        <v>1273</v>
      </c>
    </row>
    <row r="5" customFormat="false" ht="15" hidden="false" customHeight="false" outlineLevel="0" collapsed="false">
      <c r="A5" s="9" t="s">
        <v>1274</v>
      </c>
      <c r="C5" s="30" t="n">
        <v>2726.4517</v>
      </c>
      <c r="D5" s="30" t="n">
        <v>3993.9746</v>
      </c>
      <c r="E5" s="30" t="n">
        <v>6218.042</v>
      </c>
      <c r="F5" s="30" t="n">
        <v>5149.3869</v>
      </c>
      <c r="G5" s="30" t="n">
        <v>5726.6885</v>
      </c>
      <c r="H5" s="30" t="n">
        <v>7374.9908</v>
      </c>
      <c r="I5" s="30" t="n">
        <v>9007.1539</v>
      </c>
      <c r="J5" s="30" t="n">
        <v>4148.7951</v>
      </c>
      <c r="K5" s="30" t="n">
        <v>6423.3318</v>
      </c>
    </row>
    <row r="6" customFormat="false" ht="15" hidden="false" customHeight="false" outlineLevel="0" collapsed="false">
      <c r="A6" s="11" t="s">
        <v>1275</v>
      </c>
      <c r="C6" s="30" t="n">
        <v>2726.4517</v>
      </c>
      <c r="D6" s="30" t="n">
        <v>3993.9746</v>
      </c>
      <c r="E6" s="30" t="n">
        <v>6218.042</v>
      </c>
      <c r="F6" s="30" t="n">
        <v>5149.3869</v>
      </c>
      <c r="G6" s="30" t="n">
        <v>5726.6885</v>
      </c>
      <c r="H6" s="30" t="n">
        <v>7374.9908</v>
      </c>
      <c r="I6" s="30" t="n">
        <v>9007.1539</v>
      </c>
      <c r="J6" s="30" t="n">
        <v>4148.7951</v>
      </c>
      <c r="K6" s="30" t="n">
        <v>6423.3318</v>
      </c>
    </row>
    <row r="7" customFormat="false" ht="15" hidden="false" customHeight="false" outlineLevel="0" collapsed="false">
      <c r="A7" s="9" t="s">
        <v>1276</v>
      </c>
      <c r="C7" s="30" t="n">
        <v>1900.6297</v>
      </c>
      <c r="D7" s="30" t="n">
        <v>2476.9546</v>
      </c>
      <c r="E7" s="30" t="n">
        <v>4072.253</v>
      </c>
      <c r="F7" s="30" t="n">
        <v>3756.1429</v>
      </c>
      <c r="G7" s="30" t="n">
        <v>4417.8651</v>
      </c>
      <c r="H7" s="30" t="n">
        <v>5183.845</v>
      </c>
      <c r="I7" s="30" t="n">
        <v>6419.3584</v>
      </c>
      <c r="J7" s="30" t="n">
        <v>2925.0258</v>
      </c>
      <c r="K7" s="30" t="n">
        <v>4234.8257</v>
      </c>
    </row>
    <row r="8" customFormat="false" ht="15" hidden="false" customHeight="false" outlineLevel="0" collapsed="false">
      <c r="A8" s="11" t="s">
        <v>1277</v>
      </c>
      <c r="C8" s="30" t="n">
        <v>1388.9159</v>
      </c>
      <c r="D8" s="30" t="n">
        <v>1952.7752</v>
      </c>
      <c r="E8" s="30" t="n">
        <v>3186.5095</v>
      </c>
      <c r="F8" s="30" t="n">
        <v>2878.3209</v>
      </c>
      <c r="G8" s="30" t="n">
        <v>3445.5299</v>
      </c>
      <c r="H8" s="30" t="n">
        <v>4204.8637</v>
      </c>
      <c r="I8" s="30" t="n">
        <v>5211.7617</v>
      </c>
      <c r="J8" s="30" t="n">
        <v>2407.3798</v>
      </c>
      <c r="K8" s="30" t="n">
        <v>3576.5329</v>
      </c>
    </row>
    <row r="9" customFormat="false" ht="15" hidden="false" customHeight="false" outlineLevel="0" collapsed="false">
      <c r="A9" s="11" t="s">
        <v>1278</v>
      </c>
      <c r="C9" s="30" t="n">
        <v>31.8318</v>
      </c>
      <c r="D9" s="30" t="n">
        <v>44.3371</v>
      </c>
      <c r="E9" s="30" t="n">
        <v>58.7828</v>
      </c>
      <c r="F9" s="30" t="n">
        <v>63.2677</v>
      </c>
      <c r="G9" s="30" t="n">
        <v>84.2832</v>
      </c>
      <c r="H9" s="30" t="n">
        <v>79.1745</v>
      </c>
      <c r="I9" s="30" t="n">
        <v>107.7827</v>
      </c>
      <c r="J9" s="30" t="n">
        <v>54.7584</v>
      </c>
      <c r="K9" s="30" t="n">
        <v>60.1994</v>
      </c>
    </row>
    <row r="10" customFormat="false" ht="15" hidden="false" customHeight="false" outlineLevel="0" collapsed="false">
      <c r="A10" s="11" t="s">
        <v>1279</v>
      </c>
      <c r="C10" s="30" t="n">
        <v>52.3056</v>
      </c>
      <c r="D10" s="30" t="n">
        <v>35.7113</v>
      </c>
      <c r="E10" s="30" t="n">
        <v>51.3154</v>
      </c>
      <c r="F10" s="30" t="n">
        <v>57.308</v>
      </c>
      <c r="G10" s="30" t="n">
        <v>74.3431</v>
      </c>
      <c r="H10" s="30" t="n">
        <v>79.3918</v>
      </c>
      <c r="I10" s="30" t="n">
        <v>93.1993</v>
      </c>
      <c r="J10" s="30" t="n">
        <v>41.9856</v>
      </c>
      <c r="K10" s="30" t="n">
        <v>44.8099</v>
      </c>
    </row>
    <row r="11" customFormat="false" ht="15" hidden="false" customHeight="false" outlineLevel="0" collapsed="false">
      <c r="A11" s="11" t="s">
        <v>1280</v>
      </c>
      <c r="C11" s="30" t="n">
        <v>238.1567</v>
      </c>
      <c r="D11" s="30" t="n">
        <v>299.4133</v>
      </c>
      <c r="E11" s="30" t="n">
        <v>453.2391</v>
      </c>
      <c r="F11" s="30" t="n">
        <v>479.3491</v>
      </c>
      <c r="G11" s="30" t="n">
        <v>429.4141</v>
      </c>
      <c r="H11" s="30" t="n">
        <v>409.8445</v>
      </c>
      <c r="I11" s="30" t="n">
        <v>480.9502</v>
      </c>
      <c r="J11" s="30" t="n">
        <v>191.459</v>
      </c>
      <c r="K11" s="30" t="n">
        <v>254.9304</v>
      </c>
    </row>
    <row r="12" customFormat="false" ht="15" hidden="false" customHeight="false" outlineLevel="0" collapsed="false">
      <c r="A12" s="11" t="s">
        <v>1281</v>
      </c>
      <c r="C12" s="30" t="n">
        <v>176.5306</v>
      </c>
      <c r="D12" s="30" t="n">
        <v>239.1121</v>
      </c>
      <c r="E12" s="30" t="n">
        <v>418.5388</v>
      </c>
      <c r="F12" s="30" t="n">
        <v>452.1724</v>
      </c>
      <c r="G12" s="30" t="n">
        <v>545.8062</v>
      </c>
      <c r="H12" s="30" t="n">
        <v>583.0724</v>
      </c>
      <c r="I12" s="30" t="n">
        <v>653.4367</v>
      </c>
      <c r="J12" s="30" t="n">
        <v>292.6364</v>
      </c>
      <c r="K12" s="30" t="n">
        <v>340.2655</v>
      </c>
    </row>
    <row r="13" customFormat="false" ht="15" hidden="false" customHeight="false" outlineLevel="0" collapsed="false">
      <c r="A13" s="11" t="s">
        <v>1282</v>
      </c>
      <c r="C13" s="30" t="n">
        <v>12.8891</v>
      </c>
      <c r="D13" s="30" t="n">
        <v>-94.3944</v>
      </c>
      <c r="E13" s="30" t="n">
        <v>-96.1326</v>
      </c>
      <c r="F13" s="30" t="n">
        <v>-174.2752</v>
      </c>
      <c r="G13" s="30" t="n">
        <v>-161.5113</v>
      </c>
      <c r="H13" s="30" t="n">
        <v>-172.5019</v>
      </c>
      <c r="I13" s="30" t="n">
        <v>-127.772</v>
      </c>
      <c r="J13" s="30" t="n">
        <v>-63.1933</v>
      </c>
      <c r="K13" s="30" t="n">
        <v>-41.9124</v>
      </c>
    </row>
    <row r="14" customFormat="false" ht="15" hidden="false" customHeight="false" outlineLevel="0" collapsed="false">
      <c r="A14" s="11" t="s">
        <v>1283</v>
      </c>
      <c r="C14" s="30" t="n">
        <v>6.6845</v>
      </c>
      <c r="D14" s="30" t="n">
        <v>3.375</v>
      </c>
      <c r="E14" s="30" t="n">
        <v>5.6211</v>
      </c>
      <c r="F14" s="30" t="n">
        <v>8.8993</v>
      </c>
      <c r="G14" s="30" t="n">
        <v>22.4881</v>
      </c>
      <c r="H14" s="30" t="n">
        <v>27.7001</v>
      </c>
      <c r="I14" s="30" t="n">
        <v>20.396</v>
      </c>
      <c r="J14" s="30" t="n">
        <v>10.0906</v>
      </c>
      <c r="K14" s="30" t="n">
        <v>12.6989</v>
      </c>
    </row>
    <row r="15" customFormat="false" ht="15" hidden="false" customHeight="false" outlineLevel="0" collapsed="false">
      <c r="A15" s="11" t="s">
        <v>1284</v>
      </c>
      <c r="C15" s="30" t="n">
        <v>5.2352</v>
      </c>
      <c r="D15" s="30" t="n">
        <v>77.3137</v>
      </c>
      <c r="E15" s="30" t="n">
        <v>103.223</v>
      </c>
      <c r="F15" s="30" t="n">
        <v>154.5883</v>
      </c>
      <c r="G15" s="30" t="n">
        <v>174.943</v>
      </c>
      <c r="H15" s="30" t="n">
        <v>203.5985</v>
      </c>
      <c r="I15" s="30" t="n">
        <v>196.88</v>
      </c>
      <c r="J15" s="30" t="n">
        <v>89.6174</v>
      </c>
      <c r="K15" s="30" t="n">
        <v>98.5122</v>
      </c>
    </row>
    <row r="16" customFormat="false" ht="15" hidden="false" customHeight="false" outlineLevel="0" collapsed="false">
      <c r="A16" s="11" t="s">
        <v>1285</v>
      </c>
      <c r="C16" s="30" t="n">
        <v>92.8579</v>
      </c>
      <c r="D16" s="30" t="n">
        <v>97.5766</v>
      </c>
      <c r="E16" s="30" t="n">
        <v>136.3169</v>
      </c>
      <c r="F16" s="30" t="n">
        <v>218.1716</v>
      </c>
      <c r="G16" s="30" t="n">
        <v>348.6995</v>
      </c>
      <c r="H16" s="30" t="n">
        <v>305.0967</v>
      </c>
      <c r="I16" s="30" t="n">
        <v>390.1677</v>
      </c>
      <c r="J16" s="30" t="n">
        <v>177.9491</v>
      </c>
      <c r="K16" s="30" t="n">
        <v>139.1296</v>
      </c>
    </row>
    <row r="17" customFormat="false" ht="15" hidden="false" customHeight="false" outlineLevel="0" collapsed="false">
      <c r="A17" s="11" t="s">
        <v>1286</v>
      </c>
      <c r="C17" s="30" t="n">
        <v>86.0618</v>
      </c>
      <c r="D17" s="30" t="n">
        <v>113.9112</v>
      </c>
      <c r="E17" s="30" t="n">
        <v>74.986</v>
      </c>
      <c r="F17" s="30" t="n">
        <v>97.7236</v>
      </c>
      <c r="G17" s="30" t="n">
        <v>56.5334</v>
      </c>
      <c r="H17" s="30" t="n">
        <v>17.1153</v>
      </c>
      <c r="I17" s="30" t="n">
        <v>41.7054</v>
      </c>
      <c r="J17" s="30" t="n">
        <v>21.9679</v>
      </c>
      <c r="K17" s="30" t="n">
        <v>11.3472</v>
      </c>
    </row>
    <row r="18" customFormat="false" ht="15" hidden="false" customHeight="false" outlineLevel="0" collapsed="false">
      <c r="A18" s="11" t="s">
        <v>1287</v>
      </c>
      <c r="C18" s="30" t="n">
        <v>1.4965</v>
      </c>
      <c r="D18" s="30" t="n">
        <v>3.6266</v>
      </c>
      <c r="E18" s="30" t="n">
        <v>-0.1547</v>
      </c>
    </row>
    <row r="19" customFormat="false" ht="15" hidden="false" customHeight="false" outlineLevel="0" collapsed="false">
      <c r="A19" s="11" t="s">
        <v>1288</v>
      </c>
      <c r="F19" s="30" t="n">
        <v>20.0144</v>
      </c>
      <c r="G19" s="30" t="n">
        <v>55.0228</v>
      </c>
      <c r="H19" s="30" t="n">
        <v>49.7733</v>
      </c>
      <c r="I19" s="30" t="n">
        <v>30.4662</v>
      </c>
      <c r="J19" s="30" t="n">
        <v>18.7085</v>
      </c>
      <c r="K19" s="30" t="n">
        <v>20.9291</v>
      </c>
    </row>
    <row r="20" customFormat="false" ht="15" hidden="false" customHeight="false" outlineLevel="0" collapsed="false">
      <c r="A20" s="11" t="s">
        <v>1289</v>
      </c>
      <c r="C20" s="30" t="n">
        <v>0.1154</v>
      </c>
      <c r="D20" s="30" t="n">
        <v>-43.9714</v>
      </c>
      <c r="E20" s="30" t="n">
        <v>-33.4424</v>
      </c>
      <c r="F20" s="30" t="n">
        <v>-70.0966</v>
      </c>
      <c r="G20" s="30" t="n">
        <v>-0.9734</v>
      </c>
      <c r="H20" s="30" t="n">
        <v>-26.3493</v>
      </c>
      <c r="I20" s="30" t="n">
        <v>-26.5942</v>
      </c>
      <c r="J20" s="30" t="n">
        <v>-12.3834</v>
      </c>
      <c r="K20" s="30" t="n">
        <v>-74.0416</v>
      </c>
    </row>
    <row r="21" customFormat="false" ht="15" hidden="false" customHeight="false" outlineLevel="0" collapsed="false">
      <c r="A21" s="11" t="s">
        <v>1290</v>
      </c>
      <c r="C21" s="30" t="n">
        <v>6.664</v>
      </c>
      <c r="D21" s="30" t="n">
        <v>-25.0002</v>
      </c>
      <c r="E21" s="30" t="n">
        <v>-25.2766</v>
      </c>
      <c r="F21" s="30" t="n">
        <v>3.6367</v>
      </c>
      <c r="G21" s="30" t="n">
        <v>7.6096</v>
      </c>
      <c r="H21" s="30" t="n">
        <v>-12.7345</v>
      </c>
      <c r="I21" s="30" t="n">
        <v>-15.445</v>
      </c>
      <c r="J21" s="30" t="n">
        <v>-4.2076</v>
      </c>
      <c r="K21" s="30" t="n">
        <v>-55.945</v>
      </c>
    </row>
    <row r="22" customFormat="false" ht="15" hidden="false" customHeight="false" outlineLevel="0" collapsed="false">
      <c r="A22" s="11" t="s">
        <v>1291</v>
      </c>
      <c r="C22" s="30" t="n">
        <v>-0.1789</v>
      </c>
      <c r="D22" s="30" t="n">
        <v>8.1503</v>
      </c>
      <c r="E22" s="30" t="n">
        <v>-3.8453</v>
      </c>
      <c r="F22" s="30" t="n">
        <v>-1.2666</v>
      </c>
      <c r="G22" s="30" t="n">
        <v>1.9312</v>
      </c>
      <c r="H22" s="30" t="n">
        <v>-1.3421</v>
      </c>
      <c r="I22" s="30" t="n">
        <v>0.3699</v>
      </c>
      <c r="J22" s="30" t="n">
        <v>1.1518</v>
      </c>
      <c r="K22" s="30" t="n">
        <v>-3.1531</v>
      </c>
    </row>
    <row r="23" customFormat="false" ht="15" hidden="false" customHeight="false" outlineLevel="0" collapsed="false">
      <c r="A23" s="9" t="s">
        <v>104</v>
      </c>
      <c r="C23" s="30" t="n">
        <v>1011.3422</v>
      </c>
      <c r="D23" s="30" t="n">
        <v>1667.6866</v>
      </c>
      <c r="E23" s="30" t="n">
        <v>2294.5276</v>
      </c>
      <c r="F23" s="30" t="n">
        <v>1661.427</v>
      </c>
      <c r="G23" s="30" t="n">
        <v>1777.6465</v>
      </c>
      <c r="H23" s="30" t="n">
        <v>2522.7053</v>
      </c>
      <c r="I23" s="30" t="n">
        <v>3008.4656</v>
      </c>
      <c r="J23" s="30" t="n">
        <v>1426.9555</v>
      </c>
      <c r="K23" s="30" t="n">
        <v>2226.7722</v>
      </c>
    </row>
    <row r="24" customFormat="false" ht="15" hidden="false" customHeight="false" outlineLevel="0" collapsed="false">
      <c r="A24" s="11" t="s">
        <v>1292</v>
      </c>
      <c r="C24" s="30" t="n">
        <v>6.5768</v>
      </c>
      <c r="D24" s="30" t="n">
        <v>11.3112</v>
      </c>
      <c r="E24" s="30" t="n">
        <v>13.838</v>
      </c>
      <c r="F24" s="30" t="n">
        <v>17.419</v>
      </c>
      <c r="G24" s="30" t="n">
        <v>12.9371</v>
      </c>
      <c r="H24" s="30" t="n">
        <v>14.6536</v>
      </c>
      <c r="I24" s="30" t="n">
        <v>19.903</v>
      </c>
      <c r="J24" s="30" t="n">
        <v>9.2304</v>
      </c>
      <c r="K24" s="30" t="n">
        <v>12.1939</v>
      </c>
    </row>
    <row r="25" customFormat="false" ht="15" hidden="false" customHeight="false" outlineLevel="0" collapsed="false">
      <c r="A25" s="11" t="s">
        <v>1293</v>
      </c>
      <c r="C25" s="30" t="n">
        <v>1.3356</v>
      </c>
      <c r="D25" s="30" t="n">
        <v>0.3934</v>
      </c>
      <c r="E25" s="30" t="n">
        <v>4.8375</v>
      </c>
      <c r="F25" s="30" t="n">
        <v>12.5283</v>
      </c>
      <c r="G25" s="30" t="n">
        <v>7.7361</v>
      </c>
      <c r="H25" s="30" t="n">
        <v>18.4151</v>
      </c>
      <c r="I25" s="30" t="n">
        <v>20.1922</v>
      </c>
      <c r="J25" s="30" t="n">
        <v>9.0679</v>
      </c>
      <c r="K25" s="30" t="n">
        <v>15.0199</v>
      </c>
    </row>
    <row r="26" customFormat="false" ht="15" hidden="false" customHeight="false" outlineLevel="0" collapsed="false">
      <c r="A26" s="9" t="s">
        <v>106</v>
      </c>
      <c r="C26" s="30" t="n">
        <v>1016.5834</v>
      </c>
      <c r="D26" s="30" t="n">
        <v>1678.6044</v>
      </c>
      <c r="E26" s="30" t="n">
        <v>2303.5281</v>
      </c>
      <c r="F26" s="30" t="n">
        <v>1666.3178</v>
      </c>
      <c r="G26" s="30" t="n">
        <v>1782.8476</v>
      </c>
      <c r="H26" s="30" t="n">
        <v>2518.9439</v>
      </c>
      <c r="I26" s="30" t="n">
        <v>3008.1764</v>
      </c>
      <c r="J26" s="30" t="n">
        <v>1427.118</v>
      </c>
      <c r="K26" s="30" t="n">
        <v>2223.9462</v>
      </c>
    </row>
    <row r="27" customFormat="false" ht="15" hidden="false" customHeight="false" outlineLevel="0" collapsed="false">
      <c r="A27" s="11" t="s">
        <v>1294</v>
      </c>
      <c r="C27" s="30" t="n">
        <v>142.5086</v>
      </c>
      <c r="D27" s="30" t="n">
        <v>236.9779</v>
      </c>
      <c r="E27" s="30" t="n">
        <v>290.216</v>
      </c>
      <c r="F27" s="30" t="n">
        <v>160.2146</v>
      </c>
      <c r="G27" s="30" t="n">
        <v>199.697</v>
      </c>
      <c r="H27" s="30" t="n">
        <v>328.7101</v>
      </c>
      <c r="I27" s="30" t="n">
        <v>391.1963</v>
      </c>
      <c r="J27" s="30" t="n">
        <v>190.0335</v>
      </c>
      <c r="K27" s="30" t="n">
        <v>291.9504</v>
      </c>
    </row>
    <row r="28" customFormat="false" ht="15" hidden="false" customHeight="false" outlineLevel="0" collapsed="false">
      <c r="A28" s="9" t="s">
        <v>955</v>
      </c>
      <c r="C28" s="30" t="n">
        <v>874.0748</v>
      </c>
      <c r="D28" s="30" t="n">
        <v>1441.6265</v>
      </c>
      <c r="E28" s="30" t="n">
        <v>2013.312</v>
      </c>
      <c r="F28" s="30" t="n">
        <v>1506.1032</v>
      </c>
      <c r="G28" s="30" t="n">
        <v>1583.1506</v>
      </c>
      <c r="H28" s="30" t="n">
        <v>2190.2338</v>
      </c>
      <c r="I28" s="30" t="n">
        <v>2616.9802</v>
      </c>
      <c r="J28" s="30" t="n">
        <v>1237.0845</v>
      </c>
      <c r="K28" s="30" t="n">
        <v>1931.9958</v>
      </c>
    </row>
    <row r="29" customFormat="false" ht="15" hidden="false" customHeight="false" outlineLevel="0" collapsed="false">
      <c r="A29" s="11" t="s">
        <v>1295</v>
      </c>
      <c r="C29" s="30" t="n">
        <v>874.0748</v>
      </c>
      <c r="D29" s="30" t="n">
        <v>1441.6265</v>
      </c>
      <c r="E29" s="30" t="n">
        <v>2013.312</v>
      </c>
      <c r="F29" s="30" t="n">
        <v>1506.1032</v>
      </c>
      <c r="G29" s="30" t="n">
        <v>1583.1506</v>
      </c>
      <c r="H29" s="30" t="n">
        <v>2190.2338</v>
      </c>
      <c r="I29" s="30" t="n">
        <v>2616.9802</v>
      </c>
      <c r="J29" s="30" t="n">
        <v>1237.0845</v>
      </c>
      <c r="K29" s="30" t="n">
        <v>1931.9958</v>
      </c>
    </row>
    <row r="30" customFormat="false" ht="15" hidden="false" customHeight="false" outlineLevel="0" collapsed="false">
      <c r="A30" s="11" t="s">
        <v>1296</v>
      </c>
      <c r="C30" s="30" t="n">
        <v>2.814</v>
      </c>
      <c r="D30" s="30" t="n">
        <v>2.0639</v>
      </c>
      <c r="E30" s="30" t="n">
        <v>2.5006</v>
      </c>
      <c r="F30" s="30" t="n">
        <v>1.3972</v>
      </c>
      <c r="G30" s="30" t="n">
        <v>2.1646</v>
      </c>
      <c r="H30" s="30" t="n">
        <v>-0.2156</v>
      </c>
      <c r="I30" s="30" t="n">
        <v>-1.4041</v>
      </c>
      <c r="J30" s="30" t="n">
        <v>-0.0534</v>
      </c>
      <c r="K30" s="30" t="n">
        <v>-0.1224</v>
      </c>
    </row>
    <row r="31" customFormat="false" ht="15" hidden="false" customHeight="false" outlineLevel="0" collapsed="false">
      <c r="A31" s="11" t="s">
        <v>1297</v>
      </c>
      <c r="C31" s="30" t="n">
        <v>871.2608</v>
      </c>
      <c r="D31" s="30" t="n">
        <v>1439.5626</v>
      </c>
      <c r="E31" s="30" t="n">
        <v>2010.8114</v>
      </c>
      <c r="F31" s="30" t="n">
        <v>1504.706</v>
      </c>
      <c r="G31" s="30" t="n">
        <v>1580.986</v>
      </c>
      <c r="H31" s="30" t="n">
        <v>2190.4494</v>
      </c>
      <c r="I31" s="30" t="n">
        <v>2618.3843</v>
      </c>
      <c r="J31" s="30" t="n">
        <v>1237.1379</v>
      </c>
      <c r="K31" s="30" t="n">
        <v>1932.1182</v>
      </c>
    </row>
    <row r="32" customFormat="false" ht="15" hidden="false" customHeight="false" outlineLevel="0" collapsed="false">
      <c r="A32" s="11" t="s">
        <v>1298</v>
      </c>
      <c r="C32" s="30" t="n">
        <v>9.3427</v>
      </c>
      <c r="D32" s="30" t="n">
        <v>-22.5873</v>
      </c>
      <c r="E32" s="30" t="n">
        <v>-59.5048</v>
      </c>
      <c r="F32" s="30" t="n">
        <v>17.9502</v>
      </c>
      <c r="G32" s="30" t="n">
        <v>31.6624</v>
      </c>
      <c r="H32" s="30" t="n">
        <v>-20.9467</v>
      </c>
      <c r="I32" s="30" t="n">
        <v>76.0529</v>
      </c>
      <c r="J32" s="30" t="n">
        <v>80.3763</v>
      </c>
      <c r="K32" s="30" t="n">
        <v>-86.3487</v>
      </c>
    </row>
    <row r="33" customFormat="false" ht="15" hidden="false" customHeight="false" outlineLevel="0" collapsed="false">
      <c r="A33" s="9" t="s">
        <v>1299</v>
      </c>
      <c r="C33" s="30" t="n">
        <v>883.4174</v>
      </c>
      <c r="D33" s="30" t="n">
        <v>1419.0392</v>
      </c>
      <c r="E33" s="30" t="n">
        <v>1953.8072</v>
      </c>
      <c r="F33" s="30" t="n">
        <v>1524.0534</v>
      </c>
      <c r="G33" s="30" t="n">
        <v>1614.813</v>
      </c>
      <c r="H33" s="30" t="n">
        <v>2169.2871</v>
      </c>
      <c r="I33" s="30" t="n">
        <v>2693.033</v>
      </c>
      <c r="J33" s="30" t="n">
        <v>1317.4608</v>
      </c>
      <c r="K33" s="30" t="n">
        <v>1845.6471</v>
      </c>
    </row>
    <row r="34" customFormat="false" ht="15" hidden="false" customHeight="false" outlineLevel="0" collapsed="false">
      <c r="A34" s="11" t="s">
        <v>1300</v>
      </c>
      <c r="C34" s="30" t="n">
        <v>2.814</v>
      </c>
      <c r="D34" s="30" t="n">
        <v>2.0639</v>
      </c>
      <c r="E34" s="30" t="n">
        <v>2.5006</v>
      </c>
      <c r="F34" s="30" t="n">
        <v>1.3972</v>
      </c>
      <c r="G34" s="30" t="n">
        <v>2.1646</v>
      </c>
      <c r="H34" s="30" t="n">
        <v>-0.2156</v>
      </c>
      <c r="I34" s="30" t="n">
        <v>-1.4041</v>
      </c>
      <c r="J34" s="30" t="n">
        <v>-0.0534</v>
      </c>
      <c r="K34" s="30" t="n">
        <v>-0.1224</v>
      </c>
    </row>
    <row r="35" customFormat="false" ht="15" hidden="false" customHeight="false" outlineLevel="0" collapsed="false">
      <c r="A35" s="11" t="s">
        <v>1301</v>
      </c>
      <c r="C35" s="30" t="n">
        <v>880.6035</v>
      </c>
      <c r="D35" s="30" t="n">
        <v>1416.9753</v>
      </c>
      <c r="E35" s="30" t="n">
        <v>1951.3066</v>
      </c>
      <c r="F35" s="30" t="n">
        <v>1522.6562</v>
      </c>
      <c r="G35" s="30" t="n">
        <v>1612.6484</v>
      </c>
      <c r="H35" s="30" t="n">
        <v>2169.5027</v>
      </c>
      <c r="I35" s="30" t="n">
        <v>2694.4372</v>
      </c>
      <c r="J35" s="30" t="n">
        <v>1317.5142</v>
      </c>
      <c r="K35" s="30" t="n">
        <v>1845.7695</v>
      </c>
    </row>
    <row r="36" customFormat="false" ht="15" hidden="false" customHeight="false" outlineLevel="0" collapsed="false">
      <c r="A36" s="11" t="s">
        <v>1302</v>
      </c>
      <c r="C36" s="43" t="n">
        <v>0.5</v>
      </c>
      <c r="D36" s="43" t="n">
        <v>0.82</v>
      </c>
      <c r="E36" s="43" t="n">
        <v>1.1</v>
      </c>
      <c r="F36" s="43" t="n">
        <v>0.79</v>
      </c>
      <c r="G36" s="43" t="n">
        <v>0.82</v>
      </c>
      <c r="H36" s="43" t="n">
        <v>1.14</v>
      </c>
      <c r="I36" s="43" t="n">
        <v>1.37</v>
      </c>
      <c r="J36" s="43" t="n">
        <v>0.65</v>
      </c>
      <c r="K36" s="43" t="n">
        <v>1.01</v>
      </c>
    </row>
    <row r="37" customFormat="false" ht="15" hidden="false" customHeight="false" outlineLevel="0" collapsed="false">
      <c r="A37" s="11" t="s">
        <v>1303</v>
      </c>
      <c r="C37" s="43" t="n">
        <v>0.5</v>
      </c>
      <c r="D37" s="43" t="n">
        <v>0.82</v>
      </c>
      <c r="E37" s="43" t="n">
        <v>1.1</v>
      </c>
      <c r="F37" s="43" t="n">
        <v>0.79</v>
      </c>
      <c r="G37" s="43" t="n">
        <v>0.82</v>
      </c>
      <c r="H37" s="43" t="n">
        <v>1.14</v>
      </c>
      <c r="I37" s="43" t="n">
        <v>1.37</v>
      </c>
      <c r="J37" s="43" t="n">
        <v>0.65</v>
      </c>
      <c r="K37" s="43" t="n">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1" min="3" style="0" width="12"/>
  </cols>
  <sheetData>
    <row r="1" customFormat="false" ht="17.35" hidden="false" customHeight="false" outlineLevel="0" collapsed="false">
      <c r="A1" s="1" t="s">
        <v>1304</v>
      </c>
    </row>
    <row r="2" customFormat="false" ht="15" hidden="false" customHeight="false" outlineLevel="0" collapsed="false">
      <c r="A2" s="2" t="s">
        <v>1269</v>
      </c>
    </row>
    <row r="4" customFormat="false" ht="15" hidden="false" customHeight="false" outlineLevel="0" collapsed="false">
      <c r="A4" s="7" t="s">
        <v>1021</v>
      </c>
      <c r="B4" s="54"/>
      <c r="C4" s="8" t="s">
        <v>1270</v>
      </c>
      <c r="D4" s="8" t="s">
        <v>1271</v>
      </c>
      <c r="E4" s="8" t="s">
        <v>312</v>
      </c>
      <c r="F4" s="8" t="s">
        <v>313</v>
      </c>
      <c r="G4" s="8" t="s">
        <v>87</v>
      </c>
      <c r="H4" s="8" t="s">
        <v>88</v>
      </c>
      <c r="I4" s="8" t="s">
        <v>11</v>
      </c>
      <c r="J4" s="8" t="s">
        <v>1272</v>
      </c>
      <c r="K4" s="8" t="s">
        <v>1273</v>
      </c>
    </row>
    <row r="5" customFormat="false" ht="15" hidden="false" customHeight="false" outlineLevel="0" collapsed="false">
      <c r="A5" s="11" t="s">
        <v>1305</v>
      </c>
      <c r="C5" s="30" t="n">
        <v>1078.6418</v>
      </c>
      <c r="D5" s="30" t="n">
        <v>2945.9196</v>
      </c>
      <c r="E5" s="30" t="n">
        <v>5552.412</v>
      </c>
      <c r="F5" s="30" t="n">
        <v>4509.4292</v>
      </c>
      <c r="G5" s="30" t="n">
        <v>2841.6149</v>
      </c>
      <c r="H5" s="30" t="n">
        <v>3062.8452</v>
      </c>
      <c r="I5" s="30" t="n">
        <v>3057.7786</v>
      </c>
      <c r="J5" s="30" t="n">
        <v>5430.1287</v>
      </c>
      <c r="K5" s="30" t="n">
        <v>3825.5415</v>
      </c>
    </row>
    <row r="6" customFormat="false" ht="15" hidden="false" customHeight="false" outlineLevel="0" collapsed="false">
      <c r="A6" s="11" t="s">
        <v>1306</v>
      </c>
      <c r="C6" s="30" t="n">
        <v>2471.3739</v>
      </c>
      <c r="D6" s="30" t="n">
        <v>2547.0917</v>
      </c>
      <c r="E6" s="30" t="n">
        <v>2693.5949</v>
      </c>
      <c r="F6" s="30" t="n">
        <v>4255.0144</v>
      </c>
      <c r="G6" s="30" t="n">
        <v>3846.7081</v>
      </c>
      <c r="H6" s="30" t="n">
        <v>5053.3869</v>
      </c>
      <c r="I6" s="30" t="n">
        <v>3758.5116</v>
      </c>
      <c r="J6" s="30" t="n">
        <v>2865.6921</v>
      </c>
      <c r="K6" s="30" t="n">
        <v>3256.5671</v>
      </c>
    </row>
    <row r="7" customFormat="false" ht="15" hidden="false" customHeight="false" outlineLevel="0" collapsed="false">
      <c r="A7" s="11" t="s">
        <v>1307</v>
      </c>
      <c r="C7" s="30" t="n">
        <v>874.6517</v>
      </c>
      <c r="D7" s="30" t="n">
        <v>1217.3981</v>
      </c>
      <c r="E7" s="30" t="n">
        <v>2139.811</v>
      </c>
      <c r="F7" s="30" t="n">
        <v>1633.0632</v>
      </c>
      <c r="G7" s="30" t="n">
        <v>2089.1202</v>
      </c>
      <c r="H7" s="30" t="n">
        <v>2513.8265</v>
      </c>
      <c r="I7" s="30" t="n">
        <v>2914.3696</v>
      </c>
      <c r="J7" s="30" t="n">
        <v>2619.3474</v>
      </c>
      <c r="K7" s="30" t="n">
        <v>3830.7259</v>
      </c>
    </row>
    <row r="8" customFormat="false" ht="15" hidden="false" customHeight="false" outlineLevel="0" collapsed="false">
      <c r="A8" s="11" t="s">
        <v>1308</v>
      </c>
      <c r="C8" s="30" t="n">
        <v>186.3636</v>
      </c>
      <c r="D8" s="30" t="n">
        <v>38.771</v>
      </c>
      <c r="E8" s="30" t="n">
        <v>611.4843</v>
      </c>
      <c r="F8" s="30" t="n">
        <v>435.4813</v>
      </c>
      <c r="G8" s="30" t="n">
        <v>462.5221</v>
      </c>
      <c r="H8" s="30" t="n">
        <v>642.0757</v>
      </c>
      <c r="I8" s="30" t="n">
        <v>754.9216</v>
      </c>
      <c r="J8" s="30" t="n">
        <v>645.5199</v>
      </c>
      <c r="K8" s="30" t="n">
        <v>802.9765</v>
      </c>
    </row>
    <row r="9" customFormat="false" ht="15" hidden="false" customHeight="false" outlineLevel="0" collapsed="false">
      <c r="A9" s="11" t="s">
        <v>1309</v>
      </c>
      <c r="C9" s="30" t="n">
        <v>688.2881</v>
      </c>
      <c r="D9" s="30" t="n">
        <v>1178.6271</v>
      </c>
      <c r="E9" s="30" t="n">
        <v>1528.3267</v>
      </c>
      <c r="F9" s="30" t="n">
        <v>1197.5819</v>
      </c>
      <c r="G9" s="30" t="n">
        <v>1626.598</v>
      </c>
      <c r="H9" s="30" t="n">
        <v>1871.7507</v>
      </c>
      <c r="I9" s="30" t="n">
        <v>2159.448</v>
      </c>
      <c r="J9" s="30" t="n">
        <v>1973.8276</v>
      </c>
      <c r="K9" s="30" t="n">
        <v>3027.7493</v>
      </c>
    </row>
    <row r="10" customFormat="false" ht="15" hidden="false" customHeight="false" outlineLevel="0" collapsed="false">
      <c r="A10" s="11" t="s">
        <v>1310</v>
      </c>
      <c r="C10" s="30" t="n">
        <v>118.4119</v>
      </c>
      <c r="D10" s="30" t="n">
        <v>519.8569</v>
      </c>
      <c r="E10" s="30" t="n">
        <v>137.0218</v>
      </c>
      <c r="F10" s="30" t="n">
        <v>81.9324</v>
      </c>
      <c r="G10" s="30" t="n">
        <v>170.1508</v>
      </c>
      <c r="H10" s="30" t="n">
        <v>172.5082</v>
      </c>
      <c r="I10" s="30" t="n">
        <v>345.5521</v>
      </c>
      <c r="J10" s="30" t="n">
        <v>185.3687</v>
      </c>
      <c r="K10" s="30" t="n">
        <v>357.0871</v>
      </c>
    </row>
    <row r="11" customFormat="false" ht="15" hidden="false" customHeight="false" outlineLevel="0" collapsed="false">
      <c r="A11" s="11" t="s">
        <v>1311</v>
      </c>
      <c r="C11" s="30" t="n">
        <v>34.0747</v>
      </c>
      <c r="D11" s="30" t="n">
        <v>50.6405</v>
      </c>
      <c r="E11" s="30" t="n">
        <v>56.4665</v>
      </c>
      <c r="F11" s="30" t="n">
        <v>22.8533</v>
      </c>
      <c r="G11" s="30" t="n">
        <v>45.7734</v>
      </c>
      <c r="H11" s="30" t="n">
        <v>62.2607</v>
      </c>
      <c r="I11" s="30" t="n">
        <v>75.5091</v>
      </c>
      <c r="J11" s="30" t="n">
        <v>65.5243</v>
      </c>
      <c r="K11" s="30" t="n">
        <v>141.655</v>
      </c>
    </row>
    <row r="12" customFormat="false" ht="15" hidden="false" customHeight="false" outlineLevel="0" collapsed="false">
      <c r="A12" s="11" t="s">
        <v>1312</v>
      </c>
      <c r="C12" s="30" t="n">
        <v>56.6467</v>
      </c>
      <c r="D12" s="30" t="n">
        <v>167.309</v>
      </c>
      <c r="E12" s="30" t="n">
        <v>151.249</v>
      </c>
      <c r="F12" s="30" t="n">
        <v>83.7475</v>
      </c>
      <c r="G12" s="30" t="n">
        <v>44.234</v>
      </c>
      <c r="H12" s="30" t="n">
        <v>28.6627</v>
      </c>
      <c r="I12" s="30" t="n">
        <v>18.4395</v>
      </c>
      <c r="J12" s="30" t="n">
        <v>20.1296</v>
      </c>
      <c r="K12" s="30" t="n">
        <v>17.1209</v>
      </c>
    </row>
    <row r="13" customFormat="false" ht="15" hidden="false" customHeight="false" outlineLevel="0" collapsed="false">
      <c r="A13" s="11" t="s">
        <v>1313</v>
      </c>
      <c r="D13" s="30" t="n">
        <v>0</v>
      </c>
    </row>
    <row r="14" customFormat="false" ht="15" hidden="false" customHeight="false" outlineLevel="0" collapsed="false">
      <c r="A14" s="11" t="s">
        <v>1314</v>
      </c>
      <c r="D14" s="30" t="n">
        <v>8.8488</v>
      </c>
    </row>
    <row r="15" customFormat="false" ht="15" hidden="false" customHeight="false" outlineLevel="0" collapsed="false">
      <c r="A15" s="11" t="s">
        <v>1315</v>
      </c>
      <c r="C15" s="30" t="n">
        <v>56.6467</v>
      </c>
      <c r="D15" s="30" t="n">
        <v>158.4602</v>
      </c>
      <c r="E15" s="30" t="n">
        <v>151.249</v>
      </c>
      <c r="F15" s="30" t="n">
        <v>83.7475</v>
      </c>
      <c r="G15" s="30" t="n">
        <v>44.234</v>
      </c>
      <c r="H15" s="30" t="n">
        <v>28.6627</v>
      </c>
      <c r="I15" s="30" t="n">
        <v>18.4395</v>
      </c>
      <c r="J15" s="30" t="n">
        <v>20.1296</v>
      </c>
      <c r="K15" s="30" t="n">
        <v>17.1209</v>
      </c>
    </row>
    <row r="16" customFormat="false" ht="15" hidden="false" customHeight="false" outlineLevel="0" collapsed="false">
      <c r="A16" s="11" t="s">
        <v>1316</v>
      </c>
      <c r="C16" s="30" t="n">
        <v>646.8998</v>
      </c>
      <c r="D16" s="30" t="n">
        <v>885.4702</v>
      </c>
      <c r="E16" s="30" t="n">
        <v>1796.5411</v>
      </c>
      <c r="F16" s="30" t="n">
        <v>1885.8512</v>
      </c>
      <c r="G16" s="30" t="n">
        <v>1753.5978</v>
      </c>
      <c r="H16" s="30" t="n">
        <v>2180.7115</v>
      </c>
      <c r="I16" s="30" t="n">
        <v>2391.7224</v>
      </c>
      <c r="J16" s="30" t="n">
        <v>2163.2406</v>
      </c>
      <c r="K16" s="30" t="n">
        <v>2811.0479</v>
      </c>
    </row>
    <row r="17" customFormat="false" ht="15" hidden="false" customHeight="false" outlineLevel="0" collapsed="false">
      <c r="A17" s="11" t="s">
        <v>1317</v>
      </c>
      <c r="C17" s="30" t="n">
        <v>17.5545</v>
      </c>
      <c r="D17" s="30" t="n">
        <v>29.3159</v>
      </c>
      <c r="E17" s="30" t="n">
        <v>259.4314</v>
      </c>
      <c r="F17" s="30" t="n">
        <v>348.8942</v>
      </c>
      <c r="G17" s="30" t="n">
        <v>488.1799</v>
      </c>
      <c r="H17" s="30" t="n">
        <v>527.8337</v>
      </c>
      <c r="I17" s="30" t="n">
        <v>519.6397</v>
      </c>
      <c r="J17" s="30" t="n">
        <v>502.1979</v>
      </c>
      <c r="K17" s="30" t="n">
        <v>469.6768</v>
      </c>
    </row>
    <row r="18" customFormat="false" ht="15" hidden="false" customHeight="false" outlineLevel="0" collapsed="false">
      <c r="A18" s="11" t="s">
        <v>1318</v>
      </c>
      <c r="C18" s="30" t="n">
        <v>5298.255</v>
      </c>
      <c r="D18" s="30" t="n">
        <v>8363.002</v>
      </c>
      <c r="E18" s="30" t="n">
        <v>12786.5277</v>
      </c>
      <c r="F18" s="30" t="n">
        <v>12820.7855</v>
      </c>
      <c r="G18" s="30" t="n">
        <v>11279.3792</v>
      </c>
      <c r="H18" s="30" t="n">
        <v>13602.0355</v>
      </c>
      <c r="I18" s="30" t="n">
        <v>13081.5226</v>
      </c>
      <c r="J18" s="30" t="n">
        <v>13851.6293</v>
      </c>
      <c r="K18" s="30" t="n">
        <v>14709.4222</v>
      </c>
    </row>
    <row r="19" customFormat="false" ht="15" hidden="false" customHeight="false" outlineLevel="0" collapsed="false">
      <c r="A19" s="11" t="s">
        <v>1319</v>
      </c>
      <c r="C19" s="30" t="n">
        <v>103.3009</v>
      </c>
      <c r="D19" s="30" t="n">
        <v>100.6275</v>
      </c>
    </row>
    <row r="20" customFormat="false" ht="15" hidden="false" customHeight="false" outlineLevel="0" collapsed="false">
      <c r="A20" s="11" t="s">
        <v>1320</v>
      </c>
      <c r="C20" s="30" t="n">
        <v>1.8748</v>
      </c>
      <c r="D20" s="30" t="n">
        <v>2.478</v>
      </c>
      <c r="E20" s="30" t="n">
        <v>2.5805</v>
      </c>
      <c r="F20" s="30" t="n">
        <v>2.7738</v>
      </c>
      <c r="G20" s="30" t="n">
        <v>2.7994</v>
      </c>
      <c r="H20" s="30" t="n">
        <v>2.9601</v>
      </c>
      <c r="I20" s="30" t="n">
        <v>3.1953</v>
      </c>
      <c r="J20" s="30" t="n">
        <v>2.9601</v>
      </c>
      <c r="K20" s="30" t="n">
        <v>3.1953</v>
      </c>
    </row>
    <row r="21" customFormat="false" ht="15" hidden="false" customHeight="false" outlineLevel="0" collapsed="false">
      <c r="A21" s="11" t="s">
        <v>1321</v>
      </c>
      <c r="G21" s="30" t="n">
        <v>127.7244</v>
      </c>
      <c r="H21" s="30" t="n">
        <v>64.7164</v>
      </c>
      <c r="I21" s="30" t="n">
        <v>59.3194</v>
      </c>
      <c r="J21" s="30" t="n">
        <v>61.1679</v>
      </c>
      <c r="K21" s="30" t="n">
        <v>57.471</v>
      </c>
    </row>
    <row r="22" customFormat="false" ht="15" hidden="false" customHeight="false" outlineLevel="0" collapsed="false">
      <c r="A22" s="11" t="s">
        <v>1322</v>
      </c>
      <c r="C22" s="30" t="n">
        <v>1826.9422</v>
      </c>
      <c r="D22" s="30" t="n">
        <v>2377.2842</v>
      </c>
      <c r="E22" s="30" t="n">
        <v>4312.4233</v>
      </c>
      <c r="F22" s="30" t="n">
        <v>5190.5526</v>
      </c>
      <c r="G22" s="30" t="n">
        <v>5102.6825</v>
      </c>
      <c r="H22" s="30" t="n">
        <v>5733.7872</v>
      </c>
      <c r="I22" s="30" t="n">
        <v>6189.5406</v>
      </c>
      <c r="J22" s="30" t="n">
        <v>5736.3544</v>
      </c>
      <c r="K22" s="30" t="n">
        <v>6088.6838</v>
      </c>
    </row>
    <row r="23" customFormat="false" ht="15" hidden="false" customHeight="false" outlineLevel="0" collapsed="false">
      <c r="A23" s="11" t="s">
        <v>1323</v>
      </c>
      <c r="C23" s="30" t="n">
        <v>1826.9422</v>
      </c>
      <c r="D23" s="30" t="n">
        <v>2377.2842</v>
      </c>
      <c r="E23" s="30" t="n">
        <v>4312.4233</v>
      </c>
      <c r="F23" s="30" t="n">
        <v>5190.5526</v>
      </c>
      <c r="G23" s="30" t="n">
        <v>5100.7576</v>
      </c>
      <c r="H23" s="30" t="n">
        <v>5733.7872</v>
      </c>
      <c r="I23" s="30" t="n">
        <v>6189.5406</v>
      </c>
      <c r="J23" s="30" t="n">
        <v>5736.3544</v>
      </c>
      <c r="K23" s="30" t="n">
        <v>6088.6838</v>
      </c>
    </row>
    <row r="24" customFormat="false" ht="15" hidden="false" customHeight="false" outlineLevel="0" collapsed="false">
      <c r="A24" s="11" t="s">
        <v>1324</v>
      </c>
      <c r="G24" s="30" t="n">
        <v>1.9249</v>
      </c>
    </row>
    <row r="25" customFormat="false" ht="15" hidden="false" customHeight="false" outlineLevel="0" collapsed="false">
      <c r="A25" s="11" t="s">
        <v>1325</v>
      </c>
      <c r="C25" s="30" t="n">
        <v>644.1608</v>
      </c>
      <c r="D25" s="30" t="n">
        <v>788.7316</v>
      </c>
      <c r="E25" s="30" t="n">
        <v>725.0642</v>
      </c>
      <c r="F25" s="30" t="n">
        <v>690.5385</v>
      </c>
      <c r="G25" s="30" t="n">
        <v>681.2029</v>
      </c>
      <c r="H25" s="30" t="n">
        <v>593.6648</v>
      </c>
      <c r="I25" s="30" t="n">
        <v>400.1746</v>
      </c>
      <c r="J25" s="30" t="n">
        <v>536.202</v>
      </c>
      <c r="K25" s="30" t="n">
        <v>848.3738</v>
      </c>
    </row>
    <row r="26" customFormat="false" ht="15" hidden="false" customHeight="false" outlineLevel="0" collapsed="false">
      <c r="A26" s="11" t="s">
        <v>1326</v>
      </c>
      <c r="C26" s="30" t="n">
        <v>644.1608</v>
      </c>
      <c r="D26" s="30" t="n">
        <v>788.7316</v>
      </c>
      <c r="E26" s="30" t="n">
        <v>725.0642</v>
      </c>
      <c r="F26" s="30" t="n">
        <v>690.5385</v>
      </c>
      <c r="G26" s="30" t="n">
        <v>681.2029</v>
      </c>
      <c r="H26" s="30" t="n">
        <v>593.6648</v>
      </c>
      <c r="I26" s="30" t="n">
        <v>400.1746</v>
      </c>
      <c r="J26" s="30" t="n">
        <v>536.202</v>
      </c>
      <c r="K26" s="30" t="n">
        <v>848.3738</v>
      </c>
    </row>
    <row r="27" customFormat="false" ht="15" hidden="false" customHeight="false" outlineLevel="0" collapsed="false">
      <c r="A27" s="11" t="s">
        <v>1327</v>
      </c>
      <c r="E27" s="30" t="n">
        <v>9.2459</v>
      </c>
      <c r="F27" s="30" t="n">
        <v>36.5573</v>
      </c>
      <c r="G27" s="30" t="n">
        <v>29.9601</v>
      </c>
      <c r="H27" s="30" t="n">
        <v>24.904</v>
      </c>
      <c r="I27" s="30" t="n">
        <v>20.1651</v>
      </c>
      <c r="J27" s="30" t="n">
        <v>22.5601</v>
      </c>
      <c r="K27" s="30" t="n">
        <v>24.0012</v>
      </c>
    </row>
    <row r="28" customFormat="false" ht="15" hidden="false" customHeight="false" outlineLevel="0" collapsed="false">
      <c r="A28" s="11" t="s">
        <v>1328</v>
      </c>
      <c r="C28" s="30" t="n">
        <v>326.4268</v>
      </c>
      <c r="D28" s="30" t="n">
        <v>198.8745</v>
      </c>
      <c r="E28" s="30" t="n">
        <v>299.0002</v>
      </c>
      <c r="F28" s="30" t="n">
        <v>363.5942</v>
      </c>
      <c r="G28" s="30" t="n">
        <v>452.4957</v>
      </c>
      <c r="H28" s="30" t="n">
        <v>440.75</v>
      </c>
      <c r="I28" s="30" t="n">
        <v>445.4013</v>
      </c>
      <c r="J28" s="30" t="n">
        <v>438.4908</v>
      </c>
      <c r="K28" s="30" t="n">
        <v>435.7378</v>
      </c>
    </row>
    <row r="29" customFormat="false" ht="15" hidden="false" customHeight="false" outlineLevel="0" collapsed="false">
      <c r="A29" s="11" t="s">
        <v>1329</v>
      </c>
      <c r="C29" s="30" t="n">
        <v>253.7905</v>
      </c>
      <c r="D29" s="30" t="n">
        <v>242.3544</v>
      </c>
      <c r="E29" s="30" t="n">
        <v>218.0344</v>
      </c>
      <c r="F29" s="30" t="n">
        <v>224.171</v>
      </c>
      <c r="G29" s="30" t="n">
        <v>237.3472</v>
      </c>
      <c r="H29" s="30" t="n">
        <v>227.2756</v>
      </c>
      <c r="I29" s="30" t="n">
        <v>248.7115</v>
      </c>
      <c r="J29" s="30" t="n">
        <v>253.7518</v>
      </c>
      <c r="K29" s="30" t="n">
        <v>234.5658</v>
      </c>
    </row>
    <row r="30" customFormat="false" ht="15" hidden="false" customHeight="false" outlineLevel="0" collapsed="false">
      <c r="A30" s="11" t="s">
        <v>1330</v>
      </c>
      <c r="C30" s="30" t="n">
        <v>15.5597</v>
      </c>
      <c r="D30" s="30" t="n">
        <v>14.6331</v>
      </c>
      <c r="E30" s="30" t="n">
        <v>19.6492</v>
      </c>
      <c r="F30" s="30" t="n">
        <v>24.6772</v>
      </c>
      <c r="G30" s="30" t="n">
        <v>19.0821</v>
      </c>
      <c r="H30" s="30" t="n">
        <v>17.6421</v>
      </c>
      <c r="I30" s="30" t="n">
        <v>10.0005</v>
      </c>
      <c r="J30" s="30" t="n">
        <v>11.8589</v>
      </c>
      <c r="K30" s="30" t="n">
        <v>11.1037</v>
      </c>
    </row>
    <row r="31" customFormat="false" ht="15" hidden="false" customHeight="false" outlineLevel="0" collapsed="false">
      <c r="A31" s="11" t="s">
        <v>1331</v>
      </c>
      <c r="C31" s="30" t="n">
        <v>44.3924</v>
      </c>
      <c r="D31" s="30" t="n">
        <v>49.3523</v>
      </c>
      <c r="E31" s="30" t="n">
        <v>98.7072</v>
      </c>
      <c r="F31" s="30" t="n">
        <v>187.4023</v>
      </c>
      <c r="G31" s="30" t="n">
        <v>182.164</v>
      </c>
      <c r="H31" s="30" t="n">
        <v>247.2083</v>
      </c>
      <c r="I31" s="30" t="n">
        <v>163.9345</v>
      </c>
      <c r="J31" s="30" t="n">
        <v>222.0775</v>
      </c>
      <c r="K31" s="30" t="n">
        <v>181.5929</v>
      </c>
    </row>
    <row r="32" customFormat="false" ht="15" hidden="false" customHeight="false" outlineLevel="0" collapsed="false">
      <c r="A32" s="11" t="s">
        <v>1332</v>
      </c>
      <c r="C32" s="30" t="n">
        <v>56.9765</v>
      </c>
      <c r="D32" s="30" t="n">
        <v>209.747</v>
      </c>
      <c r="E32" s="30" t="n">
        <v>148.8167</v>
      </c>
      <c r="F32" s="30" t="n">
        <v>52.3243</v>
      </c>
      <c r="G32" s="30" t="n">
        <v>3712.1273</v>
      </c>
      <c r="H32" s="30" t="n">
        <v>2960.8591</v>
      </c>
      <c r="I32" s="30" t="n">
        <v>5884.1223</v>
      </c>
      <c r="J32" s="30" t="n">
        <v>2960.8195</v>
      </c>
      <c r="K32" s="30" t="n">
        <v>5843.9334</v>
      </c>
    </row>
    <row r="33" customFormat="false" ht="15" hidden="false" customHeight="false" outlineLevel="0" collapsed="false">
      <c r="A33" s="11" t="s">
        <v>1333</v>
      </c>
      <c r="C33" s="30" t="n">
        <v>3273.4247</v>
      </c>
      <c r="D33" s="30" t="n">
        <v>3984.0826</v>
      </c>
      <c r="E33" s="30" t="n">
        <v>5833.5215</v>
      </c>
      <c r="F33" s="30" t="n">
        <v>6772.5912</v>
      </c>
      <c r="G33" s="30" t="n">
        <v>10547.5857</v>
      </c>
      <c r="H33" s="30" t="n">
        <v>10313.7676</v>
      </c>
      <c r="I33" s="30" t="n">
        <v>13424.5653</v>
      </c>
      <c r="J33" s="30" t="n">
        <v>10246.243</v>
      </c>
      <c r="K33" s="30" t="n">
        <v>13728.6589</v>
      </c>
    </row>
    <row r="34" customFormat="false" ht="15" hidden="false" customHeight="false" outlineLevel="0" collapsed="false">
      <c r="A34" s="9" t="s">
        <v>135</v>
      </c>
      <c r="C34" s="30" t="n">
        <v>8571.6797</v>
      </c>
      <c r="D34" s="30" t="n">
        <v>12347.0845</v>
      </c>
      <c r="E34" s="30" t="n">
        <v>18620.0492</v>
      </c>
      <c r="F34" s="30" t="n">
        <v>19593.3766</v>
      </c>
      <c r="G34" s="30" t="n">
        <v>21826.9649</v>
      </c>
      <c r="H34" s="30" t="n">
        <v>23915.8031</v>
      </c>
      <c r="I34" s="30" t="n">
        <v>26506.0879</v>
      </c>
      <c r="J34" s="30" t="n">
        <v>24097.8723</v>
      </c>
      <c r="K34" s="30" t="n">
        <v>28438.0811</v>
      </c>
    </row>
    <row r="35" customFormat="false" ht="15" hidden="false" customHeight="false" outlineLevel="0" collapsed="false">
      <c r="A35" s="11" t="s">
        <v>1334</v>
      </c>
      <c r="E35" s="30" t="n">
        <v>42.1648</v>
      </c>
      <c r="F35" s="30" t="n">
        <v>151.8424</v>
      </c>
      <c r="G35" s="30" t="n">
        <v>740.5347</v>
      </c>
      <c r="H35" s="30" t="n">
        <v>474.7949</v>
      </c>
      <c r="I35" s="30" t="n">
        <v>539.4178</v>
      </c>
      <c r="J35" s="30" t="n">
        <v>443.2471</v>
      </c>
      <c r="K35" s="30" t="n">
        <v>739.8641</v>
      </c>
    </row>
    <row r="36" customFormat="false" ht="15" hidden="false" customHeight="false" outlineLevel="0" collapsed="false">
      <c r="A36" s="11" t="s">
        <v>1335</v>
      </c>
      <c r="C36" s="30" t="n">
        <v>151.9182</v>
      </c>
      <c r="D36" s="30" t="n">
        <v>442.5423</v>
      </c>
      <c r="E36" s="30" t="n">
        <v>830.1951</v>
      </c>
      <c r="F36" s="30" t="n">
        <v>635.0511</v>
      </c>
      <c r="G36" s="30" t="n">
        <v>980.6995</v>
      </c>
      <c r="H36" s="30" t="n">
        <v>1295.3039</v>
      </c>
      <c r="I36" s="30" t="n">
        <v>1927.9853</v>
      </c>
      <c r="J36" s="30" t="n">
        <v>1290.0362</v>
      </c>
      <c r="K36" s="30" t="n">
        <v>2752.2303</v>
      </c>
    </row>
    <row r="37" customFormat="false" ht="15" hidden="false" customHeight="false" outlineLevel="0" collapsed="false">
      <c r="A37" s="11" t="s">
        <v>1336</v>
      </c>
      <c r="F37" s="30" t="n">
        <v>27.8661</v>
      </c>
      <c r="G37" s="30" t="n">
        <v>242.5137</v>
      </c>
      <c r="H37" s="30" t="n">
        <v>521.4807</v>
      </c>
      <c r="I37" s="30" t="n">
        <v>1119.1886</v>
      </c>
      <c r="J37" s="30" t="n">
        <v>594.3072</v>
      </c>
      <c r="K37" s="30" t="n">
        <v>1487.9957</v>
      </c>
    </row>
    <row r="38" customFormat="false" ht="15" hidden="false" customHeight="false" outlineLevel="0" collapsed="false">
      <c r="A38" s="11" t="s">
        <v>1337</v>
      </c>
      <c r="C38" s="30" t="n">
        <v>151.9182</v>
      </c>
      <c r="D38" s="30" t="n">
        <v>442.5423</v>
      </c>
      <c r="E38" s="30" t="n">
        <v>830.1951</v>
      </c>
      <c r="F38" s="30" t="n">
        <v>607.185</v>
      </c>
      <c r="G38" s="30" t="n">
        <v>738.1858</v>
      </c>
      <c r="H38" s="30" t="n">
        <v>773.8232</v>
      </c>
      <c r="I38" s="30" t="n">
        <v>808.7966</v>
      </c>
      <c r="J38" s="30" t="n">
        <v>695.729</v>
      </c>
      <c r="K38" s="30" t="n">
        <v>1264.2346</v>
      </c>
    </row>
    <row r="39" customFormat="false" ht="15" hidden="false" customHeight="false" outlineLevel="0" collapsed="false">
      <c r="A39" s="11" t="s">
        <v>1338</v>
      </c>
      <c r="C39" s="30" t="n">
        <v>21.634</v>
      </c>
    </row>
    <row r="40" customFormat="false" ht="15" hidden="false" customHeight="false" outlineLevel="0" collapsed="false">
      <c r="A40" s="11" t="s">
        <v>1339</v>
      </c>
      <c r="D40" s="30" t="n">
        <v>35.7081</v>
      </c>
      <c r="E40" s="30" t="n">
        <v>25.358</v>
      </c>
      <c r="F40" s="30" t="n">
        <v>18.6235</v>
      </c>
      <c r="G40" s="30" t="n">
        <v>22.6123</v>
      </c>
      <c r="H40" s="30" t="n">
        <v>30.7816</v>
      </c>
      <c r="I40" s="30" t="n">
        <v>23.8862</v>
      </c>
      <c r="J40" s="30" t="n">
        <v>30.0577</v>
      </c>
      <c r="K40" s="30" t="n">
        <v>78.3734</v>
      </c>
    </row>
    <row r="41" customFormat="false" ht="15" hidden="false" customHeight="false" outlineLevel="0" collapsed="false">
      <c r="A41" s="11" t="s">
        <v>1340</v>
      </c>
      <c r="C41" s="30" t="n">
        <v>100.4094</v>
      </c>
      <c r="D41" s="30" t="n">
        <v>194.3573</v>
      </c>
      <c r="E41" s="30" t="n">
        <v>283.548</v>
      </c>
      <c r="F41" s="30" t="n">
        <v>242.2859</v>
      </c>
      <c r="G41" s="30" t="n">
        <v>267.3971</v>
      </c>
      <c r="H41" s="30" t="n">
        <v>347.7306</v>
      </c>
      <c r="I41" s="30" t="n">
        <v>395.6466</v>
      </c>
      <c r="J41" s="30" t="n">
        <v>167.7551</v>
      </c>
      <c r="K41" s="30" t="n">
        <v>241.0946</v>
      </c>
    </row>
    <row r="42" customFormat="false" ht="15" hidden="false" customHeight="false" outlineLevel="0" collapsed="false">
      <c r="A42" s="11" t="s">
        <v>1341</v>
      </c>
      <c r="C42" s="30" t="n">
        <v>67.1714</v>
      </c>
      <c r="D42" s="30" t="n">
        <v>77.7808</v>
      </c>
      <c r="E42" s="30" t="n">
        <v>54.9989</v>
      </c>
      <c r="F42" s="30" t="n">
        <v>198.0626</v>
      </c>
      <c r="G42" s="30" t="n">
        <v>157.7104</v>
      </c>
      <c r="H42" s="30" t="n">
        <v>146.4485</v>
      </c>
      <c r="I42" s="30" t="n">
        <v>213.8164</v>
      </c>
      <c r="J42" s="30" t="n">
        <v>123.0478</v>
      </c>
      <c r="K42" s="30" t="n">
        <v>228.3778</v>
      </c>
    </row>
    <row r="43" customFormat="false" ht="15" hidden="false" customHeight="false" outlineLevel="0" collapsed="false">
      <c r="A43" s="11" t="s">
        <v>1342</v>
      </c>
      <c r="C43" s="30" t="n">
        <v>118.6857</v>
      </c>
      <c r="D43" s="30" t="n">
        <v>14.8506</v>
      </c>
      <c r="E43" s="30" t="n">
        <v>34.0223</v>
      </c>
      <c r="F43" s="30" t="n">
        <v>54.6813</v>
      </c>
      <c r="G43" s="30" t="n">
        <v>58.1247</v>
      </c>
      <c r="H43" s="30" t="n">
        <v>90.8459</v>
      </c>
      <c r="I43" s="30" t="n">
        <v>114.3282</v>
      </c>
      <c r="J43" s="30" t="n">
        <v>97.5559</v>
      </c>
      <c r="K43" s="30" t="n">
        <v>183.1643</v>
      </c>
    </row>
    <row r="44" customFormat="false" ht="15" hidden="false" customHeight="false" outlineLevel="0" collapsed="false">
      <c r="A44" s="11" t="s">
        <v>1343</v>
      </c>
      <c r="C44" s="30" t="n">
        <v>2.5765</v>
      </c>
    </row>
    <row r="45" customFormat="false" ht="15" hidden="false" customHeight="false" outlineLevel="0" collapsed="false">
      <c r="A45" s="11" t="s">
        <v>1344</v>
      </c>
      <c r="C45" s="30" t="n">
        <v>116.1092</v>
      </c>
      <c r="D45" s="30" t="n">
        <v>14.8506</v>
      </c>
      <c r="E45" s="30" t="n">
        <v>34.0223</v>
      </c>
      <c r="F45" s="30" t="n">
        <v>54.6813</v>
      </c>
      <c r="G45" s="30" t="n">
        <v>58.1247</v>
      </c>
      <c r="H45" s="30" t="n">
        <v>90.8459</v>
      </c>
      <c r="I45" s="30" t="n">
        <v>114.3282</v>
      </c>
      <c r="J45" s="30" t="n">
        <v>97.5559</v>
      </c>
      <c r="K45" s="30" t="n">
        <v>183.1643</v>
      </c>
    </row>
    <row r="46" customFormat="false" ht="15" hidden="false" customHeight="false" outlineLevel="0" collapsed="false">
      <c r="A46" s="11" t="s">
        <v>1345</v>
      </c>
      <c r="C46" s="30" t="n">
        <v>19.5388</v>
      </c>
      <c r="E46" s="30" t="n">
        <v>7.7844</v>
      </c>
      <c r="F46" s="30" t="n">
        <v>33.593</v>
      </c>
      <c r="G46" s="30" t="n">
        <v>4.7445</v>
      </c>
      <c r="H46" s="30" t="n">
        <v>4.5523</v>
      </c>
      <c r="I46" s="30" t="n">
        <v>3.2946</v>
      </c>
      <c r="J46" s="30" t="n">
        <v>3.9882</v>
      </c>
      <c r="K46" s="30" t="n">
        <v>4.8332</v>
      </c>
    </row>
    <row r="47" customFormat="false" ht="15" hidden="false" customHeight="false" outlineLevel="0" collapsed="false">
      <c r="A47" s="11" t="s">
        <v>1346</v>
      </c>
      <c r="D47" s="30" t="n">
        <v>4.6183</v>
      </c>
      <c r="E47" s="30" t="n">
        <v>295.9292</v>
      </c>
      <c r="F47" s="30" t="n">
        <v>149.1519</v>
      </c>
      <c r="G47" s="30" t="n">
        <v>168.719</v>
      </c>
      <c r="H47" s="30" t="n">
        <v>203.7941</v>
      </c>
      <c r="I47" s="30" t="n">
        <v>262.1147</v>
      </c>
      <c r="J47" s="30" t="n">
        <v>227.2469</v>
      </c>
      <c r="K47" s="30" t="n">
        <v>197.2194</v>
      </c>
    </row>
    <row r="48" customFormat="false" ht="15" hidden="false" customHeight="false" outlineLevel="0" collapsed="false">
      <c r="A48" s="11" t="s">
        <v>1347</v>
      </c>
      <c r="C48" s="30" t="n">
        <v>479.3574</v>
      </c>
      <c r="D48" s="30" t="n">
        <v>769.8573</v>
      </c>
      <c r="E48" s="30" t="n">
        <v>1574.0006</v>
      </c>
      <c r="F48" s="30" t="n">
        <v>1483.2915</v>
      </c>
      <c r="G48" s="30" t="n">
        <v>2400.5423</v>
      </c>
      <c r="H48" s="30" t="n">
        <v>2594.252</v>
      </c>
      <c r="I48" s="30" t="n">
        <v>3480.4898</v>
      </c>
      <c r="J48" s="30" t="n">
        <v>2382.9348</v>
      </c>
      <c r="K48" s="30" t="n">
        <v>4425.157</v>
      </c>
    </row>
    <row r="49" customFormat="false" ht="15" hidden="false" customHeight="false" outlineLevel="0" collapsed="false">
      <c r="A49" s="11" t="s">
        <v>1348</v>
      </c>
      <c r="I49" s="30" t="n">
        <v>24.925</v>
      </c>
      <c r="J49" s="30" t="n">
        <v>29.95</v>
      </c>
      <c r="K49" s="30" t="n">
        <v>24.9</v>
      </c>
    </row>
    <row r="50" customFormat="false" ht="15" hidden="false" customHeight="false" outlineLevel="0" collapsed="false">
      <c r="A50" s="11" t="s">
        <v>1349</v>
      </c>
      <c r="E50" s="30" t="n">
        <v>1.7371</v>
      </c>
      <c r="F50" s="30" t="n">
        <v>30.6415</v>
      </c>
      <c r="G50" s="30" t="n">
        <v>26.5735</v>
      </c>
      <c r="H50" s="30" t="n">
        <v>22.2459</v>
      </c>
      <c r="I50" s="30" t="n">
        <v>18.7998</v>
      </c>
      <c r="J50" s="30" t="n">
        <v>20.6598</v>
      </c>
      <c r="K50" s="30" t="n">
        <v>21.2371</v>
      </c>
    </row>
    <row r="51" customFormat="false" ht="15" hidden="false" customHeight="false" outlineLevel="0" collapsed="false">
      <c r="A51" s="11" t="s">
        <v>1350</v>
      </c>
      <c r="C51" s="30" t="n">
        <v>29.3356</v>
      </c>
      <c r="D51" s="30" t="n">
        <v>28.7048</v>
      </c>
      <c r="E51" s="30" t="n">
        <v>29.3126</v>
      </c>
    </row>
    <row r="52" customFormat="false" ht="15" hidden="false" customHeight="false" outlineLevel="0" collapsed="false">
      <c r="A52" s="11" t="s">
        <v>1351</v>
      </c>
      <c r="C52" s="30" t="n">
        <v>29.3356</v>
      </c>
      <c r="D52" s="30" t="n">
        <v>28.7048</v>
      </c>
      <c r="E52" s="30" t="n">
        <v>29.3126</v>
      </c>
    </row>
    <row r="53" customFormat="false" ht="15" hidden="false" customHeight="false" outlineLevel="0" collapsed="false">
      <c r="A53" s="11" t="s">
        <v>1352</v>
      </c>
      <c r="D53" s="30" t="n">
        <v>0</v>
      </c>
      <c r="E53" s="30" t="n">
        <v>0</v>
      </c>
    </row>
    <row r="54" customFormat="false" ht="15" hidden="false" customHeight="false" outlineLevel="0" collapsed="false">
      <c r="A54" s="11" t="s">
        <v>1353</v>
      </c>
      <c r="C54" s="30" t="n">
        <v>0.8032</v>
      </c>
      <c r="D54" s="30" t="n">
        <v>0.7451</v>
      </c>
      <c r="E54" s="30" t="n">
        <v>0.641</v>
      </c>
      <c r="F54" s="30" t="n">
        <v>0.8841</v>
      </c>
      <c r="G54" s="30" t="n">
        <v>2.5309</v>
      </c>
      <c r="H54" s="30" t="n">
        <v>1.2631</v>
      </c>
      <c r="J54" s="30" t="n">
        <v>0.8378</v>
      </c>
    </row>
    <row r="55" customFormat="false" ht="15" hidden="false" customHeight="false" outlineLevel="0" collapsed="false">
      <c r="A55" s="11" t="s">
        <v>1354</v>
      </c>
      <c r="C55" s="30" t="n">
        <v>60.1878</v>
      </c>
      <c r="D55" s="30" t="n">
        <v>104.8827</v>
      </c>
      <c r="E55" s="30" t="n">
        <v>213.3536</v>
      </c>
      <c r="F55" s="30" t="n">
        <v>242.9296</v>
      </c>
      <c r="G55" s="30" t="n">
        <v>278.5697</v>
      </c>
      <c r="H55" s="30" t="n">
        <v>365.7018</v>
      </c>
      <c r="I55" s="30" t="n">
        <v>286.8605</v>
      </c>
      <c r="J55" s="30" t="n">
        <v>354.6833</v>
      </c>
      <c r="K55" s="30" t="n">
        <v>295.9806</v>
      </c>
    </row>
    <row r="56" customFormat="false" ht="15" hidden="false" customHeight="false" outlineLevel="0" collapsed="false">
      <c r="A56" s="11" t="s">
        <v>1355</v>
      </c>
      <c r="C56" s="30" t="n">
        <v>402.0755</v>
      </c>
      <c r="D56" s="30" t="n">
        <v>539.3098</v>
      </c>
      <c r="E56" s="30" t="n">
        <v>609.4307</v>
      </c>
      <c r="F56" s="30" t="n">
        <v>732.2181</v>
      </c>
      <c r="G56" s="30" t="n">
        <v>879.648</v>
      </c>
      <c r="H56" s="30" t="n">
        <v>1060.572</v>
      </c>
      <c r="I56" s="30" t="n">
        <v>1031.9704</v>
      </c>
      <c r="J56" s="30" t="n">
        <v>1021.3364</v>
      </c>
      <c r="K56" s="30" t="n">
        <v>1022.2304</v>
      </c>
    </row>
    <row r="57" customFormat="false" ht="15" hidden="false" customHeight="false" outlineLevel="0" collapsed="false">
      <c r="A57" s="11" t="s">
        <v>1356</v>
      </c>
      <c r="C57" s="30" t="n">
        <v>90</v>
      </c>
      <c r="D57" s="30" t="n">
        <v>90</v>
      </c>
    </row>
    <row r="58" customFormat="false" ht="15" hidden="false" customHeight="false" outlineLevel="0" collapsed="false">
      <c r="A58" s="11" t="s">
        <v>1357</v>
      </c>
      <c r="C58" s="30" t="n">
        <v>582.4022</v>
      </c>
      <c r="D58" s="30" t="n">
        <v>763.6424</v>
      </c>
      <c r="E58" s="30" t="n">
        <v>854.4751</v>
      </c>
      <c r="F58" s="30" t="n">
        <v>1006.6732</v>
      </c>
      <c r="G58" s="30" t="n">
        <v>1187.3221</v>
      </c>
      <c r="H58" s="30" t="n">
        <v>1449.7828</v>
      </c>
      <c r="I58" s="30" t="n">
        <v>1362.5557</v>
      </c>
      <c r="J58" s="30" t="n">
        <v>1427.4673</v>
      </c>
      <c r="K58" s="30" t="n">
        <v>1364.3481</v>
      </c>
    </row>
    <row r="59" customFormat="false" ht="15" hidden="false" customHeight="false" outlineLevel="0" collapsed="false">
      <c r="A59" s="11" t="s">
        <v>1358</v>
      </c>
      <c r="C59" s="30" t="n">
        <v>1061.7596</v>
      </c>
      <c r="D59" s="30" t="n">
        <v>1533.4998</v>
      </c>
      <c r="E59" s="30" t="n">
        <v>2428.4757</v>
      </c>
      <c r="F59" s="30" t="n">
        <v>2489.9647</v>
      </c>
      <c r="G59" s="30" t="n">
        <v>3587.8644</v>
      </c>
      <c r="H59" s="30" t="n">
        <v>4044.0348</v>
      </c>
      <c r="I59" s="30" t="n">
        <v>4843.0455</v>
      </c>
      <c r="J59" s="30" t="n">
        <v>3810.4021</v>
      </c>
      <c r="K59" s="30" t="n">
        <v>5789.5051</v>
      </c>
    </row>
    <row r="60" customFormat="false" ht="15" hidden="false" customHeight="false" outlineLevel="0" collapsed="false">
      <c r="A60" s="11" t="s">
        <v>1359</v>
      </c>
      <c r="C60" s="30" t="n">
        <v>1743.163</v>
      </c>
      <c r="D60" s="30" t="n">
        <v>1816.906</v>
      </c>
      <c r="E60" s="30" t="n">
        <v>1916.4974</v>
      </c>
      <c r="F60" s="30" t="n">
        <v>1916.4974</v>
      </c>
      <c r="G60" s="30" t="n">
        <v>1916.4974</v>
      </c>
      <c r="H60" s="30" t="n">
        <v>1916.4974</v>
      </c>
      <c r="I60" s="30" t="n">
        <v>1916.4974</v>
      </c>
      <c r="J60" s="30" t="n">
        <v>1916.4974</v>
      </c>
      <c r="K60" s="30" t="n">
        <v>1916.4974</v>
      </c>
    </row>
    <row r="61" customFormat="false" ht="15" hidden="false" customHeight="false" outlineLevel="0" collapsed="false">
      <c r="A61" s="11" t="s">
        <v>1360</v>
      </c>
      <c r="C61" s="30" t="n">
        <v>384.4055</v>
      </c>
      <c r="D61" s="30" t="n">
        <v>2438.0208</v>
      </c>
      <c r="E61" s="30" t="n">
        <v>6218.2411</v>
      </c>
      <c r="F61" s="30" t="n">
        <v>6218.2411</v>
      </c>
      <c r="G61" s="30" t="n">
        <v>6218.2411</v>
      </c>
      <c r="H61" s="30" t="n">
        <v>6218.2411</v>
      </c>
      <c r="I61" s="30" t="n">
        <v>6218.2411</v>
      </c>
      <c r="J61" s="30" t="n">
        <v>6218.2411</v>
      </c>
      <c r="K61" s="30" t="n">
        <v>6218.2411</v>
      </c>
    </row>
    <row r="62" customFormat="false" ht="15" hidden="false" customHeight="false" outlineLevel="0" collapsed="false">
      <c r="A62" s="11" t="s">
        <v>1361</v>
      </c>
      <c r="C62" s="30" t="n">
        <v>106.7257</v>
      </c>
      <c r="I62" s="30" t="n">
        <v>175.4407</v>
      </c>
      <c r="J62" s="30" t="n">
        <v>175.4407</v>
      </c>
      <c r="K62" s="30" t="n">
        <v>175.4407</v>
      </c>
    </row>
    <row r="63" customFormat="false" ht="15" hidden="false" customHeight="false" outlineLevel="0" collapsed="false">
      <c r="A63" s="11" t="s">
        <v>1362</v>
      </c>
      <c r="C63" s="30" t="n">
        <v>11.3846</v>
      </c>
      <c r="D63" s="30" t="n">
        <v>-11.2027</v>
      </c>
      <c r="E63" s="30" t="n">
        <v>-70.7075</v>
      </c>
      <c r="F63" s="30" t="n">
        <v>-52.7573</v>
      </c>
      <c r="G63" s="30" t="n">
        <v>-21.0949</v>
      </c>
      <c r="H63" s="30" t="n">
        <v>-42.0416</v>
      </c>
      <c r="I63" s="30" t="n">
        <v>34.0112</v>
      </c>
      <c r="J63" s="30" t="n">
        <v>38.3347</v>
      </c>
      <c r="K63" s="30" t="n">
        <v>-52.3375</v>
      </c>
    </row>
    <row r="64" customFormat="false" ht="15" hidden="false" customHeight="false" outlineLevel="0" collapsed="false">
      <c r="A64" s="11" t="s">
        <v>1363</v>
      </c>
      <c r="C64" s="30" t="n">
        <v>808.0083</v>
      </c>
      <c r="D64" s="30" t="n">
        <v>903.6916</v>
      </c>
      <c r="E64" s="30" t="n">
        <v>1037.3061</v>
      </c>
      <c r="F64" s="30" t="n">
        <v>1131.1383</v>
      </c>
      <c r="G64" s="30" t="n">
        <v>1131.1383</v>
      </c>
      <c r="H64" s="30" t="n">
        <v>1131.1383</v>
      </c>
      <c r="I64" s="30" t="n">
        <v>1131.1383</v>
      </c>
      <c r="J64" s="30" t="n">
        <v>1131.1383</v>
      </c>
      <c r="K64" s="30" t="n">
        <v>1131.1383</v>
      </c>
    </row>
    <row r="65" customFormat="false" ht="15" hidden="false" customHeight="false" outlineLevel="0" collapsed="false">
      <c r="A65" s="11" t="s">
        <v>1364</v>
      </c>
      <c r="C65" s="30" t="n">
        <v>4669.6844</v>
      </c>
      <c r="D65" s="30" t="n">
        <v>5665.9892</v>
      </c>
      <c r="E65" s="30" t="n">
        <v>7088.9596</v>
      </c>
      <c r="F65" s="30" t="n">
        <v>7886.5543</v>
      </c>
      <c r="G65" s="30" t="n">
        <v>8988.4159</v>
      </c>
      <c r="H65" s="30" t="n">
        <v>10642.246</v>
      </c>
      <c r="I65" s="30" t="n">
        <v>12534.3122</v>
      </c>
      <c r="J65" s="30" t="n">
        <v>11153.0657</v>
      </c>
      <c r="K65" s="30" t="n">
        <v>13606.3168</v>
      </c>
    </row>
    <row r="66" customFormat="false" ht="15" hidden="false" customHeight="false" outlineLevel="0" collapsed="false">
      <c r="A66" s="11" t="s">
        <v>1365</v>
      </c>
      <c r="C66" s="30" t="n">
        <v>7509.9201</v>
      </c>
      <c r="D66" s="30" t="n">
        <v>10813.4048</v>
      </c>
      <c r="E66" s="30" t="n">
        <v>16190.2966</v>
      </c>
      <c r="F66" s="30" t="n">
        <v>17099.6736</v>
      </c>
      <c r="G66" s="30" t="n">
        <v>18233.1976</v>
      </c>
      <c r="H66" s="30" t="n">
        <v>19866.0811</v>
      </c>
      <c r="I66" s="30" t="n">
        <v>21658.7593</v>
      </c>
      <c r="J66" s="30" t="n">
        <v>20281.8364</v>
      </c>
      <c r="K66" s="30" t="n">
        <v>22644.4153</v>
      </c>
    </row>
    <row r="67" customFormat="false" ht="15" hidden="false" customHeight="false" outlineLevel="0" collapsed="false">
      <c r="A67" s="11" t="s">
        <v>1366</v>
      </c>
      <c r="D67" s="30" t="n">
        <v>0.18</v>
      </c>
      <c r="E67" s="30" t="n">
        <v>1.2769</v>
      </c>
      <c r="F67" s="30" t="n">
        <v>3.7382</v>
      </c>
      <c r="G67" s="30" t="n">
        <v>5.9029</v>
      </c>
      <c r="H67" s="30" t="n">
        <v>5.6872</v>
      </c>
      <c r="I67" s="30" t="n">
        <v>4.2831</v>
      </c>
      <c r="J67" s="30" t="n">
        <v>5.6339</v>
      </c>
      <c r="K67" s="30" t="n">
        <v>4.1607</v>
      </c>
    </row>
    <row r="68" customFormat="false" ht="15" hidden="false" customHeight="false" outlineLevel="0" collapsed="false">
      <c r="A68" s="11" t="s">
        <v>1367</v>
      </c>
      <c r="C68" s="30" t="n">
        <v>7509.9201</v>
      </c>
      <c r="D68" s="30" t="n">
        <v>10813.5848</v>
      </c>
      <c r="E68" s="30" t="n">
        <v>16191.5735</v>
      </c>
      <c r="F68" s="30" t="n">
        <v>17103.4119</v>
      </c>
      <c r="G68" s="30" t="n">
        <v>18239.1005</v>
      </c>
      <c r="H68" s="30" t="n">
        <v>19871.7683</v>
      </c>
      <c r="I68" s="30" t="n">
        <v>21663.0424</v>
      </c>
      <c r="J68" s="30" t="n">
        <v>20287.4703</v>
      </c>
      <c r="K68" s="30" t="n">
        <v>22648.5759</v>
      </c>
    </row>
    <row r="69" customFormat="false" ht="15" hidden="false" customHeight="false" outlineLevel="0" collapsed="false">
      <c r="A69" s="9" t="s">
        <v>976</v>
      </c>
      <c r="C69" s="30" t="n">
        <v>8571.6797</v>
      </c>
      <c r="D69" s="30" t="n">
        <v>12347.0845</v>
      </c>
      <c r="E69" s="30" t="n">
        <v>18620.0492</v>
      </c>
      <c r="F69" s="30" t="n">
        <v>19593.3766</v>
      </c>
      <c r="G69" s="30" t="n">
        <v>21826.9649</v>
      </c>
      <c r="H69" s="30" t="n">
        <v>23915.8031</v>
      </c>
      <c r="I69" s="30" t="n">
        <v>26506.0879</v>
      </c>
      <c r="J69" s="30" t="n">
        <v>24097.8723</v>
      </c>
      <c r="K69" s="30" t="n">
        <v>28438.0811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1" min="3" style="0" width="12"/>
  </cols>
  <sheetData>
    <row r="1" customFormat="false" ht="17.35" hidden="false" customHeight="false" outlineLevel="0" collapsed="false">
      <c r="A1" s="1" t="s">
        <v>1368</v>
      </c>
    </row>
    <row r="2" customFormat="false" ht="15" hidden="false" customHeight="false" outlineLevel="0" collapsed="false">
      <c r="A2" s="2" t="s">
        <v>1269</v>
      </c>
    </row>
    <row r="4" customFormat="false" ht="15" hidden="false" customHeight="false" outlineLevel="0" collapsed="false">
      <c r="A4" s="7" t="s">
        <v>1021</v>
      </c>
      <c r="B4" s="54"/>
      <c r="C4" s="8" t="s">
        <v>1270</v>
      </c>
      <c r="D4" s="8" t="s">
        <v>1271</v>
      </c>
      <c r="E4" s="8" t="s">
        <v>312</v>
      </c>
      <c r="F4" s="8" t="s">
        <v>313</v>
      </c>
      <c r="G4" s="8" t="s">
        <v>87</v>
      </c>
      <c r="H4" s="8" t="s">
        <v>88</v>
      </c>
      <c r="I4" s="8" t="s">
        <v>11</v>
      </c>
      <c r="J4" s="8" t="s">
        <v>1272</v>
      </c>
      <c r="K4" s="8" t="s">
        <v>1273</v>
      </c>
    </row>
    <row r="5" customFormat="false" ht="15" hidden="false" customHeight="false" outlineLevel="0" collapsed="false">
      <c r="A5" s="11" t="s">
        <v>1369</v>
      </c>
      <c r="C5" s="30" t="n">
        <v>3579.8394</v>
      </c>
      <c r="D5" s="30" t="n">
        <v>3658.2067</v>
      </c>
      <c r="E5" s="30" t="n">
        <v>5010.4029</v>
      </c>
      <c r="F5" s="30" t="n">
        <v>5150.8415</v>
      </c>
      <c r="G5" s="30" t="n">
        <v>5049.3661</v>
      </c>
      <c r="H5" s="30" t="n">
        <v>6618.7955</v>
      </c>
      <c r="I5" s="30" t="n">
        <v>8243.4605</v>
      </c>
      <c r="J5" s="30" t="n">
        <v>3916.3724</v>
      </c>
      <c r="K5" s="30" t="n">
        <v>5413.4086</v>
      </c>
    </row>
    <row r="6" customFormat="false" ht="15" hidden="false" customHeight="false" outlineLevel="0" collapsed="false">
      <c r="A6" s="11" t="s">
        <v>1370</v>
      </c>
      <c r="C6" s="30" t="n">
        <v>30.2336</v>
      </c>
      <c r="D6" s="30" t="n">
        <v>23.2036</v>
      </c>
      <c r="E6" s="30" t="n">
        <v>14.362</v>
      </c>
      <c r="F6" s="30" t="n">
        <v>189.2736</v>
      </c>
      <c r="G6" s="30" t="n">
        <v>140.4832</v>
      </c>
      <c r="H6" s="30" t="n">
        <v>153.0346</v>
      </c>
      <c r="I6" s="30" t="n">
        <v>96.8924</v>
      </c>
      <c r="J6" s="30" t="n">
        <v>8.105</v>
      </c>
      <c r="K6" s="30" t="n">
        <v>51.1513</v>
      </c>
    </row>
    <row r="7" customFormat="false" ht="15" hidden="false" customHeight="false" outlineLevel="0" collapsed="false">
      <c r="A7" s="11" t="s">
        <v>1371</v>
      </c>
      <c r="C7" s="30" t="n">
        <v>236.781</v>
      </c>
      <c r="D7" s="30" t="n">
        <v>352.0468</v>
      </c>
      <c r="E7" s="30" t="n">
        <v>408.5564</v>
      </c>
      <c r="F7" s="30" t="n">
        <v>605.9512</v>
      </c>
      <c r="G7" s="30" t="n">
        <v>648.9155</v>
      </c>
      <c r="H7" s="30" t="n">
        <v>603.805</v>
      </c>
      <c r="I7" s="30" t="n">
        <v>461.7296</v>
      </c>
      <c r="J7" s="30" t="n">
        <v>177.3983</v>
      </c>
      <c r="K7" s="30" t="n">
        <v>232.647</v>
      </c>
    </row>
    <row r="8" customFormat="false" ht="15" hidden="false" customHeight="false" outlineLevel="0" collapsed="false">
      <c r="A8" s="11" t="s">
        <v>1372</v>
      </c>
      <c r="C8" s="30" t="n">
        <v>3846.8541</v>
      </c>
      <c r="D8" s="30" t="n">
        <v>4033.4571</v>
      </c>
      <c r="E8" s="30" t="n">
        <v>5433.3213</v>
      </c>
      <c r="F8" s="30" t="n">
        <v>5946.0662</v>
      </c>
      <c r="G8" s="30" t="n">
        <v>5838.7647</v>
      </c>
      <c r="H8" s="30" t="n">
        <v>7375.6351</v>
      </c>
      <c r="I8" s="30" t="n">
        <v>8802.0825</v>
      </c>
      <c r="J8" s="30" t="n">
        <v>4101.8757</v>
      </c>
      <c r="K8" s="30" t="n">
        <v>5697.2069</v>
      </c>
    </row>
    <row r="9" customFormat="false" ht="15" hidden="false" customHeight="false" outlineLevel="0" collapsed="false">
      <c r="A9" s="11" t="s">
        <v>1373</v>
      </c>
      <c r="C9" s="30" t="n">
        <v>957.2031</v>
      </c>
      <c r="D9" s="30" t="n">
        <v>1481.2912</v>
      </c>
      <c r="E9" s="30" t="n">
        <v>2131.5256</v>
      </c>
      <c r="F9" s="30" t="n">
        <v>1646.5979</v>
      </c>
      <c r="G9" s="30" t="n">
        <v>1747.1491</v>
      </c>
      <c r="H9" s="30" t="n">
        <v>2153.5884</v>
      </c>
      <c r="I9" s="30" t="n">
        <v>2753.8858</v>
      </c>
      <c r="J9" s="30" t="n">
        <v>1344.7955</v>
      </c>
      <c r="K9" s="30" t="n">
        <v>2385.2742</v>
      </c>
    </row>
    <row r="10" customFormat="false" ht="15" hidden="false" customHeight="false" outlineLevel="0" collapsed="false">
      <c r="A10" s="11" t="s">
        <v>1374</v>
      </c>
      <c r="C10" s="30" t="n">
        <v>642.944</v>
      </c>
      <c r="D10" s="30" t="n">
        <v>835.0981</v>
      </c>
      <c r="E10" s="30" t="n">
        <v>1367.2278</v>
      </c>
      <c r="F10" s="30" t="n">
        <v>1478.1609</v>
      </c>
      <c r="G10" s="30" t="n">
        <v>1376.8356</v>
      </c>
      <c r="H10" s="30" t="n">
        <v>1772.4983</v>
      </c>
      <c r="I10" s="30" t="n">
        <v>1992.9064</v>
      </c>
      <c r="J10" s="30" t="n">
        <v>1068.4105</v>
      </c>
      <c r="K10" s="30" t="n">
        <v>1262.4736</v>
      </c>
    </row>
    <row r="11" customFormat="false" ht="15" hidden="false" customHeight="false" outlineLevel="0" collapsed="false">
      <c r="A11" s="11" t="s">
        <v>1375</v>
      </c>
      <c r="C11" s="30" t="n">
        <v>376.9661</v>
      </c>
      <c r="D11" s="30" t="n">
        <v>406.6268</v>
      </c>
      <c r="E11" s="30" t="n">
        <v>554.7171</v>
      </c>
      <c r="F11" s="30" t="n">
        <v>540.2397</v>
      </c>
      <c r="G11" s="30" t="n">
        <v>766.2418</v>
      </c>
      <c r="H11" s="30" t="n">
        <v>808.898</v>
      </c>
      <c r="I11" s="30" t="n">
        <v>915.9167</v>
      </c>
      <c r="J11" s="30" t="n">
        <v>450.5233</v>
      </c>
      <c r="K11" s="30" t="n">
        <v>566.8132</v>
      </c>
    </row>
    <row r="12" customFormat="false" ht="15" hidden="false" customHeight="false" outlineLevel="0" collapsed="false">
      <c r="A12" s="11" t="s">
        <v>1376</v>
      </c>
      <c r="C12" s="30" t="n">
        <v>155.0805</v>
      </c>
      <c r="D12" s="30" t="n">
        <v>135.5401</v>
      </c>
      <c r="E12" s="30" t="n">
        <v>225.5286</v>
      </c>
      <c r="F12" s="30" t="n">
        <v>207.1942</v>
      </c>
      <c r="G12" s="30" t="n">
        <v>229.5702</v>
      </c>
      <c r="H12" s="30" t="n">
        <v>237.5281</v>
      </c>
      <c r="I12" s="30" t="n">
        <v>261.7646</v>
      </c>
      <c r="J12" s="30" t="n">
        <v>110.437</v>
      </c>
      <c r="K12" s="30" t="n">
        <v>185.3264</v>
      </c>
    </row>
    <row r="13" customFormat="false" ht="15" hidden="false" customHeight="false" outlineLevel="0" collapsed="false">
      <c r="A13" s="11" t="s">
        <v>1377</v>
      </c>
      <c r="C13" s="30" t="n">
        <v>2132.1938</v>
      </c>
      <c r="D13" s="30" t="n">
        <v>2858.5562</v>
      </c>
      <c r="E13" s="30" t="n">
        <v>4278.9991</v>
      </c>
      <c r="F13" s="30" t="n">
        <v>3872.1927</v>
      </c>
      <c r="G13" s="30" t="n">
        <v>4119.7967</v>
      </c>
      <c r="H13" s="30" t="n">
        <v>4972.5128</v>
      </c>
      <c r="I13" s="30" t="n">
        <v>5924.4734</v>
      </c>
      <c r="J13" s="30" t="n">
        <v>2974.1663</v>
      </c>
      <c r="K13" s="30" t="n">
        <v>4399.8873</v>
      </c>
    </row>
    <row r="14" customFormat="false" ht="15" hidden="false" customHeight="false" outlineLevel="0" collapsed="false">
      <c r="A14" s="11" t="s">
        <v>1378</v>
      </c>
      <c r="C14" s="30" t="n">
        <v>1714.6603</v>
      </c>
      <c r="D14" s="30" t="n">
        <v>1174.9009</v>
      </c>
      <c r="E14" s="30" t="n">
        <v>1154.3222</v>
      </c>
      <c r="F14" s="30" t="n">
        <v>2073.8736</v>
      </c>
      <c r="G14" s="30" t="n">
        <v>1718.968</v>
      </c>
      <c r="H14" s="30" t="n">
        <v>2403.1223</v>
      </c>
      <c r="I14" s="30" t="n">
        <v>2877.6091</v>
      </c>
      <c r="J14" s="30" t="n">
        <v>1127.7094</v>
      </c>
      <c r="K14" s="30" t="n">
        <v>1297.3196</v>
      </c>
    </row>
    <row r="15" customFormat="false" ht="15" hidden="false" customHeight="false" outlineLevel="0" collapsed="false">
      <c r="A15" s="11" t="s">
        <v>1379</v>
      </c>
      <c r="C15" s="30" t="n">
        <v>7058.4501</v>
      </c>
      <c r="D15" s="30" t="n">
        <v>7734.1026</v>
      </c>
      <c r="E15" s="30" t="n">
        <v>13148.9506</v>
      </c>
      <c r="F15" s="30" t="n">
        <v>12490.0357</v>
      </c>
      <c r="G15" s="30" t="n">
        <v>13435</v>
      </c>
      <c r="H15" s="30" t="n">
        <v>66602.15</v>
      </c>
      <c r="I15" s="30" t="n">
        <v>168585.03</v>
      </c>
      <c r="J15" s="30" t="n">
        <v>100066.18</v>
      </c>
      <c r="K15" s="30" t="n">
        <v>69242.2081</v>
      </c>
    </row>
    <row r="16" customFormat="false" ht="15" hidden="false" customHeight="false" outlineLevel="0" collapsed="false">
      <c r="A16" s="11" t="s">
        <v>1380</v>
      </c>
      <c r="C16" s="30" t="n">
        <v>82.4918</v>
      </c>
      <c r="D16" s="30" t="n">
        <v>116.5182</v>
      </c>
      <c r="E16" s="30" t="n">
        <v>74.5134</v>
      </c>
      <c r="F16" s="30" t="n">
        <v>96.8132</v>
      </c>
      <c r="G16" s="30" t="n">
        <v>109.8625</v>
      </c>
      <c r="H16" s="30" t="n">
        <v>63.7652</v>
      </c>
      <c r="I16" s="30" t="n">
        <v>267.5621</v>
      </c>
      <c r="J16" s="30" t="n">
        <v>57.9618</v>
      </c>
      <c r="K16" s="30" t="n">
        <v>94.9076</v>
      </c>
    </row>
    <row r="17" customFormat="false" ht="15" hidden="false" customHeight="false" outlineLevel="0" collapsed="false">
      <c r="A17" s="11" t="s">
        <v>1381</v>
      </c>
      <c r="D17" s="30" t="n">
        <v>17.321</v>
      </c>
      <c r="E17" s="30" t="n">
        <v>4.687</v>
      </c>
      <c r="F17" s="30" t="n">
        <v>61.3832</v>
      </c>
      <c r="G17" s="30" t="n">
        <v>14.3567</v>
      </c>
      <c r="H17" s="30" t="n">
        <v>29.458</v>
      </c>
      <c r="I17" s="30" t="n">
        <v>3.726</v>
      </c>
      <c r="J17" s="30" t="n">
        <v>3.3433</v>
      </c>
      <c r="K17" s="30" t="n">
        <v>3.6919</v>
      </c>
    </row>
    <row r="18" customFormat="false" ht="15" hidden="false" customHeight="false" outlineLevel="0" collapsed="false">
      <c r="A18" s="11" t="s">
        <v>1382</v>
      </c>
      <c r="D18" s="30" t="n">
        <v>31.2675</v>
      </c>
    </row>
    <row r="19" customFormat="false" ht="15" hidden="false" customHeight="false" outlineLevel="0" collapsed="false">
      <c r="A19" s="11" t="s">
        <v>1383</v>
      </c>
      <c r="C19" s="30" t="n">
        <v>7140.9419</v>
      </c>
      <c r="D19" s="30" t="n">
        <v>7899.2092</v>
      </c>
      <c r="E19" s="30" t="n">
        <v>13228.151</v>
      </c>
      <c r="F19" s="30" t="n">
        <v>12648.2322</v>
      </c>
      <c r="G19" s="30" t="n">
        <v>13559.2192</v>
      </c>
      <c r="H19" s="30" t="n">
        <v>66695.3732</v>
      </c>
      <c r="I19" s="30" t="n">
        <v>168856.3181</v>
      </c>
      <c r="J19" s="30" t="n">
        <v>100127.485</v>
      </c>
      <c r="K19" s="30" t="n">
        <v>69340.8077</v>
      </c>
    </row>
    <row r="20" customFormat="false" ht="15" hidden="false" customHeight="false" outlineLevel="0" collapsed="false">
      <c r="A20" s="11" t="s">
        <v>1384</v>
      </c>
      <c r="C20" s="30" t="n">
        <v>578.5731</v>
      </c>
      <c r="D20" s="30" t="n">
        <v>1164.2238</v>
      </c>
      <c r="E20" s="30" t="n">
        <v>1910.3652</v>
      </c>
      <c r="F20" s="30" t="n">
        <v>1124.8091</v>
      </c>
      <c r="G20" s="30" t="n">
        <v>545.8847</v>
      </c>
      <c r="H20" s="30" t="n">
        <v>639.0352</v>
      </c>
      <c r="I20" s="30" t="n">
        <v>580.092</v>
      </c>
      <c r="J20" s="30" t="n">
        <v>207.1667</v>
      </c>
      <c r="K20" s="30" t="n">
        <v>476.371</v>
      </c>
    </row>
    <row r="21" customFormat="false" ht="15" hidden="false" customHeight="false" outlineLevel="0" collapsed="false">
      <c r="A21" s="11" t="s">
        <v>1385</v>
      </c>
      <c r="C21" s="30" t="n">
        <v>7418.3671</v>
      </c>
      <c r="D21" s="30" t="n">
        <v>7785.7056</v>
      </c>
      <c r="E21" s="30" t="n">
        <v>13194.55</v>
      </c>
      <c r="F21" s="30" t="n">
        <v>15330.15</v>
      </c>
      <c r="G21" s="30" t="n">
        <v>16788.2595</v>
      </c>
      <c r="H21" s="30" t="n">
        <v>67410.2139</v>
      </c>
      <c r="I21" s="30" t="n">
        <v>169100.4235</v>
      </c>
      <c r="J21" s="30" t="n">
        <v>98547.7164</v>
      </c>
      <c r="K21" s="30" t="n">
        <v>68544.3972</v>
      </c>
    </row>
    <row r="22" customFormat="false" ht="15" hidden="false" customHeight="false" outlineLevel="0" collapsed="false">
      <c r="A22" s="11" t="s">
        <v>1386</v>
      </c>
      <c r="H22" s="30" t="n">
        <v>0.0553</v>
      </c>
      <c r="I22" s="30" t="n">
        <v>0.163</v>
      </c>
      <c r="J22" s="30" t="n">
        <v>0.0906</v>
      </c>
      <c r="K22" s="30" t="n">
        <v>0.0626</v>
      </c>
    </row>
    <row r="23" customFormat="false" ht="15" hidden="false" customHeight="false" outlineLevel="0" collapsed="false">
      <c r="A23" s="11" t="s">
        <v>1387</v>
      </c>
      <c r="C23" s="30" t="n">
        <v>7996.9402</v>
      </c>
      <c r="D23" s="30" t="n">
        <v>8949.9294</v>
      </c>
      <c r="E23" s="30" t="n">
        <v>15104.9152</v>
      </c>
      <c r="F23" s="30" t="n">
        <v>16454.9591</v>
      </c>
      <c r="G23" s="30" t="n">
        <v>17334.1442</v>
      </c>
      <c r="H23" s="30" t="n">
        <v>68049.3043</v>
      </c>
      <c r="I23" s="30" t="n">
        <v>169680.6785</v>
      </c>
      <c r="J23" s="30" t="n">
        <v>98754.9736</v>
      </c>
      <c r="K23" s="30" t="n">
        <v>69020.8308</v>
      </c>
    </row>
    <row r="24" customFormat="false" ht="15" hidden="false" customHeight="false" outlineLevel="0" collapsed="false">
      <c r="A24" s="11" t="s">
        <v>1388</v>
      </c>
      <c r="C24" s="30" t="n">
        <v>-855.9983</v>
      </c>
      <c r="D24" s="30" t="n">
        <v>-1050.7201</v>
      </c>
      <c r="E24" s="30" t="n">
        <v>-1876.7642</v>
      </c>
      <c r="F24" s="30" t="n">
        <v>-3806.7269</v>
      </c>
      <c r="G24" s="30" t="n">
        <v>-3774.925</v>
      </c>
      <c r="H24" s="30" t="n">
        <v>-1353.9311</v>
      </c>
      <c r="I24" s="30" t="n">
        <v>-824.3604</v>
      </c>
      <c r="J24" s="30" t="n">
        <v>1372.5114</v>
      </c>
      <c r="K24" s="30" t="n">
        <v>319.9769</v>
      </c>
    </row>
    <row r="25" customFormat="false" ht="15" hidden="false" customHeight="false" outlineLevel="0" collapsed="false">
      <c r="A25" s="11" t="s">
        <v>1389</v>
      </c>
      <c r="D25" s="30" t="n">
        <v>2153.43</v>
      </c>
      <c r="E25" s="30" t="n">
        <v>3882.12</v>
      </c>
    </row>
    <row r="26" customFormat="false" ht="15" hidden="false" customHeight="false" outlineLevel="0" collapsed="false">
      <c r="A26" s="11" t="s">
        <v>1390</v>
      </c>
      <c r="D26" s="30" t="n">
        <v>0.18</v>
      </c>
      <c r="E26" s="30" t="n">
        <v>1.62</v>
      </c>
    </row>
    <row r="27" customFormat="false" ht="15" hidden="false" customHeight="false" outlineLevel="0" collapsed="false">
      <c r="A27" s="11" t="s">
        <v>1391</v>
      </c>
      <c r="C27" s="30" t="n">
        <v>90</v>
      </c>
      <c r="G27" s="30" t="n">
        <v>1104.9694</v>
      </c>
      <c r="H27" s="30" t="n">
        <v>471.927</v>
      </c>
      <c r="I27" s="30" t="n">
        <v>30</v>
      </c>
      <c r="J27" s="30" t="n">
        <v>30</v>
      </c>
      <c r="K27" s="30" t="n">
        <v>110.6774</v>
      </c>
    </row>
    <row r="28" customFormat="false" ht="15" hidden="false" customHeight="false" outlineLevel="0" collapsed="false">
      <c r="A28" s="11" t="s">
        <v>1392</v>
      </c>
      <c r="C28" s="30" t="n">
        <v>24.81</v>
      </c>
    </row>
    <row r="29" customFormat="false" ht="15" hidden="false" customHeight="false" outlineLevel="0" collapsed="false">
      <c r="A29" s="11" t="s">
        <v>1393</v>
      </c>
      <c r="C29" s="30" t="n">
        <v>114.81</v>
      </c>
      <c r="D29" s="30" t="n">
        <v>2153.43</v>
      </c>
      <c r="E29" s="30" t="n">
        <v>3882.12</v>
      </c>
      <c r="G29" s="30" t="n">
        <v>1104.9694</v>
      </c>
      <c r="H29" s="30" t="n">
        <v>471.927</v>
      </c>
      <c r="I29" s="30" t="n">
        <v>30</v>
      </c>
      <c r="J29" s="30" t="n">
        <v>30</v>
      </c>
      <c r="K29" s="30" t="n">
        <v>110.6774</v>
      </c>
    </row>
    <row r="30" customFormat="false" ht="15" hidden="false" customHeight="false" outlineLevel="0" collapsed="false">
      <c r="A30" s="11" t="s">
        <v>1394</v>
      </c>
      <c r="C30" s="30" t="n">
        <v>318.0456</v>
      </c>
      <c r="E30" s="30" t="n">
        <v>90</v>
      </c>
      <c r="G30" s="30" t="n">
        <v>454.8588</v>
      </c>
      <c r="H30" s="30" t="n">
        <v>1122.2695</v>
      </c>
      <c r="I30" s="30" t="n">
        <v>5.025</v>
      </c>
      <c r="K30" s="30" t="n">
        <v>0.025</v>
      </c>
    </row>
    <row r="31" customFormat="false" ht="15" hidden="false" customHeight="false" outlineLevel="0" collapsed="false">
      <c r="A31" s="11" t="s">
        <v>1395</v>
      </c>
      <c r="C31" s="30" t="n">
        <v>442.7123</v>
      </c>
      <c r="D31" s="30" t="n">
        <v>350.151</v>
      </c>
      <c r="E31" s="30" t="n">
        <v>454.2265</v>
      </c>
      <c r="F31" s="30" t="n">
        <v>617.7758</v>
      </c>
      <c r="G31" s="30" t="n">
        <v>489.9347</v>
      </c>
      <c r="H31" s="30" t="n">
        <v>553.6596</v>
      </c>
      <c r="I31" s="30" t="n">
        <v>726.6256</v>
      </c>
      <c r="J31" s="30" t="n">
        <v>726.3767</v>
      </c>
      <c r="K31" s="30" t="n">
        <v>860.9669</v>
      </c>
    </row>
    <row r="32" customFormat="false" ht="15" hidden="false" customHeight="false" outlineLevel="0" collapsed="false">
      <c r="A32" s="11" t="s">
        <v>1396</v>
      </c>
      <c r="C32" s="30" t="n">
        <v>5.2167</v>
      </c>
      <c r="F32" s="30" t="n">
        <v>4.4966</v>
      </c>
    </row>
    <row r="33" customFormat="false" ht="15" hidden="false" customHeight="false" outlineLevel="0" collapsed="false">
      <c r="A33" s="11" t="s">
        <v>1397</v>
      </c>
      <c r="C33" s="30" t="n">
        <v>28.1973</v>
      </c>
      <c r="D33" s="30" t="n">
        <v>58.4445</v>
      </c>
      <c r="E33" s="30" t="n">
        <v>9.7845</v>
      </c>
      <c r="F33" s="30" t="n">
        <v>11.1512</v>
      </c>
      <c r="G33" s="30" t="n">
        <v>6.2402</v>
      </c>
      <c r="H33" s="30" t="n">
        <v>1.5249</v>
      </c>
      <c r="I33" s="30" t="n">
        <v>192.03</v>
      </c>
      <c r="J33" s="30" t="n">
        <v>176.7303</v>
      </c>
      <c r="K33" s="30" t="n">
        <v>9.8351</v>
      </c>
    </row>
    <row r="34" customFormat="false" ht="15" hidden="false" customHeight="false" outlineLevel="0" collapsed="false">
      <c r="A34" s="11" t="s">
        <v>1398</v>
      </c>
      <c r="C34" s="30" t="n">
        <v>788.9552</v>
      </c>
      <c r="D34" s="30" t="n">
        <v>408.5955</v>
      </c>
      <c r="E34" s="30" t="n">
        <v>554.011</v>
      </c>
      <c r="F34" s="30" t="n">
        <v>628.927</v>
      </c>
      <c r="G34" s="30" t="n">
        <v>951.0336</v>
      </c>
      <c r="H34" s="30" t="n">
        <v>1677.4541</v>
      </c>
      <c r="I34" s="30" t="n">
        <v>923.6806</v>
      </c>
      <c r="J34" s="30" t="n">
        <v>903.1069</v>
      </c>
      <c r="K34" s="30" t="n">
        <v>870.827</v>
      </c>
    </row>
    <row r="35" customFormat="false" ht="15" hidden="false" customHeight="false" outlineLevel="0" collapsed="false">
      <c r="A35" s="11" t="s">
        <v>1399</v>
      </c>
      <c r="C35" s="30" t="n">
        <v>-674.1452</v>
      </c>
      <c r="D35" s="30" t="n">
        <v>1744.8345</v>
      </c>
      <c r="E35" s="30" t="n">
        <v>3328.109</v>
      </c>
      <c r="F35" s="30" t="n">
        <v>-628.927</v>
      </c>
      <c r="G35" s="30" t="n">
        <v>153.9358</v>
      </c>
      <c r="H35" s="30" t="n">
        <v>-1205.5271</v>
      </c>
      <c r="I35" s="30" t="n">
        <v>-893.6806</v>
      </c>
      <c r="J35" s="30" t="n">
        <v>-873.1069</v>
      </c>
      <c r="K35" s="30" t="n">
        <v>-760.1495</v>
      </c>
    </row>
    <row r="36" customFormat="false" ht="15" hidden="false" customHeight="false" outlineLevel="0" collapsed="false">
      <c r="A36" s="9" t="s">
        <v>1400</v>
      </c>
      <c r="C36" s="30" t="n">
        <v>4.628</v>
      </c>
      <c r="D36" s="30" t="n">
        <v>-0.6735</v>
      </c>
      <c r="E36" s="30" t="n">
        <v>-8.1464</v>
      </c>
      <c r="F36" s="30" t="n">
        <v>9.9994</v>
      </c>
      <c r="G36" s="30" t="n">
        <v>7.436</v>
      </c>
      <c r="H36" s="30" t="n">
        <v>-0.4631</v>
      </c>
      <c r="I36" s="30" t="n">
        <v>-14.4299</v>
      </c>
      <c r="J36" s="30" t="n">
        <v>13.6897</v>
      </c>
      <c r="K36" s="30" t="n">
        <v>-62.0636</v>
      </c>
    </row>
    <row r="37" customFormat="false" ht="15" hidden="false" customHeight="false" outlineLevel="0" collapsed="false">
      <c r="A37" s="9" t="s">
        <v>1401</v>
      </c>
      <c r="C37" s="30" t="n">
        <v>189.1449</v>
      </c>
      <c r="D37" s="30" t="n">
        <v>1868.3418</v>
      </c>
      <c r="E37" s="30" t="n">
        <v>2597.5206</v>
      </c>
      <c r="F37" s="30" t="n">
        <v>-2351.781</v>
      </c>
      <c r="G37" s="30" t="n">
        <v>-1894.5852</v>
      </c>
      <c r="H37" s="30" t="n">
        <v>-156.799</v>
      </c>
      <c r="I37" s="30" t="n">
        <v>1145.1382</v>
      </c>
      <c r="J37" s="30" t="n">
        <v>1640.8036</v>
      </c>
      <c r="K37" s="30" t="n">
        <v>795.0833</v>
      </c>
    </row>
    <row r="38" customFormat="false" ht="15" hidden="false" customHeight="false" outlineLevel="0" collapsed="false">
      <c r="A38" s="11" t="s">
        <v>1402</v>
      </c>
      <c r="C38" s="30" t="n">
        <v>888.4161</v>
      </c>
      <c r="D38" s="30" t="n">
        <v>1077.561</v>
      </c>
      <c r="E38" s="30" t="n">
        <v>2945.9028</v>
      </c>
      <c r="F38" s="30" t="n">
        <v>5543.4234</v>
      </c>
      <c r="G38" s="30" t="n">
        <v>3191.6424</v>
      </c>
      <c r="H38" s="30" t="n">
        <v>1297.0572</v>
      </c>
      <c r="I38" s="30" t="n">
        <v>1140.2582</v>
      </c>
      <c r="J38" s="30" t="n">
        <v>1140.2582</v>
      </c>
      <c r="K38" s="30" t="n">
        <v>2285.3964</v>
      </c>
    </row>
    <row r="39" customFormat="false" ht="15" hidden="false" customHeight="false" outlineLevel="0" collapsed="false">
      <c r="A39" s="11" t="s">
        <v>1403</v>
      </c>
      <c r="C39" s="30" t="n">
        <v>1077.561</v>
      </c>
      <c r="D39" s="30" t="n">
        <v>2945.9028</v>
      </c>
      <c r="E39" s="30" t="n">
        <v>5543.4234</v>
      </c>
      <c r="F39" s="30" t="n">
        <v>3191.6424</v>
      </c>
      <c r="G39" s="30" t="n">
        <v>1297.0572</v>
      </c>
      <c r="H39" s="30" t="n">
        <v>1140.2582</v>
      </c>
      <c r="I39" s="30" t="n">
        <v>2285.3964</v>
      </c>
      <c r="J39" s="30" t="n">
        <v>2781.0618</v>
      </c>
      <c r="K39" s="30" t="n">
        <v>3080.4797</v>
      </c>
    </row>
    <row r="40" customFormat="false" ht="15" hidden="false" customHeight="false" outlineLevel="0" collapsed="false">
      <c r="A40" s="11" t="s">
        <v>1404</v>
      </c>
      <c r="C40" s="30" t="n">
        <v>874.0748</v>
      </c>
      <c r="D40" s="30" t="n">
        <v>1441.6265</v>
      </c>
      <c r="E40" s="30" t="n">
        <v>2013.312</v>
      </c>
      <c r="F40" s="30" t="n">
        <v>1506.1032</v>
      </c>
      <c r="G40" s="30" t="n">
        <v>1583.1506</v>
      </c>
      <c r="H40" s="30" t="n">
        <v>2190.2338</v>
      </c>
      <c r="I40" s="30" t="n">
        <v>2616.9802</v>
      </c>
      <c r="J40" s="30" t="n">
        <v>1237.0845</v>
      </c>
      <c r="K40" s="30" t="n">
        <v>1931.9958</v>
      </c>
    </row>
    <row r="41" customFormat="false" ht="15" hidden="false" customHeight="false" outlineLevel="0" collapsed="false">
      <c r="A41" s="11" t="s">
        <v>1405</v>
      </c>
      <c r="C41" s="30" t="n">
        <v>-6.7793</v>
      </c>
      <c r="D41" s="30" t="n">
        <v>68.9716</v>
      </c>
      <c r="E41" s="30" t="n">
        <v>58.719</v>
      </c>
      <c r="F41" s="30" t="n">
        <v>66.46</v>
      </c>
      <c r="G41" s="30" t="n">
        <v>-6.6362</v>
      </c>
      <c r="H41" s="30" t="n">
        <v>39.0838</v>
      </c>
      <c r="I41" s="30" t="n">
        <v>26.5942</v>
      </c>
      <c r="J41" s="30" t="n">
        <v>16.591</v>
      </c>
      <c r="K41" s="30" t="n">
        <v>74.0416</v>
      </c>
    </row>
    <row r="42" customFormat="false" ht="15" hidden="false" customHeight="false" outlineLevel="0" collapsed="false">
      <c r="A42" s="11" t="s">
        <v>1406</v>
      </c>
      <c r="I42" s="30" t="n">
        <v>15.445</v>
      </c>
      <c r="K42" s="30" t="n">
        <v>55.945</v>
      </c>
    </row>
    <row r="43" customFormat="false" ht="15" hidden="false" customHeight="false" outlineLevel="0" collapsed="false">
      <c r="A43" s="11" t="s">
        <v>1407</v>
      </c>
      <c r="C43" s="30" t="n">
        <v>252.3894</v>
      </c>
      <c r="D43" s="30" t="n">
        <v>263.9948</v>
      </c>
      <c r="E43" s="30" t="n">
        <v>364.7864</v>
      </c>
      <c r="F43" s="30" t="n">
        <v>515.7214</v>
      </c>
      <c r="G43" s="30" t="n">
        <v>583.1808</v>
      </c>
      <c r="H43" s="30" t="n">
        <v>632.0889</v>
      </c>
      <c r="I43" s="30" t="n">
        <v>715.1475</v>
      </c>
      <c r="J43" s="30" t="n">
        <v>346.4568</v>
      </c>
      <c r="K43" s="30" t="n">
        <v>391.2897</v>
      </c>
    </row>
    <row r="44" customFormat="false" ht="15" hidden="false" customHeight="false" outlineLevel="0" collapsed="false">
      <c r="A44" s="11" t="s">
        <v>1408</v>
      </c>
      <c r="C44" s="30" t="n">
        <v>9.7446</v>
      </c>
      <c r="D44" s="30" t="n">
        <v>10.2197</v>
      </c>
      <c r="E44" s="30" t="n">
        <v>7.7336</v>
      </c>
      <c r="F44" s="30" t="n">
        <v>8.7657</v>
      </c>
      <c r="G44" s="30" t="n">
        <v>10.7699</v>
      </c>
      <c r="H44" s="30" t="n">
        <v>12.2777</v>
      </c>
      <c r="I44" s="30" t="n">
        <v>12.2258</v>
      </c>
      <c r="J44" s="30" t="n">
        <v>6.1624</v>
      </c>
      <c r="K44" s="30" t="n">
        <v>6.4267</v>
      </c>
    </row>
    <row r="45" customFormat="false" ht="15" hidden="false" customHeight="false" outlineLevel="0" collapsed="false">
      <c r="A45" s="11" t="s">
        <v>1409</v>
      </c>
      <c r="E45" s="30" t="n">
        <v>7.5487</v>
      </c>
      <c r="F45" s="30" t="n">
        <v>10.9972</v>
      </c>
      <c r="G45" s="30" t="n">
        <v>7.3842</v>
      </c>
      <c r="H45" s="30" t="n">
        <v>4.9635</v>
      </c>
      <c r="I45" s="30" t="n">
        <v>4.6801</v>
      </c>
      <c r="J45" s="30" t="n">
        <v>2.3488</v>
      </c>
      <c r="K45" s="30" t="n">
        <v>2.2109</v>
      </c>
    </row>
    <row r="46" customFormat="false" ht="15" hidden="false" customHeight="false" outlineLevel="0" collapsed="false">
      <c r="A46" s="11" t="s">
        <v>1410</v>
      </c>
      <c r="C46" s="30" t="n">
        <v>3.9655</v>
      </c>
      <c r="D46" s="30" t="n">
        <v>4.8735</v>
      </c>
      <c r="E46" s="30" t="n">
        <v>7.4401</v>
      </c>
      <c r="F46" s="30" t="n">
        <v>8.8908</v>
      </c>
      <c r="G46" s="30" t="n">
        <v>8.0975</v>
      </c>
      <c r="H46" s="30" t="n">
        <v>9.7894</v>
      </c>
      <c r="I46" s="30" t="n">
        <v>12.097</v>
      </c>
      <c r="J46" s="30" t="n">
        <v>6.9988</v>
      </c>
      <c r="K46" s="30" t="n">
        <v>4.3267</v>
      </c>
    </row>
    <row r="47" customFormat="false" ht="15" hidden="false" customHeight="false" outlineLevel="0" collapsed="false">
      <c r="A47" s="11" t="s">
        <v>1411</v>
      </c>
      <c r="C47" s="30" t="n">
        <v>0.1789</v>
      </c>
      <c r="D47" s="30" t="n">
        <v>-8.1503</v>
      </c>
      <c r="E47" s="30" t="n">
        <v>3.8453</v>
      </c>
      <c r="F47" s="30" t="n">
        <v>1.2666</v>
      </c>
      <c r="G47" s="30" t="n">
        <v>-1.9312</v>
      </c>
      <c r="H47" s="30" t="n">
        <v>1.3421</v>
      </c>
      <c r="I47" s="30" t="n">
        <v>-0.3699</v>
      </c>
      <c r="J47" s="30" t="n">
        <v>-1.1518</v>
      </c>
      <c r="K47" s="30" t="n">
        <v>3.1531</v>
      </c>
    </row>
    <row r="48" customFormat="false" ht="15" hidden="false" customHeight="false" outlineLevel="0" collapsed="false">
      <c r="A48" s="11" t="s">
        <v>1412</v>
      </c>
      <c r="C48" s="30" t="n">
        <v>0.0353</v>
      </c>
      <c r="D48" s="30" t="n">
        <v>0.0083</v>
      </c>
      <c r="E48" s="30" t="n">
        <v>3.8931</v>
      </c>
      <c r="F48" s="30" t="n">
        <v>4.0454</v>
      </c>
      <c r="G48" s="30" t="n">
        <v>3.5321</v>
      </c>
      <c r="H48" s="30" t="n">
        <v>9.4646</v>
      </c>
      <c r="I48" s="30" t="n">
        <v>2.9407</v>
      </c>
      <c r="J48" s="30" t="n">
        <v>3.0454</v>
      </c>
      <c r="K48" s="30" t="n">
        <v>11.5026</v>
      </c>
    </row>
    <row r="49" customFormat="false" ht="15" hidden="false" customHeight="false" outlineLevel="0" collapsed="false">
      <c r="A49" s="11" t="s">
        <v>1413</v>
      </c>
      <c r="F49" s="30" t="n">
        <v>-20.0144</v>
      </c>
      <c r="G49" s="30" t="n">
        <v>-55.0228</v>
      </c>
      <c r="H49" s="30" t="n">
        <v>-49.7733</v>
      </c>
      <c r="I49" s="30" t="n">
        <v>-30.4662</v>
      </c>
      <c r="J49" s="30" t="n">
        <v>-18.7085</v>
      </c>
      <c r="K49" s="30" t="n">
        <v>-20.9291</v>
      </c>
    </row>
    <row r="50" customFormat="false" ht="15" hidden="false" customHeight="false" outlineLevel="0" collapsed="false">
      <c r="A50" s="11" t="s">
        <v>1414</v>
      </c>
      <c r="C50" s="30" t="n">
        <v>6.6845</v>
      </c>
      <c r="D50" s="30" t="n">
        <v>3.375</v>
      </c>
      <c r="E50" s="30" t="n">
        <v>5.6211</v>
      </c>
      <c r="F50" s="30" t="n">
        <v>-1.1</v>
      </c>
      <c r="G50" s="30" t="n">
        <v>-62.3017</v>
      </c>
      <c r="H50" s="30" t="n">
        <v>-90.6263</v>
      </c>
      <c r="I50" s="30" t="n">
        <v>-137.6439</v>
      </c>
      <c r="J50" s="30" t="n">
        <v>-73.6075</v>
      </c>
      <c r="K50" s="30" t="n">
        <v>-26.6906</v>
      </c>
    </row>
    <row r="51" customFormat="false" ht="15" hidden="false" customHeight="false" outlineLevel="0" collapsed="false">
      <c r="A51" s="11" t="s">
        <v>1415</v>
      </c>
      <c r="C51" s="30" t="n">
        <v>-86.0618</v>
      </c>
      <c r="D51" s="30" t="n">
        <v>-113.9112</v>
      </c>
      <c r="E51" s="30" t="n">
        <v>-74.986</v>
      </c>
      <c r="F51" s="30" t="n">
        <v>-97.7236</v>
      </c>
      <c r="G51" s="30" t="n">
        <v>-56.5334</v>
      </c>
      <c r="H51" s="30" t="n">
        <v>-17.1153</v>
      </c>
      <c r="I51" s="30" t="n">
        <v>-41.7054</v>
      </c>
      <c r="J51" s="30" t="n">
        <v>-21.9679</v>
      </c>
      <c r="K51" s="30" t="n">
        <v>-11.3472</v>
      </c>
    </row>
    <row r="52" customFormat="false" ht="15" hidden="false" customHeight="false" outlineLevel="0" collapsed="false">
      <c r="A52" s="11" t="s">
        <v>1416</v>
      </c>
      <c r="C52" s="30" t="n">
        <v>8.9218</v>
      </c>
      <c r="D52" s="30" t="n">
        <v>-4.9599</v>
      </c>
      <c r="E52" s="30" t="n">
        <v>-49.3549</v>
      </c>
      <c r="F52" s="30" t="n">
        <v>-88.6952</v>
      </c>
      <c r="G52" s="30" t="n">
        <v>5.2383</v>
      </c>
      <c r="H52" s="30" t="n">
        <v>-65.0443</v>
      </c>
      <c r="I52" s="30" t="n">
        <v>83.2737</v>
      </c>
      <c r="J52" s="30" t="n">
        <v>25.1308</v>
      </c>
      <c r="K52" s="30" t="n">
        <v>-17.6584</v>
      </c>
    </row>
    <row r="53" customFormat="false" ht="15" hidden="false" customHeight="false" outlineLevel="0" collapsed="false">
      <c r="A53" s="11" t="s">
        <v>1417</v>
      </c>
      <c r="C53" s="30" t="n">
        <v>31.1886</v>
      </c>
      <c r="D53" s="30" t="n">
        <v>44.6948</v>
      </c>
      <c r="E53" s="30" t="n">
        <v>108.471</v>
      </c>
      <c r="F53" s="30" t="n">
        <v>29.576</v>
      </c>
      <c r="G53" s="30" t="n">
        <v>35.6401</v>
      </c>
      <c r="H53" s="30" t="n">
        <v>87.1321</v>
      </c>
      <c r="I53" s="30" t="n">
        <v>-78.8413</v>
      </c>
      <c r="J53" s="30" t="n">
        <v>-11.0185</v>
      </c>
      <c r="K53" s="30" t="n">
        <v>9.1201</v>
      </c>
    </row>
    <row r="54" customFormat="false" ht="15" hidden="false" customHeight="false" outlineLevel="0" collapsed="false">
      <c r="A54" s="11" t="s">
        <v>1418</v>
      </c>
      <c r="C54" s="30" t="n">
        <v>40.5921</v>
      </c>
      <c r="D54" s="30" t="n">
        <v>-262.409</v>
      </c>
      <c r="E54" s="30" t="n">
        <v>-901.4535</v>
      </c>
      <c r="F54" s="30" t="n">
        <v>-159.4067</v>
      </c>
      <c r="G54" s="30" t="n">
        <v>131.2799</v>
      </c>
      <c r="H54" s="30" t="n">
        <v>-453.463</v>
      </c>
      <c r="I54" s="30" t="n">
        <v>-237.605</v>
      </c>
      <c r="J54" s="30" t="n">
        <v>25.2898</v>
      </c>
      <c r="K54" s="30" t="n">
        <v>-473.9266</v>
      </c>
    </row>
    <row r="55" customFormat="false" ht="15" hidden="false" customHeight="false" outlineLevel="0" collapsed="false">
      <c r="A55" s="11" t="s">
        <v>1419</v>
      </c>
      <c r="C55" s="30" t="n">
        <v>672.0659</v>
      </c>
      <c r="D55" s="30" t="n">
        <v>-894.4269</v>
      </c>
      <c r="E55" s="30" t="n">
        <v>-793.3632</v>
      </c>
      <c r="F55" s="30" t="n">
        <v>623.9934</v>
      </c>
      <c r="G55" s="30" t="n">
        <v>-566.1322</v>
      </c>
      <c r="H55" s="30" t="n">
        <v>-164.8842</v>
      </c>
      <c r="I55" s="30" t="n">
        <v>-575.2987</v>
      </c>
      <c r="J55" s="30" t="n">
        <v>-135.9008</v>
      </c>
      <c r="K55" s="30" t="n">
        <v>-1074.2823</v>
      </c>
    </row>
    <row r="56" customFormat="false" ht="15" hidden="false" customHeight="false" outlineLevel="0" collapsed="false">
      <c r="A56" s="11" t="s">
        <v>1420</v>
      </c>
      <c r="C56" s="30" t="n">
        <v>-92.34</v>
      </c>
      <c r="D56" s="30" t="n">
        <v>620.9939</v>
      </c>
      <c r="E56" s="30" t="n">
        <v>392.1096</v>
      </c>
      <c r="F56" s="30" t="n">
        <v>-335.0064</v>
      </c>
      <c r="G56" s="30" t="n">
        <v>99.2519</v>
      </c>
      <c r="H56" s="30" t="n">
        <v>257.653</v>
      </c>
      <c r="I56" s="30" t="n">
        <v>490.1555</v>
      </c>
      <c r="J56" s="30" t="n">
        <v>-279.044</v>
      </c>
      <c r="K56" s="30" t="n">
        <v>432.1415</v>
      </c>
    </row>
    <row r="57" customFormat="false" ht="15" hidden="false" customHeight="false" outlineLevel="0" collapsed="false">
      <c r="A57" s="11" t="s">
        <v>1421</v>
      </c>
      <c r="C57" s="30" t="n">
        <v>1714.6603</v>
      </c>
      <c r="D57" s="30" t="n">
        <v>1174.9009</v>
      </c>
      <c r="E57" s="30" t="n">
        <v>1154.3222</v>
      </c>
      <c r="F57" s="30" t="n">
        <v>2073.8736</v>
      </c>
      <c r="G57" s="30" t="n">
        <v>1718.968</v>
      </c>
      <c r="H57" s="30" t="n">
        <v>2403.1223</v>
      </c>
      <c r="I57" s="30" t="n">
        <v>2877.6091</v>
      </c>
      <c r="J57" s="30" t="n">
        <v>1127.7094</v>
      </c>
      <c r="K57" s="30" t="n">
        <v>1297.3196</v>
      </c>
    </row>
    <row r="58" customFormat="false" ht="15" hidden="false" customHeight="false" outlineLevel="0" collapsed="false">
      <c r="A58" s="11" t="s">
        <v>1422</v>
      </c>
      <c r="C58" s="30" t="n">
        <v>1077.561</v>
      </c>
      <c r="D58" s="30" t="n">
        <v>2945.9028</v>
      </c>
      <c r="E58" s="30" t="n">
        <v>5543.4234</v>
      </c>
      <c r="F58" s="30" t="n">
        <v>3191.6424</v>
      </c>
      <c r="G58" s="30" t="n">
        <v>1297.0572</v>
      </c>
      <c r="H58" s="30" t="n">
        <v>1140.2582</v>
      </c>
      <c r="I58" s="30" t="n">
        <v>2285.3964</v>
      </c>
      <c r="J58" s="30" t="n">
        <v>2781.0618</v>
      </c>
      <c r="K58" s="30" t="n">
        <v>3080.4797</v>
      </c>
    </row>
    <row r="59" customFormat="false" ht="15" hidden="false" customHeight="false" outlineLevel="0" collapsed="false">
      <c r="A59" s="11" t="s">
        <v>1423</v>
      </c>
      <c r="C59" s="30" t="n">
        <v>888.4161</v>
      </c>
      <c r="D59" s="30" t="n">
        <v>1077.561</v>
      </c>
      <c r="E59" s="30" t="n">
        <v>2945.9028</v>
      </c>
      <c r="F59" s="30" t="n">
        <v>5543.4234</v>
      </c>
      <c r="G59" s="30" t="n">
        <v>3191.6424</v>
      </c>
      <c r="H59" s="30" t="n">
        <v>1297.0572</v>
      </c>
      <c r="I59" s="30" t="n">
        <v>1140.2582</v>
      </c>
      <c r="J59" s="30" t="n">
        <v>1140.2582</v>
      </c>
      <c r="K59" s="30" t="n">
        <v>2285.3964</v>
      </c>
    </row>
    <row r="60" customFormat="false" ht="15" hidden="false" customHeight="false" outlineLevel="0" collapsed="false">
      <c r="A60" s="11" t="s">
        <v>1424</v>
      </c>
      <c r="C60" s="30" t="n">
        <v>189.1449</v>
      </c>
      <c r="D60" s="30" t="n">
        <v>1868.3418</v>
      </c>
      <c r="E60" s="30" t="n">
        <v>2597.5206</v>
      </c>
      <c r="F60" s="30" t="n">
        <v>-2351.781</v>
      </c>
      <c r="G60" s="30" t="n">
        <v>-1894.5852</v>
      </c>
      <c r="H60" s="30" t="n">
        <v>-156.799</v>
      </c>
      <c r="I60" s="30" t="n">
        <v>1145.1382</v>
      </c>
      <c r="J60" s="30" t="n">
        <v>1640.8036</v>
      </c>
      <c r="K60" s="30" t="n">
        <v>795.0833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0"/>
    <col collapsed="false" customWidth="true" hidden="false" outlineLevel="0" max="2" min="2" style="0" width="2"/>
    <col collapsed="false" customWidth="true" hidden="false" outlineLevel="0" max="26" min="3" style="0" width="14"/>
  </cols>
  <sheetData>
    <row r="1" customFormat="false" ht="21.6" hidden="false" customHeight="false" outlineLevel="0" collapsed="false">
      <c r="A1" s="1" t="s">
        <v>1425</v>
      </c>
    </row>
    <row r="2" customFormat="false" ht="15" hidden="false" customHeight="false" outlineLevel="0" collapsed="false">
      <c r="A2" s="2" t="s">
        <v>1426</v>
      </c>
    </row>
    <row r="4" customFormat="false" ht="15" hidden="false" customHeight="false" outlineLevel="0" collapsed="false">
      <c r="A4" s="40" t="s">
        <v>1427</v>
      </c>
      <c r="B4" s="6"/>
      <c r="C4" s="6"/>
      <c r="D4" s="6"/>
      <c r="E4" s="6"/>
      <c r="F4" s="6"/>
      <c r="G4" s="6"/>
      <c r="H4" s="6"/>
      <c r="I4" s="6"/>
      <c r="J4" s="6"/>
      <c r="K4" s="6"/>
      <c r="L4" s="6"/>
    </row>
    <row r="5" customFormat="false" ht="15" hidden="false" customHeight="false" outlineLevel="0" collapsed="false">
      <c r="A5" s="3" t="s">
        <v>1428</v>
      </c>
    </row>
    <row r="6" customFormat="false" ht="15" hidden="false" customHeight="false" outlineLevel="0" collapsed="false">
      <c r="A6" s="2" t="s">
        <v>1429</v>
      </c>
    </row>
    <row r="7" customFormat="false" ht="15" hidden="false" customHeight="false" outlineLevel="0" collapsed="false">
      <c r="A7" s="90" t="s">
        <v>86</v>
      </c>
      <c r="B7" s="91"/>
      <c r="C7" s="130" t="s">
        <v>1430</v>
      </c>
      <c r="D7" s="130" t="s">
        <v>1431</v>
      </c>
      <c r="E7" s="130" t="s">
        <v>1432</v>
      </c>
      <c r="F7" s="130" t="s">
        <v>1433</v>
      </c>
      <c r="G7" s="130" t="s">
        <v>1434</v>
      </c>
      <c r="H7" s="130" t="s">
        <v>1435</v>
      </c>
    </row>
    <row r="8" customFormat="false" ht="15" hidden="false" customHeight="false" outlineLevel="0" collapsed="false">
      <c r="A8" s="11" t="s">
        <v>1436</v>
      </c>
      <c r="C8" s="131" t="n">
        <v>20</v>
      </c>
      <c r="D8" s="131" t="n">
        <v>30</v>
      </c>
      <c r="E8" s="131" t="n">
        <v>0</v>
      </c>
      <c r="F8" s="131" t="n">
        <v>5</v>
      </c>
      <c r="G8" s="131" t="n">
        <v>3.17</v>
      </c>
      <c r="H8" s="131" t="n">
        <v>5</v>
      </c>
    </row>
    <row r="9" customFormat="false" ht="15" hidden="false" customHeight="false" outlineLevel="0" collapsed="false">
      <c r="A9" s="11" t="s">
        <v>1437</v>
      </c>
      <c r="C9" s="131" t="n">
        <v>5</v>
      </c>
      <c r="D9" s="131" t="n">
        <v>10</v>
      </c>
      <c r="E9" s="131" t="n">
        <v>0</v>
      </c>
      <c r="F9" s="131" t="n">
        <v>5</v>
      </c>
      <c r="G9" s="131" t="n">
        <v>9.5</v>
      </c>
      <c r="H9" s="131" t="n">
        <v>20</v>
      </c>
    </row>
    <row r="10" customFormat="false" ht="15" hidden="false" customHeight="false" outlineLevel="0" collapsed="false">
      <c r="A10" s="11" t="s">
        <v>1438</v>
      </c>
      <c r="C10" s="131" t="n">
        <v>10</v>
      </c>
      <c r="D10" s="131" t="n">
        <v>30</v>
      </c>
      <c r="E10" s="131" t="n">
        <v>0</v>
      </c>
      <c r="F10" s="131" t="n">
        <v>5</v>
      </c>
      <c r="G10" s="131" t="n">
        <v>3.17</v>
      </c>
      <c r="H10" s="131" t="n">
        <v>10</v>
      </c>
    </row>
    <row r="11" customFormat="false" ht="15" hidden="false" customHeight="false" outlineLevel="0" collapsed="false">
      <c r="A11" s="11" t="s">
        <v>1439</v>
      </c>
      <c r="C11" s="131" t="n">
        <v>5</v>
      </c>
      <c r="D11" s="131" t="n">
        <v>20</v>
      </c>
      <c r="E11" s="131" t="n">
        <v>0</v>
      </c>
      <c r="F11" s="131" t="n">
        <v>5</v>
      </c>
      <c r="G11" s="131" t="n">
        <v>4.75</v>
      </c>
      <c r="H11" s="131" t="n">
        <v>20</v>
      </c>
    </row>
    <row r="12" customFormat="false" ht="15" hidden="false" customHeight="false" outlineLevel="0" collapsed="false">
      <c r="A12" s="11" t="s">
        <v>790</v>
      </c>
      <c r="C12" s="131" t="n">
        <v>5</v>
      </c>
      <c r="D12" s="131" t="n">
        <v>10</v>
      </c>
      <c r="E12" s="131" t="n">
        <v>0</v>
      </c>
      <c r="F12" s="131" t="n">
        <v>10</v>
      </c>
      <c r="G12" s="131" t="n">
        <v>9</v>
      </c>
      <c r="H12" s="131" t="n">
        <v>20</v>
      </c>
    </row>
    <row r="13" customFormat="false" ht="15" hidden="false" customHeight="false" outlineLevel="0" collapsed="false">
      <c r="A13" s="11" t="s">
        <v>791</v>
      </c>
      <c r="C13" s="131" t="n">
        <v>4</v>
      </c>
      <c r="D13" s="131" t="n">
        <v>10</v>
      </c>
      <c r="E13" s="131" t="n">
        <v>0</v>
      </c>
      <c r="F13" s="131" t="n">
        <v>10</v>
      </c>
      <c r="G13" s="131" t="n">
        <v>9</v>
      </c>
      <c r="H13" s="131" t="n">
        <v>25</v>
      </c>
    </row>
    <row r="14" customFormat="false" ht="15" hidden="false" customHeight="false" outlineLevel="0" collapsed="false">
      <c r="A14" s="11" t="s">
        <v>1440</v>
      </c>
      <c r="C14" s="131" t="n">
        <v>3</v>
      </c>
      <c r="D14" s="131" t="n">
        <v>10</v>
      </c>
      <c r="E14" s="131" t="n">
        <v>0</v>
      </c>
      <c r="F14" s="131" t="n">
        <v>10</v>
      </c>
      <c r="G14" s="131" t="n">
        <v>9</v>
      </c>
      <c r="H14" s="131" t="n">
        <v>33.33</v>
      </c>
    </row>
    <row r="16" customFormat="false" ht="15" hidden="false" customHeight="false" outlineLevel="0" collapsed="false">
      <c r="A16" s="3" t="s">
        <v>1441</v>
      </c>
    </row>
    <row r="17" customFormat="false" ht="15" hidden="false" customHeight="false" outlineLevel="0" collapsed="false">
      <c r="A17" s="2" t="s">
        <v>1442</v>
      </c>
    </row>
    <row r="18" customFormat="false" ht="15" hidden="false" customHeight="false" outlineLevel="0" collapsed="false">
      <c r="A18" s="90" t="s">
        <v>86</v>
      </c>
      <c r="B18" s="130"/>
      <c r="C18" s="130" t="s">
        <v>1443</v>
      </c>
      <c r="D18" s="130" t="s">
        <v>1444</v>
      </c>
    </row>
    <row r="19" customFormat="false" ht="15" hidden="false" customHeight="false" outlineLevel="0" collapsed="false">
      <c r="A19" s="11" t="s">
        <v>1445</v>
      </c>
      <c r="C19" s="131" t="n">
        <v>30</v>
      </c>
      <c r="D19" s="131" t="n">
        <v>70</v>
      </c>
    </row>
    <row r="20" customFormat="false" ht="15" hidden="false" customHeight="false" outlineLevel="0" collapsed="false">
      <c r="A20" s="11" t="s">
        <v>1446</v>
      </c>
      <c r="C20" s="131" t="n">
        <v>5</v>
      </c>
      <c r="D20" s="131" t="n">
        <v>10</v>
      </c>
    </row>
    <row r="21" customFormat="false" ht="15" hidden="false" customHeight="false" outlineLevel="0" collapsed="false">
      <c r="A21" s="11" t="s">
        <v>1447</v>
      </c>
      <c r="C21" s="131" t="n">
        <v>5</v>
      </c>
      <c r="D21" s="131" t="n">
        <v>20</v>
      </c>
    </row>
    <row r="23" customFormat="false" ht="15" hidden="false" customHeight="false" outlineLevel="0" collapsed="false">
      <c r="A23" s="3" t="s">
        <v>1448</v>
      </c>
    </row>
    <row r="24" customFormat="false" ht="15" hidden="false" customHeight="false" outlineLevel="0" collapsed="false">
      <c r="A24" s="2" t="s">
        <v>1449</v>
      </c>
    </row>
    <row r="25" customFormat="false" ht="15" hidden="false" customHeight="false" outlineLevel="0" collapsed="false">
      <c r="A25" s="90" t="s">
        <v>86</v>
      </c>
      <c r="B25" s="130"/>
      <c r="C25" s="91" t="s">
        <v>1450</v>
      </c>
      <c r="D25" s="91" t="s">
        <v>1451</v>
      </c>
      <c r="E25" s="91" t="s">
        <v>1452</v>
      </c>
      <c r="F25" s="91" t="s">
        <v>1272</v>
      </c>
      <c r="G25" s="91" t="s">
        <v>1453</v>
      </c>
      <c r="H25" s="91" t="s">
        <v>1273</v>
      </c>
    </row>
    <row r="26" customFormat="false" ht="15" hidden="false" customHeight="false" outlineLevel="0" collapsed="false">
      <c r="A26" s="11" t="s">
        <v>1454</v>
      </c>
      <c r="C26" s="30" t="n">
        <v>7784.207</v>
      </c>
      <c r="D26" s="30" t="n">
        <v>8183.6235</v>
      </c>
      <c r="E26" s="30" t="n">
        <v>9300.8731</v>
      </c>
      <c r="F26" s="30" t="n">
        <v>9605.9795</v>
      </c>
      <c r="G26" s="30" t="n">
        <v>10398.0584</v>
      </c>
      <c r="H26" s="30" t="n">
        <v>10597.3921</v>
      </c>
    </row>
    <row r="27" customFormat="false" ht="15" hidden="false" customHeight="false" outlineLevel="0" collapsed="false">
      <c r="A27" s="11" t="s">
        <v>1455</v>
      </c>
      <c r="C27" s="30" t="n">
        <v>2572.3643</v>
      </c>
      <c r="D27" s="30" t="n">
        <v>3062.5053</v>
      </c>
      <c r="E27" s="30" t="n">
        <v>3547.4389</v>
      </c>
      <c r="F27" s="30" t="n">
        <v>3849.978</v>
      </c>
      <c r="G27" s="30" t="n">
        <v>4189.0568</v>
      </c>
      <c r="H27" s="30" t="n">
        <v>4475.4317</v>
      </c>
    </row>
    <row r="28" customFormat="false" ht="15" hidden="false" customHeight="false" outlineLevel="0" collapsed="false">
      <c r="A28" s="11" t="s">
        <v>1456</v>
      </c>
      <c r="C28" s="30" t="n">
        <v>21.2901</v>
      </c>
      <c r="D28" s="30" t="n">
        <v>20.3607</v>
      </c>
      <c r="E28" s="30" t="n">
        <v>19.647</v>
      </c>
      <c r="F28" s="30" t="n">
        <v>19.647</v>
      </c>
      <c r="G28" s="30" t="n">
        <v>19.4609</v>
      </c>
      <c r="H28" s="30" t="n">
        <v>33.2765</v>
      </c>
    </row>
    <row r="29" customFormat="false" ht="15" hidden="false" customHeight="false" outlineLevel="0" collapsed="false">
      <c r="A29" s="11" t="s">
        <v>1457</v>
      </c>
      <c r="C29" s="30" t="n">
        <v>5190.5526</v>
      </c>
      <c r="D29" s="30" t="n">
        <v>5100.7576</v>
      </c>
      <c r="E29" s="30" t="n">
        <v>5733.7872</v>
      </c>
      <c r="F29" s="30" t="n">
        <v>5736.3544</v>
      </c>
      <c r="G29" s="30" t="n">
        <v>6189.5406</v>
      </c>
      <c r="H29" s="30" t="n">
        <v>6088.6838</v>
      </c>
    </row>
    <row r="30" customFormat="false" ht="15" hidden="false" customHeight="false" outlineLevel="0" collapsed="false">
      <c r="A30" s="11" t="s">
        <v>798</v>
      </c>
      <c r="D30" s="30" t="n">
        <v>1.9249</v>
      </c>
    </row>
    <row r="31" customFormat="false" ht="15" hidden="false" customHeight="false" outlineLevel="0" collapsed="false">
      <c r="A31" s="11" t="s">
        <v>1458</v>
      </c>
      <c r="C31" s="30" t="n">
        <v>5190.5526</v>
      </c>
      <c r="D31" s="30" t="n">
        <v>5102.6825</v>
      </c>
      <c r="E31" s="30" t="n">
        <v>5733.7872</v>
      </c>
      <c r="F31" s="30" t="n">
        <v>5736.3544</v>
      </c>
      <c r="G31" s="30" t="n">
        <v>6189.5406</v>
      </c>
      <c r="H31" s="30" t="n">
        <v>6088.6838</v>
      </c>
    </row>
    <row r="32" customFormat="false" ht="15" hidden="false" customHeight="false" outlineLevel="0" collapsed="false">
      <c r="A32" s="11" t="s">
        <v>1459</v>
      </c>
      <c r="D32" s="30" t="n">
        <v>146.5902</v>
      </c>
      <c r="E32" s="30" t="n">
        <v>98.2556</v>
      </c>
      <c r="F32" s="30" t="n">
        <v>105.2194</v>
      </c>
      <c r="G32" s="30" t="n">
        <v>528.8103</v>
      </c>
      <c r="H32" s="30" t="n">
        <v>126.3981</v>
      </c>
    </row>
    <row r="33" customFormat="false" ht="15" hidden="false" customHeight="false" outlineLevel="0" collapsed="false">
      <c r="A33" s="11" t="s">
        <v>1460</v>
      </c>
      <c r="D33" s="30" t="n">
        <v>506.9408</v>
      </c>
      <c r="E33" s="30" t="n">
        <v>1087.5651</v>
      </c>
      <c r="F33" s="30" t="n">
        <v>242.0054</v>
      </c>
      <c r="G33" s="30" t="n">
        <v>645.7442</v>
      </c>
      <c r="H33" s="30" t="n">
        <v>213.6951</v>
      </c>
    </row>
    <row r="34" customFormat="false" ht="15" hidden="false" customHeight="false" outlineLevel="0" collapsed="false">
      <c r="A34" s="11" t="s">
        <v>1461</v>
      </c>
      <c r="D34" s="30" t="n">
        <v>122.4818</v>
      </c>
      <c r="E34" s="30" t="n">
        <v>161.0123</v>
      </c>
      <c r="F34" s="30" t="n">
        <v>57.0973</v>
      </c>
      <c r="G34" s="30" t="n">
        <v>91.4522</v>
      </c>
      <c r="H34" s="30" t="n">
        <v>119.1859</v>
      </c>
    </row>
    <row r="35" customFormat="false" ht="15" hidden="false" customHeight="false" outlineLevel="0" collapsed="false">
      <c r="A35" s="11" t="s">
        <v>1462</v>
      </c>
      <c r="D35" s="30" t="n">
        <v>583.1808</v>
      </c>
      <c r="E35" s="30" t="n">
        <v>624.2496</v>
      </c>
      <c r="F35" s="30" t="n">
        <v>344.5879</v>
      </c>
      <c r="G35" s="30" t="n">
        <v>711.4302</v>
      </c>
      <c r="H35" s="30" t="n">
        <v>389.4412</v>
      </c>
    </row>
    <row r="36" customFormat="false" ht="15" hidden="false" customHeight="false" outlineLevel="0" collapsed="false">
      <c r="A36" s="11" t="s">
        <v>1463</v>
      </c>
      <c r="D36" s="30" t="n">
        <v>84.0197</v>
      </c>
      <c r="E36" s="30" t="n">
        <v>138.3264</v>
      </c>
      <c r="F36" s="30" t="n">
        <v>45.706</v>
      </c>
      <c r="G36" s="30" t="n">
        <v>73.0093</v>
      </c>
      <c r="H36" s="30" t="n">
        <v>98.6282</v>
      </c>
    </row>
    <row r="37" customFormat="false" ht="15" hidden="false" customHeight="false" outlineLevel="0" collapsed="false">
      <c r="A37" s="11" t="s">
        <v>1464</v>
      </c>
      <c r="H37" s="30" t="n">
        <v>19.4406</v>
      </c>
    </row>
    <row r="39" customFormat="false" ht="15" hidden="false" customHeight="false" outlineLevel="0" collapsed="false">
      <c r="A39" s="3" t="s">
        <v>1465</v>
      </c>
    </row>
    <row r="40" customFormat="false" ht="15" hidden="false" customHeight="false" outlineLevel="0" collapsed="false">
      <c r="A40" s="2" t="s">
        <v>1466</v>
      </c>
    </row>
    <row r="41" customFormat="false" ht="15" hidden="false" customHeight="false" outlineLevel="0" collapsed="false">
      <c r="A41" s="90" t="s">
        <v>86</v>
      </c>
      <c r="B41" s="130"/>
      <c r="C41" s="130" t="s">
        <v>1467</v>
      </c>
      <c r="D41" s="130" t="s">
        <v>790</v>
      </c>
      <c r="E41" s="130" t="s">
        <v>1468</v>
      </c>
      <c r="F41" s="130" t="s">
        <v>1469</v>
      </c>
      <c r="G41" s="130" t="s">
        <v>1470</v>
      </c>
    </row>
    <row r="42" customFormat="false" ht="15" hidden="false" customHeight="false" outlineLevel="0" collapsed="false">
      <c r="A42" s="11" t="s">
        <v>1471</v>
      </c>
      <c r="C42" s="30" t="n">
        <v>2027.6042</v>
      </c>
      <c r="D42" s="30" t="n">
        <v>5551.7772</v>
      </c>
      <c r="E42" s="30" t="n">
        <v>47.9747</v>
      </c>
      <c r="F42" s="30" t="n">
        <v>156.8509</v>
      </c>
      <c r="G42" s="30" t="n">
        <v>7784.207</v>
      </c>
    </row>
    <row r="43" customFormat="false" ht="15" hidden="false" customHeight="false" outlineLevel="0" collapsed="false">
      <c r="A43" s="11" t="s">
        <v>1472</v>
      </c>
      <c r="C43" s="30" t="n">
        <v>434.4284</v>
      </c>
      <c r="D43" s="30" t="n">
        <v>211.3066</v>
      </c>
      <c r="E43" s="30" t="n">
        <v>3.4798</v>
      </c>
      <c r="F43" s="30" t="n">
        <v>10.7067</v>
      </c>
      <c r="G43" s="30" t="n">
        <v>659.9215</v>
      </c>
    </row>
    <row r="44" customFormat="false" ht="15" hidden="false" customHeight="false" outlineLevel="0" collapsed="false">
      <c r="A44" s="11" t="s">
        <v>1473</v>
      </c>
      <c r="C44" s="30" t="n">
        <v>0.0836</v>
      </c>
      <c r="D44" s="30" t="n">
        <v>132.7154</v>
      </c>
      <c r="E44" s="30" t="n">
        <v>3.3587</v>
      </c>
      <c r="F44" s="30" t="n">
        <v>10.4325</v>
      </c>
      <c r="G44" s="30" t="n">
        <v>146.5902</v>
      </c>
    </row>
    <row r="45" customFormat="false" ht="15" hidden="false" customHeight="false" outlineLevel="0" collapsed="false">
      <c r="A45" s="11" t="s">
        <v>1474</v>
      </c>
      <c r="C45" s="30" t="n">
        <v>429.7211</v>
      </c>
      <c r="D45" s="30" t="n">
        <v>77.1136</v>
      </c>
      <c r="E45" s="30" t="n">
        <v>0.0187</v>
      </c>
      <c r="F45" s="30" t="n">
        <v>0.0874</v>
      </c>
      <c r="G45" s="30" t="n">
        <v>506.9408</v>
      </c>
    </row>
    <row r="46" customFormat="false" ht="15" hidden="false" customHeight="false" outlineLevel="0" collapsed="false">
      <c r="A46" s="11" t="s">
        <v>1475</v>
      </c>
      <c r="C46" s="30" t="n">
        <v>4.6238</v>
      </c>
      <c r="D46" s="30" t="n">
        <v>1.4775</v>
      </c>
      <c r="E46" s="30" t="n">
        <v>0.1023</v>
      </c>
      <c r="F46" s="30" t="n">
        <v>0.1868</v>
      </c>
      <c r="G46" s="30" t="n">
        <v>6.3905</v>
      </c>
    </row>
    <row r="47" customFormat="false" ht="15" hidden="false" customHeight="false" outlineLevel="0" collapsed="false">
      <c r="A47" s="11" t="s">
        <v>1476</v>
      </c>
      <c r="C47" s="30" t="n">
        <v>140.2926</v>
      </c>
      <c r="D47" s="30" t="n">
        <v>113.72</v>
      </c>
      <c r="E47" s="30" t="n">
        <v>2.512</v>
      </c>
      <c r="F47" s="30" t="n">
        <v>3.9803</v>
      </c>
      <c r="G47" s="30" t="n">
        <v>260.505</v>
      </c>
    </row>
    <row r="48" customFormat="false" ht="15" hidden="false" customHeight="false" outlineLevel="0" collapsed="false">
      <c r="A48" s="11" t="s">
        <v>1477</v>
      </c>
      <c r="C48" s="30" t="n">
        <v>2.2695</v>
      </c>
      <c r="D48" s="30" t="n">
        <v>113.72</v>
      </c>
      <c r="E48" s="30" t="n">
        <v>2.512</v>
      </c>
      <c r="F48" s="30" t="n">
        <v>3.9803</v>
      </c>
      <c r="G48" s="30" t="n">
        <v>122.4818</v>
      </c>
    </row>
    <row r="49" customFormat="false" ht="15" hidden="false" customHeight="false" outlineLevel="0" collapsed="false">
      <c r="A49" s="11" t="s">
        <v>1478</v>
      </c>
      <c r="C49" s="30" t="n">
        <v>138.0232</v>
      </c>
      <c r="G49" s="30" t="n">
        <v>138.0232</v>
      </c>
    </row>
    <row r="50" customFormat="false" ht="15" hidden="false" customHeight="false" outlineLevel="0" collapsed="false">
      <c r="A50" s="11" t="s">
        <v>1479</v>
      </c>
      <c r="C50" s="30" t="n">
        <v>2321.74</v>
      </c>
      <c r="D50" s="30" t="n">
        <v>5649.3638</v>
      </c>
      <c r="E50" s="30" t="n">
        <v>48.9424</v>
      </c>
      <c r="F50" s="30" t="n">
        <v>163.5772</v>
      </c>
      <c r="G50" s="30" t="n">
        <v>8183.6235</v>
      </c>
    </row>
    <row r="51" customFormat="false" ht="15" hidden="false" customHeight="false" outlineLevel="0" collapsed="false">
      <c r="A51" s="11" t="s">
        <v>1480</v>
      </c>
      <c r="C51" s="30" t="n">
        <v>388.9077</v>
      </c>
      <c r="D51" s="30" t="n">
        <v>2092.9064</v>
      </c>
      <c r="E51" s="30" t="n">
        <v>25.1534</v>
      </c>
      <c r="F51" s="30" t="n">
        <v>65.3969</v>
      </c>
      <c r="G51" s="30" t="n">
        <v>2572.3643</v>
      </c>
    </row>
    <row r="52" customFormat="false" ht="15" hidden="false" customHeight="false" outlineLevel="0" collapsed="false">
      <c r="A52" s="11" t="s">
        <v>1481</v>
      </c>
      <c r="C52" s="30" t="n">
        <v>101.586</v>
      </c>
      <c r="D52" s="30" t="n">
        <v>463.798</v>
      </c>
      <c r="E52" s="30" t="n">
        <v>4.6659</v>
      </c>
      <c r="F52" s="30" t="n">
        <v>14.4096</v>
      </c>
      <c r="G52" s="30" t="n">
        <v>584.4595</v>
      </c>
    </row>
    <row r="53" customFormat="false" ht="15" hidden="false" customHeight="false" outlineLevel="0" collapsed="false">
      <c r="A53" s="11" t="s">
        <v>1482</v>
      </c>
      <c r="C53" s="30" t="n">
        <v>101.1851</v>
      </c>
      <c r="D53" s="30" t="n">
        <v>463.0537</v>
      </c>
      <c r="E53" s="30" t="n">
        <v>4.6409</v>
      </c>
      <c r="F53" s="30" t="n">
        <v>14.3011</v>
      </c>
      <c r="G53" s="30" t="n">
        <v>583.1808</v>
      </c>
    </row>
    <row r="54" customFormat="false" ht="15" hidden="false" customHeight="false" outlineLevel="0" collapsed="false">
      <c r="A54" s="11" t="s">
        <v>1483</v>
      </c>
      <c r="C54" s="30" t="n">
        <v>0.4009</v>
      </c>
      <c r="D54" s="30" t="n">
        <v>0.7443</v>
      </c>
      <c r="E54" s="30" t="n">
        <v>0.025</v>
      </c>
      <c r="F54" s="30" t="n">
        <v>0.1085</v>
      </c>
      <c r="G54" s="30" t="n">
        <v>1.2787</v>
      </c>
    </row>
    <row r="55" customFormat="false" ht="15" hidden="false" customHeight="false" outlineLevel="0" collapsed="false">
      <c r="A55" s="11" t="s">
        <v>1484</v>
      </c>
      <c r="C55" s="30" t="n">
        <v>10.9893</v>
      </c>
      <c r="D55" s="30" t="n">
        <v>79.895</v>
      </c>
      <c r="E55" s="30" t="n">
        <v>1.5238</v>
      </c>
      <c r="F55" s="30" t="n">
        <v>1.9104</v>
      </c>
      <c r="G55" s="30" t="n">
        <v>94.3185</v>
      </c>
    </row>
    <row r="56" customFormat="false" ht="15" hidden="false" customHeight="false" outlineLevel="0" collapsed="false">
      <c r="A56" s="11" t="s">
        <v>1485</v>
      </c>
      <c r="C56" s="30" t="n">
        <v>0.6905</v>
      </c>
      <c r="D56" s="30" t="n">
        <v>79.895</v>
      </c>
      <c r="E56" s="30" t="n">
        <v>1.5238</v>
      </c>
      <c r="F56" s="30" t="n">
        <v>1.9104</v>
      </c>
      <c r="G56" s="30" t="n">
        <v>84.0197</v>
      </c>
    </row>
    <row r="57" customFormat="false" ht="15" hidden="false" customHeight="false" outlineLevel="0" collapsed="false">
      <c r="A57" s="11" t="s">
        <v>1486</v>
      </c>
      <c r="C57" s="30" t="n">
        <v>10.2988</v>
      </c>
      <c r="G57" s="30" t="n">
        <v>10.2988</v>
      </c>
    </row>
    <row r="58" customFormat="false" ht="15" hidden="false" customHeight="false" outlineLevel="0" collapsed="false">
      <c r="A58" s="11" t="s">
        <v>1487</v>
      </c>
      <c r="C58" s="30" t="n">
        <v>479.5044</v>
      </c>
      <c r="D58" s="30" t="n">
        <v>2476.8094</v>
      </c>
      <c r="E58" s="30" t="n">
        <v>28.2955</v>
      </c>
      <c r="F58" s="30" t="n">
        <v>77.896</v>
      </c>
      <c r="G58" s="30" t="n">
        <v>3062.5053</v>
      </c>
    </row>
    <row r="59" customFormat="false" ht="15" hidden="false" customHeight="false" outlineLevel="0" collapsed="false">
      <c r="A59" s="11" t="s">
        <v>1488</v>
      </c>
      <c r="C59" s="30" t="n">
        <v>0.1347</v>
      </c>
      <c r="D59" s="30" t="n">
        <v>21.1544</v>
      </c>
      <c r="F59" s="30" t="n">
        <v>0.001</v>
      </c>
      <c r="G59" s="30" t="n">
        <v>21.2901</v>
      </c>
    </row>
    <row r="60" customFormat="false" ht="15" hidden="false" customHeight="false" outlineLevel="0" collapsed="false">
      <c r="A60" s="11" t="s">
        <v>1489</v>
      </c>
    </row>
    <row r="61" customFormat="false" ht="15" hidden="false" customHeight="false" outlineLevel="0" collapsed="false">
      <c r="A61" s="11" t="s">
        <v>1490</v>
      </c>
      <c r="D61" s="30" t="n">
        <v>0.9284</v>
      </c>
      <c r="F61" s="30" t="n">
        <v>0.001</v>
      </c>
      <c r="G61" s="30" t="n">
        <v>0.9294</v>
      </c>
    </row>
    <row r="62" customFormat="false" ht="15" hidden="false" customHeight="false" outlineLevel="0" collapsed="false">
      <c r="A62" s="11" t="s">
        <v>1491</v>
      </c>
      <c r="C62" s="30" t="n">
        <v>0.1347</v>
      </c>
      <c r="D62" s="30" t="n">
        <v>20.226</v>
      </c>
      <c r="G62" s="30" t="n">
        <v>20.3607</v>
      </c>
    </row>
    <row r="63" customFormat="false" ht="15" hidden="false" customHeight="false" outlineLevel="0" collapsed="false">
      <c r="A63" s="11" t="s">
        <v>1492</v>
      </c>
      <c r="C63" s="30" t="n">
        <v>1842.1009</v>
      </c>
      <c r="D63" s="30" t="n">
        <v>3152.3285</v>
      </c>
      <c r="E63" s="30" t="n">
        <v>20.6469</v>
      </c>
      <c r="F63" s="30" t="n">
        <v>85.6812</v>
      </c>
      <c r="G63" s="30" t="n">
        <v>5100.7576</v>
      </c>
    </row>
    <row r="64" customFormat="false" ht="15" hidden="false" customHeight="false" outlineLevel="0" collapsed="false">
      <c r="A64" s="11" t="s">
        <v>1493</v>
      </c>
      <c r="C64" s="30" t="n">
        <v>1638.5618</v>
      </c>
      <c r="D64" s="30" t="n">
        <v>3437.7164</v>
      </c>
      <c r="E64" s="30" t="n">
        <v>22.8214</v>
      </c>
      <c r="F64" s="30" t="n">
        <v>91.453</v>
      </c>
      <c r="G64" s="30" t="n">
        <v>5190.5526</v>
      </c>
    </row>
    <row r="66" customFormat="false" ht="15" hidden="false" customHeight="false" outlineLevel="0" collapsed="false">
      <c r="A66" s="3" t="s">
        <v>1494</v>
      </c>
    </row>
    <row r="67" customFormat="false" ht="15" hidden="false" customHeight="false" outlineLevel="0" collapsed="false">
      <c r="A67" s="2" t="s">
        <v>1495</v>
      </c>
    </row>
    <row r="68" customFormat="false" ht="15" hidden="false" customHeight="false" outlineLevel="0" collapsed="false">
      <c r="A68" s="90" t="s">
        <v>86</v>
      </c>
      <c r="B68" s="130"/>
      <c r="C68" s="130" t="s">
        <v>778</v>
      </c>
      <c r="D68" s="130" t="s">
        <v>790</v>
      </c>
      <c r="E68" s="130" t="s">
        <v>791</v>
      </c>
      <c r="F68" s="130" t="s">
        <v>792</v>
      </c>
      <c r="G68" s="130" t="s">
        <v>1470</v>
      </c>
    </row>
    <row r="69" customFormat="false" ht="15" hidden="false" customHeight="false" outlineLevel="0" collapsed="false">
      <c r="A69" s="11" t="s">
        <v>1471</v>
      </c>
      <c r="C69" s="30" t="n">
        <v>2321.74</v>
      </c>
      <c r="D69" s="30" t="n">
        <v>5649.3638</v>
      </c>
      <c r="E69" s="30" t="n">
        <v>48.9424</v>
      </c>
      <c r="F69" s="30" t="n">
        <v>163.5772</v>
      </c>
      <c r="G69" s="30" t="n">
        <v>8183.6235</v>
      </c>
    </row>
    <row r="70" customFormat="false" ht="15" hidden="false" customHeight="false" outlineLevel="0" collapsed="false">
      <c r="A70" s="11" t="s">
        <v>1472</v>
      </c>
      <c r="C70" s="30" t="n">
        <v>450.0821</v>
      </c>
      <c r="D70" s="30" t="n">
        <v>804.9171</v>
      </c>
      <c r="E70" s="30" t="n">
        <v>1.9215</v>
      </c>
      <c r="F70" s="30" t="n">
        <v>30.1897</v>
      </c>
      <c r="G70" s="30" t="n">
        <v>1287.1104</v>
      </c>
    </row>
    <row r="71" customFormat="false" ht="15" hidden="false" customHeight="false" outlineLevel="0" collapsed="false">
      <c r="A71" s="11" t="s">
        <v>1473</v>
      </c>
      <c r="D71" s="30" t="n">
        <v>67.3223</v>
      </c>
      <c r="E71" s="30" t="n">
        <v>1.8446</v>
      </c>
      <c r="F71" s="30" t="n">
        <v>29.0887</v>
      </c>
      <c r="G71" s="30" t="n">
        <v>98.2556</v>
      </c>
    </row>
    <row r="72" customFormat="false" ht="15" hidden="false" customHeight="false" outlineLevel="0" collapsed="false">
      <c r="A72" s="11" t="s">
        <v>1474</v>
      </c>
      <c r="C72" s="30" t="n">
        <v>348.7924</v>
      </c>
      <c r="D72" s="30" t="n">
        <v>737.5948</v>
      </c>
      <c r="E72" s="30" t="n">
        <v>0.077</v>
      </c>
      <c r="F72" s="30" t="n">
        <v>1.101</v>
      </c>
      <c r="G72" s="30" t="n">
        <v>1087.5651</v>
      </c>
    </row>
    <row r="73" customFormat="false" ht="15" hidden="false" customHeight="false" outlineLevel="0" collapsed="false">
      <c r="A73" s="11" t="s">
        <v>1496</v>
      </c>
      <c r="C73" s="30" t="n">
        <v>101.2897</v>
      </c>
      <c r="G73" s="30" t="n">
        <v>101.2897</v>
      </c>
    </row>
    <row r="74" customFormat="false" ht="15" hidden="false" customHeight="false" outlineLevel="0" collapsed="false">
      <c r="A74" s="11" t="s">
        <v>1476</v>
      </c>
      <c r="C74" s="30" t="n">
        <v>35.774</v>
      </c>
      <c r="D74" s="30" t="n">
        <v>103.9181</v>
      </c>
      <c r="E74" s="30" t="n">
        <v>6.239</v>
      </c>
      <c r="F74" s="30" t="n">
        <v>23.9297</v>
      </c>
      <c r="G74" s="30" t="n">
        <v>169.8608</v>
      </c>
    </row>
    <row r="75" customFormat="false" ht="15" hidden="false" customHeight="false" outlineLevel="0" collapsed="false">
      <c r="A75" s="11" t="s">
        <v>1477</v>
      </c>
      <c r="C75" s="30" t="n">
        <v>27.6653</v>
      </c>
      <c r="D75" s="30" t="n">
        <v>103.4544</v>
      </c>
      <c r="E75" s="30" t="n">
        <v>6.1256</v>
      </c>
      <c r="F75" s="30" t="n">
        <v>23.7669</v>
      </c>
      <c r="G75" s="30" t="n">
        <v>161.0123</v>
      </c>
    </row>
    <row r="76" customFormat="false" ht="15" hidden="false" customHeight="false" outlineLevel="0" collapsed="false">
      <c r="A76" s="11" t="s">
        <v>1478</v>
      </c>
      <c r="C76" s="30" t="n">
        <v>5.3465</v>
      </c>
      <c r="G76" s="30" t="n">
        <v>5.3465</v>
      </c>
    </row>
    <row r="77" customFormat="false" ht="15" hidden="false" customHeight="false" outlineLevel="0" collapsed="false">
      <c r="A77" s="11" t="s">
        <v>1497</v>
      </c>
      <c r="C77" s="30" t="n">
        <v>2.7622</v>
      </c>
      <c r="D77" s="30" t="n">
        <v>0.4636</v>
      </c>
      <c r="E77" s="30" t="n">
        <v>0.1134</v>
      </c>
      <c r="F77" s="30" t="n">
        <v>0.1628</v>
      </c>
      <c r="G77" s="30" t="n">
        <v>3.502</v>
      </c>
    </row>
    <row r="78" customFormat="false" ht="15" hidden="false" customHeight="false" outlineLevel="0" collapsed="false">
      <c r="A78" s="11" t="s">
        <v>1479</v>
      </c>
      <c r="C78" s="30" t="n">
        <v>2736.048</v>
      </c>
      <c r="D78" s="30" t="n">
        <v>6350.3628</v>
      </c>
      <c r="E78" s="30" t="n">
        <v>44.625</v>
      </c>
      <c r="F78" s="30" t="n">
        <v>169.8373</v>
      </c>
      <c r="G78" s="30" t="n">
        <v>9300.8731</v>
      </c>
    </row>
    <row r="79" customFormat="false" ht="15" hidden="false" customHeight="false" outlineLevel="0" collapsed="false">
      <c r="A79" s="11" t="s">
        <v>1480</v>
      </c>
      <c r="C79" s="30" t="n">
        <v>479.5044</v>
      </c>
      <c r="D79" s="30" t="n">
        <v>2476.8094</v>
      </c>
      <c r="E79" s="30" t="n">
        <v>28.2955</v>
      </c>
      <c r="F79" s="30" t="n">
        <v>77.896</v>
      </c>
      <c r="G79" s="30" t="n">
        <v>3062.5053</v>
      </c>
    </row>
    <row r="80" customFormat="false" ht="15" hidden="false" customHeight="false" outlineLevel="0" collapsed="false">
      <c r="A80" s="11" t="s">
        <v>1481</v>
      </c>
      <c r="C80" s="30" t="n">
        <v>129.8215</v>
      </c>
      <c r="D80" s="30" t="n">
        <v>478.1135</v>
      </c>
      <c r="E80" s="30" t="n">
        <v>4.5975</v>
      </c>
      <c r="F80" s="30" t="n">
        <v>16.7816</v>
      </c>
      <c r="G80" s="30" t="n">
        <v>629.3141</v>
      </c>
    </row>
    <row r="81" customFormat="false" ht="15" hidden="false" customHeight="false" outlineLevel="0" collapsed="false">
      <c r="A81" s="11" t="s">
        <v>1482</v>
      </c>
      <c r="C81" s="30" t="n">
        <v>124.757</v>
      </c>
      <c r="D81" s="30" t="n">
        <v>478.1135</v>
      </c>
      <c r="E81" s="30" t="n">
        <v>4.5975</v>
      </c>
      <c r="F81" s="30" t="n">
        <v>16.7816</v>
      </c>
      <c r="G81" s="30" t="n">
        <v>624.2496</v>
      </c>
    </row>
    <row r="82" customFormat="false" ht="15" hidden="false" customHeight="false" outlineLevel="0" collapsed="false">
      <c r="A82" s="11" t="s">
        <v>1498</v>
      </c>
      <c r="C82" s="30" t="n">
        <v>5.0645</v>
      </c>
      <c r="G82" s="30" t="n">
        <v>5.0645</v>
      </c>
    </row>
    <row r="83" customFormat="false" ht="15" hidden="false" customHeight="false" outlineLevel="0" collapsed="false">
      <c r="A83" s="11" t="s">
        <v>1484</v>
      </c>
      <c r="C83" s="30" t="n">
        <v>27.4828</v>
      </c>
      <c r="D83" s="30" t="n">
        <v>87.989</v>
      </c>
      <c r="E83" s="30" t="n">
        <v>5.4067</v>
      </c>
      <c r="F83" s="30" t="n">
        <v>23.5019</v>
      </c>
      <c r="G83" s="30" t="n">
        <v>144.3804</v>
      </c>
    </row>
    <row r="84" customFormat="false" ht="15" hidden="false" customHeight="false" outlineLevel="0" collapsed="false">
      <c r="A84" s="11" t="s">
        <v>1485</v>
      </c>
      <c r="C84" s="30" t="n">
        <v>21.9775</v>
      </c>
      <c r="D84" s="30" t="n">
        <v>87.5635</v>
      </c>
      <c r="E84" s="30" t="n">
        <v>5.3794</v>
      </c>
      <c r="F84" s="30" t="n">
        <v>23.406</v>
      </c>
      <c r="G84" s="30" t="n">
        <v>138.3264</v>
      </c>
    </row>
    <row r="85" customFormat="false" ht="15" hidden="false" customHeight="false" outlineLevel="0" collapsed="false">
      <c r="A85" s="11" t="s">
        <v>1486</v>
      </c>
      <c r="C85" s="30" t="n">
        <v>5.2663</v>
      </c>
      <c r="G85" s="30" t="n">
        <v>5.2663</v>
      </c>
    </row>
    <row r="86" customFormat="false" ht="15" hidden="false" customHeight="false" outlineLevel="0" collapsed="false">
      <c r="A86" s="11" t="s">
        <v>1499</v>
      </c>
      <c r="C86" s="30" t="n">
        <v>0.2391</v>
      </c>
      <c r="D86" s="30" t="n">
        <v>0.4255</v>
      </c>
      <c r="E86" s="30" t="n">
        <v>0.0273</v>
      </c>
      <c r="F86" s="30" t="n">
        <v>0.096</v>
      </c>
      <c r="G86" s="30" t="n">
        <v>0.7878</v>
      </c>
    </row>
    <row r="87" customFormat="false" ht="15" hidden="false" customHeight="false" outlineLevel="0" collapsed="false">
      <c r="A87" s="11" t="s">
        <v>1487</v>
      </c>
      <c r="C87" s="30" t="n">
        <v>581.8431</v>
      </c>
      <c r="D87" s="30" t="n">
        <v>2866.9338</v>
      </c>
      <c r="E87" s="30" t="n">
        <v>27.4863</v>
      </c>
      <c r="F87" s="30" t="n">
        <v>71.1758</v>
      </c>
      <c r="G87" s="30" t="n">
        <v>3547.4389</v>
      </c>
    </row>
    <row r="88" customFormat="false" ht="15" hidden="false" customHeight="false" outlineLevel="0" collapsed="false">
      <c r="A88" s="11" t="s">
        <v>1488</v>
      </c>
      <c r="C88" s="30" t="n">
        <v>0.1347</v>
      </c>
      <c r="D88" s="30" t="n">
        <v>20.226</v>
      </c>
      <c r="G88" s="30" t="n">
        <v>20.3607</v>
      </c>
    </row>
    <row r="89" customFormat="false" ht="15" hidden="false" customHeight="false" outlineLevel="0" collapsed="false">
      <c r="A89" s="11" t="s">
        <v>1489</v>
      </c>
    </row>
    <row r="90" customFormat="false" ht="15" hidden="false" customHeight="false" outlineLevel="0" collapsed="false">
      <c r="A90" s="11" t="s">
        <v>1490</v>
      </c>
      <c r="D90" s="30" t="n">
        <v>0.7137</v>
      </c>
      <c r="G90" s="30" t="n">
        <v>0.7137</v>
      </c>
    </row>
    <row r="91" customFormat="false" ht="15" hidden="false" customHeight="false" outlineLevel="0" collapsed="false">
      <c r="A91" s="11" t="s">
        <v>1491</v>
      </c>
      <c r="C91" s="30" t="n">
        <v>0.1347</v>
      </c>
      <c r="D91" s="30" t="n">
        <v>19.5123</v>
      </c>
      <c r="G91" s="30" t="n">
        <v>19.647</v>
      </c>
    </row>
    <row r="92" customFormat="false" ht="15" hidden="false" customHeight="false" outlineLevel="0" collapsed="false">
      <c r="A92" s="11" t="s">
        <v>1492</v>
      </c>
      <c r="C92" s="30" t="n">
        <v>2154.0702</v>
      </c>
      <c r="D92" s="30" t="n">
        <v>3463.9168</v>
      </c>
      <c r="E92" s="30" t="n">
        <v>17.1387</v>
      </c>
      <c r="F92" s="30" t="n">
        <v>98.6615</v>
      </c>
      <c r="G92" s="30" t="n">
        <v>5733.7872</v>
      </c>
    </row>
    <row r="93" customFormat="false" ht="15" hidden="false" customHeight="false" outlineLevel="0" collapsed="false">
      <c r="A93" s="11" t="s">
        <v>1493</v>
      </c>
      <c r="C93" s="30" t="n">
        <v>1842.1009</v>
      </c>
      <c r="D93" s="30" t="n">
        <v>3152.3285</v>
      </c>
      <c r="E93" s="30" t="n">
        <v>20.6469</v>
      </c>
      <c r="F93" s="30" t="n">
        <v>85.6812</v>
      </c>
      <c r="G93" s="30" t="n">
        <v>5100.7576</v>
      </c>
    </row>
    <row r="95" customFormat="false" ht="15" hidden="false" customHeight="false" outlineLevel="0" collapsed="false">
      <c r="A95" s="3" t="s">
        <v>1500</v>
      </c>
    </row>
    <row r="96" customFormat="false" ht="15" hidden="false" customHeight="false" outlineLevel="0" collapsed="false">
      <c r="A96" s="2" t="s">
        <v>1501</v>
      </c>
    </row>
    <row r="97" customFormat="false" ht="15" hidden="false" customHeight="false" outlineLevel="0" collapsed="false">
      <c r="A97" s="90" t="s">
        <v>86</v>
      </c>
      <c r="B97" s="130"/>
      <c r="C97" s="130" t="s">
        <v>778</v>
      </c>
      <c r="D97" s="130" t="s">
        <v>790</v>
      </c>
      <c r="E97" s="130" t="s">
        <v>791</v>
      </c>
      <c r="F97" s="130" t="s">
        <v>792</v>
      </c>
      <c r="G97" s="130" t="s">
        <v>1470</v>
      </c>
    </row>
    <row r="98" customFormat="false" ht="15" hidden="false" customHeight="false" outlineLevel="0" collapsed="false">
      <c r="A98" s="11" t="s">
        <v>1471</v>
      </c>
      <c r="C98" s="30" t="n">
        <v>2736.048</v>
      </c>
      <c r="D98" s="30" t="n">
        <v>6350.3628</v>
      </c>
      <c r="E98" s="30" t="n">
        <v>44.625</v>
      </c>
      <c r="F98" s="30" t="n">
        <v>169.8373</v>
      </c>
      <c r="G98" s="30" t="n">
        <v>9300.8731</v>
      </c>
    </row>
    <row r="99" customFormat="false" ht="15" hidden="false" customHeight="false" outlineLevel="0" collapsed="false">
      <c r="A99" s="11" t="s">
        <v>1472</v>
      </c>
      <c r="C99" s="30" t="n">
        <v>121.5289</v>
      </c>
      <c r="D99" s="30" t="n">
        <v>203.6985</v>
      </c>
      <c r="E99" s="30" t="n">
        <v>1.0168</v>
      </c>
      <c r="F99" s="30" t="n">
        <v>35.9594</v>
      </c>
      <c r="G99" s="30" t="n">
        <v>362.2036</v>
      </c>
    </row>
    <row r="100" customFormat="false" ht="15" hidden="false" customHeight="false" outlineLevel="0" collapsed="false">
      <c r="A100" s="11" t="s">
        <v>1473</v>
      </c>
      <c r="D100" s="30" t="n">
        <v>75.6427</v>
      </c>
      <c r="E100" s="30" t="n">
        <v>0.5949</v>
      </c>
      <c r="F100" s="30" t="n">
        <v>28.9818</v>
      </c>
      <c r="G100" s="30" t="n">
        <v>105.2194</v>
      </c>
    </row>
    <row r="101" customFormat="false" ht="15" hidden="false" customHeight="false" outlineLevel="0" collapsed="false">
      <c r="A101" s="11" t="s">
        <v>1474</v>
      </c>
      <c r="C101" s="30" t="n">
        <v>111.2286</v>
      </c>
      <c r="D101" s="30" t="n">
        <v>124.245</v>
      </c>
      <c r="E101" s="30" t="n">
        <v>0.1535</v>
      </c>
      <c r="F101" s="30" t="n">
        <v>6.3783</v>
      </c>
      <c r="G101" s="30" t="n">
        <v>242.0054</v>
      </c>
    </row>
    <row r="102" customFormat="false" ht="15" hidden="false" customHeight="false" outlineLevel="0" collapsed="false">
      <c r="A102" s="11" t="s">
        <v>1475</v>
      </c>
      <c r="C102" s="30" t="n">
        <v>10.3003</v>
      </c>
      <c r="D102" s="30" t="n">
        <v>3.8108</v>
      </c>
      <c r="E102" s="30" t="n">
        <v>0.2684</v>
      </c>
      <c r="F102" s="30" t="n">
        <v>0.5993</v>
      </c>
      <c r="G102" s="30" t="n">
        <v>14.9788</v>
      </c>
    </row>
    <row r="103" customFormat="false" ht="15" hidden="false" customHeight="false" outlineLevel="0" collapsed="false">
      <c r="A103" s="11" t="s">
        <v>1476</v>
      </c>
      <c r="D103" s="30" t="n">
        <v>53.2748</v>
      </c>
      <c r="E103" s="30" t="n">
        <v>1.8929</v>
      </c>
      <c r="F103" s="30" t="n">
        <v>1.9296</v>
      </c>
      <c r="G103" s="30" t="n">
        <v>57.0973</v>
      </c>
    </row>
    <row r="104" customFormat="false" ht="15" hidden="false" customHeight="false" outlineLevel="0" collapsed="false">
      <c r="A104" s="11" t="s">
        <v>1477</v>
      </c>
      <c r="D104" s="30" t="n">
        <v>53.2748</v>
      </c>
      <c r="E104" s="30" t="n">
        <v>1.8929</v>
      </c>
      <c r="F104" s="30" t="n">
        <v>1.9296</v>
      </c>
      <c r="G104" s="30" t="n">
        <v>57.0973</v>
      </c>
    </row>
    <row r="105" customFormat="false" ht="15" hidden="false" customHeight="false" outlineLevel="0" collapsed="false">
      <c r="A105" s="11" t="s">
        <v>1479</v>
      </c>
      <c r="C105" s="30" t="n">
        <v>2857.5769</v>
      </c>
      <c r="D105" s="30" t="n">
        <v>6500.7865</v>
      </c>
      <c r="E105" s="30" t="n">
        <v>43.749</v>
      </c>
      <c r="F105" s="30" t="n">
        <v>203.8671</v>
      </c>
      <c r="G105" s="30" t="n">
        <v>9605.9795</v>
      </c>
    </row>
    <row r="106" customFormat="false" ht="15" hidden="false" customHeight="false" outlineLevel="0" collapsed="false">
      <c r="A106" s="11" t="s">
        <v>1480</v>
      </c>
      <c r="C106" s="30" t="n">
        <v>581.8431</v>
      </c>
      <c r="D106" s="30" t="n">
        <v>2866.9338</v>
      </c>
      <c r="E106" s="30" t="n">
        <v>27.4863</v>
      </c>
      <c r="F106" s="30" t="n">
        <v>71.1758</v>
      </c>
      <c r="G106" s="30" t="n">
        <v>3547.4389</v>
      </c>
    </row>
    <row r="107" customFormat="false" ht="15" hidden="false" customHeight="false" outlineLevel="0" collapsed="false">
      <c r="A107" s="11" t="s">
        <v>1481</v>
      </c>
      <c r="C107" s="30" t="n">
        <v>69.5009</v>
      </c>
      <c r="D107" s="30" t="n">
        <v>264.0603</v>
      </c>
      <c r="E107" s="30" t="n">
        <v>2.0493</v>
      </c>
      <c r="F107" s="30" t="n">
        <v>12.6346</v>
      </c>
      <c r="G107" s="30" t="n">
        <v>348.2451</v>
      </c>
    </row>
    <row r="108" customFormat="false" ht="15" hidden="false" customHeight="false" outlineLevel="0" collapsed="false">
      <c r="A108" s="11" t="s">
        <v>1482</v>
      </c>
      <c r="C108" s="30" t="n">
        <v>68.1591</v>
      </c>
      <c r="D108" s="30" t="n">
        <v>262.1929</v>
      </c>
      <c r="E108" s="30" t="n">
        <v>1.9761</v>
      </c>
      <c r="F108" s="30" t="n">
        <v>12.2598</v>
      </c>
      <c r="G108" s="30" t="n">
        <v>344.5879</v>
      </c>
    </row>
    <row r="109" customFormat="false" ht="15" hidden="false" customHeight="false" outlineLevel="0" collapsed="false">
      <c r="A109" s="11" t="s">
        <v>1483</v>
      </c>
      <c r="C109" s="30" t="n">
        <v>1.3418</v>
      </c>
      <c r="D109" s="30" t="n">
        <v>1.8674</v>
      </c>
      <c r="E109" s="30" t="n">
        <v>0.0732</v>
      </c>
      <c r="F109" s="30" t="n">
        <v>0.3748</v>
      </c>
      <c r="G109" s="30" t="n">
        <v>3.6572</v>
      </c>
    </row>
    <row r="110" customFormat="false" ht="15" hidden="false" customHeight="false" outlineLevel="0" collapsed="false">
      <c r="A110" s="11" t="s">
        <v>1484</v>
      </c>
      <c r="D110" s="30" t="n">
        <v>43.1049</v>
      </c>
      <c r="E110" s="30" t="n">
        <v>1.7388</v>
      </c>
      <c r="F110" s="30" t="n">
        <v>0.8623</v>
      </c>
      <c r="G110" s="30" t="n">
        <v>45.706</v>
      </c>
    </row>
    <row r="111" customFormat="false" ht="15" hidden="false" customHeight="false" outlineLevel="0" collapsed="false">
      <c r="A111" s="11" t="s">
        <v>1485</v>
      </c>
      <c r="D111" s="30" t="n">
        <v>43.1049</v>
      </c>
      <c r="E111" s="30" t="n">
        <v>1.7388</v>
      </c>
      <c r="F111" s="30" t="n">
        <v>0.8623</v>
      </c>
      <c r="G111" s="30" t="n">
        <v>45.706</v>
      </c>
    </row>
    <row r="112" customFormat="false" ht="15" hidden="false" customHeight="false" outlineLevel="0" collapsed="false">
      <c r="A112" s="11" t="s">
        <v>1487</v>
      </c>
      <c r="C112" s="30" t="n">
        <v>651.344</v>
      </c>
      <c r="D112" s="30" t="n">
        <v>3087.8892</v>
      </c>
      <c r="E112" s="30" t="n">
        <v>27.7967</v>
      </c>
      <c r="F112" s="30" t="n">
        <v>82.9481</v>
      </c>
      <c r="G112" s="30" t="n">
        <v>3849.978</v>
      </c>
    </row>
    <row r="113" customFormat="false" ht="15" hidden="false" customHeight="false" outlineLevel="0" collapsed="false">
      <c r="A113" s="11" t="s">
        <v>1488</v>
      </c>
      <c r="C113" s="30" t="n">
        <v>0.1347</v>
      </c>
      <c r="D113" s="30" t="n">
        <v>19.5123</v>
      </c>
      <c r="G113" s="30" t="n">
        <v>19.647</v>
      </c>
    </row>
    <row r="114" customFormat="false" ht="15" hidden="false" customHeight="false" outlineLevel="0" collapsed="false">
      <c r="A114" s="11" t="s">
        <v>1489</v>
      </c>
    </row>
    <row r="115" customFormat="false" ht="15" hidden="false" customHeight="false" outlineLevel="0" collapsed="false">
      <c r="A115" s="11" t="s">
        <v>1490</v>
      </c>
    </row>
    <row r="116" customFormat="false" ht="15" hidden="false" customHeight="false" outlineLevel="0" collapsed="false">
      <c r="A116" s="11" t="s">
        <v>1491</v>
      </c>
      <c r="C116" s="30" t="n">
        <v>0.1347</v>
      </c>
      <c r="D116" s="30" t="n">
        <v>19.5123</v>
      </c>
      <c r="G116" s="30" t="n">
        <v>19.647</v>
      </c>
    </row>
    <row r="117" customFormat="false" ht="15" hidden="false" customHeight="false" outlineLevel="0" collapsed="false">
      <c r="A117" s="11" t="s">
        <v>1492</v>
      </c>
      <c r="C117" s="30" t="n">
        <v>2206.0982</v>
      </c>
      <c r="D117" s="30" t="n">
        <v>3393.385</v>
      </c>
      <c r="E117" s="30" t="n">
        <v>15.9522</v>
      </c>
      <c r="F117" s="30" t="n">
        <v>120.919</v>
      </c>
      <c r="G117" s="30" t="n">
        <v>5736.3544</v>
      </c>
    </row>
    <row r="118" customFormat="false" ht="15" hidden="false" customHeight="false" outlineLevel="0" collapsed="false">
      <c r="A118" s="11" t="s">
        <v>1493</v>
      </c>
      <c r="C118" s="30" t="n">
        <v>2154.0702</v>
      </c>
      <c r="D118" s="30" t="n">
        <v>3463.9168</v>
      </c>
      <c r="E118" s="30" t="n">
        <v>17.1387</v>
      </c>
      <c r="F118" s="30" t="n">
        <v>98.6615</v>
      </c>
      <c r="G118" s="30" t="n">
        <v>5733.7872</v>
      </c>
    </row>
    <row r="120" customFormat="false" ht="15" hidden="false" customHeight="false" outlineLevel="0" collapsed="false">
      <c r="A120" s="3" t="s">
        <v>1502</v>
      </c>
    </row>
    <row r="121" customFormat="false" ht="15" hidden="false" customHeight="false" outlineLevel="0" collapsed="false">
      <c r="A121" s="2" t="s">
        <v>1503</v>
      </c>
    </row>
    <row r="122" customFormat="false" ht="15" hidden="false" customHeight="false" outlineLevel="0" collapsed="false">
      <c r="A122" s="90" t="s">
        <v>86</v>
      </c>
      <c r="B122" s="130"/>
      <c r="C122" s="130" t="s">
        <v>778</v>
      </c>
      <c r="D122" s="130" t="s">
        <v>790</v>
      </c>
      <c r="E122" s="130" t="s">
        <v>791</v>
      </c>
      <c r="F122" s="130" t="s">
        <v>792</v>
      </c>
      <c r="G122" s="130" t="s">
        <v>1470</v>
      </c>
    </row>
    <row r="123" customFormat="false" ht="15" hidden="false" customHeight="false" outlineLevel="0" collapsed="false">
      <c r="A123" s="11" t="s">
        <v>1471</v>
      </c>
      <c r="C123" s="30" t="n">
        <v>2736.048</v>
      </c>
      <c r="D123" s="30" t="n">
        <v>6350.3628</v>
      </c>
      <c r="E123" s="30" t="n">
        <v>44.625</v>
      </c>
      <c r="F123" s="30" t="n">
        <v>169.8373</v>
      </c>
      <c r="G123" s="30" t="n">
        <v>9300.8731</v>
      </c>
    </row>
    <row r="124" customFormat="false" ht="15" hidden="false" customHeight="false" outlineLevel="0" collapsed="false">
      <c r="A124" s="11" t="s">
        <v>1472</v>
      </c>
      <c r="C124" s="30" t="n">
        <v>341.7731</v>
      </c>
      <c r="D124" s="30" t="n">
        <v>733.841</v>
      </c>
      <c r="E124" s="30" t="n">
        <v>2.3016</v>
      </c>
      <c r="F124" s="30" t="n">
        <v>110.7218</v>
      </c>
      <c r="G124" s="30" t="n">
        <v>1188.6375</v>
      </c>
    </row>
    <row r="125" customFormat="false" ht="15" hidden="false" customHeight="false" outlineLevel="0" collapsed="false">
      <c r="A125" s="11" t="s">
        <v>1473</v>
      </c>
      <c r="C125" s="30" t="n">
        <v>45.5241</v>
      </c>
      <c r="D125" s="30" t="n">
        <v>381.1568</v>
      </c>
      <c r="E125" s="30" t="n">
        <v>2.0796</v>
      </c>
      <c r="F125" s="30" t="n">
        <v>100.0498</v>
      </c>
      <c r="G125" s="30" t="n">
        <v>528.8103</v>
      </c>
    </row>
    <row r="126" customFormat="false" ht="15" hidden="false" customHeight="false" outlineLevel="0" collapsed="false">
      <c r="A126" s="11" t="s">
        <v>1474</v>
      </c>
      <c r="C126" s="30" t="n">
        <v>286.756</v>
      </c>
      <c r="D126" s="30" t="n">
        <v>348.8226</v>
      </c>
      <c r="F126" s="30" t="n">
        <v>10.1656</v>
      </c>
      <c r="G126" s="30" t="n">
        <v>645.7442</v>
      </c>
    </row>
    <row r="127" customFormat="false" ht="15" hidden="false" customHeight="false" outlineLevel="0" collapsed="false">
      <c r="A127" s="11" t="s">
        <v>1475</v>
      </c>
      <c r="C127" s="30" t="n">
        <v>9.4929</v>
      </c>
      <c r="D127" s="30" t="n">
        <v>3.8616</v>
      </c>
      <c r="E127" s="30" t="n">
        <v>0.222</v>
      </c>
      <c r="F127" s="30" t="n">
        <v>0.5065</v>
      </c>
      <c r="G127" s="30" t="n">
        <v>14.083</v>
      </c>
    </row>
    <row r="128" customFormat="false" ht="15" hidden="false" customHeight="false" outlineLevel="0" collapsed="false">
      <c r="A128" s="11" t="s">
        <v>1476</v>
      </c>
      <c r="D128" s="30" t="n">
        <v>83.5796</v>
      </c>
      <c r="E128" s="30" t="n">
        <v>5.796</v>
      </c>
      <c r="F128" s="30" t="n">
        <v>2.0767</v>
      </c>
      <c r="G128" s="30" t="n">
        <v>91.4522</v>
      </c>
    </row>
    <row r="129" customFormat="false" ht="15" hidden="false" customHeight="false" outlineLevel="0" collapsed="false">
      <c r="A129" s="11" t="s">
        <v>1477</v>
      </c>
      <c r="D129" s="30" t="n">
        <v>83.5796</v>
      </c>
      <c r="E129" s="30" t="n">
        <v>5.796</v>
      </c>
      <c r="F129" s="30" t="n">
        <v>2.0767</v>
      </c>
      <c r="G129" s="30" t="n">
        <v>91.4522</v>
      </c>
    </row>
    <row r="130" customFormat="false" ht="15" hidden="false" customHeight="false" outlineLevel="0" collapsed="false">
      <c r="A130" s="11" t="s">
        <v>1479</v>
      </c>
      <c r="C130" s="30" t="n">
        <v>3077.8211</v>
      </c>
      <c r="D130" s="30" t="n">
        <v>7000.6243</v>
      </c>
      <c r="E130" s="30" t="n">
        <v>41.1306</v>
      </c>
      <c r="F130" s="30" t="n">
        <v>278.4824</v>
      </c>
      <c r="G130" s="30" t="n">
        <v>10398.0584</v>
      </c>
    </row>
    <row r="131" customFormat="false" ht="15" hidden="false" customHeight="false" outlineLevel="0" collapsed="false">
      <c r="A131" s="11" t="s">
        <v>1480</v>
      </c>
      <c r="C131" s="30" t="n">
        <v>581.8431</v>
      </c>
      <c r="D131" s="30" t="n">
        <v>2866.9338</v>
      </c>
      <c r="E131" s="30" t="n">
        <v>27.4863</v>
      </c>
      <c r="F131" s="30" t="n">
        <v>71.1758</v>
      </c>
      <c r="G131" s="30" t="n">
        <v>3547.4389</v>
      </c>
    </row>
    <row r="132" customFormat="false" ht="15" hidden="false" customHeight="false" outlineLevel="0" collapsed="false">
      <c r="A132" s="11" t="s">
        <v>1481</v>
      </c>
      <c r="C132" s="30" t="n">
        <v>141.4019</v>
      </c>
      <c r="D132" s="30" t="n">
        <v>543.604</v>
      </c>
      <c r="E132" s="30" t="n">
        <v>4.0803</v>
      </c>
      <c r="F132" s="30" t="n">
        <v>25.5411</v>
      </c>
      <c r="G132" s="30" t="n">
        <v>714.6272</v>
      </c>
    </row>
    <row r="133" customFormat="false" ht="15" hidden="false" customHeight="false" outlineLevel="0" collapsed="false">
      <c r="A133" s="11" t="s">
        <v>1482</v>
      </c>
      <c r="C133" s="30" t="n">
        <v>140.1938</v>
      </c>
      <c r="D133" s="30" t="n">
        <v>541.9717</v>
      </c>
      <c r="E133" s="30" t="n">
        <v>4.0212</v>
      </c>
      <c r="F133" s="30" t="n">
        <v>25.2434</v>
      </c>
      <c r="G133" s="30" t="n">
        <v>711.4302</v>
      </c>
    </row>
    <row r="134" customFormat="false" ht="15" hidden="false" customHeight="false" outlineLevel="0" collapsed="false">
      <c r="A134" s="11" t="s">
        <v>1483</v>
      </c>
      <c r="C134" s="30" t="n">
        <v>1.208</v>
      </c>
      <c r="D134" s="30" t="n">
        <v>1.6323</v>
      </c>
      <c r="E134" s="30" t="n">
        <v>0.0591</v>
      </c>
      <c r="F134" s="30" t="n">
        <v>0.2976</v>
      </c>
      <c r="G134" s="30" t="n">
        <v>3.1971</v>
      </c>
    </row>
    <row r="135" customFormat="false" ht="15" hidden="false" customHeight="false" outlineLevel="0" collapsed="false">
      <c r="A135" s="11" t="s">
        <v>1484</v>
      </c>
      <c r="D135" s="30" t="n">
        <v>66.7338</v>
      </c>
      <c r="E135" s="30" t="n">
        <v>5.3149</v>
      </c>
      <c r="F135" s="30" t="n">
        <v>0.9606</v>
      </c>
      <c r="G135" s="30" t="n">
        <v>73.0093</v>
      </c>
    </row>
    <row r="136" customFormat="false" ht="15" hidden="false" customHeight="false" outlineLevel="0" collapsed="false">
      <c r="A136" s="11" t="s">
        <v>1485</v>
      </c>
      <c r="D136" s="30" t="n">
        <v>66.7338</v>
      </c>
      <c r="E136" s="30" t="n">
        <v>5.3149</v>
      </c>
      <c r="F136" s="30" t="n">
        <v>0.9606</v>
      </c>
      <c r="G136" s="30" t="n">
        <v>73.0093</v>
      </c>
    </row>
    <row r="137" customFormat="false" ht="15" hidden="false" customHeight="false" outlineLevel="0" collapsed="false">
      <c r="A137" s="11" t="s">
        <v>1487</v>
      </c>
      <c r="C137" s="30" t="n">
        <v>723.245</v>
      </c>
      <c r="D137" s="30" t="n">
        <v>3343.804</v>
      </c>
      <c r="E137" s="30" t="n">
        <v>26.2516</v>
      </c>
      <c r="F137" s="30" t="n">
        <v>95.7562</v>
      </c>
      <c r="G137" s="30" t="n">
        <v>4189.0568</v>
      </c>
    </row>
    <row r="138" customFormat="false" ht="15" hidden="false" customHeight="false" outlineLevel="0" collapsed="false">
      <c r="A138" s="11" t="s">
        <v>1488</v>
      </c>
      <c r="C138" s="30" t="n">
        <v>0.1347</v>
      </c>
      <c r="D138" s="30" t="n">
        <v>19.5123</v>
      </c>
      <c r="G138" s="30" t="n">
        <v>19.647</v>
      </c>
    </row>
    <row r="139" customFormat="false" ht="15" hidden="false" customHeight="false" outlineLevel="0" collapsed="false">
      <c r="A139" s="11" t="s">
        <v>1489</v>
      </c>
    </row>
    <row r="140" customFormat="false" ht="15" hidden="false" customHeight="false" outlineLevel="0" collapsed="false">
      <c r="A140" s="11" t="s">
        <v>1490</v>
      </c>
      <c r="D140" s="30" t="n">
        <v>0.1861</v>
      </c>
      <c r="G140" s="30" t="n">
        <v>0.1861</v>
      </c>
    </row>
    <row r="141" customFormat="false" ht="15" hidden="false" customHeight="false" outlineLevel="0" collapsed="false">
      <c r="A141" s="11" t="s">
        <v>1491</v>
      </c>
      <c r="C141" s="30" t="n">
        <v>0.1347</v>
      </c>
      <c r="D141" s="30" t="n">
        <v>19.3262</v>
      </c>
      <c r="G141" s="30" t="n">
        <v>19.4609</v>
      </c>
    </row>
    <row r="142" customFormat="false" ht="15" hidden="false" customHeight="false" outlineLevel="0" collapsed="false">
      <c r="A142" s="11" t="s">
        <v>1492</v>
      </c>
      <c r="C142" s="30" t="n">
        <v>2354.4415</v>
      </c>
      <c r="D142" s="30" t="n">
        <v>3637.494</v>
      </c>
      <c r="E142" s="30" t="n">
        <v>14.8789</v>
      </c>
      <c r="F142" s="30" t="n">
        <v>182.7262</v>
      </c>
      <c r="G142" s="30" t="n">
        <v>6189.5406</v>
      </c>
    </row>
    <row r="143" customFormat="false" ht="15" hidden="false" customHeight="false" outlineLevel="0" collapsed="false">
      <c r="A143" s="11" t="s">
        <v>1493</v>
      </c>
      <c r="C143" s="30" t="n">
        <v>2154.0702</v>
      </c>
      <c r="D143" s="30" t="n">
        <v>3463.9168</v>
      </c>
      <c r="E143" s="30" t="n">
        <v>17.1387</v>
      </c>
      <c r="F143" s="30" t="n">
        <v>98.6615</v>
      </c>
      <c r="G143" s="30" t="n">
        <v>5733.7872</v>
      </c>
    </row>
    <row r="145" customFormat="false" ht="15" hidden="false" customHeight="false" outlineLevel="0" collapsed="false">
      <c r="A145" s="3" t="s">
        <v>1504</v>
      </c>
    </row>
    <row r="146" customFormat="false" ht="15" hidden="false" customHeight="false" outlineLevel="0" collapsed="false">
      <c r="A146" s="2" t="s">
        <v>1505</v>
      </c>
    </row>
    <row r="147" customFormat="false" ht="15" hidden="false" customHeight="false" outlineLevel="0" collapsed="false">
      <c r="A147" s="90" t="s">
        <v>86</v>
      </c>
      <c r="B147" s="130"/>
      <c r="C147" s="130" t="s">
        <v>778</v>
      </c>
      <c r="D147" s="130" t="s">
        <v>790</v>
      </c>
      <c r="E147" s="130" t="s">
        <v>791</v>
      </c>
      <c r="F147" s="130" t="s">
        <v>792</v>
      </c>
      <c r="G147" s="130" t="s">
        <v>1470</v>
      </c>
    </row>
    <row r="148" customFormat="false" ht="15" hidden="false" customHeight="false" outlineLevel="0" collapsed="false">
      <c r="A148" s="11" t="s">
        <v>1471</v>
      </c>
      <c r="C148" s="30" t="n">
        <v>3077.8211</v>
      </c>
      <c r="D148" s="30" t="n">
        <v>7000.6243</v>
      </c>
      <c r="E148" s="30" t="n">
        <v>41.1306</v>
      </c>
      <c r="F148" s="30" t="n">
        <v>278.4824</v>
      </c>
      <c r="G148" s="30" t="n">
        <v>10398.0584</v>
      </c>
    </row>
    <row r="149" customFormat="false" ht="15" hidden="false" customHeight="false" outlineLevel="0" collapsed="false">
      <c r="A149" s="11" t="s">
        <v>1472</v>
      </c>
      <c r="C149" s="30" t="n">
        <v>27.0454</v>
      </c>
      <c r="D149" s="30" t="n">
        <v>261.4486</v>
      </c>
      <c r="E149" s="30" t="n">
        <v>0.7659</v>
      </c>
      <c r="F149" s="30" t="n">
        <v>29.2597</v>
      </c>
      <c r="G149" s="30" t="n">
        <v>318.5196</v>
      </c>
    </row>
    <row r="150" customFormat="false" ht="15" hidden="false" customHeight="false" outlineLevel="0" collapsed="false">
      <c r="A150" s="11" t="s">
        <v>1473</v>
      </c>
      <c r="D150" s="30" t="n">
        <v>105.0567</v>
      </c>
      <c r="E150" s="30" t="n">
        <v>0.8739</v>
      </c>
      <c r="F150" s="30" t="n">
        <v>20.4674</v>
      </c>
      <c r="G150" s="30" t="n">
        <v>126.3981</v>
      </c>
    </row>
    <row r="151" customFormat="false" ht="15" hidden="false" customHeight="false" outlineLevel="0" collapsed="false">
      <c r="A151" s="11" t="s">
        <v>1474</v>
      </c>
      <c r="C151" s="30" t="n">
        <v>39.6993</v>
      </c>
      <c r="D151" s="30" t="n">
        <v>164.4004</v>
      </c>
      <c r="E151" s="30" t="n">
        <v>0.1113</v>
      </c>
      <c r="F151" s="30" t="n">
        <v>9.4841</v>
      </c>
      <c r="G151" s="30" t="n">
        <v>213.6951</v>
      </c>
    </row>
    <row r="152" customFormat="false" ht="15" hidden="false" customHeight="false" outlineLevel="0" collapsed="false">
      <c r="A152" s="11" t="s">
        <v>1475</v>
      </c>
      <c r="C152" s="30" t="n">
        <v>-12.6539</v>
      </c>
      <c r="D152" s="30" t="n">
        <v>-8.0085</v>
      </c>
      <c r="E152" s="30" t="n">
        <v>-0.2194</v>
      </c>
      <c r="F152" s="30" t="n">
        <v>-0.6918</v>
      </c>
      <c r="G152" s="30" t="n">
        <v>-21.5735</v>
      </c>
    </row>
    <row r="153" customFormat="false" ht="15" hidden="false" customHeight="false" outlineLevel="0" collapsed="false">
      <c r="A153" s="11" t="s">
        <v>1476</v>
      </c>
      <c r="C153" s="30" t="n">
        <v>44.8322</v>
      </c>
      <c r="D153" s="30" t="n">
        <v>72.1</v>
      </c>
      <c r="E153" s="30" t="n">
        <v>1.3364</v>
      </c>
      <c r="F153" s="30" t="n">
        <v>0.9173</v>
      </c>
      <c r="G153" s="30" t="n">
        <v>119.1859</v>
      </c>
    </row>
    <row r="154" customFormat="false" ht="15" hidden="false" customHeight="false" outlineLevel="0" collapsed="false">
      <c r="A154" s="11" t="s">
        <v>1477</v>
      </c>
      <c r="C154" s="30" t="n">
        <v>44.8322</v>
      </c>
      <c r="D154" s="30" t="n">
        <v>72.1</v>
      </c>
      <c r="E154" s="30" t="n">
        <v>1.3364</v>
      </c>
      <c r="F154" s="30" t="n">
        <v>0.9173</v>
      </c>
      <c r="G154" s="30" t="n">
        <v>119.1859</v>
      </c>
    </row>
    <row r="155" customFormat="false" ht="15" hidden="false" customHeight="false" outlineLevel="0" collapsed="false">
      <c r="A155" s="11" t="s">
        <v>1479</v>
      </c>
      <c r="C155" s="30" t="n">
        <v>3060.0343</v>
      </c>
      <c r="D155" s="30" t="n">
        <v>7189.9729</v>
      </c>
      <c r="E155" s="30" t="n">
        <v>40.5601</v>
      </c>
      <c r="F155" s="30" t="n">
        <v>306.8248</v>
      </c>
      <c r="G155" s="30" t="n">
        <v>10597.3921</v>
      </c>
    </row>
    <row r="156" customFormat="false" ht="15" hidden="false" customHeight="false" outlineLevel="0" collapsed="false">
      <c r="A156" s="11" t="s">
        <v>1480</v>
      </c>
      <c r="C156" s="30" t="n">
        <v>723.245</v>
      </c>
      <c r="D156" s="30" t="n">
        <v>3343.804</v>
      </c>
      <c r="E156" s="30" t="n">
        <v>26.2516</v>
      </c>
      <c r="F156" s="30" t="n">
        <v>95.7562</v>
      </c>
      <c r="G156" s="30" t="n">
        <v>4189.0568</v>
      </c>
    </row>
    <row r="157" customFormat="false" ht="15" hidden="false" customHeight="false" outlineLevel="0" collapsed="false">
      <c r="A157" s="11" t="s">
        <v>1481</v>
      </c>
      <c r="C157" s="30" t="n">
        <v>73.7689</v>
      </c>
      <c r="D157" s="30" t="n">
        <v>292.7868</v>
      </c>
      <c r="E157" s="30" t="n">
        <v>1.8936</v>
      </c>
      <c r="F157" s="30" t="n">
        <v>16.5538</v>
      </c>
      <c r="G157" s="30" t="n">
        <v>385.0031</v>
      </c>
    </row>
    <row r="158" customFormat="false" ht="15" hidden="false" customHeight="false" outlineLevel="0" collapsed="false">
      <c r="A158" s="11" t="s">
        <v>1482</v>
      </c>
      <c r="C158" s="30" t="n">
        <v>75.3263</v>
      </c>
      <c r="D158" s="30" t="n">
        <v>295.1099</v>
      </c>
      <c r="E158" s="30" t="n">
        <v>1.9769</v>
      </c>
      <c r="F158" s="30" t="n">
        <v>17.0281</v>
      </c>
      <c r="G158" s="30" t="n">
        <v>389.4412</v>
      </c>
    </row>
    <row r="159" customFormat="false" ht="15" hidden="false" customHeight="false" outlineLevel="0" collapsed="false">
      <c r="A159" s="11" t="s">
        <v>1483</v>
      </c>
      <c r="C159" s="30" t="n">
        <v>-1.5574</v>
      </c>
      <c r="D159" s="30" t="n">
        <v>-2.3231</v>
      </c>
      <c r="E159" s="30" t="n">
        <v>-0.0833</v>
      </c>
      <c r="F159" s="30" t="n">
        <v>-0.4743</v>
      </c>
      <c r="G159" s="30" t="n">
        <v>-4.4382</v>
      </c>
    </row>
    <row r="160" customFormat="false" ht="15" hidden="false" customHeight="false" outlineLevel="0" collapsed="false">
      <c r="A160" s="11" t="s">
        <v>1484</v>
      </c>
      <c r="C160" s="30" t="n">
        <v>37.1117</v>
      </c>
      <c r="D160" s="30" t="n">
        <v>59.973</v>
      </c>
      <c r="E160" s="30" t="n">
        <v>1.186</v>
      </c>
      <c r="F160" s="30" t="n">
        <v>0.3574</v>
      </c>
      <c r="G160" s="30" t="n">
        <v>98.6282</v>
      </c>
    </row>
    <row r="161" customFormat="false" ht="15" hidden="false" customHeight="false" outlineLevel="0" collapsed="false">
      <c r="A161" s="11" t="s">
        <v>1485</v>
      </c>
      <c r="C161" s="30" t="n">
        <v>37.1117</v>
      </c>
      <c r="D161" s="30" t="n">
        <v>59.973</v>
      </c>
      <c r="E161" s="30" t="n">
        <v>1.186</v>
      </c>
      <c r="F161" s="30" t="n">
        <v>0.3574</v>
      </c>
      <c r="G161" s="30" t="n">
        <v>98.6282</v>
      </c>
    </row>
    <row r="162" customFormat="false" ht="15" hidden="false" customHeight="false" outlineLevel="0" collapsed="false">
      <c r="A162" s="11" t="s">
        <v>1487</v>
      </c>
      <c r="C162" s="30" t="n">
        <v>759.9021</v>
      </c>
      <c r="D162" s="30" t="n">
        <v>3576.6178</v>
      </c>
      <c r="E162" s="30" t="n">
        <v>26.9592</v>
      </c>
      <c r="F162" s="30" t="n">
        <v>111.9526</v>
      </c>
      <c r="G162" s="30" t="n">
        <v>4475.4317</v>
      </c>
    </row>
    <row r="163" customFormat="false" ht="15" hidden="false" customHeight="false" outlineLevel="0" collapsed="false">
      <c r="A163" s="11" t="s">
        <v>1488</v>
      </c>
      <c r="C163" s="30" t="n">
        <v>0.1347</v>
      </c>
      <c r="D163" s="30" t="n">
        <v>19.3262</v>
      </c>
      <c r="G163" s="30" t="n">
        <v>19.4609</v>
      </c>
    </row>
    <row r="164" customFormat="false" ht="15" hidden="false" customHeight="false" outlineLevel="0" collapsed="false">
      <c r="A164" s="11" t="s">
        <v>1489</v>
      </c>
      <c r="D164" s="30" t="n">
        <v>19.4406</v>
      </c>
      <c r="G164" s="30" t="n">
        <v>19.4406</v>
      </c>
    </row>
    <row r="165" customFormat="false" ht="15" hidden="false" customHeight="false" outlineLevel="0" collapsed="false">
      <c r="A165" s="11" t="s">
        <v>1490</v>
      </c>
      <c r="D165" s="30" t="n">
        <v>5.6249</v>
      </c>
      <c r="G165" s="30" t="n">
        <v>5.6249</v>
      </c>
    </row>
    <row r="166" customFormat="false" ht="15" hidden="false" customHeight="false" outlineLevel="0" collapsed="false">
      <c r="A166" s="11" t="s">
        <v>1491</v>
      </c>
      <c r="C166" s="30" t="n">
        <v>0.1347</v>
      </c>
      <c r="D166" s="30" t="n">
        <v>33.1419</v>
      </c>
      <c r="G166" s="30" t="n">
        <v>33.2765</v>
      </c>
    </row>
    <row r="167" customFormat="false" ht="15" hidden="false" customHeight="false" outlineLevel="0" collapsed="false">
      <c r="A167" s="11" t="s">
        <v>1492</v>
      </c>
      <c r="C167" s="30" t="n">
        <v>2299.9975</v>
      </c>
      <c r="D167" s="30" t="n">
        <v>3580.2133</v>
      </c>
      <c r="E167" s="30" t="n">
        <v>13.6009</v>
      </c>
      <c r="F167" s="30" t="n">
        <v>194.8722</v>
      </c>
      <c r="G167" s="30" t="n">
        <v>6088.6838</v>
      </c>
    </row>
    <row r="168" customFormat="false" ht="15" hidden="false" customHeight="false" outlineLevel="0" collapsed="false">
      <c r="A168" s="11" t="s">
        <v>1493</v>
      </c>
      <c r="C168" s="30" t="n">
        <v>2354.4415</v>
      </c>
      <c r="D168" s="30" t="n">
        <v>3637.494</v>
      </c>
      <c r="E168" s="30" t="n">
        <v>14.8789</v>
      </c>
      <c r="F168" s="30" t="n">
        <v>182.7262</v>
      </c>
      <c r="G168" s="30" t="n">
        <v>6189.5406</v>
      </c>
    </row>
    <row r="170" customFormat="false" ht="15" hidden="false" customHeight="false" outlineLevel="0" collapsed="false">
      <c r="A170" s="3" t="s">
        <v>1506</v>
      </c>
    </row>
    <row r="171" customFormat="false" ht="15" hidden="false" customHeight="false" outlineLevel="0" collapsed="false">
      <c r="A171" s="2" t="s">
        <v>1507</v>
      </c>
    </row>
    <row r="172" customFormat="false" ht="15" hidden="false" customHeight="false" outlineLevel="0" collapsed="false">
      <c r="A172" s="90" t="s">
        <v>86</v>
      </c>
      <c r="B172" s="130"/>
      <c r="C172" s="91" t="s">
        <v>1450</v>
      </c>
      <c r="D172" s="91" t="s">
        <v>1451</v>
      </c>
      <c r="E172" s="91" t="s">
        <v>1452</v>
      </c>
      <c r="F172" s="91" t="s">
        <v>1272</v>
      </c>
    </row>
    <row r="173" customFormat="false" ht="15" hidden="false" customHeight="false" outlineLevel="0" collapsed="false">
      <c r="A173" s="11" t="s">
        <v>1508</v>
      </c>
      <c r="C173" s="30" t="n">
        <v>99.6132</v>
      </c>
      <c r="D173" s="30" t="n">
        <v>60.6473</v>
      </c>
      <c r="E173" s="30" t="n">
        <v>0.4995</v>
      </c>
      <c r="F173" s="30" t="n">
        <v>0.1601</v>
      </c>
    </row>
    <row r="174" customFormat="false" ht="15" hidden="false" customHeight="false" outlineLevel="0" collapsed="false">
      <c r="A174" s="11" t="s">
        <v>1509</v>
      </c>
      <c r="C174" s="30" t="n">
        <v>1.3419</v>
      </c>
      <c r="D174" s="30" t="n">
        <v>1.5359</v>
      </c>
      <c r="E174" s="30" t="n">
        <v>7.7491</v>
      </c>
      <c r="F174" s="30" t="n">
        <v>1.8049</v>
      </c>
    </row>
    <row r="175" customFormat="false" ht="15" hidden="false" customHeight="false" outlineLevel="0" collapsed="false">
      <c r="A175" s="11" t="s">
        <v>1510</v>
      </c>
      <c r="C175" s="30" t="n">
        <v>330.4143</v>
      </c>
      <c r="D175" s="30" t="n">
        <v>428.4453</v>
      </c>
      <c r="E175" s="30" t="n">
        <v>399.543</v>
      </c>
      <c r="F175" s="30" t="n">
        <v>399.6481</v>
      </c>
    </row>
    <row r="176" customFormat="false" ht="15" hidden="false" customHeight="false" outlineLevel="0" collapsed="false">
      <c r="A176" s="11" t="s">
        <v>1511</v>
      </c>
      <c r="C176" s="30" t="n">
        <v>245.5322</v>
      </c>
      <c r="E176" s="30" t="n">
        <v>1.1155</v>
      </c>
      <c r="F176" s="30" t="n">
        <v>1.1155</v>
      </c>
    </row>
    <row r="177" customFormat="false" ht="15" hidden="false" customHeight="false" outlineLevel="0" collapsed="false">
      <c r="A177" s="11" t="s">
        <v>1512</v>
      </c>
      <c r="C177" s="30" t="n">
        <v>6.7855</v>
      </c>
      <c r="D177" s="30" t="n">
        <v>100.2978</v>
      </c>
      <c r="E177" s="30" t="n">
        <v>0.5346</v>
      </c>
      <c r="F177" s="30" t="n">
        <v>0.2439</v>
      </c>
    </row>
    <row r="178" customFormat="false" ht="15" hidden="false" customHeight="false" outlineLevel="0" collapsed="false">
      <c r="A178" s="4" t="s">
        <v>1513</v>
      </c>
      <c r="C178" s="30" t="n">
        <v>6.6162</v>
      </c>
      <c r="D178" s="30" t="n">
        <v>8.641</v>
      </c>
      <c r="E178" s="30" t="n">
        <v>8.4026</v>
      </c>
      <c r="F178" s="30" t="n">
        <v>9.4454</v>
      </c>
    </row>
    <row r="179" customFormat="false" ht="15" hidden="false" customHeight="false" outlineLevel="0" collapsed="false">
      <c r="A179" s="4" t="s">
        <v>1514</v>
      </c>
      <c r="C179" s="30" t="n">
        <v>0.2352</v>
      </c>
      <c r="D179" s="30" t="n">
        <v>67.9976</v>
      </c>
      <c r="E179" s="30" t="n">
        <v>23.0019</v>
      </c>
      <c r="F179" s="30" t="n">
        <v>16.7055</v>
      </c>
    </row>
    <row r="180" customFormat="false" ht="15" hidden="false" customHeight="false" outlineLevel="0" collapsed="false">
      <c r="A180" s="11" t="s">
        <v>1515</v>
      </c>
      <c r="D180" s="30" t="n">
        <v>13.6379</v>
      </c>
      <c r="E180" s="30" t="n">
        <v>92.2823</v>
      </c>
      <c r="F180" s="30" t="n">
        <v>105.4918</v>
      </c>
    </row>
    <row r="181" customFormat="false" ht="15" hidden="false" customHeight="false" outlineLevel="0" collapsed="false">
      <c r="A181" s="11" t="s">
        <v>1516</v>
      </c>
      <c r="E181" s="30" t="n">
        <v>60.5364</v>
      </c>
      <c r="F181" s="30" t="n">
        <v>1.5868</v>
      </c>
    </row>
    <row r="182" customFormat="false" ht="15" hidden="false" customHeight="false" outlineLevel="0" collapsed="false">
      <c r="A182" s="11" t="s">
        <v>1470</v>
      </c>
      <c r="C182" s="30" t="n">
        <v>690.5385</v>
      </c>
      <c r="D182" s="30" t="n">
        <v>681.2029</v>
      </c>
      <c r="E182" s="30" t="n">
        <v>593.6648</v>
      </c>
      <c r="F182" s="30" t="n">
        <v>536.202</v>
      </c>
    </row>
    <row r="184" customFormat="false" ht="15" hidden="false" customHeight="false" outlineLevel="0" collapsed="false">
      <c r="A184" s="3" t="s">
        <v>1517</v>
      </c>
    </row>
    <row r="185" customFormat="false" ht="15" hidden="false" customHeight="false" outlineLevel="0" collapsed="false">
      <c r="A185" s="2" t="s">
        <v>1518</v>
      </c>
    </row>
    <row r="186" customFormat="false" ht="15" hidden="false" customHeight="false" outlineLevel="0" collapsed="false">
      <c r="A186" s="90" t="s">
        <v>86</v>
      </c>
      <c r="B186" s="130"/>
      <c r="C186" s="91" t="s">
        <v>1452</v>
      </c>
      <c r="D186" s="91" t="s">
        <v>1453</v>
      </c>
      <c r="E186" s="91" t="s">
        <v>1273</v>
      </c>
    </row>
    <row r="187" customFormat="false" ht="15" hidden="false" customHeight="false" outlineLevel="0" collapsed="false">
      <c r="A187" s="11" t="s">
        <v>1510</v>
      </c>
      <c r="C187" s="30" t="n">
        <v>399.543</v>
      </c>
      <c r="D187" s="30" t="n">
        <v>354.5874</v>
      </c>
      <c r="E187" s="30" t="n">
        <v>769.5485</v>
      </c>
    </row>
    <row r="188" customFormat="false" ht="15" hidden="false" customHeight="false" outlineLevel="0" collapsed="false">
      <c r="A188" s="11" t="s">
        <v>1519</v>
      </c>
      <c r="C188" s="30" t="n">
        <v>194.1218</v>
      </c>
      <c r="D188" s="30" t="n">
        <v>45.5872</v>
      </c>
      <c r="E188" s="30" t="n">
        <v>78.8253</v>
      </c>
    </row>
    <row r="189" customFormat="false" ht="15" hidden="false" customHeight="false" outlineLevel="0" collapsed="false">
      <c r="A189" s="11" t="s">
        <v>1470</v>
      </c>
      <c r="C189" s="30" t="n">
        <v>593.6648</v>
      </c>
      <c r="D189" s="30" t="n">
        <v>400.1746</v>
      </c>
      <c r="E189" s="30" t="n">
        <v>848.3738</v>
      </c>
    </row>
    <row r="191" customFormat="false" ht="15" hidden="false" customHeight="false" outlineLevel="0" collapsed="false">
      <c r="A191" s="3" t="s">
        <v>1520</v>
      </c>
    </row>
    <row r="192" customFormat="false" ht="15" hidden="false" customHeight="false" outlineLevel="0" collapsed="false">
      <c r="A192" s="2" t="s">
        <v>1521</v>
      </c>
    </row>
    <row r="193" customFormat="false" ht="15" hidden="false" customHeight="false" outlineLevel="0" collapsed="false">
      <c r="A193" s="90" t="s">
        <v>86</v>
      </c>
      <c r="B193" s="130"/>
      <c r="C193" s="130" t="s">
        <v>1522</v>
      </c>
      <c r="D193" s="130" t="s">
        <v>772</v>
      </c>
      <c r="E193" s="130" t="s">
        <v>1523</v>
      </c>
      <c r="F193" s="130" t="s">
        <v>1524</v>
      </c>
      <c r="G193" s="130" t="s">
        <v>1525</v>
      </c>
      <c r="H193" s="130" t="s">
        <v>775</v>
      </c>
      <c r="I193" s="130" t="s">
        <v>1526</v>
      </c>
      <c r="J193" s="130" t="s">
        <v>1527</v>
      </c>
    </row>
    <row r="194" customFormat="false" ht="15" hidden="false" customHeight="false" outlineLevel="0" collapsed="false">
      <c r="A194" s="11" t="s">
        <v>1528</v>
      </c>
      <c r="C194" s="30" t="n">
        <v>848.7048</v>
      </c>
      <c r="D194" s="30" t="n">
        <v>99.6132</v>
      </c>
      <c r="E194" s="30" t="n">
        <v>26.8646</v>
      </c>
      <c r="F194" s="30" t="n">
        <v>65.8305</v>
      </c>
      <c r="H194" s="30" t="n">
        <v>60.6473</v>
      </c>
      <c r="I194" s="131" t="n">
        <v>91.18</v>
      </c>
      <c r="J194" s="131" t="n">
        <v>91.18</v>
      </c>
    </row>
    <row r="195" customFormat="false" ht="15" hidden="false" customHeight="false" outlineLevel="0" collapsed="false">
      <c r="A195" s="11" t="s">
        <v>1529</v>
      </c>
      <c r="C195" s="30" t="n">
        <v>360</v>
      </c>
      <c r="D195" s="30" t="n">
        <v>245.5322</v>
      </c>
      <c r="E195" s="30" t="n">
        <v>114.2889</v>
      </c>
      <c r="F195" s="30" t="n">
        <v>359.8212</v>
      </c>
      <c r="I195" s="131" t="n">
        <v>100</v>
      </c>
      <c r="J195" s="131" t="n">
        <v>100</v>
      </c>
    </row>
    <row r="196" customFormat="false" ht="15" hidden="false" customHeight="false" outlineLevel="0" collapsed="false">
      <c r="A196" s="4" t="s">
        <v>1530</v>
      </c>
      <c r="C196" s="30" t="n">
        <v>83</v>
      </c>
      <c r="D196" s="30" t="n">
        <v>0.2352</v>
      </c>
      <c r="E196" s="30" t="n">
        <v>67.7623</v>
      </c>
      <c r="H196" s="30" t="n">
        <v>67.9976</v>
      </c>
      <c r="I196" s="131" t="n">
        <v>81.92</v>
      </c>
      <c r="J196" s="131" t="n">
        <v>81.92</v>
      </c>
    </row>
    <row r="197" customFormat="false" ht="15" hidden="false" customHeight="false" outlineLevel="0" collapsed="false">
      <c r="A197" s="11" t="s">
        <v>1531</v>
      </c>
      <c r="C197" s="30" t="n">
        <v>160</v>
      </c>
      <c r="E197" s="30" t="n">
        <v>13.6379</v>
      </c>
      <c r="H197" s="30" t="n">
        <v>13.6379</v>
      </c>
      <c r="I197" s="131" t="n">
        <v>8.52</v>
      </c>
      <c r="J197" s="131" t="n">
        <v>8.52</v>
      </c>
    </row>
    <row r="198" customFormat="false" ht="15" hidden="false" customHeight="false" outlineLevel="0" collapsed="false">
      <c r="A198" s="11" t="s">
        <v>1532</v>
      </c>
      <c r="C198" s="30" t="n">
        <v>200</v>
      </c>
      <c r="D198" s="30" t="n">
        <v>6.7855</v>
      </c>
      <c r="E198" s="30" t="n">
        <v>93.5123</v>
      </c>
      <c r="H198" s="30" t="n">
        <v>100.2978</v>
      </c>
      <c r="I198" s="131" t="n">
        <v>50.15</v>
      </c>
      <c r="J198" s="131" t="n">
        <v>50.15</v>
      </c>
    </row>
    <row r="199" customFormat="false" ht="15" hidden="false" customHeight="false" outlineLevel="0" collapsed="false">
      <c r="A199" s="11" t="s">
        <v>1470</v>
      </c>
      <c r="C199" s="30" t="n">
        <v>1651.7048</v>
      </c>
      <c r="D199" s="30" t="n">
        <v>352.1662</v>
      </c>
      <c r="E199" s="30" t="n">
        <v>316.0661</v>
      </c>
      <c r="F199" s="30" t="n">
        <v>425.6517</v>
      </c>
      <c r="H199" s="30" t="n">
        <v>242.5806</v>
      </c>
    </row>
    <row r="201" customFormat="false" ht="15" hidden="false" customHeight="false" outlineLevel="0" collapsed="false">
      <c r="A201" s="3" t="s">
        <v>1533</v>
      </c>
    </row>
    <row r="202" customFormat="false" ht="15" hidden="false" customHeight="false" outlineLevel="0" collapsed="false">
      <c r="A202" s="2" t="s">
        <v>1534</v>
      </c>
    </row>
    <row r="203" customFormat="false" ht="15" hidden="false" customHeight="false" outlineLevel="0" collapsed="false">
      <c r="A203" s="90" t="s">
        <v>86</v>
      </c>
      <c r="B203" s="130"/>
      <c r="C203" s="130" t="s">
        <v>1522</v>
      </c>
      <c r="D203" s="130" t="s">
        <v>772</v>
      </c>
      <c r="E203" s="130" t="s">
        <v>1523</v>
      </c>
      <c r="F203" s="130" t="s">
        <v>1524</v>
      </c>
      <c r="G203" s="130" t="s">
        <v>1525</v>
      </c>
      <c r="H203" s="130" t="s">
        <v>775</v>
      </c>
      <c r="I203" s="130" t="s">
        <v>1526</v>
      </c>
      <c r="J203" s="130" t="s">
        <v>1527</v>
      </c>
    </row>
    <row r="204" customFormat="false" ht="15" hidden="false" customHeight="false" outlineLevel="0" collapsed="false">
      <c r="A204" s="11" t="s">
        <v>1535</v>
      </c>
      <c r="C204" s="30" t="n">
        <v>130</v>
      </c>
      <c r="D204" s="30" t="n">
        <v>13.6379</v>
      </c>
      <c r="E204" s="30" t="n">
        <v>78.6444</v>
      </c>
      <c r="H204" s="30" t="n">
        <v>92.2823</v>
      </c>
      <c r="I204" s="131" t="n">
        <v>70.99</v>
      </c>
      <c r="J204" s="131" t="n">
        <v>70.99</v>
      </c>
    </row>
    <row r="205" customFormat="false" ht="15" hidden="false" customHeight="false" outlineLevel="0" collapsed="false">
      <c r="A205" s="11" t="s">
        <v>1532</v>
      </c>
      <c r="C205" s="30" t="n">
        <v>200</v>
      </c>
      <c r="D205" s="30" t="n">
        <v>100.2978</v>
      </c>
      <c r="E205" s="30" t="n">
        <v>80.7586</v>
      </c>
      <c r="F205" s="30" t="n">
        <v>138.0325</v>
      </c>
      <c r="G205" s="30" t="n">
        <v>42.4892</v>
      </c>
      <c r="H205" s="30" t="n">
        <v>0.5346</v>
      </c>
      <c r="I205" s="131" t="n">
        <v>90.53</v>
      </c>
      <c r="J205" s="131" t="n">
        <v>90.53</v>
      </c>
    </row>
    <row r="206" customFormat="false" ht="15" hidden="false" customHeight="false" outlineLevel="0" collapsed="false">
      <c r="A206" s="11" t="s">
        <v>1528</v>
      </c>
      <c r="C206" s="30" t="n">
        <v>888.9828</v>
      </c>
      <c r="D206" s="30" t="n">
        <v>60.6473</v>
      </c>
      <c r="E206" s="30" t="n">
        <v>86.3943</v>
      </c>
      <c r="F206" s="30" t="n">
        <v>146.5421</v>
      </c>
      <c r="H206" s="30" t="n">
        <v>0.4995</v>
      </c>
      <c r="I206" s="131" t="n">
        <v>99.94</v>
      </c>
      <c r="J206" s="131" t="n">
        <v>99.94</v>
      </c>
    </row>
    <row r="207" customFormat="false" ht="15" hidden="false" customHeight="false" outlineLevel="0" collapsed="false">
      <c r="A207" s="11" t="s">
        <v>1536</v>
      </c>
      <c r="C207" s="30" t="n">
        <v>180</v>
      </c>
      <c r="E207" s="30" t="n">
        <v>81.3277</v>
      </c>
      <c r="F207" s="30" t="n">
        <v>20.7914</v>
      </c>
      <c r="H207" s="30" t="n">
        <v>60.5364</v>
      </c>
      <c r="I207" s="131" t="n">
        <v>45.18</v>
      </c>
      <c r="J207" s="131" t="n">
        <v>45.18</v>
      </c>
    </row>
    <row r="208" customFormat="false" ht="15" hidden="false" customHeight="false" outlineLevel="0" collapsed="false">
      <c r="A208" s="4" t="s">
        <v>1530</v>
      </c>
      <c r="C208" s="30" t="n">
        <v>91</v>
      </c>
      <c r="D208" s="30" t="n">
        <v>67.9976</v>
      </c>
      <c r="E208" s="30" t="n">
        <v>22.9801</v>
      </c>
      <c r="F208" s="30" t="n">
        <v>67.9758</v>
      </c>
      <c r="H208" s="30" t="n">
        <v>23.0019</v>
      </c>
      <c r="I208" s="131" t="n">
        <v>99.98</v>
      </c>
      <c r="J208" s="131" t="n">
        <v>99.98</v>
      </c>
    </row>
    <row r="209" customFormat="false" ht="15" hidden="false" customHeight="false" outlineLevel="0" collapsed="false">
      <c r="A209" s="11" t="s">
        <v>1470</v>
      </c>
      <c r="C209" s="30" t="n">
        <v>1489.9829</v>
      </c>
      <c r="D209" s="30" t="n">
        <v>242.5806</v>
      </c>
      <c r="E209" s="30" t="n">
        <v>350.1051</v>
      </c>
      <c r="F209" s="30" t="n">
        <v>373.3417</v>
      </c>
      <c r="G209" s="30" t="n">
        <v>42.4892</v>
      </c>
      <c r="H209" s="30" t="n">
        <v>176.8547</v>
      </c>
    </row>
    <row r="211" customFormat="false" ht="15" hidden="false" customHeight="false" outlineLevel="0" collapsed="false">
      <c r="A211" s="3" t="s">
        <v>1537</v>
      </c>
    </row>
    <row r="212" customFormat="false" ht="15" hidden="false" customHeight="false" outlineLevel="0" collapsed="false">
      <c r="A212" s="2" t="s">
        <v>1538</v>
      </c>
    </row>
    <row r="213" customFormat="false" ht="15" hidden="false" customHeight="false" outlineLevel="0" collapsed="false">
      <c r="A213" s="90" t="s">
        <v>86</v>
      </c>
      <c r="B213" s="130"/>
      <c r="C213" s="130" t="s">
        <v>1522</v>
      </c>
      <c r="D213" s="130" t="s">
        <v>772</v>
      </c>
      <c r="E213" s="130" t="s">
        <v>1523</v>
      </c>
      <c r="F213" s="130" t="s">
        <v>1524</v>
      </c>
      <c r="G213" s="130" t="s">
        <v>1525</v>
      </c>
      <c r="H213" s="130" t="s">
        <v>775</v>
      </c>
      <c r="I213" s="130" t="s">
        <v>1526</v>
      </c>
      <c r="J213" s="130" t="s">
        <v>1527</v>
      </c>
    </row>
    <row r="214" customFormat="false" ht="15" hidden="false" customHeight="false" outlineLevel="0" collapsed="false">
      <c r="A214" s="11" t="s">
        <v>1535</v>
      </c>
      <c r="C214" s="30" t="n">
        <v>130</v>
      </c>
      <c r="D214" s="30" t="n">
        <v>92.2823</v>
      </c>
      <c r="E214" s="30" t="n">
        <v>13.2094</v>
      </c>
      <c r="H214" s="30" t="n">
        <v>105.4918</v>
      </c>
      <c r="I214" s="131" t="n">
        <v>81.15</v>
      </c>
      <c r="J214" s="131" t="n">
        <v>81.15</v>
      </c>
    </row>
    <row r="215" customFormat="false" ht="15" hidden="false" customHeight="false" outlineLevel="0" collapsed="false">
      <c r="A215" s="11" t="s">
        <v>1536</v>
      </c>
      <c r="C215" s="30" t="n">
        <v>180</v>
      </c>
      <c r="D215" s="30" t="n">
        <v>60.5364</v>
      </c>
      <c r="E215" s="30" t="n">
        <v>54.8799</v>
      </c>
      <c r="F215" s="30" t="n">
        <v>113.8295</v>
      </c>
      <c r="H215" s="30" t="n">
        <v>1.5868</v>
      </c>
      <c r="I215" s="131" t="n">
        <v>75.67</v>
      </c>
      <c r="J215" s="131" t="n">
        <v>75.67</v>
      </c>
    </row>
    <row r="216" customFormat="false" ht="15" hidden="false" customHeight="false" outlineLevel="0" collapsed="false">
      <c r="A216" s="4" t="s">
        <v>1530</v>
      </c>
      <c r="C216" s="30" t="n">
        <v>91</v>
      </c>
      <c r="D216" s="30" t="n">
        <v>23.0019</v>
      </c>
      <c r="F216" s="30" t="n">
        <v>6.2964</v>
      </c>
      <c r="H216" s="30" t="n">
        <v>16.7055</v>
      </c>
      <c r="I216" s="131" t="n">
        <v>99.98</v>
      </c>
      <c r="J216" s="131" t="n">
        <v>99.98</v>
      </c>
    </row>
    <row r="217" customFormat="false" ht="15" hidden="false" customHeight="false" outlineLevel="0" collapsed="false">
      <c r="A217" s="11" t="s">
        <v>1470</v>
      </c>
      <c r="C217" s="30" t="n">
        <v>401</v>
      </c>
      <c r="D217" s="30" t="n">
        <v>175.8206</v>
      </c>
      <c r="E217" s="30" t="n">
        <v>68.0894</v>
      </c>
      <c r="F217" s="30" t="n">
        <v>120.1259</v>
      </c>
      <c r="H217" s="30" t="n">
        <v>123.7841</v>
      </c>
    </row>
    <row r="219" customFormat="false" ht="15" hidden="false" customHeight="false" outlineLevel="0" collapsed="false">
      <c r="A219" s="3" t="s">
        <v>1539</v>
      </c>
    </row>
    <row r="220" customFormat="false" ht="15" hidden="false" customHeight="false" outlineLevel="0" collapsed="false">
      <c r="A220" s="2" t="s">
        <v>1540</v>
      </c>
    </row>
    <row r="221" customFormat="false" ht="15" hidden="false" customHeight="false" outlineLevel="0" collapsed="false">
      <c r="A221" s="90" t="s">
        <v>86</v>
      </c>
      <c r="B221" s="130"/>
      <c r="C221" s="130" t="s">
        <v>1522</v>
      </c>
      <c r="D221" s="130" t="s">
        <v>772</v>
      </c>
      <c r="E221" s="130" t="s">
        <v>1523</v>
      </c>
      <c r="F221" s="130" t="s">
        <v>1524</v>
      </c>
      <c r="G221" s="130" t="s">
        <v>1525</v>
      </c>
      <c r="H221" s="130" t="s">
        <v>775</v>
      </c>
      <c r="I221" s="130" t="s">
        <v>1526</v>
      </c>
      <c r="J221" s="130" t="s">
        <v>1527</v>
      </c>
    </row>
    <row r="222" customFormat="false" ht="15" hidden="false" customHeight="false" outlineLevel="0" collapsed="false">
      <c r="A222" s="11" t="s">
        <v>1535</v>
      </c>
      <c r="C222" s="30" t="n">
        <v>160</v>
      </c>
      <c r="D222" s="30" t="n">
        <v>92.2823</v>
      </c>
      <c r="E222" s="30" t="n">
        <v>59.3625</v>
      </c>
      <c r="F222" s="30" t="n">
        <v>151.009</v>
      </c>
      <c r="H222" s="30" t="n">
        <v>0.6359</v>
      </c>
      <c r="I222" s="131" t="n">
        <v>94.78</v>
      </c>
      <c r="J222" s="131" t="n">
        <v>94.78</v>
      </c>
    </row>
    <row r="223" customFormat="false" ht="15" hidden="false" customHeight="false" outlineLevel="0" collapsed="false">
      <c r="A223" s="11" t="s">
        <v>1541</v>
      </c>
      <c r="C223" s="30" t="n">
        <v>221.3145</v>
      </c>
      <c r="D223" s="30" t="n">
        <v>60.5364</v>
      </c>
      <c r="E223" s="30" t="n">
        <v>80.5741</v>
      </c>
      <c r="F223" s="30" t="n">
        <v>127.3076</v>
      </c>
      <c r="H223" s="30" t="n">
        <v>13.8029</v>
      </c>
      <c r="I223" s="131" t="n">
        <v>73.15</v>
      </c>
      <c r="J223" s="131" t="n">
        <v>73.15</v>
      </c>
    </row>
    <row r="224" customFormat="false" ht="15" hidden="false" customHeight="false" outlineLevel="0" collapsed="false">
      <c r="A224" s="4" t="s">
        <v>1530</v>
      </c>
      <c r="C224" s="30" t="n">
        <v>91</v>
      </c>
      <c r="D224" s="30" t="n">
        <v>23.0019</v>
      </c>
      <c r="E224" s="30" t="n">
        <v>0.7494</v>
      </c>
      <c r="F224" s="30" t="n">
        <v>0.1394</v>
      </c>
      <c r="H224" s="30" t="n">
        <v>23.6119</v>
      </c>
      <c r="I224" s="131" t="n">
        <v>100.8</v>
      </c>
      <c r="J224" s="131" t="n">
        <v>100</v>
      </c>
    </row>
    <row r="225" customFormat="false" ht="15" hidden="false" customHeight="false" outlineLevel="0" collapsed="false">
      <c r="A225" s="11" t="s">
        <v>1470</v>
      </c>
      <c r="C225" s="30" t="n">
        <v>472.3145</v>
      </c>
      <c r="D225" s="30" t="n">
        <v>175.8206</v>
      </c>
      <c r="E225" s="30" t="n">
        <v>140.6861</v>
      </c>
      <c r="F225" s="30" t="n">
        <v>278.456</v>
      </c>
      <c r="H225" s="30" t="n">
        <v>38.0507</v>
      </c>
    </row>
    <row r="227" customFormat="false" ht="15" hidden="false" customHeight="false" outlineLevel="0" collapsed="false">
      <c r="A227" s="3" t="s">
        <v>1542</v>
      </c>
    </row>
    <row r="228" customFormat="false" ht="15" hidden="false" customHeight="false" outlineLevel="0" collapsed="false">
      <c r="A228" s="2" t="s">
        <v>1543</v>
      </c>
    </row>
    <row r="229" customFormat="false" ht="15" hidden="false" customHeight="false" outlineLevel="0" collapsed="false">
      <c r="A229" s="90" t="s">
        <v>86</v>
      </c>
      <c r="B229" s="130"/>
      <c r="C229" s="130" t="s">
        <v>1522</v>
      </c>
      <c r="D229" s="130" t="s">
        <v>772</v>
      </c>
      <c r="E229" s="130" t="s">
        <v>1523</v>
      </c>
      <c r="F229" s="130" t="s">
        <v>1524</v>
      </c>
      <c r="G229" s="130" t="s">
        <v>1525</v>
      </c>
      <c r="H229" s="130" t="s">
        <v>775</v>
      </c>
      <c r="I229" s="130" t="s">
        <v>1526</v>
      </c>
      <c r="J229" s="130" t="s">
        <v>1527</v>
      </c>
    </row>
    <row r="230" customFormat="false" ht="15" hidden="false" customHeight="false" outlineLevel="0" collapsed="false">
      <c r="A230" s="11" t="s">
        <v>1544</v>
      </c>
      <c r="C230" s="30" t="n">
        <v>365</v>
      </c>
      <c r="D230" s="30" t="n">
        <v>14.8139</v>
      </c>
      <c r="E230" s="30" t="n">
        <v>81.8346</v>
      </c>
      <c r="F230" s="30" t="n">
        <v>40.9514</v>
      </c>
      <c r="H230" s="30" t="n">
        <v>55.6971</v>
      </c>
      <c r="I230" s="131" t="n">
        <v>67.05</v>
      </c>
      <c r="J230" s="131" t="n">
        <v>67.05</v>
      </c>
    </row>
    <row r="231" customFormat="false" ht="15" hidden="false" customHeight="false" outlineLevel="0" collapsed="false">
      <c r="A231" s="11" t="s">
        <v>1470</v>
      </c>
      <c r="C231" s="30" t="n">
        <v>365</v>
      </c>
      <c r="D231" s="30" t="n">
        <v>14.8139</v>
      </c>
      <c r="E231" s="30" t="n">
        <v>81.8346</v>
      </c>
      <c r="F231" s="30" t="n">
        <v>40.9514</v>
      </c>
      <c r="H231" s="30" t="n">
        <v>55.6971</v>
      </c>
    </row>
    <row r="233" customFormat="false" ht="15" hidden="false" customHeight="false" outlineLevel="0" collapsed="false">
      <c r="A233" s="3" t="s">
        <v>1545</v>
      </c>
    </row>
    <row r="234" customFormat="false" ht="15" hidden="false" customHeight="false" outlineLevel="0" collapsed="false">
      <c r="A234" s="2" t="s">
        <v>1546</v>
      </c>
    </row>
    <row r="235" customFormat="false" ht="15" hidden="false" customHeight="false" outlineLevel="0" collapsed="false">
      <c r="A235" s="90" t="s">
        <v>86</v>
      </c>
      <c r="B235" s="130"/>
      <c r="C235" s="130" t="s">
        <v>1445</v>
      </c>
      <c r="D235" s="130" t="s">
        <v>1547</v>
      </c>
      <c r="E235" s="130" t="s">
        <v>1548</v>
      </c>
      <c r="F235" s="130" t="s">
        <v>1446</v>
      </c>
      <c r="G235" s="130" t="s">
        <v>1470</v>
      </c>
    </row>
    <row r="236" customFormat="false" ht="15" hidden="false" customHeight="false" outlineLevel="0" collapsed="false">
      <c r="A236" s="11" t="s">
        <v>1471</v>
      </c>
      <c r="C236" s="30" t="n">
        <v>391.0456</v>
      </c>
      <c r="D236" s="30" t="n">
        <v>20.8868</v>
      </c>
      <c r="F236" s="30" t="n">
        <v>14.2428</v>
      </c>
      <c r="G236" s="30" t="n">
        <v>426.1752</v>
      </c>
    </row>
    <row r="237" customFormat="false" ht="15" hidden="false" customHeight="false" outlineLevel="0" collapsed="false">
      <c r="A237" s="11" t="s">
        <v>1472</v>
      </c>
      <c r="C237" s="30" t="n">
        <v>83.71</v>
      </c>
      <c r="F237" s="30" t="n">
        <v>16.2248</v>
      </c>
      <c r="G237" s="30" t="n">
        <v>99.9348</v>
      </c>
    </row>
    <row r="238" customFormat="false" ht="15" hidden="false" customHeight="false" outlineLevel="0" collapsed="false">
      <c r="A238" s="11" t="s">
        <v>1473</v>
      </c>
      <c r="C238" s="30" t="n">
        <v>81.9042</v>
      </c>
      <c r="F238" s="30" t="n">
        <v>15.938</v>
      </c>
      <c r="G238" s="30" t="n">
        <v>97.8422</v>
      </c>
    </row>
    <row r="239" customFormat="false" ht="15" hidden="false" customHeight="false" outlineLevel="0" collapsed="false">
      <c r="A239" s="11" t="s">
        <v>1475</v>
      </c>
      <c r="C239" s="30" t="n">
        <v>1.8057</v>
      </c>
      <c r="F239" s="30" t="n">
        <v>0.2869</v>
      </c>
      <c r="G239" s="30" t="n">
        <v>2.0926</v>
      </c>
    </row>
    <row r="240" customFormat="false" ht="15" hidden="false" customHeight="false" outlineLevel="0" collapsed="false">
      <c r="A240" s="11" t="s">
        <v>1476</v>
      </c>
      <c r="C240" s="131" t="n">
        <v>589.44</v>
      </c>
      <c r="G240" s="131" t="n">
        <v>589.44</v>
      </c>
    </row>
    <row r="241" customFormat="false" ht="15" hidden="false" customHeight="false" outlineLevel="0" collapsed="false">
      <c r="A241" s="11" t="s">
        <v>1549</v>
      </c>
      <c r="C241" s="131" t="n">
        <v>589.44</v>
      </c>
      <c r="G241" s="131" t="n">
        <v>589.44</v>
      </c>
    </row>
    <row r="242" customFormat="false" ht="15" hidden="false" customHeight="false" outlineLevel="0" collapsed="false">
      <c r="A242" s="11" t="s">
        <v>1479</v>
      </c>
      <c r="C242" s="30" t="n">
        <v>474.755</v>
      </c>
      <c r="D242" s="30" t="n">
        <v>20.8868</v>
      </c>
      <c r="F242" s="30" t="n">
        <v>30.4677</v>
      </c>
      <c r="G242" s="30" t="n">
        <v>526.1094</v>
      </c>
    </row>
    <row r="243" customFormat="false" ht="15" hidden="false" customHeight="false" outlineLevel="0" collapsed="false">
      <c r="A243" s="11" t="s">
        <v>1550</v>
      </c>
      <c r="C243" s="30" t="n">
        <v>35.2549</v>
      </c>
      <c r="D243" s="30" t="n">
        <v>18.1236</v>
      </c>
      <c r="F243" s="30" t="n">
        <v>9.2025</v>
      </c>
      <c r="G243" s="30" t="n">
        <v>62.581</v>
      </c>
    </row>
    <row r="244" customFormat="false" ht="15" hidden="false" customHeight="false" outlineLevel="0" collapsed="false">
      <c r="A244" s="11" t="s">
        <v>1551</v>
      </c>
      <c r="C244" s="30" t="n">
        <v>8.7235</v>
      </c>
      <c r="D244" s="30" t="n">
        <v>0.2945</v>
      </c>
      <c r="F244" s="30" t="n">
        <v>2.0147</v>
      </c>
      <c r="G244" s="30" t="n">
        <v>11.0327</v>
      </c>
    </row>
    <row r="245" customFormat="false" ht="15" hidden="false" customHeight="false" outlineLevel="0" collapsed="false">
      <c r="A245" s="11" t="s">
        <v>1552</v>
      </c>
      <c r="C245" s="30" t="n">
        <v>8.7235</v>
      </c>
      <c r="D245" s="30" t="n">
        <v>0.2945</v>
      </c>
      <c r="F245" s="30" t="n">
        <v>1.7519</v>
      </c>
      <c r="G245" s="30" t="n">
        <v>10.7699</v>
      </c>
    </row>
    <row r="246" customFormat="false" ht="15" hidden="false" customHeight="false" outlineLevel="0" collapsed="false">
      <c r="A246" s="11" t="s">
        <v>1553</v>
      </c>
      <c r="F246" s="30" t="n">
        <v>0.2627</v>
      </c>
      <c r="G246" s="30" t="n">
        <v>0.2627</v>
      </c>
    </row>
    <row r="247" customFormat="false" ht="15" hidden="false" customHeight="false" outlineLevel="0" collapsed="false">
      <c r="A247" s="11" t="s">
        <v>1554</v>
      </c>
    </row>
    <row r="248" customFormat="false" ht="15" hidden="false" customHeight="false" outlineLevel="0" collapsed="false">
      <c r="A248" s="11" t="s">
        <v>1555</v>
      </c>
      <c r="C248" s="30" t="n">
        <v>43.9784</v>
      </c>
      <c r="D248" s="30" t="n">
        <v>18.4181</v>
      </c>
      <c r="F248" s="30" t="n">
        <v>11.2171</v>
      </c>
      <c r="G248" s="30" t="n">
        <v>73.6137</v>
      </c>
    </row>
    <row r="249" customFormat="false" ht="15" hidden="false" customHeight="false" outlineLevel="0" collapsed="false">
      <c r="A249" s="11" t="s">
        <v>1492</v>
      </c>
      <c r="C249" s="30" t="n">
        <v>430.7765</v>
      </c>
      <c r="D249" s="30" t="n">
        <v>2.4687</v>
      </c>
      <c r="F249" s="30" t="n">
        <v>19.2505</v>
      </c>
      <c r="G249" s="30" t="n">
        <v>452.4957</v>
      </c>
    </row>
    <row r="250" customFormat="false" ht="15" hidden="false" customHeight="false" outlineLevel="0" collapsed="false">
      <c r="A250" s="11" t="s">
        <v>1493</v>
      </c>
      <c r="C250" s="30" t="n">
        <v>355.7907</v>
      </c>
      <c r="D250" s="30" t="n">
        <v>2.7632</v>
      </c>
      <c r="F250" s="30" t="n">
        <v>5.0403</v>
      </c>
      <c r="G250" s="30" t="n">
        <v>363.5942</v>
      </c>
    </row>
    <row r="252" customFormat="false" ht="15" hidden="false" customHeight="false" outlineLevel="0" collapsed="false">
      <c r="A252" s="3" t="s">
        <v>1556</v>
      </c>
    </row>
    <row r="253" customFormat="false" ht="15" hidden="false" customHeight="false" outlineLevel="0" collapsed="false">
      <c r="A253" s="2" t="s">
        <v>1557</v>
      </c>
    </row>
    <row r="254" customFormat="false" ht="15" hidden="false" customHeight="false" outlineLevel="0" collapsed="false">
      <c r="A254" s="90" t="s">
        <v>86</v>
      </c>
      <c r="B254" s="130"/>
      <c r="C254" s="130" t="s">
        <v>1445</v>
      </c>
      <c r="D254" s="130" t="s">
        <v>1547</v>
      </c>
      <c r="E254" s="130" t="s">
        <v>1548</v>
      </c>
      <c r="F254" s="130" t="s">
        <v>1446</v>
      </c>
      <c r="G254" s="130" t="s">
        <v>1470</v>
      </c>
    </row>
    <row r="255" customFormat="false" ht="15" hidden="false" customHeight="false" outlineLevel="0" collapsed="false">
      <c r="A255" s="11" t="s">
        <v>1471</v>
      </c>
      <c r="C255" s="30" t="n">
        <v>474.755</v>
      </c>
      <c r="D255" s="30" t="n">
        <v>20.8868</v>
      </c>
      <c r="F255" s="30" t="n">
        <v>30.4677</v>
      </c>
      <c r="G255" s="30" t="n">
        <v>526.1094</v>
      </c>
    </row>
    <row r="256" customFormat="false" ht="15" hidden="false" customHeight="false" outlineLevel="0" collapsed="false">
      <c r="A256" s="11" t="s">
        <v>1472</v>
      </c>
      <c r="F256" s="30" t="n">
        <v>1.0286</v>
      </c>
      <c r="G256" s="30" t="n">
        <v>1.0286</v>
      </c>
    </row>
    <row r="257" customFormat="false" ht="15" hidden="false" customHeight="false" outlineLevel="0" collapsed="false">
      <c r="A257" s="11" t="s">
        <v>1473</v>
      </c>
      <c r="F257" s="30" t="n">
        <v>1.0286</v>
      </c>
      <c r="G257" s="30" t="n">
        <v>1.0286</v>
      </c>
    </row>
    <row r="258" customFormat="false" ht="15" hidden="false" customHeight="false" outlineLevel="0" collapsed="false">
      <c r="A258" s="11" t="s">
        <v>1476</v>
      </c>
      <c r="C258" s="30" t="n">
        <v>0.4869</v>
      </c>
      <c r="F258" s="30" t="n">
        <v>0.2216</v>
      </c>
      <c r="G258" s="30" t="n">
        <v>0.7085</v>
      </c>
    </row>
    <row r="259" customFormat="false" ht="15" hidden="false" customHeight="false" outlineLevel="0" collapsed="false">
      <c r="A259" s="11" t="s">
        <v>1497</v>
      </c>
      <c r="C259" s="30" t="n">
        <v>0.4869</v>
      </c>
      <c r="F259" s="30" t="n">
        <v>0.2216</v>
      </c>
      <c r="G259" s="30" t="n">
        <v>0.7085</v>
      </c>
    </row>
    <row r="260" customFormat="false" ht="15" hidden="false" customHeight="false" outlineLevel="0" collapsed="false">
      <c r="A260" s="11" t="s">
        <v>1479</v>
      </c>
      <c r="C260" s="30" t="n">
        <v>474.2681</v>
      </c>
      <c r="D260" s="30" t="n">
        <v>20.8868</v>
      </c>
      <c r="F260" s="30" t="n">
        <v>31.2746</v>
      </c>
      <c r="G260" s="30" t="n">
        <v>526.4295</v>
      </c>
    </row>
    <row r="261" customFormat="false" ht="15" hidden="false" customHeight="false" outlineLevel="0" collapsed="false">
      <c r="A261" s="11" t="s">
        <v>1550</v>
      </c>
      <c r="C261" s="30" t="n">
        <v>43.9784</v>
      </c>
      <c r="D261" s="30" t="n">
        <v>18.4181</v>
      </c>
      <c r="F261" s="30" t="n">
        <v>11.2171</v>
      </c>
      <c r="G261" s="30" t="n">
        <v>73.6137</v>
      </c>
    </row>
    <row r="262" customFormat="false" ht="15" hidden="false" customHeight="false" outlineLevel="0" collapsed="false">
      <c r="A262" s="11" t="s">
        <v>1551</v>
      </c>
      <c r="C262" s="30" t="n">
        <v>9.0358</v>
      </c>
      <c r="D262" s="30" t="n">
        <v>0.2945</v>
      </c>
      <c r="F262" s="30" t="n">
        <v>2.9474</v>
      </c>
      <c r="G262" s="30" t="n">
        <v>12.2777</v>
      </c>
    </row>
    <row r="263" customFormat="false" ht="15" hidden="false" customHeight="false" outlineLevel="0" collapsed="false">
      <c r="A263" s="11" t="s">
        <v>1552</v>
      </c>
      <c r="C263" s="30" t="n">
        <v>9.0358</v>
      </c>
      <c r="D263" s="30" t="n">
        <v>0.2945</v>
      </c>
      <c r="F263" s="30" t="n">
        <v>2.9474</v>
      </c>
      <c r="G263" s="30" t="n">
        <v>12.2777</v>
      </c>
    </row>
    <row r="264" customFormat="false" ht="15" hidden="false" customHeight="false" outlineLevel="0" collapsed="false">
      <c r="A264" s="11" t="s">
        <v>1554</v>
      </c>
      <c r="F264" s="30" t="n">
        <v>0.212</v>
      </c>
      <c r="G264" s="30" t="n">
        <v>0.212</v>
      </c>
    </row>
    <row r="265" customFormat="false" ht="15" hidden="false" customHeight="false" outlineLevel="0" collapsed="false">
      <c r="A265" s="11" t="s">
        <v>1558</v>
      </c>
      <c r="F265" s="30" t="n">
        <v>0.212</v>
      </c>
      <c r="G265" s="30" t="n">
        <v>0.212</v>
      </c>
    </row>
    <row r="266" customFormat="false" ht="15" hidden="false" customHeight="false" outlineLevel="0" collapsed="false">
      <c r="A266" s="11" t="s">
        <v>1555</v>
      </c>
      <c r="C266" s="30" t="n">
        <v>53.0143</v>
      </c>
      <c r="D266" s="30" t="n">
        <v>18.7126</v>
      </c>
      <c r="F266" s="30" t="n">
        <v>13.9526</v>
      </c>
      <c r="G266" s="30" t="n">
        <v>85.6794</v>
      </c>
    </row>
    <row r="267" customFormat="false" ht="15" hidden="false" customHeight="false" outlineLevel="0" collapsed="false">
      <c r="A267" s="11" t="s">
        <v>1492</v>
      </c>
      <c r="C267" s="30" t="n">
        <v>421.2538</v>
      </c>
      <c r="D267" s="30" t="n">
        <v>2.1742</v>
      </c>
      <c r="F267" s="30" t="n">
        <v>17.322</v>
      </c>
      <c r="G267" s="30" t="n">
        <v>440.75</v>
      </c>
    </row>
    <row r="268" customFormat="false" ht="15" hidden="false" customHeight="false" outlineLevel="0" collapsed="false">
      <c r="A268" s="11" t="s">
        <v>1493</v>
      </c>
      <c r="C268" s="30" t="n">
        <v>430.7765</v>
      </c>
      <c r="D268" s="30" t="n">
        <v>2.4687</v>
      </c>
      <c r="F268" s="30" t="n">
        <v>19.2505</v>
      </c>
      <c r="G268" s="30" t="n">
        <v>452.4957</v>
      </c>
    </row>
    <row r="270" customFormat="false" ht="15" hidden="false" customHeight="false" outlineLevel="0" collapsed="false">
      <c r="A270" s="3" t="s">
        <v>1559</v>
      </c>
    </row>
    <row r="271" customFormat="false" ht="15" hidden="false" customHeight="false" outlineLevel="0" collapsed="false">
      <c r="A271" s="2" t="s">
        <v>1560</v>
      </c>
    </row>
    <row r="272" customFormat="false" ht="15" hidden="false" customHeight="false" outlineLevel="0" collapsed="false">
      <c r="A272" s="90" t="s">
        <v>86</v>
      </c>
      <c r="B272" s="130"/>
      <c r="C272" s="130" t="s">
        <v>1445</v>
      </c>
      <c r="D272" s="130" t="s">
        <v>1547</v>
      </c>
      <c r="E272" s="130" t="s">
        <v>1548</v>
      </c>
      <c r="F272" s="130" t="s">
        <v>1446</v>
      </c>
      <c r="G272" s="130" t="s">
        <v>1470</v>
      </c>
    </row>
    <row r="273" customFormat="false" ht="15" hidden="false" customHeight="false" outlineLevel="0" collapsed="false">
      <c r="A273" s="11" t="s">
        <v>1471</v>
      </c>
      <c r="C273" s="30" t="n">
        <v>474.2681</v>
      </c>
      <c r="D273" s="30" t="n">
        <v>20.8868</v>
      </c>
      <c r="F273" s="30" t="n">
        <v>31.2746</v>
      </c>
      <c r="G273" s="30" t="n">
        <v>526.4295</v>
      </c>
    </row>
    <row r="274" customFormat="false" ht="15" hidden="false" customHeight="false" outlineLevel="0" collapsed="false">
      <c r="A274" s="11" t="s">
        <v>1472</v>
      </c>
      <c r="C274" s="30" t="n">
        <v>3.5234</v>
      </c>
      <c r="F274" s="30" t="n">
        <v>0.9612</v>
      </c>
      <c r="G274" s="30" t="n">
        <v>4.4846</v>
      </c>
    </row>
    <row r="275" customFormat="false" ht="15" hidden="false" customHeight="false" outlineLevel="0" collapsed="false">
      <c r="A275" s="11" t="s">
        <v>1473</v>
      </c>
      <c r="F275" s="30" t="n">
        <v>0.3417</v>
      </c>
      <c r="G275" s="30" t="n">
        <v>0.3417</v>
      </c>
    </row>
    <row r="276" customFormat="false" ht="15" hidden="false" customHeight="false" outlineLevel="0" collapsed="false">
      <c r="A276" s="11" t="s">
        <v>1475</v>
      </c>
      <c r="C276" s="30" t="n">
        <v>3.183</v>
      </c>
      <c r="F276" s="30" t="n">
        <v>0.6195</v>
      </c>
      <c r="G276" s="30" t="n">
        <v>3.8025</v>
      </c>
    </row>
    <row r="277" customFormat="false" ht="15" hidden="false" customHeight="false" outlineLevel="0" collapsed="false">
      <c r="A277" s="11" t="s">
        <v>1561</v>
      </c>
      <c r="C277" s="30" t="n">
        <v>0.3404</v>
      </c>
      <c r="G277" s="30" t="n">
        <v>0.3404</v>
      </c>
    </row>
    <row r="278" customFormat="false" ht="15" hidden="false" customHeight="false" outlineLevel="0" collapsed="false">
      <c r="A278" s="11" t="s">
        <v>1476</v>
      </c>
      <c r="F278" s="30" t="n">
        <v>1.3416</v>
      </c>
      <c r="G278" s="30" t="n">
        <v>1.3416</v>
      </c>
    </row>
    <row r="279" customFormat="false" ht="15" hidden="false" customHeight="false" outlineLevel="0" collapsed="false">
      <c r="A279" s="11" t="s">
        <v>1562</v>
      </c>
      <c r="F279" s="30" t="n">
        <v>1.3416</v>
      </c>
      <c r="G279" s="30" t="n">
        <v>1.3416</v>
      </c>
    </row>
    <row r="280" customFormat="false" ht="15" hidden="false" customHeight="false" outlineLevel="0" collapsed="false">
      <c r="A280" s="11" t="s">
        <v>1479</v>
      </c>
      <c r="C280" s="30" t="n">
        <v>477.7915</v>
      </c>
      <c r="D280" s="30" t="n">
        <v>20.8868</v>
      </c>
      <c r="F280" s="30" t="n">
        <v>30.8942</v>
      </c>
      <c r="G280" s="30" t="n">
        <v>529.5725</v>
      </c>
    </row>
    <row r="281" customFormat="false" ht="15" hidden="false" customHeight="false" outlineLevel="0" collapsed="false">
      <c r="A281" s="11" t="s">
        <v>1550</v>
      </c>
      <c r="C281" s="30" t="n">
        <v>53.0143</v>
      </c>
      <c r="D281" s="30" t="n">
        <v>18.7126</v>
      </c>
      <c r="F281" s="30" t="n">
        <v>13.9526</v>
      </c>
      <c r="G281" s="30" t="n">
        <v>85.6794</v>
      </c>
    </row>
    <row r="282" customFormat="false" ht="15" hidden="false" customHeight="false" outlineLevel="0" collapsed="false">
      <c r="A282" s="11" t="s">
        <v>1551</v>
      </c>
      <c r="C282" s="30" t="n">
        <v>4.5204</v>
      </c>
      <c r="D282" s="30" t="n">
        <v>0.1472</v>
      </c>
      <c r="F282" s="30" t="n">
        <v>2.0763</v>
      </c>
      <c r="G282" s="30" t="n">
        <v>6.7439</v>
      </c>
    </row>
    <row r="283" customFormat="false" ht="15" hidden="false" customHeight="false" outlineLevel="0" collapsed="false">
      <c r="A283" s="11" t="s">
        <v>1552</v>
      </c>
      <c r="C283" s="30" t="n">
        <v>4.5204</v>
      </c>
      <c r="D283" s="30" t="n">
        <v>0.1472</v>
      </c>
      <c r="F283" s="30" t="n">
        <v>1.4948</v>
      </c>
      <c r="G283" s="30" t="n">
        <v>6.1624</v>
      </c>
    </row>
    <row r="284" customFormat="false" ht="15" hidden="false" customHeight="false" outlineLevel="0" collapsed="false">
      <c r="A284" s="11" t="s">
        <v>1553</v>
      </c>
      <c r="F284" s="30" t="n">
        <v>0.5815</v>
      </c>
      <c r="G284" s="30" t="n">
        <v>0.5815</v>
      </c>
    </row>
    <row r="285" customFormat="false" ht="15" hidden="false" customHeight="false" outlineLevel="0" collapsed="false">
      <c r="A285" s="11" t="s">
        <v>1554</v>
      </c>
      <c r="F285" s="30" t="n">
        <v>1.3416</v>
      </c>
      <c r="G285" s="30" t="n">
        <v>1.3416</v>
      </c>
    </row>
    <row r="286" customFormat="false" ht="15" hidden="false" customHeight="false" outlineLevel="0" collapsed="false">
      <c r="A286" s="11" t="s">
        <v>1563</v>
      </c>
      <c r="F286" s="30" t="n">
        <v>1.3416</v>
      </c>
      <c r="G286" s="30" t="n">
        <v>1.3416</v>
      </c>
    </row>
    <row r="287" customFormat="false" ht="15" hidden="false" customHeight="false" outlineLevel="0" collapsed="false">
      <c r="A287" s="11" t="s">
        <v>1555</v>
      </c>
      <c r="C287" s="30" t="n">
        <v>57.5346</v>
      </c>
      <c r="D287" s="30" t="n">
        <v>18.8598</v>
      </c>
      <c r="F287" s="30" t="n">
        <v>14.6873</v>
      </c>
      <c r="G287" s="30" t="n">
        <v>91.0817</v>
      </c>
    </row>
    <row r="288" customFormat="false" ht="15" hidden="false" customHeight="false" outlineLevel="0" collapsed="false">
      <c r="A288" s="11" t="s">
        <v>1492</v>
      </c>
      <c r="C288" s="30" t="n">
        <v>420.2568</v>
      </c>
      <c r="D288" s="30" t="n">
        <v>2.027</v>
      </c>
      <c r="F288" s="30" t="n">
        <v>16.207</v>
      </c>
      <c r="G288" s="30" t="n">
        <v>438.4908</v>
      </c>
    </row>
    <row r="289" customFormat="false" ht="15" hidden="false" customHeight="false" outlineLevel="0" collapsed="false">
      <c r="A289" s="11" t="s">
        <v>1493</v>
      </c>
      <c r="C289" s="30" t="n">
        <v>421.2538</v>
      </c>
      <c r="D289" s="30" t="n">
        <v>2.1742</v>
      </c>
      <c r="F289" s="30" t="n">
        <v>17.322</v>
      </c>
      <c r="G289" s="30" t="n">
        <v>440.75</v>
      </c>
    </row>
    <row r="291" customFormat="false" ht="15" hidden="false" customHeight="false" outlineLevel="0" collapsed="false">
      <c r="A291" s="3" t="s">
        <v>1564</v>
      </c>
    </row>
    <row r="292" customFormat="false" ht="15" hidden="false" customHeight="false" outlineLevel="0" collapsed="false">
      <c r="A292" s="2" t="s">
        <v>1565</v>
      </c>
    </row>
    <row r="293" customFormat="false" ht="15" hidden="false" customHeight="false" outlineLevel="0" collapsed="false">
      <c r="A293" s="90" t="s">
        <v>86</v>
      </c>
      <c r="B293" s="130"/>
      <c r="C293" s="130" t="s">
        <v>1445</v>
      </c>
      <c r="D293" s="130" t="s">
        <v>1547</v>
      </c>
      <c r="E293" s="130" t="s">
        <v>1548</v>
      </c>
      <c r="F293" s="130" t="s">
        <v>1446</v>
      </c>
      <c r="G293" s="130" t="s">
        <v>1470</v>
      </c>
    </row>
    <row r="294" customFormat="false" ht="15" hidden="false" customHeight="false" outlineLevel="0" collapsed="false">
      <c r="A294" s="11" t="s">
        <v>1471</v>
      </c>
      <c r="C294" s="30" t="n">
        <v>474.2681</v>
      </c>
      <c r="D294" s="30" t="n">
        <v>20.8868</v>
      </c>
      <c r="F294" s="30" t="n">
        <v>31.2746</v>
      </c>
      <c r="G294" s="30" t="n">
        <v>526.4295</v>
      </c>
    </row>
    <row r="295" customFormat="false" ht="15" hidden="false" customHeight="false" outlineLevel="0" collapsed="false">
      <c r="A295" s="11" t="s">
        <v>1472</v>
      </c>
      <c r="C295" s="30" t="n">
        <v>15.6398</v>
      </c>
      <c r="F295" s="30" t="n">
        <v>1.708</v>
      </c>
      <c r="G295" s="30" t="n">
        <v>17.3478</v>
      </c>
    </row>
    <row r="296" customFormat="false" ht="15" hidden="false" customHeight="false" outlineLevel="0" collapsed="false">
      <c r="A296" s="11" t="s">
        <v>1473</v>
      </c>
      <c r="C296" s="30" t="n">
        <v>12.3421</v>
      </c>
      <c r="F296" s="30" t="n">
        <v>1.2064</v>
      </c>
      <c r="G296" s="30" t="n">
        <v>13.5486</v>
      </c>
    </row>
    <row r="297" customFormat="false" ht="15" hidden="false" customHeight="false" outlineLevel="0" collapsed="false">
      <c r="A297" s="11" t="s">
        <v>1566</v>
      </c>
      <c r="C297" s="30" t="n">
        <v>0.3404</v>
      </c>
      <c r="G297" s="30" t="n">
        <v>0.3404</v>
      </c>
    </row>
    <row r="298" customFormat="false" ht="15" hidden="false" customHeight="false" outlineLevel="0" collapsed="false">
      <c r="A298" s="11" t="s">
        <v>1475</v>
      </c>
      <c r="C298" s="30" t="n">
        <v>2.9573</v>
      </c>
      <c r="F298" s="30" t="n">
        <v>0.5015</v>
      </c>
      <c r="G298" s="30" t="n">
        <v>3.4589</v>
      </c>
    </row>
    <row r="299" customFormat="false" ht="15" hidden="false" customHeight="false" outlineLevel="0" collapsed="false">
      <c r="A299" s="11" t="s">
        <v>1476</v>
      </c>
      <c r="F299" s="30" t="n">
        <v>1.3416</v>
      </c>
      <c r="G299" s="30" t="n">
        <v>1.3416</v>
      </c>
    </row>
    <row r="300" customFormat="false" ht="15" hidden="false" customHeight="false" outlineLevel="0" collapsed="false">
      <c r="A300" s="11" t="s">
        <v>1562</v>
      </c>
      <c r="F300" s="30" t="n">
        <v>1.3416</v>
      </c>
      <c r="G300" s="30" t="n">
        <v>1.3416</v>
      </c>
    </row>
    <row r="301" customFormat="false" ht="15" hidden="false" customHeight="false" outlineLevel="0" collapsed="false">
      <c r="A301" s="11" t="s">
        <v>1479</v>
      </c>
      <c r="C301" s="30" t="n">
        <v>489.9079</v>
      </c>
      <c r="D301" s="30" t="n">
        <v>20.8868</v>
      </c>
      <c r="F301" s="30" t="n">
        <v>31.641</v>
      </c>
      <c r="G301" s="30" t="n">
        <v>542.4357</v>
      </c>
    </row>
    <row r="302" customFormat="false" ht="15" hidden="false" customHeight="false" outlineLevel="0" collapsed="false">
      <c r="A302" s="11" t="s">
        <v>1550</v>
      </c>
      <c r="C302" s="30" t="n">
        <v>53.0143</v>
      </c>
      <c r="D302" s="30" t="n">
        <v>18.7126</v>
      </c>
      <c r="F302" s="30" t="n">
        <v>13.9526</v>
      </c>
      <c r="G302" s="30" t="n">
        <v>85.6794</v>
      </c>
    </row>
    <row r="303" customFormat="false" ht="15" hidden="false" customHeight="false" outlineLevel="0" collapsed="false">
      <c r="A303" s="11" t="s">
        <v>1551</v>
      </c>
      <c r="C303" s="30" t="n">
        <v>9.0419</v>
      </c>
      <c r="D303" s="30" t="n">
        <v>0.2945</v>
      </c>
      <c r="F303" s="30" t="n">
        <v>3.3601</v>
      </c>
      <c r="G303" s="30" t="n">
        <v>12.6965</v>
      </c>
    </row>
    <row r="304" customFormat="false" ht="15" hidden="false" customHeight="false" outlineLevel="0" collapsed="false">
      <c r="A304" s="11" t="s">
        <v>1552</v>
      </c>
      <c r="C304" s="30" t="n">
        <v>9.0419</v>
      </c>
      <c r="D304" s="30" t="n">
        <v>0.2945</v>
      </c>
      <c r="F304" s="30" t="n">
        <v>2.8894</v>
      </c>
      <c r="G304" s="30" t="n">
        <v>12.2258</v>
      </c>
    </row>
    <row r="305" customFormat="false" ht="15" hidden="false" customHeight="false" outlineLevel="0" collapsed="false">
      <c r="A305" s="11" t="s">
        <v>1553</v>
      </c>
      <c r="F305" s="30" t="n">
        <v>0.4708</v>
      </c>
      <c r="G305" s="30" t="n">
        <v>0.4708</v>
      </c>
    </row>
    <row r="306" customFormat="false" ht="15" hidden="false" customHeight="false" outlineLevel="0" collapsed="false">
      <c r="A306" s="11" t="s">
        <v>1554</v>
      </c>
      <c r="F306" s="30" t="n">
        <v>1.3416</v>
      </c>
      <c r="G306" s="30" t="n">
        <v>1.3416</v>
      </c>
    </row>
    <row r="307" customFormat="false" ht="15" hidden="false" customHeight="false" outlineLevel="0" collapsed="false">
      <c r="A307" s="11" t="s">
        <v>1563</v>
      </c>
      <c r="F307" s="30" t="n">
        <v>1.3416</v>
      </c>
      <c r="G307" s="30" t="n">
        <v>1.3416</v>
      </c>
    </row>
    <row r="308" customFormat="false" ht="15" hidden="false" customHeight="false" outlineLevel="0" collapsed="false">
      <c r="A308" s="11" t="s">
        <v>1555</v>
      </c>
      <c r="C308" s="30" t="n">
        <v>62.0562</v>
      </c>
      <c r="D308" s="30" t="n">
        <v>19.007</v>
      </c>
      <c r="F308" s="30" t="n">
        <v>15.9711</v>
      </c>
      <c r="G308" s="30" t="n">
        <v>97.0344</v>
      </c>
    </row>
    <row r="309" customFormat="false" ht="15" hidden="false" customHeight="false" outlineLevel="0" collapsed="false">
      <c r="A309" s="11" t="s">
        <v>1492</v>
      </c>
      <c r="C309" s="30" t="n">
        <v>427.8517</v>
      </c>
      <c r="D309" s="30" t="n">
        <v>1.8798</v>
      </c>
      <c r="F309" s="30" t="n">
        <v>15.6699</v>
      </c>
      <c r="G309" s="30" t="n">
        <v>445.4013</v>
      </c>
    </row>
    <row r="310" customFormat="false" ht="15" hidden="false" customHeight="false" outlineLevel="0" collapsed="false">
      <c r="A310" s="11" t="s">
        <v>1493</v>
      </c>
      <c r="C310" s="30" t="n">
        <v>421.2538</v>
      </c>
      <c r="D310" s="30" t="n">
        <v>2.1742</v>
      </c>
      <c r="F310" s="30" t="n">
        <v>17.322</v>
      </c>
      <c r="G310" s="30" t="n">
        <v>440.75</v>
      </c>
    </row>
    <row r="312" customFormat="false" ht="15" hidden="false" customHeight="false" outlineLevel="0" collapsed="false">
      <c r="A312" s="3" t="s">
        <v>1567</v>
      </c>
    </row>
    <row r="313" customFormat="false" ht="15" hidden="false" customHeight="false" outlineLevel="0" collapsed="false">
      <c r="A313" s="2" t="s">
        <v>1568</v>
      </c>
    </row>
    <row r="314" customFormat="false" ht="15" hidden="false" customHeight="false" outlineLevel="0" collapsed="false">
      <c r="A314" s="90" t="s">
        <v>86</v>
      </c>
      <c r="B314" s="130"/>
      <c r="C314" s="130" t="s">
        <v>1445</v>
      </c>
      <c r="D314" s="130" t="s">
        <v>1547</v>
      </c>
      <c r="E314" s="130" t="s">
        <v>1548</v>
      </c>
      <c r="F314" s="130" t="s">
        <v>1446</v>
      </c>
      <c r="G314" s="130" t="s">
        <v>1470</v>
      </c>
    </row>
    <row r="315" customFormat="false" ht="15" hidden="false" customHeight="false" outlineLevel="0" collapsed="false">
      <c r="A315" s="11" t="s">
        <v>1471</v>
      </c>
      <c r="C315" s="30" t="n">
        <v>489.9079</v>
      </c>
      <c r="D315" s="30" t="n">
        <v>20.8868</v>
      </c>
      <c r="F315" s="30" t="n">
        <v>31.641</v>
      </c>
      <c r="G315" s="30" t="n">
        <v>542.4357</v>
      </c>
    </row>
    <row r="316" customFormat="false" ht="15" hidden="false" customHeight="false" outlineLevel="0" collapsed="false">
      <c r="A316" s="11" t="s">
        <v>1472</v>
      </c>
      <c r="C316" s="30" t="n">
        <v>-4.0863</v>
      </c>
      <c r="F316" s="30" t="n">
        <v>0.4827</v>
      </c>
      <c r="G316" s="30" t="n">
        <v>-3.6036</v>
      </c>
    </row>
    <row r="317" customFormat="false" ht="15" hidden="false" customHeight="false" outlineLevel="0" collapsed="false">
      <c r="A317" s="11" t="s">
        <v>1473</v>
      </c>
      <c r="F317" s="30" t="n">
        <v>0.8768</v>
      </c>
      <c r="G317" s="30" t="n">
        <v>0.8768</v>
      </c>
    </row>
    <row r="318" customFormat="false" ht="15" hidden="false" customHeight="false" outlineLevel="0" collapsed="false">
      <c r="A318" s="11" t="s">
        <v>1475</v>
      </c>
      <c r="C318" s="30" t="n">
        <v>-3.7233</v>
      </c>
      <c r="F318" s="30" t="n">
        <v>-0.3941</v>
      </c>
      <c r="G318" s="30" t="n">
        <v>-4.1174</v>
      </c>
    </row>
    <row r="319" customFormat="false" ht="15" hidden="false" customHeight="false" outlineLevel="0" collapsed="false">
      <c r="A319" s="11" t="s">
        <v>1569</v>
      </c>
      <c r="C319" s="30" t="n">
        <v>-0.363</v>
      </c>
      <c r="G319" s="30" t="n">
        <v>-0.363</v>
      </c>
    </row>
    <row r="320" customFormat="false" ht="15" hidden="false" customHeight="false" outlineLevel="0" collapsed="false">
      <c r="A320" s="11" t="s">
        <v>1476</v>
      </c>
    </row>
    <row r="321" customFormat="false" ht="15" hidden="false" customHeight="false" outlineLevel="0" collapsed="false">
      <c r="A321" s="11" t="s">
        <v>1479</v>
      </c>
      <c r="C321" s="30" t="n">
        <v>485.8216</v>
      </c>
      <c r="D321" s="30" t="n">
        <v>20.8868</v>
      </c>
      <c r="F321" s="30" t="n">
        <v>32.1237</v>
      </c>
      <c r="G321" s="30" t="n">
        <v>538.8321</v>
      </c>
    </row>
    <row r="322" customFormat="false" ht="15" hidden="false" customHeight="false" outlineLevel="0" collapsed="false">
      <c r="A322" s="11" t="s">
        <v>1550</v>
      </c>
      <c r="C322" s="30" t="n">
        <v>62.0562</v>
      </c>
      <c r="D322" s="30" t="n">
        <v>19.007</v>
      </c>
      <c r="F322" s="30" t="n">
        <v>15.9711</v>
      </c>
      <c r="G322" s="30" t="n">
        <v>97.0344</v>
      </c>
    </row>
    <row r="323" customFormat="false" ht="15" hidden="false" customHeight="false" outlineLevel="0" collapsed="false">
      <c r="A323" s="11" t="s">
        <v>1551</v>
      </c>
      <c r="C323" s="30" t="n">
        <v>4.5197</v>
      </c>
      <c r="D323" s="30" t="n">
        <v>0.1472</v>
      </c>
      <c r="F323" s="30" t="n">
        <v>1.393</v>
      </c>
      <c r="G323" s="30" t="n">
        <v>6.0599</v>
      </c>
    </row>
    <row r="324" customFormat="false" ht="15" hidden="false" customHeight="false" outlineLevel="0" collapsed="false">
      <c r="A324" s="11" t="s">
        <v>1552</v>
      </c>
      <c r="C324" s="30" t="n">
        <v>4.5197</v>
      </c>
      <c r="D324" s="30" t="n">
        <v>0.1472</v>
      </c>
      <c r="F324" s="30" t="n">
        <v>1.7598</v>
      </c>
      <c r="G324" s="30" t="n">
        <v>6.4267</v>
      </c>
    </row>
    <row r="325" customFormat="false" ht="15" hidden="false" customHeight="false" outlineLevel="0" collapsed="false">
      <c r="A325" s="11" t="s">
        <v>1553</v>
      </c>
      <c r="F325" s="30" t="n">
        <v>-0.3668</v>
      </c>
      <c r="G325" s="30" t="n">
        <v>-0.3668</v>
      </c>
    </row>
    <row r="326" customFormat="false" ht="15" hidden="false" customHeight="false" outlineLevel="0" collapsed="false">
      <c r="A326" s="11" t="s">
        <v>1554</v>
      </c>
    </row>
    <row r="327" customFormat="false" ht="15" hidden="false" customHeight="false" outlineLevel="0" collapsed="false">
      <c r="A327" s="11" t="s">
        <v>1555</v>
      </c>
      <c r="C327" s="30" t="n">
        <v>66.5759</v>
      </c>
      <c r="D327" s="30" t="n">
        <v>19.1543</v>
      </c>
      <c r="F327" s="30" t="n">
        <v>17.3641</v>
      </c>
      <c r="G327" s="30" t="n">
        <v>103.0943</v>
      </c>
    </row>
    <row r="328" customFormat="false" ht="15" hidden="false" customHeight="false" outlineLevel="0" collapsed="false">
      <c r="A328" s="11" t="s">
        <v>1492</v>
      </c>
      <c r="C328" s="30" t="n">
        <v>419.2457</v>
      </c>
      <c r="D328" s="30" t="n">
        <v>1.7325</v>
      </c>
      <c r="F328" s="30" t="n">
        <v>14.7596</v>
      </c>
      <c r="G328" s="30" t="n">
        <v>435.7378</v>
      </c>
    </row>
    <row r="329" customFormat="false" ht="15" hidden="false" customHeight="false" outlineLevel="0" collapsed="false">
      <c r="A329" s="11" t="s">
        <v>1493</v>
      </c>
      <c r="C329" s="30" t="n">
        <v>427.8517</v>
      </c>
      <c r="D329" s="30" t="n">
        <v>1.8798</v>
      </c>
      <c r="F329" s="30" t="n">
        <v>15.6699</v>
      </c>
      <c r="G329" s="30" t="n">
        <v>445.4013</v>
      </c>
    </row>
    <row r="331" customFormat="false" ht="15" hidden="false" customHeight="false" outlineLevel="0" collapsed="false">
      <c r="A331" s="3" t="s">
        <v>1570</v>
      </c>
    </row>
    <row r="332" customFormat="false" ht="15" hidden="false" customHeight="false" outlineLevel="0" collapsed="false">
      <c r="A332" s="2" t="s">
        <v>1571</v>
      </c>
    </row>
    <row r="333" customFormat="false" ht="15" hidden="false" customHeight="false" outlineLevel="0" collapsed="false">
      <c r="A333" s="90" t="s">
        <v>86</v>
      </c>
      <c r="B333" s="130"/>
      <c r="C333" s="130" t="s">
        <v>778</v>
      </c>
      <c r="D333" s="130" t="s">
        <v>790</v>
      </c>
      <c r="E333" s="130" t="s">
        <v>791</v>
      </c>
      <c r="F333" s="130" t="s">
        <v>1470</v>
      </c>
    </row>
    <row r="334" customFormat="false" ht="15" hidden="false" customHeight="false" outlineLevel="0" collapsed="false">
      <c r="A334" s="11" t="s">
        <v>1471</v>
      </c>
      <c r="C334" s="30" t="n">
        <v>20.6187</v>
      </c>
      <c r="D334" s="30" t="n">
        <v>32.1548</v>
      </c>
      <c r="E334" s="30" t="n">
        <v>0.1688</v>
      </c>
      <c r="F334" s="30" t="n">
        <v>52.9422</v>
      </c>
    </row>
    <row r="335" customFormat="false" ht="15" hidden="false" customHeight="false" outlineLevel="0" collapsed="false">
      <c r="A335" s="11" t="s">
        <v>1472</v>
      </c>
      <c r="C335" s="30" t="n">
        <v>1.0728</v>
      </c>
      <c r="D335" s="30" t="n">
        <v>0.1236</v>
      </c>
      <c r="F335" s="30" t="n">
        <v>1.1964</v>
      </c>
    </row>
    <row r="336" customFormat="false" ht="15" hidden="false" customHeight="false" outlineLevel="0" collapsed="false">
      <c r="A336" s="11" t="s">
        <v>1572</v>
      </c>
      <c r="C336" s="30" t="n">
        <v>1.071</v>
      </c>
      <c r="F336" s="30" t="n">
        <v>1.071</v>
      </c>
    </row>
    <row r="337" customFormat="false" ht="15" hidden="false" customHeight="false" outlineLevel="0" collapsed="false">
      <c r="A337" s="11" t="s">
        <v>1475</v>
      </c>
      <c r="C337" s="30" t="n">
        <v>0.0017</v>
      </c>
      <c r="F337" s="30" t="n">
        <v>0.0017</v>
      </c>
    </row>
    <row r="338" customFormat="false" ht="15" hidden="false" customHeight="false" outlineLevel="0" collapsed="false">
      <c r="A338" s="11" t="s">
        <v>1573</v>
      </c>
      <c r="D338" s="30" t="n">
        <v>0.1236</v>
      </c>
      <c r="F338" s="30" t="n">
        <v>0.1236</v>
      </c>
    </row>
    <row r="339" customFormat="false" ht="15" hidden="false" customHeight="false" outlineLevel="0" collapsed="false">
      <c r="A339" s="11" t="s">
        <v>1476</v>
      </c>
      <c r="C339" s="30" t="n">
        <v>14.1319</v>
      </c>
      <c r="F339" s="30" t="n">
        <v>14.1319</v>
      </c>
    </row>
    <row r="340" customFormat="false" ht="15" hidden="false" customHeight="false" outlineLevel="0" collapsed="false">
      <c r="A340" s="11" t="s">
        <v>1562</v>
      </c>
      <c r="C340" s="30" t="n">
        <v>13.6112</v>
      </c>
      <c r="F340" s="30" t="n">
        <v>13.6112</v>
      </c>
    </row>
    <row r="341" customFormat="false" ht="15" hidden="false" customHeight="false" outlineLevel="0" collapsed="false">
      <c r="A341" s="11" t="s">
        <v>1574</v>
      </c>
      <c r="C341" s="30" t="n">
        <v>0.3584</v>
      </c>
      <c r="F341" s="30" t="n">
        <v>0.3584</v>
      </c>
    </row>
    <row r="342" customFormat="false" ht="15" hidden="false" customHeight="false" outlineLevel="0" collapsed="false">
      <c r="A342" s="11" t="s">
        <v>1575</v>
      </c>
      <c r="C342" s="30" t="n">
        <v>0.1624</v>
      </c>
      <c r="F342" s="30" t="n">
        <v>0.1624</v>
      </c>
    </row>
    <row r="343" customFormat="false" ht="15" hidden="false" customHeight="false" outlineLevel="0" collapsed="false">
      <c r="A343" s="11" t="s">
        <v>1479</v>
      </c>
      <c r="C343" s="30" t="n">
        <v>7.5596</v>
      </c>
      <c r="D343" s="30" t="n">
        <v>32.2784</v>
      </c>
      <c r="E343" s="30" t="n">
        <v>0.1688</v>
      </c>
      <c r="F343" s="30" t="n">
        <v>40.0067</v>
      </c>
    </row>
    <row r="344" customFormat="false" ht="15" hidden="false" customHeight="false" outlineLevel="0" collapsed="false">
      <c r="A344" s="11" t="s">
        <v>1480</v>
      </c>
      <c r="C344" s="30" t="n">
        <v>13.6941</v>
      </c>
      <c r="D344" s="30" t="n">
        <v>2.657</v>
      </c>
      <c r="E344" s="30" t="n">
        <v>0.0338</v>
      </c>
      <c r="F344" s="30" t="n">
        <v>16.3849</v>
      </c>
    </row>
    <row r="345" customFormat="false" ht="15" hidden="false" customHeight="false" outlineLevel="0" collapsed="false">
      <c r="A345" s="11" t="s">
        <v>1481</v>
      </c>
      <c r="C345" s="30" t="n">
        <v>4.1245</v>
      </c>
      <c r="D345" s="30" t="n">
        <v>3.2288</v>
      </c>
      <c r="E345" s="30" t="n">
        <v>0.0338</v>
      </c>
      <c r="F345" s="30" t="n">
        <v>7.387</v>
      </c>
    </row>
    <row r="346" customFormat="false" ht="15" hidden="false" customHeight="false" outlineLevel="0" collapsed="false">
      <c r="A346" s="11" t="s">
        <v>1482</v>
      </c>
      <c r="C346" s="30" t="n">
        <v>4.1216</v>
      </c>
      <c r="D346" s="30" t="n">
        <v>3.2288</v>
      </c>
      <c r="E346" s="30" t="n">
        <v>0.0338</v>
      </c>
      <c r="F346" s="30" t="n">
        <v>7.3842</v>
      </c>
    </row>
    <row r="347" customFormat="false" ht="15" hidden="false" customHeight="false" outlineLevel="0" collapsed="false">
      <c r="A347" s="11" t="s">
        <v>1483</v>
      </c>
      <c r="C347" s="30" t="n">
        <v>0.0029</v>
      </c>
      <c r="F347" s="30" t="n">
        <v>0.0029</v>
      </c>
    </row>
    <row r="348" customFormat="false" ht="15" hidden="false" customHeight="false" outlineLevel="0" collapsed="false">
      <c r="A348" s="11" t="s">
        <v>1484</v>
      </c>
      <c r="C348" s="30" t="n">
        <v>13.7254</v>
      </c>
      <c r="F348" s="30" t="n">
        <v>13.7254</v>
      </c>
    </row>
    <row r="349" customFormat="false" ht="15" hidden="false" customHeight="false" outlineLevel="0" collapsed="false">
      <c r="A349" s="11" t="s">
        <v>1576</v>
      </c>
      <c r="C349" s="30" t="n">
        <v>13.7239</v>
      </c>
      <c r="F349" s="30" t="n">
        <v>13.7239</v>
      </c>
    </row>
    <row r="350" customFormat="false" ht="15" hidden="false" customHeight="false" outlineLevel="0" collapsed="false">
      <c r="A350" s="11" t="s">
        <v>1577</v>
      </c>
      <c r="C350" s="30" t="n">
        <v>0.0015</v>
      </c>
      <c r="F350" s="30" t="n">
        <v>0.0015</v>
      </c>
    </row>
    <row r="351" customFormat="false" ht="15" hidden="false" customHeight="false" outlineLevel="0" collapsed="false">
      <c r="A351" s="11" t="s">
        <v>1487</v>
      </c>
      <c r="C351" s="30" t="n">
        <v>4.0932</v>
      </c>
      <c r="D351" s="30" t="n">
        <v>5.8859</v>
      </c>
      <c r="E351" s="30" t="n">
        <v>0.0675</v>
      </c>
      <c r="F351" s="30" t="n">
        <v>10.0466</v>
      </c>
    </row>
    <row r="352" customFormat="false" ht="15" hidden="false" customHeight="false" outlineLevel="0" collapsed="false">
      <c r="A352" s="11" t="s">
        <v>1492</v>
      </c>
      <c r="C352" s="30" t="n">
        <v>3.4664</v>
      </c>
      <c r="D352" s="30" t="n">
        <v>26.3925</v>
      </c>
      <c r="E352" s="30" t="n">
        <v>0.1013</v>
      </c>
      <c r="F352" s="30" t="n">
        <v>29.9601</v>
      </c>
    </row>
    <row r="353" customFormat="false" ht="15" hidden="false" customHeight="false" outlineLevel="0" collapsed="false">
      <c r="A353" s="11" t="s">
        <v>1493</v>
      </c>
      <c r="C353" s="30" t="n">
        <v>6.9246</v>
      </c>
      <c r="D353" s="30" t="n">
        <v>29.4977</v>
      </c>
      <c r="E353" s="30" t="n">
        <v>0.135</v>
      </c>
      <c r="F353" s="30" t="n">
        <v>36.5573</v>
      </c>
    </row>
    <row r="355" customFormat="false" ht="15" hidden="false" customHeight="false" outlineLevel="0" collapsed="false">
      <c r="A355" s="3" t="s">
        <v>1578</v>
      </c>
    </row>
    <row r="356" customFormat="false" ht="15" hidden="false" customHeight="false" outlineLevel="0" collapsed="false">
      <c r="A356" s="2" t="s">
        <v>1579</v>
      </c>
    </row>
    <row r="357" customFormat="false" ht="15" hidden="false" customHeight="false" outlineLevel="0" collapsed="false">
      <c r="A357" s="90" t="s">
        <v>86</v>
      </c>
      <c r="B357" s="130"/>
      <c r="C357" s="130" t="s">
        <v>778</v>
      </c>
      <c r="D357" s="130" t="s">
        <v>790</v>
      </c>
      <c r="E357" s="130" t="s">
        <v>791</v>
      </c>
      <c r="F357" s="130" t="s">
        <v>1470</v>
      </c>
    </row>
    <row r="358" customFormat="false" ht="15" hidden="false" customHeight="false" outlineLevel="0" collapsed="false">
      <c r="A358" s="11" t="s">
        <v>1471</v>
      </c>
      <c r="C358" s="30" t="n">
        <v>7.5596</v>
      </c>
      <c r="D358" s="30" t="n">
        <v>32.2784</v>
      </c>
      <c r="E358" s="30" t="n">
        <v>0.1688</v>
      </c>
      <c r="F358" s="30" t="n">
        <v>40.0067</v>
      </c>
    </row>
    <row r="359" customFormat="false" ht="15" hidden="false" customHeight="false" outlineLevel="0" collapsed="false">
      <c r="A359" s="11" t="s">
        <v>1472</v>
      </c>
      <c r="D359" s="30" t="n">
        <v>0.1657</v>
      </c>
      <c r="F359" s="30" t="n">
        <v>0.1657</v>
      </c>
    </row>
    <row r="360" customFormat="false" ht="15" hidden="false" customHeight="false" outlineLevel="0" collapsed="false">
      <c r="A360" s="11" t="s">
        <v>1573</v>
      </c>
      <c r="D360" s="30" t="n">
        <v>0.1657</v>
      </c>
      <c r="F360" s="30" t="n">
        <v>0.1657</v>
      </c>
    </row>
    <row r="361" customFormat="false" ht="15" hidden="false" customHeight="false" outlineLevel="0" collapsed="false">
      <c r="A361" s="11" t="s">
        <v>1476</v>
      </c>
      <c r="C361" s="30" t="n">
        <v>0.7419</v>
      </c>
      <c r="E361" s="30" t="n">
        <v>0.0184</v>
      </c>
      <c r="F361" s="30" t="n">
        <v>0.7603</v>
      </c>
    </row>
    <row r="362" customFormat="false" ht="15" hidden="false" customHeight="false" outlineLevel="0" collapsed="false">
      <c r="A362" s="11" t="s">
        <v>1562</v>
      </c>
      <c r="C362" s="30" t="n">
        <v>0.7419</v>
      </c>
      <c r="F362" s="30" t="n">
        <v>0.7419</v>
      </c>
    </row>
    <row r="363" customFormat="false" ht="15" hidden="false" customHeight="false" outlineLevel="0" collapsed="false">
      <c r="A363" s="11" t="s">
        <v>1497</v>
      </c>
      <c r="E363" s="30" t="n">
        <v>0.0184</v>
      </c>
      <c r="F363" s="30" t="n">
        <v>0.0184</v>
      </c>
    </row>
    <row r="364" customFormat="false" ht="15" hidden="false" customHeight="false" outlineLevel="0" collapsed="false">
      <c r="A364" s="11" t="s">
        <v>1479</v>
      </c>
      <c r="C364" s="30" t="n">
        <v>6.8177</v>
      </c>
      <c r="D364" s="30" t="n">
        <v>32.4441</v>
      </c>
      <c r="E364" s="30" t="n">
        <v>0.1504</v>
      </c>
      <c r="F364" s="30" t="n">
        <v>39.4122</v>
      </c>
    </row>
    <row r="365" customFormat="false" ht="15" hidden="false" customHeight="false" outlineLevel="0" collapsed="false">
      <c r="A365" s="11" t="s">
        <v>1480</v>
      </c>
      <c r="C365" s="30" t="n">
        <v>4.0932</v>
      </c>
      <c r="D365" s="30" t="n">
        <v>5.8859</v>
      </c>
      <c r="E365" s="30" t="n">
        <v>0.0675</v>
      </c>
      <c r="F365" s="30" t="n">
        <v>10.0466</v>
      </c>
    </row>
    <row r="366" customFormat="false" ht="15" hidden="false" customHeight="false" outlineLevel="0" collapsed="false">
      <c r="A366" s="11" t="s">
        <v>1481</v>
      </c>
      <c r="C366" s="30" t="n">
        <v>1.692</v>
      </c>
      <c r="D366" s="30" t="n">
        <v>3.2414</v>
      </c>
      <c r="E366" s="30" t="n">
        <v>0.0301</v>
      </c>
      <c r="F366" s="30" t="n">
        <v>4.9635</v>
      </c>
    </row>
    <row r="367" customFormat="false" ht="15" hidden="false" customHeight="false" outlineLevel="0" collapsed="false">
      <c r="A367" s="11" t="s">
        <v>1482</v>
      </c>
      <c r="C367" s="30" t="n">
        <v>1.692</v>
      </c>
      <c r="D367" s="30" t="n">
        <v>3.2414</v>
      </c>
      <c r="E367" s="30" t="n">
        <v>0.0301</v>
      </c>
      <c r="F367" s="30" t="n">
        <v>4.9635</v>
      </c>
    </row>
    <row r="368" customFormat="false" ht="15" hidden="false" customHeight="false" outlineLevel="0" collapsed="false">
      <c r="A368" s="11" t="s">
        <v>1484</v>
      </c>
      <c r="C368" s="30" t="n">
        <v>0.4946</v>
      </c>
      <c r="E368" s="30" t="n">
        <v>0.0074</v>
      </c>
      <c r="F368" s="30" t="n">
        <v>0.5019</v>
      </c>
    </row>
    <row r="369" customFormat="false" ht="15" hidden="false" customHeight="false" outlineLevel="0" collapsed="false">
      <c r="A369" s="11" t="s">
        <v>1576</v>
      </c>
      <c r="C369" s="30" t="n">
        <v>0.4946</v>
      </c>
      <c r="F369" s="30" t="n">
        <v>0.4946</v>
      </c>
    </row>
    <row r="370" customFormat="false" ht="15" hidden="false" customHeight="false" outlineLevel="0" collapsed="false">
      <c r="A370" s="11" t="s">
        <v>1499</v>
      </c>
      <c r="E370" s="30" t="n">
        <v>0.0074</v>
      </c>
      <c r="F370" s="30" t="n">
        <v>0.0074</v>
      </c>
    </row>
    <row r="371" customFormat="false" ht="15" hidden="false" customHeight="false" outlineLevel="0" collapsed="false">
      <c r="A371" s="11" t="s">
        <v>1487</v>
      </c>
      <c r="C371" s="30" t="n">
        <v>5.2906</v>
      </c>
      <c r="D371" s="30" t="n">
        <v>9.1273</v>
      </c>
      <c r="E371" s="30" t="n">
        <v>0.0902</v>
      </c>
      <c r="F371" s="30" t="n">
        <v>14.5082</v>
      </c>
    </row>
    <row r="372" customFormat="false" ht="15" hidden="false" customHeight="false" outlineLevel="0" collapsed="false">
      <c r="A372" s="11" t="s">
        <v>1492</v>
      </c>
      <c r="C372" s="30" t="n">
        <v>1.5271</v>
      </c>
      <c r="D372" s="30" t="n">
        <v>23.3167</v>
      </c>
      <c r="E372" s="30" t="n">
        <v>0.0601</v>
      </c>
      <c r="F372" s="30" t="n">
        <v>24.904</v>
      </c>
    </row>
    <row r="373" customFormat="false" ht="15" hidden="false" customHeight="false" outlineLevel="0" collapsed="false">
      <c r="A373" s="11" t="s">
        <v>1493</v>
      </c>
      <c r="C373" s="30" t="n">
        <v>3.4664</v>
      </c>
      <c r="D373" s="30" t="n">
        <v>26.3925</v>
      </c>
      <c r="E373" s="30" t="n">
        <v>0.1013</v>
      </c>
      <c r="F373" s="30" t="n">
        <v>29.9601</v>
      </c>
    </row>
    <row r="375" customFormat="false" ht="15" hidden="false" customHeight="false" outlineLevel="0" collapsed="false">
      <c r="A375" s="3" t="s">
        <v>1580</v>
      </c>
    </row>
    <row r="376" customFormat="false" ht="15" hidden="false" customHeight="false" outlineLevel="0" collapsed="false">
      <c r="A376" s="2" t="s">
        <v>1581</v>
      </c>
    </row>
    <row r="377" customFormat="false" ht="15" hidden="false" customHeight="false" outlineLevel="0" collapsed="false">
      <c r="A377" s="90" t="s">
        <v>86</v>
      </c>
      <c r="B377" s="130"/>
      <c r="C377" s="130" t="s">
        <v>778</v>
      </c>
      <c r="D377" s="130" t="s">
        <v>790</v>
      </c>
      <c r="E377" s="130" t="s">
        <v>791</v>
      </c>
      <c r="F377" s="130" t="s">
        <v>1470</v>
      </c>
    </row>
    <row r="378" customFormat="false" ht="15" hidden="false" customHeight="false" outlineLevel="0" collapsed="false">
      <c r="A378" s="11" t="s">
        <v>1471</v>
      </c>
      <c r="C378" s="30" t="n">
        <v>6.8177</v>
      </c>
      <c r="D378" s="30" t="n">
        <v>32.4441</v>
      </c>
      <c r="E378" s="30" t="n">
        <v>0.1504</v>
      </c>
      <c r="F378" s="30" t="n">
        <v>39.4122</v>
      </c>
    </row>
    <row r="379" customFormat="false" ht="15" hidden="false" customHeight="false" outlineLevel="0" collapsed="false">
      <c r="A379" s="11" t="s">
        <v>1472</v>
      </c>
      <c r="E379" s="30" t="n">
        <v>0.0123</v>
      </c>
      <c r="F379" s="30" t="n">
        <v>0.0123</v>
      </c>
    </row>
    <row r="380" customFormat="false" ht="15" hidden="false" customHeight="false" outlineLevel="0" collapsed="false">
      <c r="A380" s="11" t="s">
        <v>1475</v>
      </c>
      <c r="E380" s="30" t="n">
        <v>0.0123</v>
      </c>
      <c r="F380" s="30" t="n">
        <v>0.0123</v>
      </c>
    </row>
    <row r="381" customFormat="false" ht="15" hidden="false" customHeight="false" outlineLevel="0" collapsed="false">
      <c r="A381" s="11" t="s">
        <v>1476</v>
      </c>
    </row>
    <row r="382" customFormat="false" ht="15" hidden="false" customHeight="false" outlineLevel="0" collapsed="false">
      <c r="A382" s="11" t="s">
        <v>1479</v>
      </c>
      <c r="C382" s="30" t="n">
        <v>6.8177</v>
      </c>
      <c r="D382" s="30" t="n">
        <v>32.4441</v>
      </c>
      <c r="E382" s="30" t="n">
        <v>0.1626</v>
      </c>
      <c r="F382" s="30" t="n">
        <v>39.4244</v>
      </c>
    </row>
    <row r="383" customFormat="false" ht="15" hidden="false" customHeight="false" outlineLevel="0" collapsed="false">
      <c r="A383" s="11" t="s">
        <v>1480</v>
      </c>
      <c r="C383" s="30" t="n">
        <v>5.2906</v>
      </c>
      <c r="D383" s="30" t="n">
        <v>9.1273</v>
      </c>
      <c r="E383" s="30" t="n">
        <v>0.0902</v>
      </c>
      <c r="F383" s="30" t="n">
        <v>14.5082</v>
      </c>
    </row>
    <row r="384" customFormat="false" ht="15" hidden="false" customHeight="false" outlineLevel="0" collapsed="false">
      <c r="A384" s="11" t="s">
        <v>1481</v>
      </c>
      <c r="C384" s="30" t="n">
        <v>0.7236</v>
      </c>
      <c r="D384" s="30" t="n">
        <v>1.6252</v>
      </c>
      <c r="E384" s="30" t="n">
        <v>0.0074</v>
      </c>
      <c r="F384" s="30" t="n">
        <v>2.3562</v>
      </c>
    </row>
    <row r="385" customFormat="false" ht="15" hidden="false" customHeight="false" outlineLevel="0" collapsed="false">
      <c r="A385" s="11" t="s">
        <v>1482</v>
      </c>
      <c r="C385" s="30" t="n">
        <v>0.7236</v>
      </c>
      <c r="D385" s="30" t="n">
        <v>1.6252</v>
      </c>
      <c r="F385" s="30" t="n">
        <v>2.3488</v>
      </c>
    </row>
    <row r="386" customFormat="false" ht="15" hidden="false" customHeight="false" outlineLevel="0" collapsed="false">
      <c r="A386" s="11" t="s">
        <v>1483</v>
      </c>
      <c r="E386" s="30" t="n">
        <v>0.0074</v>
      </c>
      <c r="F386" s="30" t="n">
        <v>0.0074</v>
      </c>
    </row>
    <row r="387" customFormat="false" ht="15" hidden="false" customHeight="false" outlineLevel="0" collapsed="false">
      <c r="A387" s="11" t="s">
        <v>1484</v>
      </c>
    </row>
    <row r="388" customFormat="false" ht="15" hidden="false" customHeight="false" outlineLevel="0" collapsed="false">
      <c r="A388" s="11" t="s">
        <v>1487</v>
      </c>
      <c r="C388" s="30" t="n">
        <v>6.0142</v>
      </c>
      <c r="D388" s="30" t="n">
        <v>10.7526</v>
      </c>
      <c r="E388" s="30" t="n">
        <v>0.0976</v>
      </c>
      <c r="F388" s="30" t="n">
        <v>16.8644</v>
      </c>
    </row>
    <row r="389" customFormat="false" ht="15" hidden="false" customHeight="false" outlineLevel="0" collapsed="false">
      <c r="A389" s="11" t="s">
        <v>1492</v>
      </c>
      <c r="C389" s="30" t="n">
        <v>0.8035</v>
      </c>
      <c r="D389" s="30" t="n">
        <v>21.6915</v>
      </c>
      <c r="E389" s="30" t="n">
        <v>0.0651</v>
      </c>
      <c r="F389" s="30" t="n">
        <v>22.5601</v>
      </c>
    </row>
    <row r="390" customFormat="false" ht="15" hidden="false" customHeight="false" outlineLevel="0" collapsed="false">
      <c r="A390" s="11" t="s">
        <v>1493</v>
      </c>
      <c r="C390" s="30" t="n">
        <v>1.5271</v>
      </c>
      <c r="D390" s="30" t="n">
        <v>23.3167</v>
      </c>
      <c r="E390" s="30" t="n">
        <v>0.0601</v>
      </c>
      <c r="F390" s="30" t="n">
        <v>24.904</v>
      </c>
    </row>
    <row r="392" customFormat="false" ht="15" hidden="false" customHeight="false" outlineLevel="0" collapsed="false">
      <c r="A392" s="3" t="s">
        <v>1582</v>
      </c>
    </row>
    <row r="393" customFormat="false" ht="15" hidden="false" customHeight="false" outlineLevel="0" collapsed="false">
      <c r="A393" s="2" t="s">
        <v>1583</v>
      </c>
    </row>
    <row r="394" customFormat="false" ht="15" hidden="false" customHeight="false" outlineLevel="0" collapsed="false">
      <c r="A394" s="90" t="s">
        <v>86</v>
      </c>
      <c r="B394" s="130"/>
      <c r="C394" s="130" t="s">
        <v>778</v>
      </c>
      <c r="D394" s="130" t="s">
        <v>790</v>
      </c>
      <c r="E394" s="130" t="s">
        <v>791</v>
      </c>
      <c r="F394" s="130" t="s">
        <v>1470</v>
      </c>
    </row>
    <row r="395" customFormat="false" ht="15" hidden="false" customHeight="false" outlineLevel="0" collapsed="false">
      <c r="A395" s="11" t="s">
        <v>1471</v>
      </c>
      <c r="C395" s="30" t="n">
        <v>6.8177</v>
      </c>
      <c r="D395" s="30" t="n">
        <v>32.4441</v>
      </c>
      <c r="E395" s="30" t="n">
        <v>0.1504</v>
      </c>
      <c r="F395" s="30" t="n">
        <v>39.4122</v>
      </c>
    </row>
    <row r="396" customFormat="false" ht="15" hidden="false" customHeight="false" outlineLevel="0" collapsed="false">
      <c r="A396" s="11" t="s">
        <v>1472</v>
      </c>
    </row>
    <row r="397" customFormat="false" ht="15" hidden="false" customHeight="false" outlineLevel="0" collapsed="false">
      <c r="A397" s="11" t="s">
        <v>1476</v>
      </c>
      <c r="C397" s="30" t="n">
        <v>0.6028</v>
      </c>
      <c r="F397" s="30" t="n">
        <v>0.6028</v>
      </c>
    </row>
    <row r="398" customFormat="false" ht="15" hidden="false" customHeight="false" outlineLevel="0" collapsed="false">
      <c r="A398" s="11" t="s">
        <v>1562</v>
      </c>
      <c r="C398" s="30" t="n">
        <v>0.544</v>
      </c>
      <c r="F398" s="30" t="n">
        <v>0.544</v>
      </c>
    </row>
    <row r="399" customFormat="false" ht="15" hidden="false" customHeight="false" outlineLevel="0" collapsed="false">
      <c r="A399" s="11" t="s">
        <v>1549</v>
      </c>
      <c r="C399" s="30" t="n">
        <v>0.0588</v>
      </c>
      <c r="F399" s="30" t="n">
        <v>0.0588</v>
      </c>
    </row>
    <row r="400" customFormat="false" ht="15" hidden="false" customHeight="false" outlineLevel="0" collapsed="false">
      <c r="A400" s="11" t="s">
        <v>1479</v>
      </c>
      <c r="C400" s="30" t="n">
        <v>6.2149</v>
      </c>
      <c r="D400" s="30" t="n">
        <v>32.4441</v>
      </c>
      <c r="E400" s="30" t="n">
        <v>0.1504</v>
      </c>
      <c r="F400" s="30" t="n">
        <v>38.8093</v>
      </c>
    </row>
    <row r="401" customFormat="false" ht="15" hidden="false" customHeight="false" outlineLevel="0" collapsed="false">
      <c r="A401" s="11" t="s">
        <v>1480</v>
      </c>
      <c r="C401" s="30" t="n">
        <v>5.2906</v>
      </c>
      <c r="D401" s="30" t="n">
        <v>9.1273</v>
      </c>
      <c r="E401" s="30" t="n">
        <v>0.0902</v>
      </c>
      <c r="F401" s="30" t="n">
        <v>14.5082</v>
      </c>
    </row>
    <row r="402" customFormat="false" ht="15" hidden="false" customHeight="false" outlineLevel="0" collapsed="false">
      <c r="A402" s="11" t="s">
        <v>1481</v>
      </c>
      <c r="C402" s="30" t="n">
        <v>1.4001</v>
      </c>
      <c r="D402" s="30" t="n">
        <v>3.2505</v>
      </c>
      <c r="E402" s="30" t="n">
        <v>0.0296</v>
      </c>
      <c r="F402" s="30" t="n">
        <v>4.6801</v>
      </c>
    </row>
    <row r="403" customFormat="false" ht="15" hidden="false" customHeight="false" outlineLevel="0" collapsed="false">
      <c r="A403" s="11" t="s">
        <v>1482</v>
      </c>
      <c r="C403" s="30" t="n">
        <v>1.4001</v>
      </c>
      <c r="D403" s="30" t="n">
        <v>3.2505</v>
      </c>
      <c r="E403" s="30" t="n">
        <v>0.0296</v>
      </c>
      <c r="F403" s="30" t="n">
        <v>4.6801</v>
      </c>
    </row>
    <row r="404" customFormat="false" ht="15" hidden="false" customHeight="false" outlineLevel="0" collapsed="false">
      <c r="A404" s="11" t="s">
        <v>1484</v>
      </c>
      <c r="C404" s="30" t="n">
        <v>0.544</v>
      </c>
      <c r="F404" s="30" t="n">
        <v>0.544</v>
      </c>
    </row>
    <row r="405" customFormat="false" ht="15" hidden="false" customHeight="false" outlineLevel="0" collapsed="false">
      <c r="A405" s="11" t="s">
        <v>1576</v>
      </c>
      <c r="C405" s="30" t="n">
        <v>0.544</v>
      </c>
      <c r="F405" s="30" t="n">
        <v>0.544</v>
      </c>
    </row>
    <row r="406" customFormat="false" ht="15" hidden="false" customHeight="false" outlineLevel="0" collapsed="false">
      <c r="A406" s="11" t="s">
        <v>1487</v>
      </c>
      <c r="C406" s="30" t="n">
        <v>6.1466</v>
      </c>
      <c r="D406" s="30" t="n">
        <v>12.3778</v>
      </c>
      <c r="E406" s="30" t="n">
        <v>0.1198</v>
      </c>
      <c r="F406" s="30" t="n">
        <v>18.6442</v>
      </c>
    </row>
    <row r="407" customFormat="false" ht="15" hidden="false" customHeight="false" outlineLevel="0" collapsed="false">
      <c r="A407" s="11" t="s">
        <v>1492</v>
      </c>
      <c r="C407" s="30" t="n">
        <v>0.0683</v>
      </c>
      <c r="D407" s="30" t="n">
        <v>20.0663</v>
      </c>
      <c r="E407" s="30" t="n">
        <v>0.0306</v>
      </c>
      <c r="F407" s="30" t="n">
        <v>20.1651</v>
      </c>
    </row>
    <row r="408" customFormat="false" ht="15" hidden="false" customHeight="false" outlineLevel="0" collapsed="false">
      <c r="A408" s="11" t="s">
        <v>1493</v>
      </c>
      <c r="C408" s="30" t="n">
        <v>1.5271</v>
      </c>
      <c r="D408" s="30" t="n">
        <v>23.3167</v>
      </c>
      <c r="E408" s="30" t="n">
        <v>0.0601</v>
      </c>
      <c r="F408" s="30" t="n">
        <v>24.904</v>
      </c>
    </row>
    <row r="410" customFormat="false" ht="15" hidden="false" customHeight="false" outlineLevel="0" collapsed="false">
      <c r="A410" s="3" t="s">
        <v>1584</v>
      </c>
    </row>
    <row r="411" customFormat="false" ht="15" hidden="false" customHeight="false" outlineLevel="0" collapsed="false">
      <c r="A411" s="2" t="s">
        <v>1585</v>
      </c>
    </row>
    <row r="412" customFormat="false" ht="15" hidden="false" customHeight="false" outlineLevel="0" collapsed="false">
      <c r="A412" s="90" t="s">
        <v>86</v>
      </c>
      <c r="B412" s="130"/>
      <c r="C412" s="130" t="s">
        <v>778</v>
      </c>
      <c r="D412" s="130" t="s">
        <v>790</v>
      </c>
      <c r="E412" s="130" t="s">
        <v>791</v>
      </c>
      <c r="F412" s="130" t="s">
        <v>1470</v>
      </c>
    </row>
    <row r="413" customFormat="false" ht="15" hidden="false" customHeight="false" outlineLevel="0" collapsed="false">
      <c r="A413" s="11" t="s">
        <v>1471</v>
      </c>
      <c r="C413" s="30" t="n">
        <v>6.2149</v>
      </c>
      <c r="D413" s="30" t="n">
        <v>32.4441</v>
      </c>
      <c r="E413" s="30" t="n">
        <v>0.1504</v>
      </c>
      <c r="F413" s="30" t="n">
        <v>38.8093</v>
      </c>
    </row>
    <row r="414" customFormat="false" ht="15" hidden="false" customHeight="false" outlineLevel="0" collapsed="false">
      <c r="A414" s="11" t="s">
        <v>1472</v>
      </c>
      <c r="C414" s="30" t="n">
        <v>6.0811</v>
      </c>
      <c r="E414" s="30" t="n">
        <v>-0.0153</v>
      </c>
      <c r="F414" s="30" t="n">
        <v>6.0658</v>
      </c>
    </row>
    <row r="415" customFormat="false" ht="15" hidden="false" customHeight="false" outlineLevel="0" collapsed="false">
      <c r="A415" s="11" t="s">
        <v>1572</v>
      </c>
      <c r="C415" s="30" t="n">
        <v>2.557</v>
      </c>
      <c r="F415" s="30" t="n">
        <v>2.557</v>
      </c>
    </row>
    <row r="416" customFormat="false" ht="15" hidden="false" customHeight="false" outlineLevel="0" collapsed="false">
      <c r="A416" s="11" t="s">
        <v>1573</v>
      </c>
      <c r="C416" s="30" t="n">
        <v>3.5241</v>
      </c>
      <c r="F416" s="30" t="n">
        <v>3.5241</v>
      </c>
    </row>
    <row r="417" customFormat="false" ht="15" hidden="false" customHeight="false" outlineLevel="0" collapsed="false">
      <c r="A417" s="11" t="s">
        <v>1475</v>
      </c>
      <c r="E417" s="30" t="n">
        <v>-0.0153</v>
      </c>
      <c r="F417" s="30" t="n">
        <v>-0.0153</v>
      </c>
    </row>
    <row r="418" customFormat="false" ht="15" hidden="false" customHeight="false" outlineLevel="0" collapsed="false">
      <c r="A418" s="11" t="s">
        <v>1476</v>
      </c>
      <c r="C418" s="30" t="n">
        <v>1.1205</v>
      </c>
      <c r="D418" s="30" t="n">
        <v>0.0082</v>
      </c>
      <c r="F418" s="30" t="n">
        <v>1.1286</v>
      </c>
    </row>
    <row r="419" customFormat="false" ht="15" hidden="false" customHeight="false" outlineLevel="0" collapsed="false">
      <c r="A419" s="11" t="s">
        <v>1562</v>
      </c>
      <c r="C419" s="30" t="n">
        <v>1.1205</v>
      </c>
      <c r="F419" s="30" t="n">
        <v>1.1205</v>
      </c>
    </row>
    <row r="420" customFormat="false" ht="15" hidden="false" customHeight="false" outlineLevel="0" collapsed="false">
      <c r="A420" s="11" t="s">
        <v>1574</v>
      </c>
      <c r="D420" s="30" t="n">
        <v>0.0082</v>
      </c>
      <c r="F420" s="30" t="n">
        <v>0.0082</v>
      </c>
    </row>
    <row r="421" customFormat="false" ht="15" hidden="false" customHeight="false" outlineLevel="0" collapsed="false">
      <c r="A421" s="11" t="s">
        <v>1479</v>
      </c>
      <c r="C421" s="30" t="n">
        <v>11.1755</v>
      </c>
      <c r="D421" s="30" t="n">
        <v>32.4359</v>
      </c>
      <c r="E421" s="30" t="n">
        <v>0.135</v>
      </c>
      <c r="F421" s="30" t="n">
        <v>43.7465</v>
      </c>
    </row>
    <row r="422" customFormat="false" ht="15" hidden="false" customHeight="false" outlineLevel="0" collapsed="false">
      <c r="A422" s="11" t="s">
        <v>1480</v>
      </c>
      <c r="C422" s="30" t="n">
        <v>6.1466</v>
      </c>
      <c r="D422" s="30" t="n">
        <v>12.3778</v>
      </c>
      <c r="E422" s="30" t="n">
        <v>0.1198</v>
      </c>
      <c r="F422" s="30" t="n">
        <v>18.6442</v>
      </c>
    </row>
    <row r="423" customFormat="false" ht="15" hidden="false" customHeight="false" outlineLevel="0" collapsed="false">
      <c r="A423" s="11" t="s">
        <v>1481</v>
      </c>
      <c r="C423" s="30" t="n">
        <v>0.609</v>
      </c>
      <c r="D423" s="30" t="n">
        <v>1.6248</v>
      </c>
      <c r="E423" s="30" t="n">
        <v>-0.0122</v>
      </c>
      <c r="F423" s="30" t="n">
        <v>2.2215</v>
      </c>
    </row>
    <row r="424" customFormat="false" ht="15" hidden="false" customHeight="false" outlineLevel="0" collapsed="false">
      <c r="A424" s="11" t="s">
        <v>1482</v>
      </c>
      <c r="C424" s="30" t="n">
        <v>0.609</v>
      </c>
      <c r="D424" s="30" t="n">
        <v>1.6248</v>
      </c>
      <c r="F424" s="30" t="n">
        <v>2.2338</v>
      </c>
    </row>
    <row r="425" customFormat="false" ht="15" hidden="false" customHeight="false" outlineLevel="0" collapsed="false">
      <c r="A425" s="11" t="s">
        <v>1483</v>
      </c>
      <c r="E425" s="30" t="n">
        <v>-0.0122</v>
      </c>
      <c r="F425" s="30" t="n">
        <v>-0.0122</v>
      </c>
    </row>
    <row r="426" customFormat="false" ht="15" hidden="false" customHeight="false" outlineLevel="0" collapsed="false">
      <c r="A426" s="11" t="s">
        <v>1484</v>
      </c>
      <c r="C426" s="30" t="n">
        <v>1.1205</v>
      </c>
      <c r="F426" s="30" t="n">
        <v>1.1205</v>
      </c>
    </row>
    <row r="427" customFormat="false" ht="15" hidden="false" customHeight="false" outlineLevel="0" collapsed="false">
      <c r="A427" s="11" t="s">
        <v>1576</v>
      </c>
      <c r="C427" s="30" t="n">
        <v>1.1205</v>
      </c>
      <c r="F427" s="30" t="n">
        <v>1.1205</v>
      </c>
    </row>
    <row r="428" customFormat="false" ht="15" hidden="false" customHeight="false" outlineLevel="0" collapsed="false">
      <c r="A428" s="11" t="s">
        <v>1487</v>
      </c>
      <c r="C428" s="30" t="n">
        <v>5.6352</v>
      </c>
      <c r="D428" s="30" t="n">
        <v>14.0025</v>
      </c>
      <c r="E428" s="30" t="n">
        <v>0.1076</v>
      </c>
      <c r="F428" s="30" t="n">
        <v>19.7453</v>
      </c>
    </row>
    <row r="429" customFormat="false" ht="15" hidden="false" customHeight="false" outlineLevel="0" collapsed="false">
      <c r="A429" s="11" t="s">
        <v>1492</v>
      </c>
      <c r="C429" s="30" t="n">
        <v>5.5404</v>
      </c>
      <c r="D429" s="30" t="n">
        <v>18.4333</v>
      </c>
      <c r="E429" s="30" t="n">
        <v>0.0274</v>
      </c>
      <c r="F429" s="30" t="n">
        <v>24.0012</v>
      </c>
    </row>
    <row r="430" customFormat="false" ht="15" hidden="false" customHeight="false" outlineLevel="0" collapsed="false">
      <c r="A430" s="11" t="s">
        <v>1493</v>
      </c>
      <c r="C430" s="30" t="n">
        <v>0.0683</v>
      </c>
      <c r="D430" s="30" t="n">
        <v>20.0663</v>
      </c>
      <c r="E430" s="30" t="n">
        <v>0.0306</v>
      </c>
      <c r="F430" s="30" t="n">
        <v>20.1651</v>
      </c>
    </row>
    <row r="432" customFormat="false" ht="15" hidden="false" customHeight="false" outlineLevel="0" collapsed="false">
      <c r="A432" s="3" t="s">
        <v>1586</v>
      </c>
    </row>
    <row r="433" customFormat="false" ht="15" hidden="false" customHeight="false" outlineLevel="0" collapsed="false">
      <c r="A433" s="2" t="s">
        <v>1587</v>
      </c>
    </row>
    <row r="434" customFormat="false" ht="15" hidden="false" customHeight="false" outlineLevel="0" collapsed="false">
      <c r="A434" s="90" t="s">
        <v>86</v>
      </c>
      <c r="B434" s="130"/>
      <c r="C434" s="130" t="s">
        <v>772</v>
      </c>
      <c r="D434" s="130" t="s">
        <v>1523</v>
      </c>
      <c r="E434" s="130" t="s">
        <v>1588</v>
      </c>
      <c r="F434" s="130" t="s">
        <v>1589</v>
      </c>
      <c r="G434" s="130" t="s">
        <v>775</v>
      </c>
    </row>
    <row r="435" customFormat="false" ht="15" hidden="false" customHeight="false" outlineLevel="0" collapsed="false">
      <c r="A435" s="4" t="s">
        <v>1590</v>
      </c>
      <c r="C435" s="30" t="n">
        <v>23.8196</v>
      </c>
      <c r="D435" s="30" t="n">
        <v>2.5024</v>
      </c>
      <c r="E435" s="30" t="n">
        <v>7.8723</v>
      </c>
      <c r="G435" s="30" t="n">
        <v>18.4497</v>
      </c>
    </row>
    <row r="436" customFormat="false" ht="15" hidden="false" customHeight="false" outlineLevel="0" collapsed="false">
      <c r="A436" s="4" t="s">
        <v>1591</v>
      </c>
      <c r="C436" s="30" t="n">
        <v>0.8576</v>
      </c>
      <c r="E436" s="30" t="n">
        <v>0.2253</v>
      </c>
      <c r="G436" s="30" t="n">
        <v>0.6323</v>
      </c>
    </row>
    <row r="437" customFormat="false" ht="15" hidden="false" customHeight="false" outlineLevel="0" collapsed="false">
      <c r="A437" s="4" t="s">
        <v>1592</v>
      </c>
      <c r="C437" s="30" t="n">
        <v>24.6772</v>
      </c>
      <c r="D437" s="30" t="n">
        <v>2.5024</v>
      </c>
      <c r="E437" s="30" t="n">
        <v>8.0975</v>
      </c>
      <c r="G437" s="30" t="n">
        <v>19.0821</v>
      </c>
    </row>
    <row r="438" customFormat="false" ht="15" hidden="false" customHeight="false" outlineLevel="0" collapsed="false">
      <c r="A438" s="4" t="s">
        <v>1593</v>
      </c>
      <c r="C438" s="30" t="n">
        <v>18.4497</v>
      </c>
      <c r="D438" s="30" t="n">
        <v>8.3494</v>
      </c>
      <c r="E438" s="30" t="n">
        <v>9.5641</v>
      </c>
      <c r="G438" s="30" t="n">
        <v>17.2351</v>
      </c>
    </row>
    <row r="439" customFormat="false" ht="15" hidden="false" customHeight="false" outlineLevel="0" collapsed="false">
      <c r="A439" s="4" t="s">
        <v>1594</v>
      </c>
      <c r="C439" s="30" t="n">
        <v>0.6323</v>
      </c>
      <c r="E439" s="30" t="n">
        <v>0.2253</v>
      </c>
      <c r="G439" s="30" t="n">
        <v>0.407</v>
      </c>
    </row>
    <row r="440" customFormat="false" ht="15" hidden="false" customHeight="false" outlineLevel="0" collapsed="false">
      <c r="A440" s="4" t="s">
        <v>1595</v>
      </c>
      <c r="C440" s="30" t="n">
        <v>19.0821</v>
      </c>
      <c r="D440" s="30" t="n">
        <v>8.3494</v>
      </c>
      <c r="E440" s="30" t="n">
        <v>9.7894</v>
      </c>
      <c r="G440" s="30" t="n">
        <v>17.6421</v>
      </c>
    </row>
    <row r="441" customFormat="false" ht="15" hidden="false" customHeight="false" outlineLevel="0" collapsed="false">
      <c r="A441" s="4" t="s">
        <v>1596</v>
      </c>
      <c r="C441" s="30" t="n">
        <v>17.2351</v>
      </c>
      <c r="D441" s="30" t="n">
        <v>1.2156</v>
      </c>
      <c r="E441" s="30" t="n">
        <v>6.8862</v>
      </c>
      <c r="G441" s="30" t="n">
        <v>11.5645</v>
      </c>
    </row>
    <row r="442" customFormat="false" ht="15" hidden="false" customHeight="false" outlineLevel="0" collapsed="false">
      <c r="A442" s="4" t="s">
        <v>1597</v>
      </c>
      <c r="C442" s="30" t="n">
        <v>0.407</v>
      </c>
      <c r="E442" s="30" t="n">
        <v>0.1126</v>
      </c>
      <c r="G442" s="30" t="n">
        <v>0.2944</v>
      </c>
    </row>
    <row r="443" customFormat="false" ht="15" hidden="false" customHeight="false" outlineLevel="0" collapsed="false">
      <c r="A443" s="4" t="s">
        <v>1598</v>
      </c>
      <c r="C443" s="30" t="n">
        <v>17.6421</v>
      </c>
      <c r="D443" s="30" t="n">
        <v>1.2156</v>
      </c>
      <c r="E443" s="30" t="n">
        <v>6.9988</v>
      </c>
      <c r="G443" s="30" t="n">
        <v>11.8589</v>
      </c>
    </row>
    <row r="444" customFormat="false" ht="15" hidden="false" customHeight="false" outlineLevel="0" collapsed="false">
      <c r="A444" s="4" t="s">
        <v>1599</v>
      </c>
      <c r="C444" s="30" t="n">
        <v>17.2351</v>
      </c>
      <c r="D444" s="30" t="n">
        <v>4.4554</v>
      </c>
      <c r="E444" s="30" t="n">
        <v>11.8717</v>
      </c>
      <c r="G444" s="30" t="n">
        <v>9.8187</v>
      </c>
    </row>
    <row r="445" customFormat="false" ht="15" hidden="false" customHeight="false" outlineLevel="0" collapsed="false">
      <c r="A445" s="4" t="s">
        <v>1600</v>
      </c>
      <c r="C445" s="30" t="n">
        <v>0.407</v>
      </c>
      <c r="E445" s="30" t="n">
        <v>0.2253</v>
      </c>
      <c r="G445" s="30" t="n">
        <v>0.1818</v>
      </c>
    </row>
    <row r="446" customFormat="false" ht="15" hidden="false" customHeight="false" outlineLevel="0" collapsed="false">
      <c r="A446" s="4" t="s">
        <v>1601</v>
      </c>
      <c r="C446" s="30" t="n">
        <v>17.6421</v>
      </c>
      <c r="D446" s="30" t="n">
        <v>4.4554</v>
      </c>
      <c r="E446" s="30" t="n">
        <v>12.097</v>
      </c>
      <c r="G446" s="30" t="n">
        <v>10.0005</v>
      </c>
    </row>
    <row r="447" customFormat="false" ht="15" hidden="false" customHeight="false" outlineLevel="0" collapsed="false">
      <c r="A447" s="4" t="s">
        <v>1602</v>
      </c>
      <c r="C447" s="30" t="n">
        <v>9.8187</v>
      </c>
      <c r="D447" s="30" t="n">
        <v>5.4299</v>
      </c>
      <c r="E447" s="30" t="n">
        <v>4.2141</v>
      </c>
      <c r="G447" s="30" t="n">
        <v>11.0345</v>
      </c>
    </row>
    <row r="448" customFormat="false" ht="15" hidden="false" customHeight="false" outlineLevel="0" collapsed="false">
      <c r="A448" s="4" t="s">
        <v>1603</v>
      </c>
      <c r="C448" s="30" t="n">
        <v>0.1818</v>
      </c>
      <c r="E448" s="30" t="n">
        <v>0.1126</v>
      </c>
      <c r="G448" s="30" t="n">
        <v>0.0691</v>
      </c>
    </row>
    <row r="449" customFormat="false" ht="15" hidden="false" customHeight="false" outlineLevel="0" collapsed="false">
      <c r="A449" s="4" t="s">
        <v>1604</v>
      </c>
      <c r="C449" s="30" t="n">
        <v>10.0005</v>
      </c>
      <c r="D449" s="30" t="n">
        <v>5.4299</v>
      </c>
      <c r="E449" s="30" t="n">
        <v>4.3267</v>
      </c>
      <c r="G449" s="30" t="n">
        <v>11.1037</v>
      </c>
    </row>
    <row r="451" customFormat="false" ht="15" hidden="false" customHeight="false" outlineLevel="0" collapsed="false">
      <c r="A451" s="3" t="s">
        <v>1605</v>
      </c>
    </row>
    <row r="452" customFormat="false" ht="15" hidden="false" customHeight="false" outlineLevel="0" collapsed="false">
      <c r="A452" s="2" t="s">
        <v>1606</v>
      </c>
    </row>
    <row r="453" customFormat="false" ht="15" hidden="false" customHeight="false" outlineLevel="0" collapsed="false">
      <c r="A453" s="90" t="s">
        <v>86</v>
      </c>
      <c r="B453" s="130"/>
      <c r="C453" s="91" t="s">
        <v>1451</v>
      </c>
      <c r="D453" s="91" t="s">
        <v>1452</v>
      </c>
      <c r="E453" s="91" t="s">
        <v>1272</v>
      </c>
      <c r="F453" s="91" t="s">
        <v>1453</v>
      </c>
      <c r="G453" s="91" t="s">
        <v>1273</v>
      </c>
    </row>
    <row r="454" customFormat="false" ht="15" hidden="false" customHeight="false" outlineLevel="0" collapsed="false">
      <c r="A454" s="11" t="s">
        <v>1471</v>
      </c>
      <c r="D454" s="30" t="n">
        <v>138.0232</v>
      </c>
      <c r="E454" s="30" t="n">
        <v>82.3387</v>
      </c>
      <c r="F454" s="30" t="n">
        <v>82.3387</v>
      </c>
      <c r="G454" s="30" t="n">
        <v>79.6964</v>
      </c>
    </row>
    <row r="455" customFormat="false" ht="15" hidden="false" customHeight="false" outlineLevel="0" collapsed="false">
      <c r="A455" s="11" t="s">
        <v>1607</v>
      </c>
      <c r="C455" s="30" t="n">
        <v>138.0232</v>
      </c>
      <c r="D455" s="30" t="n">
        <v>47.8357</v>
      </c>
    </row>
    <row r="456" customFormat="false" ht="15" hidden="false" customHeight="false" outlineLevel="0" collapsed="false">
      <c r="A456" s="11" t="s">
        <v>1562</v>
      </c>
      <c r="D456" s="30" t="n">
        <v>2.2306</v>
      </c>
      <c r="E456" s="30" t="n">
        <v>2.6422</v>
      </c>
      <c r="F456" s="30" t="n">
        <v>2.6422</v>
      </c>
    </row>
    <row r="457" customFormat="false" ht="15" hidden="false" customHeight="false" outlineLevel="0" collapsed="false">
      <c r="A457" s="11" t="s">
        <v>1608</v>
      </c>
      <c r="D457" s="30" t="n">
        <v>101.2897</v>
      </c>
    </row>
    <row r="458" customFormat="false" ht="15" hidden="false" customHeight="false" outlineLevel="0" collapsed="false">
      <c r="A458" s="11" t="s">
        <v>1479</v>
      </c>
      <c r="C458" s="30" t="n">
        <v>138.0232</v>
      </c>
      <c r="D458" s="30" t="n">
        <v>82.3387</v>
      </c>
      <c r="E458" s="30" t="n">
        <v>79.6964</v>
      </c>
      <c r="F458" s="30" t="n">
        <v>79.6964</v>
      </c>
      <c r="G458" s="30" t="n">
        <v>79.6964</v>
      </c>
    </row>
    <row r="459" customFormat="false" ht="15" hidden="false" customHeight="false" outlineLevel="0" collapsed="false">
      <c r="A459" s="11" t="s">
        <v>1480</v>
      </c>
      <c r="D459" s="30" t="n">
        <v>10.2988</v>
      </c>
      <c r="E459" s="30" t="n">
        <v>17.6223</v>
      </c>
      <c r="F459" s="30" t="n">
        <v>17.6223</v>
      </c>
      <c r="G459" s="30" t="n">
        <v>20.377</v>
      </c>
    </row>
    <row r="460" customFormat="false" ht="15" hidden="false" customHeight="false" outlineLevel="0" collapsed="false">
      <c r="A460" s="11" t="s">
        <v>1609</v>
      </c>
      <c r="D460" s="30" t="n">
        <v>7.8393</v>
      </c>
      <c r="E460" s="30" t="n">
        <v>1.8689</v>
      </c>
      <c r="F460" s="30" t="n">
        <v>3.7173</v>
      </c>
      <c r="G460" s="30" t="n">
        <v>1.8484</v>
      </c>
    </row>
    <row r="461" customFormat="false" ht="15" hidden="false" customHeight="false" outlineLevel="0" collapsed="false">
      <c r="A461" s="11" t="s">
        <v>1610</v>
      </c>
      <c r="C461" s="30" t="n">
        <v>10.2988</v>
      </c>
      <c r="D461" s="30" t="n">
        <v>5.2663</v>
      </c>
    </row>
    <row r="462" customFormat="false" ht="15" hidden="false" customHeight="false" outlineLevel="0" collapsed="false">
      <c r="A462" s="11" t="s">
        <v>1576</v>
      </c>
      <c r="D462" s="30" t="n">
        <v>0.7175</v>
      </c>
      <c r="E462" s="30" t="n">
        <v>0.9626</v>
      </c>
      <c r="F462" s="30" t="n">
        <v>0.9626</v>
      </c>
    </row>
    <row r="463" customFormat="false" ht="15" hidden="false" customHeight="false" outlineLevel="0" collapsed="false">
      <c r="A463" s="11" t="s">
        <v>1611</v>
      </c>
      <c r="D463" s="30" t="n">
        <v>5.0645</v>
      </c>
    </row>
    <row r="464" customFormat="false" ht="15" hidden="false" customHeight="false" outlineLevel="0" collapsed="false">
      <c r="A464" s="11" t="s">
        <v>1487</v>
      </c>
      <c r="C464" s="30" t="n">
        <v>10.2988</v>
      </c>
      <c r="D464" s="30" t="n">
        <v>17.6223</v>
      </c>
      <c r="E464" s="30" t="n">
        <v>18.5285</v>
      </c>
      <c r="F464" s="30" t="n">
        <v>20.377</v>
      </c>
      <c r="G464" s="30" t="n">
        <v>22.2254</v>
      </c>
    </row>
    <row r="465" customFormat="false" ht="15" hidden="false" customHeight="false" outlineLevel="0" collapsed="false">
      <c r="A465" s="11" t="s">
        <v>1492</v>
      </c>
      <c r="C465" s="30" t="n">
        <v>127.7244</v>
      </c>
      <c r="D465" s="30" t="n">
        <v>64.7164</v>
      </c>
      <c r="E465" s="30" t="n">
        <v>61.1679</v>
      </c>
      <c r="F465" s="30" t="n">
        <v>59.3194</v>
      </c>
      <c r="G465" s="30" t="n">
        <v>57.471</v>
      </c>
    </row>
    <row r="467" customFormat="false" ht="15" hidden="false" customHeight="false" outlineLevel="0" collapsed="false">
      <c r="A467" s="3" t="s">
        <v>1612</v>
      </c>
    </row>
    <row r="468" customFormat="false" ht="15" hidden="false" customHeight="false" outlineLevel="0" collapsed="false">
      <c r="A468" s="2" t="s">
        <v>1613</v>
      </c>
    </row>
    <row r="469" customFormat="false" ht="15" hidden="false" customHeight="false" outlineLevel="0" collapsed="false">
      <c r="A469" s="90" t="s">
        <v>86</v>
      </c>
      <c r="B469" s="130"/>
      <c r="C469" s="91" t="s">
        <v>1450</v>
      </c>
      <c r="D469" s="91" t="s">
        <v>1451</v>
      </c>
      <c r="E469" s="91" t="s">
        <v>1614</v>
      </c>
      <c r="F469" s="91" t="s">
        <v>1452</v>
      </c>
      <c r="G469" s="91" t="s">
        <v>1272</v>
      </c>
      <c r="H469" s="91" t="s">
        <v>1453</v>
      </c>
      <c r="I469" s="91" t="s">
        <v>1273</v>
      </c>
    </row>
    <row r="470" customFormat="false" ht="15" hidden="false" customHeight="false" outlineLevel="0" collapsed="false">
      <c r="A470" s="11" t="s">
        <v>1615</v>
      </c>
      <c r="C470" s="30" t="n">
        <v>515.7214</v>
      </c>
      <c r="D470" s="30" t="n">
        <v>583.1808</v>
      </c>
      <c r="E470" s="30" t="n">
        <v>348.0766</v>
      </c>
      <c r="F470" s="30" t="n">
        <v>632.0889</v>
      </c>
      <c r="G470" s="30" t="n">
        <v>346.4568</v>
      </c>
      <c r="H470" s="30" t="n">
        <v>715.1475</v>
      </c>
      <c r="I470" s="30" t="n">
        <v>391.2897</v>
      </c>
    </row>
    <row r="471" customFormat="false" ht="15" hidden="false" customHeight="false" outlineLevel="0" collapsed="false">
      <c r="A471" s="11" t="s">
        <v>1616</v>
      </c>
      <c r="C471" s="30" t="n">
        <v>10.9972</v>
      </c>
      <c r="D471" s="30" t="n">
        <v>7.3842</v>
      </c>
      <c r="E471" s="30" t="n">
        <v>2.5828</v>
      </c>
      <c r="F471" s="30" t="n">
        <v>4.9635</v>
      </c>
      <c r="G471" s="30" t="n">
        <v>2.3488</v>
      </c>
      <c r="H471" s="30" t="n">
        <v>4.6801</v>
      </c>
      <c r="I471" s="30" t="n">
        <v>2.2109</v>
      </c>
    </row>
    <row r="472" customFormat="false" ht="15" hidden="false" customHeight="false" outlineLevel="0" collapsed="false">
      <c r="A472" s="11" t="s">
        <v>1617</v>
      </c>
      <c r="C472" s="30" t="n">
        <v>8.7657</v>
      </c>
      <c r="D472" s="30" t="n">
        <v>10.7699</v>
      </c>
      <c r="E472" s="30" t="n">
        <v>6.1139</v>
      </c>
      <c r="F472" s="30" t="n">
        <v>12.2777</v>
      </c>
      <c r="G472" s="30" t="n">
        <v>6.1624</v>
      </c>
      <c r="H472" s="30" t="n">
        <v>12.2258</v>
      </c>
      <c r="I472" s="30" t="n">
        <v>6.4267</v>
      </c>
    </row>
    <row r="473" customFormat="false" ht="15" hidden="false" customHeight="false" outlineLevel="0" collapsed="false">
      <c r="A473" s="11" t="s">
        <v>1618</v>
      </c>
      <c r="C473" s="30" t="n">
        <v>8.8908</v>
      </c>
      <c r="D473" s="30" t="n">
        <v>8.0975</v>
      </c>
      <c r="E473" s="30" t="n">
        <v>3.9971</v>
      </c>
      <c r="F473" s="30" t="n">
        <v>9.7894</v>
      </c>
      <c r="G473" s="30" t="n">
        <v>6.9988</v>
      </c>
      <c r="H473" s="30" t="n">
        <v>12.097</v>
      </c>
      <c r="I473" s="30" t="n">
        <v>4.3267</v>
      </c>
    </row>
    <row r="474" customFormat="false" ht="15" hidden="false" customHeight="false" outlineLevel="0" collapsed="false">
      <c r="A474" s="11" t="s">
        <v>1619</v>
      </c>
      <c r="D474" s="30" t="n">
        <v>583.1808</v>
      </c>
      <c r="F474" s="30" t="n">
        <v>624.2496</v>
      </c>
      <c r="G474" s="30" t="n">
        <v>344.5879</v>
      </c>
      <c r="H474" s="30" t="n">
        <v>711.4302</v>
      </c>
      <c r="I474" s="30" t="n">
        <v>389.4412</v>
      </c>
    </row>
    <row r="475" customFormat="false" ht="15" hidden="false" customHeight="false" outlineLevel="0" collapsed="false">
      <c r="A475" s="11" t="s">
        <v>1620</v>
      </c>
      <c r="F475" s="30" t="n">
        <v>7.8393</v>
      </c>
      <c r="G475" s="30" t="n">
        <v>1.8689</v>
      </c>
      <c r="H475" s="30" t="n">
        <v>3.7173</v>
      </c>
      <c r="I475" s="30" t="n">
        <v>1.8484</v>
      </c>
    </row>
    <row r="476" customFormat="false" ht="15" hidden="false" customHeight="false" outlineLevel="0" collapsed="false">
      <c r="A476" s="11" t="s">
        <v>1621</v>
      </c>
      <c r="D476" s="30" t="n">
        <v>7.3842</v>
      </c>
      <c r="F476" s="30" t="n">
        <v>4.9635</v>
      </c>
      <c r="G476" s="30" t="n">
        <v>2.3488</v>
      </c>
      <c r="H476" s="30" t="n">
        <v>4.6801</v>
      </c>
      <c r="I476" s="30" t="n">
        <v>2.2338</v>
      </c>
    </row>
    <row r="477" customFormat="false" ht="15" hidden="false" customHeight="false" outlineLevel="0" collapsed="false">
      <c r="A477" s="11" t="s">
        <v>1622</v>
      </c>
      <c r="D477" s="30" t="n">
        <v>10.7699</v>
      </c>
      <c r="F477" s="30" t="n">
        <v>12.2777</v>
      </c>
      <c r="G477" s="30" t="n">
        <v>6.1624</v>
      </c>
      <c r="H477" s="30" t="n">
        <v>12.2258</v>
      </c>
      <c r="I477" s="30" t="n">
        <v>6.4267</v>
      </c>
    </row>
    <row r="478" customFormat="false" ht="15" hidden="false" customHeight="false" outlineLevel="0" collapsed="false">
      <c r="A478" s="11" t="s">
        <v>1623</v>
      </c>
      <c r="D478" s="30" t="n">
        <v>8.0975</v>
      </c>
      <c r="F478" s="30" t="n">
        <v>9.7894</v>
      </c>
      <c r="G478" s="30" t="n">
        <v>6.9988</v>
      </c>
      <c r="H478" s="30" t="n">
        <v>12.097</v>
      </c>
      <c r="I478" s="30" t="n">
        <v>4.3267</v>
      </c>
    </row>
    <row r="480" customFormat="false" ht="15" hidden="false" customHeight="false" outlineLevel="0" collapsed="false">
      <c r="A480" s="3" t="s">
        <v>1624</v>
      </c>
    </row>
    <row r="481" customFormat="false" ht="15" hidden="false" customHeight="false" outlineLevel="0" collapsed="false">
      <c r="A481" s="2" t="s">
        <v>1625</v>
      </c>
    </row>
    <row r="482" customFormat="false" ht="15" hidden="false" customHeight="false" outlineLevel="0" collapsed="false">
      <c r="A482" s="90" t="s">
        <v>86</v>
      </c>
      <c r="B482" s="130"/>
      <c r="C482" s="91" t="s">
        <v>1450</v>
      </c>
      <c r="D482" s="91" t="s">
        <v>1451</v>
      </c>
      <c r="E482" s="91" t="s">
        <v>1614</v>
      </c>
      <c r="F482" s="91" t="s">
        <v>1452</v>
      </c>
      <c r="G482" s="91" t="s">
        <v>1272</v>
      </c>
      <c r="H482" s="91" t="s">
        <v>1453</v>
      </c>
      <c r="I482" s="91" t="s">
        <v>1273</v>
      </c>
    </row>
    <row r="483" customFormat="false" ht="15" hidden="false" customHeight="false" outlineLevel="0" collapsed="false">
      <c r="A483" s="11" t="s">
        <v>1626</v>
      </c>
      <c r="C483" s="30" t="n">
        <v>1124.8091</v>
      </c>
      <c r="D483" s="30" t="n">
        <v>545.8847</v>
      </c>
      <c r="E483" s="30" t="n">
        <v>335.819</v>
      </c>
      <c r="F483" s="30" t="n">
        <v>639.0352</v>
      </c>
      <c r="G483" s="30" t="n">
        <v>207.1667</v>
      </c>
      <c r="H483" s="30" t="n">
        <v>580.092</v>
      </c>
      <c r="I483" s="30" t="n">
        <v>476.371</v>
      </c>
    </row>
    <row r="484" customFormat="false" ht="15" hidden="false" customHeight="false" outlineLevel="0" collapsed="false">
      <c r="A484" s="11" t="s">
        <v>1627</v>
      </c>
      <c r="C484" s="30" t="n">
        <v>61.3832</v>
      </c>
      <c r="D484" s="30" t="n">
        <v>14.3567</v>
      </c>
      <c r="E484" s="30" t="n">
        <v>28.8196</v>
      </c>
      <c r="F484" s="30" t="n">
        <v>29.458</v>
      </c>
      <c r="G484" s="30" t="n">
        <v>3.3433</v>
      </c>
      <c r="H484" s="30" t="n">
        <v>3.726</v>
      </c>
      <c r="I484" s="30" t="n">
        <v>3.6919</v>
      </c>
    </row>
    <row r="486" customFormat="false" ht="15" hidden="false" customHeight="false" outlineLevel="0" collapsed="false">
      <c r="A486" s="3" t="s">
        <v>1628</v>
      </c>
    </row>
    <row r="487" customFormat="false" ht="15" hidden="false" customHeight="false" outlineLevel="0" collapsed="false">
      <c r="A487" s="2" t="s">
        <v>1629</v>
      </c>
    </row>
    <row r="488" customFormat="false" ht="15" hidden="false" customHeight="false" outlineLevel="0" collapsed="false">
      <c r="A488" s="90" t="s">
        <v>86</v>
      </c>
      <c r="B488" s="130"/>
      <c r="C488" s="91" t="s">
        <v>1450</v>
      </c>
      <c r="D488" s="91" t="s">
        <v>1451</v>
      </c>
      <c r="E488" s="91" t="s">
        <v>1452</v>
      </c>
      <c r="F488" s="91" t="s">
        <v>1272</v>
      </c>
      <c r="G488" s="91" t="s">
        <v>1453</v>
      </c>
      <c r="H488" s="91" t="s">
        <v>1273</v>
      </c>
    </row>
    <row r="489" customFormat="false" ht="15" hidden="false" customHeight="false" outlineLevel="0" collapsed="false">
      <c r="A489" s="11" t="s">
        <v>1630</v>
      </c>
      <c r="C489" s="30" t="n">
        <v>32.0219</v>
      </c>
      <c r="D489" s="30" t="n">
        <v>61.3099</v>
      </c>
      <c r="E489" s="30" t="n">
        <v>29.1001</v>
      </c>
      <c r="F489" s="30" t="n">
        <v>34.6574</v>
      </c>
      <c r="G489" s="30" t="n">
        <v>30.0985</v>
      </c>
      <c r="H489" s="30" t="n">
        <v>147.0219</v>
      </c>
    </row>
    <row r="490" customFormat="false" ht="15" hidden="false" customHeight="false" outlineLevel="0" collapsed="false">
      <c r="A490" s="11" t="s">
        <v>1631</v>
      </c>
      <c r="C490" s="30" t="n">
        <v>6.5901</v>
      </c>
      <c r="D490" s="30" t="n">
        <v>60.1141</v>
      </c>
      <c r="E490" s="30" t="n">
        <v>1.5085</v>
      </c>
      <c r="F490" s="30" t="n">
        <v>0.2218</v>
      </c>
      <c r="G490" s="30" t="n">
        <v>3.0301</v>
      </c>
      <c r="H490" s="30" t="n">
        <v>0.2441</v>
      </c>
    </row>
    <row r="491" customFormat="false" ht="15" hidden="false" customHeight="false" outlineLevel="0" collapsed="false">
      <c r="A491" s="11" t="s">
        <v>1632</v>
      </c>
      <c r="C491" s="30" t="n">
        <v>13.7123</v>
      </c>
      <c r="H491" s="30" t="n">
        <v>3.5298</v>
      </c>
    </row>
    <row r="492" customFormat="false" ht="15" hidden="false" customHeight="false" outlineLevel="0" collapsed="false">
      <c r="A492" s="11" t="s">
        <v>1633</v>
      </c>
      <c r="D492" s="30" t="n">
        <v>3590.7033</v>
      </c>
      <c r="E492" s="30" t="n">
        <v>2930.2505</v>
      </c>
      <c r="F492" s="30" t="n">
        <v>2925.9402</v>
      </c>
      <c r="G492" s="30" t="n">
        <v>5850.9937</v>
      </c>
      <c r="H492" s="30" t="n">
        <v>5693.1376</v>
      </c>
    </row>
    <row r="493" customFormat="false" ht="15" hidden="false" customHeight="false" outlineLevel="0" collapsed="false">
      <c r="A493" s="11" t="s">
        <v>1634</v>
      </c>
      <c r="C493" s="30" t="n">
        <v>52.3243</v>
      </c>
      <c r="D493" s="30" t="n">
        <v>3712.1273</v>
      </c>
      <c r="E493" s="30" t="n">
        <v>2960.8591</v>
      </c>
      <c r="F493" s="30" t="n">
        <v>2960.8195</v>
      </c>
      <c r="G493" s="30" t="n">
        <v>5884.1223</v>
      </c>
      <c r="H493" s="30" t="n">
        <v>5843.9334</v>
      </c>
    </row>
    <row r="495" customFormat="false" ht="15" hidden="false" customHeight="false" outlineLevel="0" collapsed="false">
      <c r="A495" s="38" t="s">
        <v>1635</v>
      </c>
    </row>
    <row r="496" customFormat="false" ht="15" hidden="false" customHeight="false" outlineLevel="0" collapsed="false">
      <c r="A496" s="2" t="s">
        <v>1636</v>
      </c>
    </row>
    <row r="497" customFormat="false" ht="15" hidden="false" customHeight="false" outlineLevel="0" collapsed="false">
      <c r="A497" s="90" t="s">
        <v>86</v>
      </c>
      <c r="B497" s="130"/>
      <c r="C497" s="91" t="s">
        <v>1451</v>
      </c>
      <c r="D497" s="91" t="s">
        <v>1452</v>
      </c>
      <c r="E497" s="91" t="s">
        <v>1272</v>
      </c>
      <c r="F497" s="91" t="s">
        <v>1453</v>
      </c>
      <c r="G497" s="91" t="s">
        <v>1273</v>
      </c>
    </row>
    <row r="498" customFormat="false" ht="15" hidden="false" customHeight="false" outlineLevel="0" collapsed="false">
      <c r="A498" s="4" t="s">
        <v>1637</v>
      </c>
      <c r="C498" s="30" t="n">
        <v>3900</v>
      </c>
      <c r="D498" s="30" t="n">
        <v>3900</v>
      </c>
      <c r="E498" s="30" t="n">
        <v>3900</v>
      </c>
      <c r="F498" s="30" t="n">
        <v>3900</v>
      </c>
      <c r="G498" s="30" t="n">
        <v>3900</v>
      </c>
    </row>
    <row r="499" customFormat="false" ht="15" hidden="false" customHeight="false" outlineLevel="0" collapsed="false">
      <c r="A499" s="4" t="s">
        <v>1638</v>
      </c>
      <c r="C499" s="30" t="n">
        <v>3879.8117</v>
      </c>
      <c r="D499" s="30" t="n">
        <v>3879.8117</v>
      </c>
      <c r="E499" s="30" t="n">
        <v>3879.8117</v>
      </c>
      <c r="F499" s="30" t="n">
        <v>3879.8117</v>
      </c>
      <c r="G499" s="30" t="n">
        <v>3879.8117</v>
      </c>
    </row>
    <row r="500" customFormat="false" ht="15" hidden="false" customHeight="false" outlineLevel="0" collapsed="false">
      <c r="A500" s="4" t="s">
        <v>1639</v>
      </c>
      <c r="C500" s="30" t="n">
        <v>177.5256</v>
      </c>
      <c r="D500" s="30" t="n">
        <v>462.1488</v>
      </c>
      <c r="E500" s="30" t="n">
        <v>282.0062</v>
      </c>
      <c r="F500" s="30" t="n">
        <v>491.3611</v>
      </c>
      <c r="G500" s="30" t="n">
        <v>560.339</v>
      </c>
    </row>
    <row r="501" customFormat="false" ht="15" hidden="false" customHeight="false" outlineLevel="0" collapsed="false">
      <c r="A501" s="4" t="s">
        <v>1640</v>
      </c>
      <c r="C501" s="30" t="n">
        <v>493.3177</v>
      </c>
      <c r="D501" s="30" t="n">
        <v>955.4665</v>
      </c>
      <c r="E501" s="30" t="n">
        <v>1237.4727</v>
      </c>
      <c r="F501" s="30" t="n">
        <v>1446.8276</v>
      </c>
      <c r="G501" s="30" t="n">
        <v>2007.1666</v>
      </c>
    </row>
    <row r="502" customFormat="false" ht="15" hidden="false" customHeight="false" outlineLevel="0" collapsed="false">
      <c r="A502" s="4" t="s">
        <v>1641</v>
      </c>
      <c r="D502" s="131" t="n">
        <v>24.63</v>
      </c>
      <c r="E502" s="131" t="n">
        <v>31.9</v>
      </c>
      <c r="F502" s="131" t="n">
        <v>37.29</v>
      </c>
      <c r="G502" s="131" t="n">
        <v>51.73</v>
      </c>
    </row>
    <row r="503" customFormat="false" ht="15" hidden="false" customHeight="false" outlineLevel="0" collapsed="false">
      <c r="A503" s="4" t="s">
        <v>1642</v>
      </c>
      <c r="C503" s="30" t="n">
        <v>3386.494</v>
      </c>
      <c r="D503" s="30" t="n">
        <v>2924.3452</v>
      </c>
      <c r="E503" s="30" t="n">
        <v>2642.339</v>
      </c>
      <c r="F503" s="30" t="n">
        <v>2432.9841</v>
      </c>
      <c r="G503" s="30" t="n">
        <v>1872.6451</v>
      </c>
    </row>
    <row r="504" customFormat="false" ht="15" hidden="false" customHeight="false" outlineLevel="0" collapsed="false">
      <c r="A504" s="11" t="s">
        <v>1643</v>
      </c>
      <c r="C504" s="30" t="n">
        <v>3750</v>
      </c>
      <c r="D504" s="30" t="n">
        <v>3750</v>
      </c>
      <c r="E504" s="30" t="n">
        <v>3750</v>
      </c>
      <c r="F504" s="30" t="n">
        <v>3750</v>
      </c>
      <c r="G504" s="30" t="n">
        <v>3750</v>
      </c>
    </row>
    <row r="505" customFormat="false" ht="15" hidden="false" customHeight="false" outlineLevel="0" collapsed="false">
      <c r="A505" s="11" t="s">
        <v>1644</v>
      </c>
      <c r="C505" s="30" t="n">
        <v>3729.8117</v>
      </c>
      <c r="D505" s="30" t="n">
        <v>3729.8117</v>
      </c>
      <c r="E505" s="30" t="n">
        <v>3729.8117</v>
      </c>
      <c r="F505" s="30" t="n">
        <v>3729.8117</v>
      </c>
      <c r="G505" s="30" t="n">
        <v>3729.8117</v>
      </c>
    </row>
    <row r="506" customFormat="false" ht="15" hidden="false" customHeight="false" outlineLevel="0" collapsed="false">
      <c r="A506" s="11" t="s">
        <v>1645</v>
      </c>
      <c r="C506" s="30" t="n">
        <v>128.2327</v>
      </c>
      <c r="D506" s="30" t="n">
        <v>381.021</v>
      </c>
      <c r="E506" s="30" t="n">
        <v>282.0062</v>
      </c>
      <c r="F506" s="30" t="n">
        <v>491.3611</v>
      </c>
      <c r="G506" s="30" t="n">
        <v>560.339</v>
      </c>
    </row>
    <row r="507" customFormat="false" ht="15" hidden="false" customHeight="false" outlineLevel="0" collapsed="false">
      <c r="A507" s="11" t="s">
        <v>1646</v>
      </c>
      <c r="C507" s="30" t="n">
        <v>428.7711</v>
      </c>
      <c r="D507" s="30" t="n">
        <v>809.7921</v>
      </c>
      <c r="E507" s="30" t="n">
        <v>1091.7983</v>
      </c>
      <c r="F507" s="30" t="n">
        <v>1301.1532</v>
      </c>
      <c r="G507" s="30" t="n">
        <v>1861.4922</v>
      </c>
    </row>
    <row r="508" customFormat="false" ht="15" hidden="false" customHeight="false" outlineLevel="0" collapsed="false">
      <c r="A508" s="11" t="s">
        <v>1647</v>
      </c>
      <c r="C508" s="131" t="n">
        <v>11.5</v>
      </c>
      <c r="D508" s="131" t="n">
        <v>21.71</v>
      </c>
      <c r="E508" s="131" t="n">
        <v>29.27</v>
      </c>
      <c r="F508" s="131" t="n">
        <v>34.89</v>
      </c>
      <c r="G508" s="131" t="n">
        <v>49.91</v>
      </c>
    </row>
    <row r="509" customFormat="false" ht="15" hidden="false" customHeight="false" outlineLevel="0" collapsed="false">
      <c r="A509" s="11" t="s">
        <v>1648</v>
      </c>
      <c r="C509" s="30" t="n">
        <v>150</v>
      </c>
      <c r="D509" s="30" t="n">
        <v>150</v>
      </c>
      <c r="E509" s="30" t="n">
        <v>150</v>
      </c>
      <c r="F509" s="30" t="n">
        <v>150</v>
      </c>
      <c r="G509" s="30" t="n">
        <v>150</v>
      </c>
    </row>
    <row r="510" customFormat="false" ht="15" hidden="false" customHeight="false" outlineLevel="0" collapsed="false">
      <c r="A510" s="11" t="s">
        <v>1649</v>
      </c>
      <c r="C510" s="30" t="n">
        <v>150</v>
      </c>
      <c r="D510" s="30" t="n">
        <v>150</v>
      </c>
      <c r="E510" s="30" t="n">
        <v>150</v>
      </c>
      <c r="F510" s="30" t="n">
        <v>150</v>
      </c>
      <c r="G510" s="30" t="n">
        <v>150</v>
      </c>
    </row>
    <row r="511" customFormat="false" ht="15" hidden="false" customHeight="false" outlineLevel="0" collapsed="false">
      <c r="A511" s="11" t="s">
        <v>1650</v>
      </c>
      <c r="C511" s="30" t="n">
        <v>49.2929</v>
      </c>
      <c r="D511" s="30" t="n">
        <v>81.1278</v>
      </c>
      <c r="E511" s="30" t="n">
        <v>0</v>
      </c>
      <c r="F511" s="30" t="n">
        <v>0</v>
      </c>
    </row>
    <row r="512" customFormat="false" ht="15" hidden="false" customHeight="false" outlineLevel="0" collapsed="false">
      <c r="A512" s="11" t="s">
        <v>1651</v>
      </c>
      <c r="C512" s="30" t="n">
        <v>64.5466</v>
      </c>
      <c r="D512" s="30" t="n">
        <v>145.6744</v>
      </c>
      <c r="E512" s="30" t="n">
        <v>145.6744</v>
      </c>
      <c r="F512" s="30" t="n">
        <v>145.6744</v>
      </c>
      <c r="G512" s="30" t="n">
        <v>145.6744</v>
      </c>
    </row>
    <row r="513" customFormat="false" ht="15" hidden="false" customHeight="false" outlineLevel="0" collapsed="false">
      <c r="A513" s="11" t="s">
        <v>1652</v>
      </c>
      <c r="C513" s="131" t="n">
        <v>43.03</v>
      </c>
      <c r="D513" s="131" t="n">
        <v>97.12</v>
      </c>
      <c r="E513" s="131" t="n">
        <v>97.12</v>
      </c>
      <c r="F513" s="131" t="n">
        <v>97.12</v>
      </c>
      <c r="G513" s="131" t="n">
        <v>97.12</v>
      </c>
    </row>
    <row r="515" customFormat="false" ht="15" hidden="false" customHeight="false" outlineLevel="0" collapsed="false">
      <c r="A515" s="3" t="s">
        <v>1653</v>
      </c>
    </row>
    <row r="516" customFormat="false" ht="15" hidden="false" customHeight="false" outlineLevel="0" collapsed="false">
      <c r="A516" s="2" t="s">
        <v>1654</v>
      </c>
    </row>
    <row r="517" customFormat="false" ht="15" hidden="false" customHeight="false" outlineLevel="0" collapsed="false">
      <c r="A517" s="90" t="s">
        <v>86</v>
      </c>
      <c r="B517" s="130"/>
      <c r="C517" s="91" t="s">
        <v>1450</v>
      </c>
      <c r="D517" s="91" t="s">
        <v>1451</v>
      </c>
      <c r="E517" s="91" t="s">
        <v>1452</v>
      </c>
      <c r="F517" s="91" t="s">
        <v>1272</v>
      </c>
      <c r="G517" s="91" t="s">
        <v>1453</v>
      </c>
      <c r="H517" s="91" t="s">
        <v>1273</v>
      </c>
    </row>
    <row r="518" customFormat="false" ht="15" hidden="false" customHeight="false" outlineLevel="0" collapsed="false">
      <c r="A518" s="11" t="s">
        <v>1655</v>
      </c>
      <c r="C518" s="30" t="n">
        <v>1599.403</v>
      </c>
      <c r="D518" s="30" t="n">
        <v>1743.5087</v>
      </c>
      <c r="E518" s="30" t="n">
        <v>1530.8927</v>
      </c>
      <c r="F518" s="30" t="n">
        <v>2196.4371</v>
      </c>
      <c r="G518" s="30" t="n">
        <v>2418.2228</v>
      </c>
      <c r="H518" s="30" t="n">
        <v>2508.8386</v>
      </c>
    </row>
    <row r="519" customFormat="false" ht="15" hidden="false" customHeight="false" outlineLevel="0" collapsed="false">
      <c r="A519" s="11" t="s">
        <v>1656</v>
      </c>
      <c r="C519" s="30" t="n">
        <v>239.9274</v>
      </c>
      <c r="D519" s="30" t="n">
        <v>261.5568</v>
      </c>
      <c r="E519" s="30" t="n">
        <v>229.4769</v>
      </c>
      <c r="F519" s="30" t="n">
        <v>329.3195</v>
      </c>
      <c r="G519" s="30" t="n">
        <v>361.7368</v>
      </c>
      <c r="H519" s="30" t="n">
        <v>375.3863</v>
      </c>
    </row>
    <row r="520" customFormat="false" ht="15" hidden="false" customHeight="false" outlineLevel="0" collapsed="false">
      <c r="A520" s="11" t="s">
        <v>1657</v>
      </c>
      <c r="E520" s="30" t="n">
        <v>21.8215</v>
      </c>
      <c r="F520" s="30" t="n">
        <v>21.8215</v>
      </c>
      <c r="G520" s="30" t="n">
        <v>24.7993</v>
      </c>
      <c r="H520" s="30" t="n">
        <v>24.7993</v>
      </c>
    </row>
    <row r="521" customFormat="false" ht="15" hidden="false" customHeight="false" outlineLevel="0" collapsed="false">
      <c r="A521" s="11" t="s">
        <v>1658</v>
      </c>
      <c r="E521" s="30" t="n">
        <v>3.2732</v>
      </c>
      <c r="F521" s="30" t="n">
        <v>3.2732</v>
      </c>
      <c r="G521" s="30" t="n">
        <v>3.7199</v>
      </c>
      <c r="H521" s="30" t="n">
        <v>3.7199</v>
      </c>
    </row>
    <row r="523" customFormat="false" ht="15" hidden="false" customHeight="false" outlineLevel="0" collapsed="false">
      <c r="A523" s="3" t="s">
        <v>1659</v>
      </c>
    </row>
    <row r="524" customFormat="false" ht="15" hidden="false" customHeight="false" outlineLevel="0" collapsed="false">
      <c r="A524" s="2" t="s">
        <v>1660</v>
      </c>
    </row>
    <row r="525" customFormat="false" ht="15" hidden="false" customHeight="false" outlineLevel="0" collapsed="false">
      <c r="A525" s="90" t="s">
        <v>86</v>
      </c>
      <c r="B525" s="130"/>
      <c r="C525" s="91" t="s">
        <v>1450</v>
      </c>
      <c r="D525" s="91" t="s">
        <v>1451</v>
      </c>
      <c r="E525" s="91" t="s">
        <v>1614</v>
      </c>
      <c r="F525" s="91" t="s">
        <v>1452</v>
      </c>
      <c r="G525" s="91" t="s">
        <v>1272</v>
      </c>
      <c r="H525" s="91" t="s">
        <v>1453</v>
      </c>
      <c r="I525" s="91" t="s">
        <v>1273</v>
      </c>
    </row>
    <row r="526" customFormat="false" ht="15" hidden="false" customHeight="false" outlineLevel="0" collapsed="false">
      <c r="A526" s="11" t="s">
        <v>1661</v>
      </c>
      <c r="C526" s="30" t="n">
        <v>29.4831</v>
      </c>
      <c r="D526" s="30" t="n">
        <v>38.8131</v>
      </c>
      <c r="E526" s="30" t="n">
        <v>25.5534</v>
      </c>
      <c r="F526" s="30" t="n">
        <v>56.169</v>
      </c>
      <c r="G526" s="30" t="n">
        <v>29.1441</v>
      </c>
      <c r="H526" s="30" t="n">
        <v>68.029</v>
      </c>
    </row>
    <row r="527" customFormat="false" ht="15" hidden="false" customHeight="false" outlineLevel="0" collapsed="false">
      <c r="A527" s="11" t="s">
        <v>1662</v>
      </c>
      <c r="C527" s="30" t="n">
        <v>9.0685</v>
      </c>
      <c r="D527" s="30" t="n">
        <v>11.1037</v>
      </c>
      <c r="E527" s="30" t="n">
        <v>6.3174</v>
      </c>
      <c r="F527" s="30" t="n">
        <v>12.672</v>
      </c>
      <c r="G527" s="30" t="n">
        <v>6.2524</v>
      </c>
      <c r="H527" s="30" t="n">
        <v>11.5655</v>
      </c>
    </row>
    <row r="528" customFormat="false" ht="15" hidden="false" customHeight="false" outlineLevel="0" collapsed="false">
      <c r="A528" s="11" t="s">
        <v>1663</v>
      </c>
      <c r="C528" s="30" t="n">
        <v>4.833</v>
      </c>
      <c r="D528" s="30" t="n">
        <v>2.405</v>
      </c>
      <c r="F528" s="30" t="n">
        <v>1.0056</v>
      </c>
      <c r="H528" s="30" t="n">
        <v>0.2053</v>
      </c>
    </row>
    <row r="529" customFormat="false" ht="15" hidden="false" customHeight="false" outlineLevel="0" collapsed="false">
      <c r="A529" s="11" t="s">
        <v>1664</v>
      </c>
      <c r="G529" s="30" t="n">
        <v>36.7632</v>
      </c>
      <c r="I529" s="30" t="n">
        <v>48.7774</v>
      </c>
    </row>
    <row r="530" customFormat="false" ht="15" hidden="false" customHeight="false" outlineLevel="0" collapsed="false">
      <c r="A530" s="11" t="s">
        <v>1665</v>
      </c>
      <c r="C530" s="30" t="n">
        <v>21.0552</v>
      </c>
      <c r="D530" s="30" t="n">
        <v>35.1406</v>
      </c>
      <c r="E530" s="30" t="n">
        <v>18.0491</v>
      </c>
      <c r="F530" s="30" t="n">
        <v>40.1534</v>
      </c>
      <c r="G530" s="30" t="n">
        <v>18.3489</v>
      </c>
      <c r="H530" s="30" t="n">
        <v>37.2577</v>
      </c>
      <c r="I530" s="30" t="n">
        <v>18.9922</v>
      </c>
    </row>
    <row r="532" customFormat="false" ht="15" hidden="false" customHeight="false" outlineLevel="0" collapsed="false">
      <c r="A532" s="3" t="s">
        <v>1666</v>
      </c>
    </row>
    <row r="533" customFormat="false" ht="15" hidden="false" customHeight="false" outlineLevel="0" collapsed="false">
      <c r="A533" s="2" t="s">
        <v>1667</v>
      </c>
    </row>
    <row r="534" customFormat="false" ht="15" hidden="false" customHeight="false" outlineLevel="0" collapsed="false">
      <c r="A534" s="90" t="s">
        <v>86</v>
      </c>
      <c r="B534" s="130"/>
      <c r="C534" s="91" t="s">
        <v>1451</v>
      </c>
      <c r="D534" s="91" t="s">
        <v>1452</v>
      </c>
      <c r="E534" s="91" t="s">
        <v>1272</v>
      </c>
      <c r="F534" s="91" t="s">
        <v>1453</v>
      </c>
      <c r="G534" s="91" t="s">
        <v>1273</v>
      </c>
    </row>
    <row r="535" customFormat="false" ht="15" hidden="false" customHeight="false" outlineLevel="0" collapsed="false">
      <c r="A535" s="11" t="s">
        <v>1668</v>
      </c>
      <c r="D535" s="30" t="n">
        <v>207.5126</v>
      </c>
      <c r="E535" s="30" t="n">
        <v>202.0517</v>
      </c>
      <c r="F535" s="30" t="n">
        <v>247.0512</v>
      </c>
      <c r="G535" s="30" t="n">
        <v>263.4067</v>
      </c>
    </row>
    <row r="536" customFormat="false" ht="15" hidden="false" customHeight="false" outlineLevel="0" collapsed="false">
      <c r="A536" s="11" t="s">
        <v>1669</v>
      </c>
      <c r="C536" s="30" t="n">
        <v>911.5203</v>
      </c>
      <c r="D536" s="30" t="n">
        <v>563.1481</v>
      </c>
      <c r="E536" s="30" t="n">
        <v>659.2747</v>
      </c>
      <c r="F536" s="30" t="n">
        <v>716.7367</v>
      </c>
      <c r="G536" s="30" t="n">
        <v>435.7395</v>
      </c>
    </row>
    <row r="537" customFormat="false" ht="15" hidden="false" customHeight="false" outlineLevel="0" collapsed="false">
      <c r="A537" s="11" t="s">
        <v>1670</v>
      </c>
      <c r="C537" s="30" t="n">
        <v>34.5005</v>
      </c>
      <c r="D537" s="30" t="n">
        <v>33.7855</v>
      </c>
      <c r="E537" s="30" t="n">
        <v>33.428</v>
      </c>
      <c r="F537" s="30" t="n">
        <v>33.0705</v>
      </c>
    </row>
    <row r="539" customFormat="false" ht="15" hidden="false" customHeight="false" outlineLevel="0" collapsed="false">
      <c r="A539" s="3" t="s">
        <v>1671</v>
      </c>
    </row>
    <row r="540" customFormat="false" ht="15" hidden="false" customHeight="false" outlineLevel="0" collapsed="false">
      <c r="A540" s="2" t="s">
        <v>1672</v>
      </c>
    </row>
    <row r="541" customFormat="false" ht="15" hidden="false" customHeight="false" outlineLevel="0" collapsed="false">
      <c r="A541" s="90" t="s">
        <v>86</v>
      </c>
      <c r="B541" s="130"/>
      <c r="C541" s="91" t="s">
        <v>1450</v>
      </c>
      <c r="D541" s="91" t="s">
        <v>1451</v>
      </c>
      <c r="E541" s="91" t="s">
        <v>1452</v>
      </c>
      <c r="F541" s="91" t="s">
        <v>1272</v>
      </c>
      <c r="G541" s="91" t="s">
        <v>1453</v>
      </c>
      <c r="H541" s="91" t="s">
        <v>1273</v>
      </c>
    </row>
    <row r="542" customFormat="false" ht="15" hidden="false" customHeight="false" outlineLevel="0" collapsed="false">
      <c r="A542" s="11" t="s">
        <v>1673</v>
      </c>
      <c r="C542" s="30" t="n">
        <v>236.5389</v>
      </c>
      <c r="D542" s="30" t="n">
        <v>250.442</v>
      </c>
      <c r="E542" s="30" t="n">
        <v>239.8147</v>
      </c>
      <c r="F542" s="30" t="n">
        <v>267.7517</v>
      </c>
      <c r="G542" s="30" t="n">
        <v>262.4332</v>
      </c>
      <c r="H542" s="30" t="n">
        <v>247.5072</v>
      </c>
    </row>
    <row r="543" customFormat="false" ht="15" hidden="false" customHeight="false" outlineLevel="0" collapsed="false">
      <c r="A543" s="11" t="s">
        <v>1674</v>
      </c>
      <c r="D543" s="30" t="n">
        <v>13.9032</v>
      </c>
      <c r="E543" s="30" t="n">
        <v>-10.6273</v>
      </c>
      <c r="F543" s="30" t="n">
        <v>27.937</v>
      </c>
      <c r="G543" s="30" t="n">
        <v>22.6186</v>
      </c>
      <c r="H543" s="30" t="n">
        <v>-14.9261</v>
      </c>
    </row>
    <row r="544" customFormat="false" ht="15" hidden="false" customHeight="false" outlineLevel="0" collapsed="false">
      <c r="A544" s="11" t="s">
        <v>1675</v>
      </c>
      <c r="C544" s="30" t="n">
        <v>12.3678</v>
      </c>
      <c r="D544" s="30" t="n">
        <v>13.0948</v>
      </c>
      <c r="E544" s="30" t="n">
        <v>12.5391</v>
      </c>
      <c r="F544" s="30" t="n">
        <v>13.9998</v>
      </c>
      <c r="G544" s="30" t="n">
        <v>13.7218</v>
      </c>
      <c r="H544" s="30" t="n">
        <v>12.9413</v>
      </c>
    </row>
    <row r="545" customFormat="false" ht="15" hidden="false" customHeight="false" outlineLevel="0" collapsed="false">
      <c r="A545" s="11" t="s">
        <v>1676</v>
      </c>
    </row>
    <row r="546" customFormat="false" ht="15" hidden="false" customHeight="false" outlineLevel="0" collapsed="false">
      <c r="A546" s="11" t="s">
        <v>1677</v>
      </c>
      <c r="D546" s="30" t="n">
        <v>0.727</v>
      </c>
      <c r="E546" s="30" t="n">
        <v>-0.5557</v>
      </c>
      <c r="F546" s="30" t="n">
        <v>1.4607</v>
      </c>
      <c r="G546" s="30" t="n">
        <v>1.1826</v>
      </c>
      <c r="H546" s="30" t="n">
        <v>-0.7804</v>
      </c>
    </row>
    <row r="547" customFormat="false" ht="15" hidden="false" customHeight="false" outlineLevel="0" collapsed="false">
      <c r="A547" s="11" t="s">
        <v>1678</v>
      </c>
      <c r="C547" s="30" t="n">
        <v>224.171</v>
      </c>
      <c r="D547" s="30" t="n">
        <v>237.3472</v>
      </c>
      <c r="E547" s="30" t="n">
        <v>227.2756</v>
      </c>
      <c r="F547" s="30" t="n">
        <v>253.7518</v>
      </c>
      <c r="G547" s="30" t="n">
        <v>248.7115</v>
      </c>
      <c r="H547" s="30" t="n">
        <v>234.5658</v>
      </c>
    </row>
    <row r="549" customFormat="false" ht="15" hidden="false" customHeight="false" outlineLevel="0" collapsed="false">
      <c r="A549" s="3" t="s">
        <v>1679</v>
      </c>
    </row>
    <row r="550" customFormat="false" ht="15" hidden="false" customHeight="false" outlineLevel="0" collapsed="false">
      <c r="A550" s="2" t="s">
        <v>1680</v>
      </c>
    </row>
    <row r="551" customFormat="false" ht="15" hidden="false" customHeight="false" outlineLevel="0" collapsed="false">
      <c r="A551" s="90" t="s">
        <v>86</v>
      </c>
      <c r="B551" s="130"/>
      <c r="C551" s="91" t="s">
        <v>1451</v>
      </c>
      <c r="D551" s="91" t="s">
        <v>1452</v>
      </c>
      <c r="E551" s="91" t="s">
        <v>1272</v>
      </c>
      <c r="F551" s="91" t="s">
        <v>1453</v>
      </c>
      <c r="G551" s="91" t="s">
        <v>1273</v>
      </c>
    </row>
    <row r="552" customFormat="false" ht="15" hidden="false" customHeight="false" outlineLevel="0" collapsed="false">
      <c r="A552" s="11" t="s">
        <v>1681</v>
      </c>
      <c r="C552" s="30" t="n">
        <v>690.5385</v>
      </c>
      <c r="D552" s="30" t="n">
        <v>681.2029</v>
      </c>
      <c r="E552" s="30" t="n">
        <v>593.6648</v>
      </c>
      <c r="F552" s="30" t="n">
        <v>593.6648</v>
      </c>
      <c r="G552" s="30" t="n">
        <v>400.1746</v>
      </c>
    </row>
    <row r="553" customFormat="false" ht="15" hidden="false" customHeight="false" outlineLevel="0" collapsed="false">
      <c r="A553" s="11" t="s">
        <v>1682</v>
      </c>
      <c r="C553" s="30" t="n">
        <v>506.9408</v>
      </c>
      <c r="D553" s="30" t="n">
        <v>1087.5651</v>
      </c>
      <c r="E553" s="30" t="n">
        <v>242.0054</v>
      </c>
      <c r="F553" s="30" t="n">
        <v>645.7442</v>
      </c>
      <c r="G553" s="30" t="n">
        <v>213.6951</v>
      </c>
    </row>
    <row r="554" customFormat="false" ht="15" hidden="false" customHeight="false" outlineLevel="0" collapsed="false">
      <c r="A554" s="11" t="s">
        <v>1683</v>
      </c>
      <c r="D554" s="30" t="n">
        <v>42.4892</v>
      </c>
    </row>
    <row r="555" customFormat="false" ht="15" hidden="false" customHeight="false" outlineLevel="0" collapsed="false">
      <c r="A555" s="11" t="s">
        <v>1684</v>
      </c>
      <c r="C555" s="30" t="n">
        <v>681.2029</v>
      </c>
      <c r="D555" s="30" t="n">
        <v>593.6648</v>
      </c>
      <c r="E555" s="30" t="n">
        <v>536.202</v>
      </c>
      <c r="F555" s="30" t="n">
        <v>400.1746</v>
      </c>
      <c r="G555" s="30" t="n">
        <v>848.3738</v>
      </c>
    </row>
    <row r="556" customFormat="false" ht="15" hidden="false" customHeight="false" outlineLevel="0" collapsed="false">
      <c r="A556" s="11" t="s">
        <v>1685</v>
      </c>
      <c r="C556" s="30" t="n">
        <v>497.6052</v>
      </c>
      <c r="D556" s="30" t="n">
        <v>1042.5163</v>
      </c>
      <c r="E556" s="30" t="n">
        <v>184.5426</v>
      </c>
      <c r="F556" s="30" t="n">
        <v>452.254</v>
      </c>
      <c r="G556" s="30" t="n">
        <v>661.8943</v>
      </c>
    </row>
    <row r="557" customFormat="false" ht="15" hidden="false" customHeight="false" outlineLevel="0" collapsed="false">
      <c r="A557" s="11" t="s">
        <v>1686</v>
      </c>
      <c r="C557" s="30" t="n">
        <v>146.5902</v>
      </c>
      <c r="D557" s="30" t="n">
        <v>98.2556</v>
      </c>
      <c r="E557" s="30" t="n">
        <v>105.2194</v>
      </c>
      <c r="F557" s="30" t="n">
        <v>528.8103</v>
      </c>
      <c r="G557" s="30" t="n">
        <v>126.3981</v>
      </c>
    </row>
    <row r="558" customFormat="false" ht="15" hidden="false" customHeight="false" outlineLevel="0" collapsed="false">
      <c r="A558" s="11" t="s">
        <v>1687</v>
      </c>
      <c r="C558" s="30" t="n">
        <v>97.8422</v>
      </c>
      <c r="D558" s="30" t="n">
        <v>1.0286</v>
      </c>
      <c r="E558" s="30" t="n">
        <v>0.3417</v>
      </c>
      <c r="F558" s="30" t="n">
        <v>13.5486</v>
      </c>
      <c r="G558" s="30" t="n">
        <v>0.8768</v>
      </c>
    </row>
    <row r="559" customFormat="false" ht="15" hidden="false" customHeight="false" outlineLevel="0" collapsed="false">
      <c r="A559" s="11" t="s">
        <v>1688</v>
      </c>
      <c r="C559" s="30" t="n">
        <v>2.5024</v>
      </c>
      <c r="D559" s="30" t="n">
        <v>8.3494</v>
      </c>
      <c r="E559" s="30" t="n">
        <v>1.2156</v>
      </c>
      <c r="F559" s="30" t="n">
        <v>4.4554</v>
      </c>
      <c r="G559" s="30" t="n">
        <v>5.4299</v>
      </c>
    </row>
    <row r="560" customFormat="false" ht="15" hidden="false" customHeight="false" outlineLevel="0" collapsed="false">
      <c r="A560" s="11" t="s">
        <v>1689</v>
      </c>
      <c r="C560" s="30" t="n">
        <v>744.5401</v>
      </c>
      <c r="D560" s="30" t="n">
        <v>1150.1499</v>
      </c>
      <c r="E560" s="30" t="n">
        <v>291.3194</v>
      </c>
      <c r="F560" s="30" t="n">
        <v>999.0683</v>
      </c>
      <c r="G560" s="30" t="n">
        <v>794.599</v>
      </c>
    </row>
    <row r="561" customFormat="false" ht="15" hidden="false" customHeight="false" outlineLevel="0" collapsed="false">
      <c r="A561" s="11" t="s">
        <v>1690</v>
      </c>
      <c r="C561" s="30" t="n">
        <v>545.8847</v>
      </c>
      <c r="D561" s="30" t="n">
        <v>639.0352</v>
      </c>
      <c r="E561" s="30" t="n">
        <v>207.1667</v>
      </c>
      <c r="F561" s="30" t="n">
        <v>580.092</v>
      </c>
      <c r="G561" s="30" t="n">
        <v>476.371</v>
      </c>
    </row>
    <row r="563" customFormat="false" ht="15" hidden="false" customHeight="false" outlineLevel="0" collapsed="false">
      <c r="A563" s="3" t="s">
        <v>1691</v>
      </c>
    </row>
    <row r="564" customFormat="false" ht="15" hidden="false" customHeight="false" outlineLevel="0" collapsed="false">
      <c r="A564" s="2" t="s">
        <v>1692</v>
      </c>
    </row>
    <row r="565" customFormat="false" ht="15" hidden="false" customHeight="false" outlineLevel="0" collapsed="false">
      <c r="A565" s="90" t="s">
        <v>86</v>
      </c>
      <c r="B565" s="130"/>
      <c r="C565" s="91" t="s">
        <v>1451</v>
      </c>
      <c r="D565" s="91" t="s">
        <v>1452</v>
      </c>
      <c r="E565" s="91" t="s">
        <v>1272</v>
      </c>
      <c r="F565" s="91" t="s">
        <v>1453</v>
      </c>
      <c r="G565" s="91" t="s">
        <v>1273</v>
      </c>
    </row>
    <row r="566" customFormat="false" ht="15" hidden="false" customHeight="false" outlineLevel="0" collapsed="false">
      <c r="A566" s="11" t="s">
        <v>1693</v>
      </c>
      <c r="C566" s="4" t="s">
        <v>1694</v>
      </c>
      <c r="D566" s="4" t="s">
        <v>1695</v>
      </c>
      <c r="E566" s="4" t="s">
        <v>1695</v>
      </c>
      <c r="F566" s="4" t="s">
        <v>1695</v>
      </c>
      <c r="G566" s="4" t="s">
        <v>1695</v>
      </c>
    </row>
    <row r="567" customFormat="false" ht="15" hidden="false" customHeight="false" outlineLevel="0" collapsed="false">
      <c r="A567" s="11" t="s">
        <v>1696</v>
      </c>
      <c r="C567" s="4" t="s">
        <v>1697</v>
      </c>
      <c r="D567" s="4" t="s">
        <v>1697</v>
      </c>
      <c r="E567" s="4" t="s">
        <v>1697</v>
      </c>
      <c r="F567" s="4" t="s">
        <v>1697</v>
      </c>
      <c r="G567" s="4" t="s">
        <v>1697</v>
      </c>
    </row>
    <row r="569" customFormat="false" ht="15" hidden="false" customHeight="false" outlineLevel="0" collapsed="false">
      <c r="A569" s="40" t="s">
        <v>1698</v>
      </c>
      <c r="B569" s="6"/>
      <c r="C569" s="6"/>
      <c r="D569" s="6"/>
      <c r="E569" s="6"/>
      <c r="F569" s="6"/>
      <c r="G569" s="6"/>
      <c r="H569" s="6"/>
      <c r="I569" s="6"/>
      <c r="J569" s="6"/>
      <c r="K569" s="6"/>
      <c r="L569" s="6"/>
    </row>
    <row r="570" customFormat="false" ht="15" hidden="false" customHeight="false" outlineLevel="0" collapsed="false">
      <c r="A570" s="3" t="s">
        <v>1699</v>
      </c>
    </row>
    <row r="571" customFormat="false" ht="15" hidden="false" customHeight="false" outlineLevel="0" collapsed="false">
      <c r="A571" s="2" t="s">
        <v>1700</v>
      </c>
    </row>
    <row r="572" customFormat="false" ht="15" hidden="false" customHeight="false" outlineLevel="0" collapsed="false">
      <c r="A572" s="90" t="s">
        <v>86</v>
      </c>
      <c r="B572" s="130"/>
      <c r="C572" s="91" t="s">
        <v>1450</v>
      </c>
      <c r="D572" s="91" t="s">
        <v>1451</v>
      </c>
      <c r="E572" s="91" t="s">
        <v>1452</v>
      </c>
      <c r="F572" s="91" t="s">
        <v>1453</v>
      </c>
      <c r="G572" s="91" t="s">
        <v>1272</v>
      </c>
      <c r="H572" s="91" t="s">
        <v>1273</v>
      </c>
    </row>
    <row r="573" customFormat="false" ht="15" hidden="false" customHeight="false" outlineLevel="0" collapsed="false">
      <c r="A573" s="11" t="s">
        <v>1701</v>
      </c>
      <c r="C573" s="30" t="n">
        <v>0.1716</v>
      </c>
      <c r="D573" s="30" t="n">
        <v>0.1621</v>
      </c>
      <c r="E573" s="30" t="n">
        <v>0.1325</v>
      </c>
      <c r="F573" s="30" t="n">
        <v>0.0883</v>
      </c>
      <c r="G573" s="30" t="n">
        <v>0.114</v>
      </c>
      <c r="H573" s="30" t="n">
        <v>0.1298</v>
      </c>
    </row>
    <row r="574" customFormat="false" ht="15" hidden="false" customHeight="false" outlineLevel="0" collapsed="false">
      <c r="A574" s="11" t="s">
        <v>1702</v>
      </c>
      <c r="C574" s="30" t="n">
        <v>4507.339</v>
      </c>
      <c r="D574" s="30" t="n">
        <v>2839.4148</v>
      </c>
      <c r="E574" s="30" t="n">
        <v>3061.6591</v>
      </c>
      <c r="F574" s="30" t="n">
        <v>3052.7026</v>
      </c>
      <c r="G574" s="30" t="n">
        <v>5428.5731</v>
      </c>
      <c r="H574" s="30" t="n">
        <v>3823.4915</v>
      </c>
    </row>
    <row r="575" customFormat="false" ht="15" hidden="false" customHeight="false" outlineLevel="0" collapsed="false">
      <c r="A575" s="11" t="s">
        <v>1703</v>
      </c>
      <c r="C575" s="30" t="n">
        <v>1.9186</v>
      </c>
      <c r="D575" s="30" t="n">
        <v>2.0381</v>
      </c>
      <c r="E575" s="30" t="n">
        <v>1.0536</v>
      </c>
      <c r="F575" s="30" t="n">
        <v>4.9876</v>
      </c>
      <c r="G575" s="30" t="n">
        <v>1.4416</v>
      </c>
      <c r="H575" s="30" t="n">
        <v>1.9203</v>
      </c>
    </row>
    <row r="576" customFormat="false" ht="15" hidden="false" customHeight="false" outlineLevel="0" collapsed="false">
      <c r="A576" s="11" t="s">
        <v>1704</v>
      </c>
      <c r="C576" s="30" t="n">
        <v>4509.4292</v>
      </c>
      <c r="D576" s="30" t="n">
        <v>2841.6149</v>
      </c>
      <c r="E576" s="30" t="n">
        <v>3062.8452</v>
      </c>
      <c r="F576" s="30" t="n">
        <v>3057.7786</v>
      </c>
      <c r="G576" s="30" t="n">
        <v>5430.1287</v>
      </c>
      <c r="H576" s="30" t="n">
        <v>3825.5415</v>
      </c>
    </row>
    <row r="577" customFormat="false" ht="15" hidden="false" customHeight="false" outlineLevel="0" collapsed="false">
      <c r="A577" s="11" t="s">
        <v>1705</v>
      </c>
      <c r="C577" s="30" t="n">
        <v>134.0549</v>
      </c>
      <c r="D577" s="30" t="n">
        <v>166.5641</v>
      </c>
      <c r="E577" s="30" t="n">
        <v>294.9004</v>
      </c>
      <c r="F577" s="30" t="n">
        <v>288.2069</v>
      </c>
      <c r="G577" s="30" t="n">
        <v>406.8671</v>
      </c>
      <c r="H577" s="30" t="n">
        <v>411.1594</v>
      </c>
    </row>
    <row r="578" customFormat="false" ht="15" hidden="false" customHeight="false" outlineLevel="0" collapsed="false">
      <c r="A578" s="11" t="s">
        <v>1706</v>
      </c>
      <c r="D578" s="30" t="n">
        <v>1542.5197</v>
      </c>
      <c r="E578" s="30" t="n">
        <v>1921.7621</v>
      </c>
      <c r="F578" s="30" t="n">
        <v>772.3648</v>
      </c>
      <c r="G578" s="30" t="n">
        <v>2648.1459</v>
      </c>
      <c r="H578" s="30" t="n">
        <v>745.0518</v>
      </c>
    </row>
    <row r="579" customFormat="false" ht="15" hidden="false" customHeight="false" outlineLevel="0" collapsed="false">
      <c r="A579" s="11" t="s">
        <v>1707</v>
      </c>
      <c r="C579" s="30" t="n">
        <v>1.9175</v>
      </c>
      <c r="D579" s="30" t="n">
        <v>2.038</v>
      </c>
      <c r="E579" s="30" t="n">
        <v>25.825</v>
      </c>
      <c r="F579" s="30" t="n">
        <v>0.0173</v>
      </c>
      <c r="G579" s="30" t="n">
        <v>0.9211</v>
      </c>
      <c r="H579" s="30" t="n">
        <v>0.01</v>
      </c>
    </row>
    <row r="580" customFormat="false" ht="15" hidden="false" customHeight="false" outlineLevel="0" collapsed="false">
      <c r="A580" s="11" t="s">
        <v>1708</v>
      </c>
      <c r="E580" s="30" t="n">
        <v>25</v>
      </c>
    </row>
    <row r="581" customFormat="false" ht="15" hidden="false" customHeight="false" outlineLevel="0" collapsed="false">
      <c r="A581" s="11" t="s">
        <v>1709</v>
      </c>
      <c r="C581" s="30" t="n">
        <v>1.9175</v>
      </c>
      <c r="D581" s="30" t="n">
        <v>2.038</v>
      </c>
      <c r="E581" s="30" t="n">
        <v>0.825</v>
      </c>
      <c r="F581" s="30" t="n">
        <v>0.0173</v>
      </c>
      <c r="G581" s="30" t="n">
        <v>0.9211</v>
      </c>
    </row>
    <row r="582" customFormat="false" ht="15" hidden="false" customHeight="false" outlineLevel="0" collapsed="false">
      <c r="A582" s="11" t="s">
        <v>1710</v>
      </c>
      <c r="D582" s="30" t="n">
        <v>0.0165</v>
      </c>
      <c r="E582" s="30" t="n">
        <v>0.0158</v>
      </c>
      <c r="F582" s="30" t="n">
        <v>0.0173</v>
      </c>
      <c r="G582" s="30" t="n">
        <v>0.0177</v>
      </c>
    </row>
    <row r="583" customFormat="false" ht="15" hidden="false" customHeight="false" outlineLevel="0" collapsed="false">
      <c r="A583" s="11" t="s">
        <v>1711</v>
      </c>
      <c r="D583" s="30" t="n">
        <v>2.0215</v>
      </c>
      <c r="E583" s="30" t="n">
        <v>0.8091</v>
      </c>
      <c r="G583" s="30" t="n">
        <v>0.9034</v>
      </c>
    </row>
    <row r="584" customFormat="false" ht="15" hidden="false" customHeight="false" outlineLevel="0" collapsed="false">
      <c r="A584" s="11" t="s">
        <v>1712</v>
      </c>
      <c r="H584" s="30" t="n">
        <v>0.01</v>
      </c>
    </row>
    <row r="585" customFormat="false" ht="15" hidden="false" customHeight="false" outlineLevel="0" collapsed="false">
      <c r="A585" s="11" t="s">
        <v>1713</v>
      </c>
      <c r="C585" s="30" t="n">
        <v>3191.6424</v>
      </c>
      <c r="D585" s="30" t="n">
        <v>1297.0572</v>
      </c>
      <c r="E585" s="30" t="n">
        <v>1140.2582</v>
      </c>
      <c r="F585" s="30" t="n">
        <v>2285.3964</v>
      </c>
      <c r="G585" s="30" t="n">
        <v>2781.0618</v>
      </c>
      <c r="H585" s="30" t="n">
        <v>3080.4797</v>
      </c>
    </row>
    <row r="586" customFormat="false" ht="15" hidden="false" customHeight="false" outlineLevel="0" collapsed="false">
      <c r="A586" s="11" t="s">
        <v>1714</v>
      </c>
      <c r="C586" s="30" t="n">
        <v>0.1716</v>
      </c>
      <c r="D586" s="30" t="n">
        <v>0.1621</v>
      </c>
      <c r="E586" s="30" t="n">
        <v>0.1325</v>
      </c>
      <c r="F586" s="30" t="n">
        <v>0.0883</v>
      </c>
      <c r="G586" s="30" t="n">
        <v>0.114</v>
      </c>
      <c r="H586" s="30" t="n">
        <v>0.1298</v>
      </c>
    </row>
    <row r="587" customFormat="false" ht="15" hidden="false" customHeight="false" outlineLevel="0" collapsed="false">
      <c r="A587" s="11" t="s">
        <v>1715</v>
      </c>
      <c r="C587" s="30" t="n">
        <v>3191.4698</v>
      </c>
      <c r="D587" s="30" t="n">
        <v>1296.8951</v>
      </c>
      <c r="E587" s="30" t="n">
        <v>1139.897</v>
      </c>
      <c r="F587" s="30" t="n">
        <v>2280.3378</v>
      </c>
      <c r="G587" s="30" t="n">
        <v>2780.4273</v>
      </c>
      <c r="H587" s="30" t="n">
        <v>3078.4297</v>
      </c>
    </row>
    <row r="588" customFormat="false" ht="15" hidden="false" customHeight="false" outlineLevel="0" collapsed="false">
      <c r="A588" s="11" t="s">
        <v>1716</v>
      </c>
      <c r="C588" s="30" t="n">
        <v>0.001</v>
      </c>
      <c r="D588" s="30" t="n">
        <v>0</v>
      </c>
      <c r="E588" s="30" t="n">
        <v>0.2286</v>
      </c>
      <c r="F588" s="30" t="n">
        <v>4.9703</v>
      </c>
      <c r="G588" s="30" t="n">
        <v>0.5206</v>
      </c>
      <c r="H588" s="30" t="n">
        <v>1.9203</v>
      </c>
    </row>
    <row r="589" customFormat="false" ht="15" hidden="false" customHeight="false" outlineLevel="0" collapsed="false">
      <c r="A589" s="11" t="s">
        <v>1717</v>
      </c>
      <c r="C589" s="30" t="n">
        <v>1317.7867</v>
      </c>
      <c r="D589" s="30" t="n">
        <v>1544.5577</v>
      </c>
      <c r="E589" s="30" t="n">
        <v>1922.5871</v>
      </c>
      <c r="F589" s="30" t="n">
        <v>772.3821</v>
      </c>
      <c r="G589" s="30" t="n">
        <v>2649.0669</v>
      </c>
      <c r="H589" s="30" t="n">
        <v>745.0618</v>
      </c>
    </row>
    <row r="591" customFormat="false" ht="15" hidden="false" customHeight="false" outlineLevel="0" collapsed="false">
      <c r="A591" s="3" t="s">
        <v>1718</v>
      </c>
    </row>
    <row r="592" customFormat="false" ht="15" hidden="false" customHeight="false" outlineLevel="0" collapsed="false">
      <c r="A592" s="2" t="s">
        <v>1719</v>
      </c>
    </row>
    <row r="593" customFormat="false" ht="15" hidden="false" customHeight="false" outlineLevel="0" collapsed="false">
      <c r="A593" s="90" t="s">
        <v>86</v>
      </c>
      <c r="B593" s="130"/>
      <c r="C593" s="91" t="s">
        <v>1450</v>
      </c>
      <c r="D593" s="91" t="s">
        <v>1451</v>
      </c>
      <c r="E593" s="91" t="s">
        <v>1452</v>
      </c>
      <c r="F593" s="91" t="s">
        <v>1453</v>
      </c>
      <c r="G593" s="91" t="s">
        <v>1272</v>
      </c>
      <c r="H593" s="91" t="s">
        <v>1273</v>
      </c>
    </row>
    <row r="594" customFormat="false" ht="15" hidden="false" customHeight="false" outlineLevel="0" collapsed="false">
      <c r="A594" s="11" t="s">
        <v>1720</v>
      </c>
      <c r="C594" s="30" t="n">
        <v>4255.0144</v>
      </c>
      <c r="D594" s="30" t="n">
        <v>3846.7081</v>
      </c>
      <c r="E594" s="30" t="n">
        <v>5053.3869</v>
      </c>
      <c r="F594" s="30" t="n">
        <v>3758.5116</v>
      </c>
      <c r="G594" s="30" t="n">
        <v>2865.6921</v>
      </c>
      <c r="H594" s="30" t="n">
        <v>3256.5671</v>
      </c>
    </row>
    <row r="595" customFormat="false" ht="15" hidden="false" customHeight="false" outlineLevel="0" collapsed="false">
      <c r="A595" s="11" t="s">
        <v>1470</v>
      </c>
      <c r="C595" s="30" t="n">
        <v>4255.0144</v>
      </c>
      <c r="D595" s="30" t="n">
        <v>3846.7081</v>
      </c>
      <c r="E595" s="30" t="n">
        <v>5053.3869</v>
      </c>
      <c r="F595" s="30" t="n">
        <v>3758.5116</v>
      </c>
      <c r="G595" s="30" t="n">
        <v>2865.6921</v>
      </c>
      <c r="H595" s="30" t="n">
        <v>3256.5671</v>
      </c>
    </row>
    <row r="596" customFormat="false" ht="15" hidden="false" customHeight="false" outlineLevel="0" collapsed="false">
      <c r="A596" s="11" t="s">
        <v>1721</v>
      </c>
      <c r="D596" s="30" t="n">
        <v>3846.7081</v>
      </c>
      <c r="E596" s="30" t="n">
        <v>5053.3869</v>
      </c>
      <c r="F596" s="30" t="n">
        <v>3758.5116</v>
      </c>
      <c r="G596" s="30" t="n">
        <v>2865.6921</v>
      </c>
      <c r="H596" s="30" t="n">
        <v>3256.5671</v>
      </c>
    </row>
    <row r="598" customFormat="false" ht="15" hidden="false" customHeight="false" outlineLevel="0" collapsed="false">
      <c r="A598" s="3" t="s">
        <v>1722</v>
      </c>
    </row>
    <row r="599" customFormat="false" ht="15" hidden="false" customHeight="false" outlineLevel="0" collapsed="false">
      <c r="A599" s="2" t="s">
        <v>1723</v>
      </c>
    </row>
    <row r="600" customFormat="false" ht="15" hidden="false" customHeight="false" outlineLevel="0" collapsed="false">
      <c r="A600" s="90" t="s">
        <v>86</v>
      </c>
      <c r="B600" s="130"/>
      <c r="C600" s="91" t="s">
        <v>1451</v>
      </c>
      <c r="D600" s="91" t="s">
        <v>1452</v>
      </c>
      <c r="E600" s="91" t="s">
        <v>1453</v>
      </c>
      <c r="F600" s="91" t="s">
        <v>1272</v>
      </c>
      <c r="G600" s="91" t="s">
        <v>1273</v>
      </c>
    </row>
    <row r="601" customFormat="false" ht="15" hidden="false" customHeight="false" outlineLevel="0" collapsed="false">
      <c r="A601" s="11" t="s">
        <v>1724</v>
      </c>
      <c r="C601" s="30" t="n">
        <v>1260</v>
      </c>
      <c r="D601" s="30" t="n">
        <v>1325</v>
      </c>
      <c r="F601" s="30" t="n">
        <v>1738</v>
      </c>
    </row>
    <row r="602" customFormat="false" ht="15" hidden="false" customHeight="false" outlineLevel="0" collapsed="false">
      <c r="A602" s="11" t="s">
        <v>1725</v>
      </c>
      <c r="C602" s="30" t="n">
        <v>435</v>
      </c>
      <c r="D602" s="30" t="n">
        <v>1638</v>
      </c>
      <c r="F602" s="30" t="n">
        <v>720</v>
      </c>
    </row>
    <row r="603" customFormat="false" ht="15" hidden="false" customHeight="false" outlineLevel="0" collapsed="false">
      <c r="A603" s="11" t="s">
        <v>1726</v>
      </c>
      <c r="D603" s="30" t="n">
        <v>828.7</v>
      </c>
      <c r="F603" s="30" t="n">
        <v>144</v>
      </c>
    </row>
    <row r="604" customFormat="false" ht="15" hidden="false" customHeight="false" outlineLevel="0" collapsed="false">
      <c r="A604" s="11" t="s">
        <v>1727</v>
      </c>
      <c r="D604" s="30" t="n">
        <v>189</v>
      </c>
      <c r="F604" s="30" t="n">
        <v>8.4</v>
      </c>
    </row>
    <row r="605" customFormat="false" ht="15" hidden="false" customHeight="false" outlineLevel="0" collapsed="false">
      <c r="A605" s="11" t="s">
        <v>1728</v>
      </c>
      <c r="C605" s="30" t="n">
        <v>4030</v>
      </c>
      <c r="D605" s="30" t="n">
        <v>2920</v>
      </c>
      <c r="F605" s="30" t="n">
        <v>2590</v>
      </c>
    </row>
    <row r="606" customFormat="false" ht="15" hidden="false" customHeight="false" outlineLevel="0" collapsed="false">
      <c r="A606" s="11" t="s">
        <v>1729</v>
      </c>
      <c r="C606" s="30" t="n">
        <v>3390</v>
      </c>
      <c r="D606" s="30" t="n">
        <v>3190</v>
      </c>
      <c r="F606" s="30" t="n">
        <v>2100</v>
      </c>
    </row>
    <row r="607" customFormat="false" ht="15" hidden="false" customHeight="false" outlineLevel="0" collapsed="false">
      <c r="A607" s="11" t="s">
        <v>1730</v>
      </c>
      <c r="D607" s="30" t="n">
        <v>357.1</v>
      </c>
      <c r="F607" s="30" t="n">
        <v>611.3</v>
      </c>
    </row>
    <row r="608" customFormat="false" ht="15" hidden="false" customHeight="false" outlineLevel="0" collapsed="false">
      <c r="A608" s="11" t="s">
        <v>1731</v>
      </c>
      <c r="D608" s="30" t="n">
        <v>11.5</v>
      </c>
      <c r="F608" s="30" t="n">
        <v>29.6</v>
      </c>
    </row>
    <row r="609" customFormat="false" ht="15" hidden="false" customHeight="false" outlineLevel="0" collapsed="false">
      <c r="A609" s="11" t="s">
        <v>1732</v>
      </c>
      <c r="C609" s="30" t="n">
        <v>5290</v>
      </c>
      <c r="D609" s="30" t="n">
        <v>5430.8</v>
      </c>
      <c r="F609" s="30" t="n">
        <v>5083.3</v>
      </c>
    </row>
    <row r="610" customFormat="false" ht="15" hidden="false" customHeight="false" outlineLevel="0" collapsed="false">
      <c r="A610" s="11" t="s">
        <v>1733</v>
      </c>
      <c r="C610" s="30" t="n">
        <v>3825</v>
      </c>
      <c r="D610" s="30" t="n">
        <v>5028.5</v>
      </c>
      <c r="F610" s="30" t="n">
        <v>2858</v>
      </c>
    </row>
    <row r="611" customFormat="false" ht="15" hidden="false" customHeight="false" outlineLevel="0" collapsed="false">
      <c r="A611" s="11" t="s">
        <v>1734</v>
      </c>
      <c r="E611" s="30" t="n">
        <v>3092.5063</v>
      </c>
      <c r="G611" s="30" t="n">
        <v>3089.0426</v>
      </c>
    </row>
    <row r="612" customFormat="false" ht="15" hidden="false" customHeight="false" outlineLevel="0" collapsed="false">
      <c r="A612" s="11" t="s">
        <v>1735</v>
      </c>
      <c r="E612" s="30" t="n">
        <v>660.2</v>
      </c>
      <c r="G612" s="30" t="n">
        <v>158.2</v>
      </c>
    </row>
    <row r="614" customFormat="false" ht="15" hidden="false" customHeight="false" outlineLevel="0" collapsed="false">
      <c r="A614" s="3" t="s">
        <v>1736</v>
      </c>
    </row>
    <row r="615" customFormat="false" ht="15" hidden="false" customHeight="false" outlineLevel="0" collapsed="false">
      <c r="A615" s="2" t="s">
        <v>1737</v>
      </c>
    </row>
    <row r="616" customFormat="false" ht="15" hidden="false" customHeight="false" outlineLevel="0" collapsed="false">
      <c r="A616" s="90" t="s">
        <v>86</v>
      </c>
      <c r="B616" s="130"/>
      <c r="C616" s="91" t="s">
        <v>1450</v>
      </c>
      <c r="D616" s="91" t="s">
        <v>1451</v>
      </c>
      <c r="E616" s="91" t="s">
        <v>1452</v>
      </c>
      <c r="F616" s="91" t="s">
        <v>1453</v>
      </c>
      <c r="G616" s="91" t="s">
        <v>1272</v>
      </c>
      <c r="H616" s="91" t="s">
        <v>1273</v>
      </c>
    </row>
    <row r="617" customFormat="false" ht="15" hidden="false" customHeight="false" outlineLevel="0" collapsed="false">
      <c r="A617" s="11" t="s">
        <v>1630</v>
      </c>
      <c r="C617" s="30" t="n">
        <v>32.0219</v>
      </c>
      <c r="D617" s="30" t="n">
        <v>61.3099</v>
      </c>
      <c r="E617" s="30" t="n">
        <v>29.1001</v>
      </c>
      <c r="F617" s="30" t="n">
        <v>30.0985</v>
      </c>
      <c r="G617" s="30" t="n">
        <v>34.6574</v>
      </c>
      <c r="H617" s="30" t="n">
        <v>147.0219</v>
      </c>
    </row>
    <row r="618" customFormat="false" ht="15" hidden="false" customHeight="false" outlineLevel="0" collapsed="false">
      <c r="A618" s="11" t="s">
        <v>1631</v>
      </c>
      <c r="C618" s="30" t="n">
        <v>6.5901</v>
      </c>
      <c r="D618" s="30" t="n">
        <v>60.1141</v>
      </c>
      <c r="E618" s="30" t="n">
        <v>1.5085</v>
      </c>
      <c r="F618" s="30" t="n">
        <v>3.0301</v>
      </c>
      <c r="G618" s="30" t="n">
        <v>0.2218</v>
      </c>
      <c r="H618" s="30" t="n">
        <v>0.2441</v>
      </c>
    </row>
    <row r="619" customFormat="false" ht="15" hidden="false" customHeight="false" outlineLevel="0" collapsed="false">
      <c r="A619" s="11" t="s">
        <v>1632</v>
      </c>
      <c r="C619" s="30" t="n">
        <v>13.7123</v>
      </c>
      <c r="H619" s="30" t="n">
        <v>3.5298</v>
      </c>
    </row>
    <row r="620" customFormat="false" ht="15" hidden="false" customHeight="false" outlineLevel="0" collapsed="false">
      <c r="A620" s="11" t="s">
        <v>1738</v>
      </c>
      <c r="D620" s="30" t="n">
        <v>3590.7033</v>
      </c>
      <c r="E620" s="30" t="n">
        <v>2930.2505</v>
      </c>
      <c r="F620" s="30" t="n">
        <v>5850.9937</v>
      </c>
      <c r="G620" s="30" t="n">
        <v>2925.9402</v>
      </c>
      <c r="H620" s="30" t="n">
        <v>5693.1376</v>
      </c>
    </row>
    <row r="621" customFormat="false" ht="15" hidden="false" customHeight="false" outlineLevel="0" collapsed="false">
      <c r="A621" s="11" t="s">
        <v>1470</v>
      </c>
      <c r="C621" s="30" t="n">
        <v>52.3243</v>
      </c>
      <c r="D621" s="30" t="n">
        <v>3712.1273</v>
      </c>
      <c r="E621" s="30" t="n">
        <v>2960.8591</v>
      </c>
      <c r="F621" s="30" t="n">
        <v>5884.1223</v>
      </c>
      <c r="G621" s="30" t="n">
        <v>2960.8195</v>
      </c>
      <c r="H621" s="30" t="n">
        <v>5843.9334</v>
      </c>
    </row>
    <row r="623" customFormat="false" ht="15" hidden="false" customHeight="false" outlineLevel="0" collapsed="false">
      <c r="A623" s="3" t="s">
        <v>1739</v>
      </c>
    </row>
    <row r="624" customFormat="false" ht="15" hidden="false" customHeight="false" outlineLevel="0" collapsed="false">
      <c r="A624" s="2" t="s">
        <v>1740</v>
      </c>
    </row>
    <row r="625" customFormat="false" ht="15" hidden="false" customHeight="false" outlineLevel="0" collapsed="false">
      <c r="A625" s="90" t="s">
        <v>86</v>
      </c>
      <c r="B625" s="130"/>
      <c r="C625" s="91" t="s">
        <v>1450</v>
      </c>
      <c r="D625" s="91" t="s">
        <v>1451</v>
      </c>
      <c r="E625" s="91" t="s">
        <v>1452</v>
      </c>
      <c r="F625" s="91" t="s">
        <v>1453</v>
      </c>
      <c r="G625" s="91" t="s">
        <v>1272</v>
      </c>
      <c r="H625" s="91" t="s">
        <v>1273</v>
      </c>
    </row>
    <row r="626" customFormat="false" ht="15" hidden="false" customHeight="false" outlineLevel="0" collapsed="false">
      <c r="A626" s="11" t="s">
        <v>1741</v>
      </c>
      <c r="C626" s="30" t="n">
        <v>335.9191</v>
      </c>
      <c r="D626" s="30" t="n">
        <v>472.2228</v>
      </c>
      <c r="E626" s="30" t="n">
        <v>521.2308</v>
      </c>
      <c r="F626" s="30" t="n">
        <v>502.1961</v>
      </c>
      <c r="G626" s="30" t="n">
        <v>499.6495</v>
      </c>
      <c r="H626" s="30" t="n">
        <v>454.2613</v>
      </c>
    </row>
    <row r="627" customFormat="false" ht="15" hidden="false" customHeight="false" outlineLevel="0" collapsed="false">
      <c r="A627" s="11" t="s">
        <v>1742</v>
      </c>
      <c r="C627" s="30" t="n">
        <v>12.9751</v>
      </c>
      <c r="D627" s="30" t="n">
        <v>15.957</v>
      </c>
      <c r="E627" s="30" t="n">
        <v>6.6029</v>
      </c>
      <c r="F627" s="30" t="n">
        <v>7.2425</v>
      </c>
      <c r="G627" s="30" t="n">
        <v>2.5484</v>
      </c>
      <c r="H627" s="30" t="n">
        <v>0.055</v>
      </c>
    </row>
    <row r="628" customFormat="false" ht="15" hidden="false" customHeight="false" outlineLevel="0" collapsed="false">
      <c r="A628" s="11" t="s">
        <v>1743</v>
      </c>
      <c r="F628" s="30" t="n">
        <v>10.2011</v>
      </c>
      <c r="H628" s="30" t="n">
        <v>15.3605</v>
      </c>
    </row>
    <row r="629" customFormat="false" ht="15" hidden="false" customHeight="false" outlineLevel="0" collapsed="false">
      <c r="A629" s="11" t="s">
        <v>1470</v>
      </c>
      <c r="C629" s="30" t="n">
        <v>348.8942</v>
      </c>
      <c r="D629" s="30" t="n">
        <v>488.1799</v>
      </c>
      <c r="E629" s="30" t="n">
        <v>527.8337</v>
      </c>
      <c r="F629" s="30" t="n">
        <v>519.6397</v>
      </c>
      <c r="G629" s="30" t="n">
        <v>502.1979</v>
      </c>
      <c r="H629" s="30" t="n">
        <v>469.6768</v>
      </c>
    </row>
    <row r="631" customFormat="false" ht="15" hidden="false" customHeight="false" outlineLevel="0" collapsed="false">
      <c r="A631" s="3" t="s">
        <v>1744</v>
      </c>
    </row>
    <row r="632" customFormat="false" ht="15" hidden="false" customHeight="false" outlineLevel="0" collapsed="false">
      <c r="A632" s="2" t="s">
        <v>1745</v>
      </c>
    </row>
    <row r="633" customFormat="false" ht="15" hidden="false" customHeight="false" outlineLevel="0" collapsed="false">
      <c r="A633" s="90" t="s">
        <v>86</v>
      </c>
      <c r="B633" s="130"/>
      <c r="C633" s="91" t="s">
        <v>1450</v>
      </c>
      <c r="D633" s="91" t="s">
        <v>1451</v>
      </c>
      <c r="E633" s="91" t="s">
        <v>1452</v>
      </c>
      <c r="F633" s="91" t="s">
        <v>1453</v>
      </c>
      <c r="G633" s="91" t="s">
        <v>1272</v>
      </c>
      <c r="H633" s="91" t="s">
        <v>1273</v>
      </c>
    </row>
    <row r="634" customFormat="false" ht="15" hidden="false" customHeight="false" outlineLevel="0" collapsed="false">
      <c r="A634" s="11" t="s">
        <v>1746</v>
      </c>
      <c r="D634" s="30" t="n">
        <v>650.1107</v>
      </c>
      <c r="H634" s="30" t="n">
        <v>110.6774</v>
      </c>
    </row>
    <row r="635" customFormat="false" ht="15" hidden="false" customHeight="false" outlineLevel="0" collapsed="false">
      <c r="A635" s="11" t="s">
        <v>1747</v>
      </c>
      <c r="D635" s="30" t="n">
        <v>3.03</v>
      </c>
      <c r="E635" s="30" t="n">
        <v>152.7393</v>
      </c>
      <c r="F635" s="30" t="n">
        <v>244.3238</v>
      </c>
      <c r="G635" s="30" t="n">
        <v>161.3374</v>
      </c>
      <c r="H635" s="30" t="n">
        <v>284.4518</v>
      </c>
    </row>
    <row r="636" customFormat="false" ht="15" hidden="false" customHeight="false" outlineLevel="0" collapsed="false">
      <c r="A636" s="11" t="s">
        <v>1748</v>
      </c>
      <c r="D636" s="30" t="n">
        <v>0.4622</v>
      </c>
    </row>
    <row r="637" customFormat="false" ht="15" hidden="false" customHeight="false" outlineLevel="0" collapsed="false">
      <c r="A637" s="11" t="s">
        <v>1749</v>
      </c>
      <c r="C637" s="30" t="n">
        <v>151.8424</v>
      </c>
      <c r="D637" s="30" t="n">
        <v>86.9319</v>
      </c>
      <c r="E637" s="30" t="n">
        <v>322.0556</v>
      </c>
      <c r="F637" s="30" t="n">
        <v>295.094</v>
      </c>
      <c r="G637" s="30" t="n">
        <v>281.9097</v>
      </c>
      <c r="H637" s="30" t="n">
        <v>344.7348</v>
      </c>
    </row>
    <row r="638" customFormat="false" ht="15" hidden="false" customHeight="false" outlineLevel="0" collapsed="false">
      <c r="A638" s="11" t="s">
        <v>1470</v>
      </c>
      <c r="C638" s="30" t="n">
        <v>151.8424</v>
      </c>
      <c r="D638" s="30" t="n">
        <v>740.5347</v>
      </c>
      <c r="E638" s="30" t="n">
        <v>474.7949</v>
      </c>
      <c r="F638" s="30" t="n">
        <v>539.4178</v>
      </c>
      <c r="G638" s="30" t="n">
        <v>443.2471</v>
      </c>
      <c r="H638" s="30" t="n">
        <v>739.8641</v>
      </c>
    </row>
    <row r="640" customFormat="false" ht="15" hidden="false" customHeight="false" outlineLevel="0" collapsed="false">
      <c r="A640" s="3" t="s">
        <v>1750</v>
      </c>
    </row>
    <row r="641" customFormat="false" ht="15" hidden="false" customHeight="false" outlineLevel="0" collapsed="false">
      <c r="A641" s="2" t="s">
        <v>1751</v>
      </c>
    </row>
    <row r="642" customFormat="false" ht="15" hidden="false" customHeight="false" outlineLevel="0" collapsed="false">
      <c r="A642" s="90" t="s">
        <v>86</v>
      </c>
      <c r="B642" s="130"/>
      <c r="C642" s="91" t="s">
        <v>1450</v>
      </c>
      <c r="D642" s="91" t="s">
        <v>1451</v>
      </c>
      <c r="E642" s="91" t="s">
        <v>1452</v>
      </c>
      <c r="F642" s="91" t="s">
        <v>1453</v>
      </c>
      <c r="G642" s="91" t="s">
        <v>1272</v>
      </c>
      <c r="H642" s="91" t="s">
        <v>1273</v>
      </c>
    </row>
    <row r="643" customFormat="false" ht="15" hidden="false" customHeight="false" outlineLevel="0" collapsed="false">
      <c r="A643" s="11" t="s">
        <v>1752</v>
      </c>
      <c r="C643" s="30" t="n">
        <v>26.8691</v>
      </c>
    </row>
    <row r="644" customFormat="false" ht="15" hidden="false" customHeight="false" outlineLevel="0" collapsed="false">
      <c r="A644" s="11" t="s">
        <v>1753</v>
      </c>
      <c r="F644" s="30" t="n">
        <v>0.05</v>
      </c>
      <c r="G644" s="30" t="n">
        <v>0.05</v>
      </c>
      <c r="H644" s="30" t="n">
        <v>0.05</v>
      </c>
    </row>
    <row r="645" customFormat="false" ht="15" hidden="false" customHeight="false" outlineLevel="0" collapsed="false">
      <c r="A645" s="11" t="s">
        <v>1754</v>
      </c>
      <c r="C645" s="30" t="n">
        <v>6.7238</v>
      </c>
      <c r="D645" s="30" t="n">
        <v>4.7445</v>
      </c>
      <c r="E645" s="30" t="n">
        <v>4.5523</v>
      </c>
      <c r="F645" s="30" t="n">
        <v>3.2446</v>
      </c>
      <c r="G645" s="30" t="n">
        <v>3.9382</v>
      </c>
      <c r="H645" s="30" t="n">
        <v>4.7832</v>
      </c>
    </row>
    <row r="646" customFormat="false" ht="15" hidden="false" customHeight="false" outlineLevel="0" collapsed="false">
      <c r="A646" s="11" t="s">
        <v>1470</v>
      </c>
      <c r="C646" s="30" t="n">
        <v>33.593</v>
      </c>
      <c r="D646" s="30" t="n">
        <v>4.7445</v>
      </c>
      <c r="E646" s="30" t="n">
        <v>4.5523</v>
      </c>
      <c r="F646" s="30" t="n">
        <v>3.2946</v>
      </c>
      <c r="G646" s="30" t="n">
        <v>3.9882</v>
      </c>
      <c r="H646" s="30" t="n">
        <v>4.8332</v>
      </c>
    </row>
    <row r="648" customFormat="false" ht="15" hidden="false" customHeight="false" outlineLevel="0" collapsed="false">
      <c r="A648" s="3" t="s">
        <v>1755</v>
      </c>
    </row>
    <row r="649" customFormat="false" ht="15" hidden="false" customHeight="false" outlineLevel="0" collapsed="false">
      <c r="A649" s="2" t="s">
        <v>1756</v>
      </c>
    </row>
    <row r="650" customFormat="false" ht="15" hidden="false" customHeight="false" outlineLevel="0" collapsed="false">
      <c r="A650" s="90" t="s">
        <v>86</v>
      </c>
      <c r="B650" s="130"/>
      <c r="C650" s="91" t="s">
        <v>1451</v>
      </c>
      <c r="D650" s="91" t="s">
        <v>1452</v>
      </c>
      <c r="E650" s="91" t="s">
        <v>1453</v>
      </c>
      <c r="F650" s="91" t="s">
        <v>1272</v>
      </c>
      <c r="G650" s="91" t="s">
        <v>1273</v>
      </c>
    </row>
    <row r="651" customFormat="false" ht="15" hidden="false" customHeight="false" outlineLevel="0" collapsed="false">
      <c r="A651" s="11" t="s">
        <v>1757</v>
      </c>
      <c r="E651" s="30" t="n">
        <v>24.975</v>
      </c>
      <c r="F651" s="30" t="n">
        <v>29.95</v>
      </c>
      <c r="G651" s="30" t="n">
        <v>24.95</v>
      </c>
    </row>
    <row r="652" customFormat="false" ht="15" hidden="false" customHeight="false" outlineLevel="0" collapsed="false">
      <c r="A652" s="11" t="s">
        <v>1758</v>
      </c>
      <c r="E652" s="30" t="n">
        <v>-0.05</v>
      </c>
      <c r="G652" s="30" t="n">
        <v>-0.05</v>
      </c>
    </row>
    <row r="653" customFormat="false" ht="15" hidden="false" customHeight="false" outlineLevel="0" collapsed="false">
      <c r="A653" s="11" t="s">
        <v>1759</v>
      </c>
      <c r="E653" s="30" t="n">
        <v>24.925</v>
      </c>
      <c r="F653" s="30" t="n">
        <v>29.95</v>
      </c>
      <c r="G653" s="30" t="n">
        <v>24.9</v>
      </c>
    </row>
    <row r="654" customFormat="false" ht="15" hidden="false" customHeight="false" outlineLevel="0" collapsed="false">
      <c r="A654" s="11" t="s">
        <v>1760</v>
      </c>
      <c r="E654" s="30" t="n">
        <v>0.05</v>
      </c>
      <c r="F654" s="30" t="n">
        <v>0.05</v>
      </c>
      <c r="G654" s="30" t="n">
        <v>0.05</v>
      </c>
    </row>
    <row r="655" customFormat="false" ht="15" hidden="false" customHeight="false" outlineLevel="0" collapsed="false">
      <c r="A655" s="11" t="s">
        <v>1761</v>
      </c>
      <c r="F655" s="30" t="n">
        <v>0.05</v>
      </c>
    </row>
    <row r="656" customFormat="false" ht="15" hidden="false" customHeight="false" outlineLevel="0" collapsed="false">
      <c r="A656" s="11" t="s">
        <v>1762</v>
      </c>
      <c r="E656" s="30" t="n">
        <v>0.05</v>
      </c>
      <c r="F656" s="30" t="n">
        <v>0.05</v>
      </c>
      <c r="G656" s="30" t="n">
        <v>24.9</v>
      </c>
    </row>
    <row r="657" customFormat="false" ht="15" hidden="false" customHeight="false" outlineLevel="0" collapsed="false">
      <c r="A657" s="11" t="s">
        <v>1763</v>
      </c>
      <c r="E657" s="30" t="n">
        <v>24.875</v>
      </c>
      <c r="F657" s="30" t="n">
        <v>29.9</v>
      </c>
    </row>
    <row r="658" customFormat="false" ht="15" hidden="false" customHeight="false" outlineLevel="0" collapsed="false">
      <c r="A658" s="11" t="s">
        <v>1764</v>
      </c>
      <c r="E658" s="30" t="n">
        <v>24.925</v>
      </c>
      <c r="F658" s="30" t="n">
        <v>30</v>
      </c>
      <c r="G658" s="30" t="n">
        <v>24.9</v>
      </c>
    </row>
    <row r="660" customFormat="false" ht="15" hidden="false" customHeight="false" outlineLevel="0" collapsed="false">
      <c r="A660" s="3" t="s">
        <v>972</v>
      </c>
    </row>
    <row r="661" customFormat="false" ht="15" hidden="false" customHeight="false" outlineLevel="0" collapsed="false">
      <c r="A661" s="2" t="s">
        <v>1765</v>
      </c>
    </row>
    <row r="662" customFormat="false" ht="15" hidden="false" customHeight="false" outlineLevel="0" collapsed="false">
      <c r="A662" s="90" t="s">
        <v>86</v>
      </c>
      <c r="B662" s="130"/>
      <c r="C662" s="91" t="s">
        <v>1450</v>
      </c>
      <c r="D662" s="91" t="s">
        <v>1451</v>
      </c>
      <c r="E662" s="91" t="s">
        <v>1452</v>
      </c>
      <c r="F662" s="91" t="s">
        <v>1453</v>
      </c>
      <c r="G662" s="91" t="s">
        <v>1272</v>
      </c>
      <c r="H662" s="91" t="s">
        <v>1273</v>
      </c>
    </row>
    <row r="663" customFormat="false" ht="15" hidden="false" customHeight="false" outlineLevel="0" collapsed="false">
      <c r="A663" s="11" t="s">
        <v>1766</v>
      </c>
      <c r="C663" s="30" t="n">
        <v>44.2209</v>
      </c>
      <c r="D663" s="30" t="n">
        <v>36.8061</v>
      </c>
      <c r="E663" s="30" t="n">
        <v>31.0547</v>
      </c>
      <c r="F663" s="30" t="n">
        <v>25.1235</v>
      </c>
      <c r="G663" s="30" t="n">
        <v>28.2978</v>
      </c>
      <c r="H663" s="30" t="n">
        <v>29.0102</v>
      </c>
    </row>
    <row r="664" customFormat="false" ht="15" hidden="false" customHeight="false" outlineLevel="0" collapsed="false">
      <c r="A664" s="11" t="s">
        <v>1767</v>
      </c>
      <c r="C664" s="30" t="n">
        <v>-6.8556</v>
      </c>
      <c r="D664" s="30" t="n">
        <v>-5.4881</v>
      </c>
      <c r="E664" s="30" t="n">
        <v>-4.2564</v>
      </c>
      <c r="F664" s="30" t="n">
        <v>-3.0791</v>
      </c>
      <c r="G664" s="30" t="n">
        <v>-3.6999</v>
      </c>
      <c r="H664" s="30" t="n">
        <v>-2.9899</v>
      </c>
    </row>
    <row r="665" customFormat="false" ht="15" hidden="false" customHeight="false" outlineLevel="0" collapsed="false">
      <c r="A665" s="11" t="s">
        <v>1768</v>
      </c>
      <c r="C665" s="30" t="n">
        <v>-6.7238</v>
      </c>
      <c r="D665" s="30" t="n">
        <v>-4.7445</v>
      </c>
      <c r="E665" s="30" t="n">
        <v>-4.5523</v>
      </c>
      <c r="F665" s="30" t="n">
        <v>-3.2446</v>
      </c>
      <c r="G665" s="30" t="n">
        <v>-3.9382</v>
      </c>
      <c r="H665" s="30" t="n">
        <v>-4.7832</v>
      </c>
    </row>
    <row r="666" customFormat="false" ht="15" hidden="false" customHeight="false" outlineLevel="0" collapsed="false">
      <c r="A666" s="11" t="s">
        <v>1769</v>
      </c>
      <c r="C666" s="30" t="n">
        <v>30.6415</v>
      </c>
      <c r="D666" s="30" t="n">
        <v>26.5735</v>
      </c>
      <c r="E666" s="30" t="n">
        <v>22.2459</v>
      </c>
      <c r="F666" s="30" t="n">
        <v>18.7998</v>
      </c>
      <c r="G666" s="30" t="n">
        <v>20.6598</v>
      </c>
      <c r="H666" s="30" t="n">
        <v>21.2371</v>
      </c>
    </row>
    <row r="667" customFormat="false" ht="15" hidden="false" customHeight="false" outlineLevel="0" collapsed="false">
      <c r="A667" s="11" t="s">
        <v>1770</v>
      </c>
      <c r="C667" s="30" t="n">
        <v>37.3653</v>
      </c>
      <c r="D667" s="30" t="n">
        <v>31.318</v>
      </c>
      <c r="E667" s="30" t="n">
        <v>26.7983</v>
      </c>
      <c r="F667" s="30" t="n">
        <v>22.0444</v>
      </c>
      <c r="G667" s="30" t="n">
        <v>24.5979</v>
      </c>
      <c r="H667" s="30" t="n">
        <v>26.0203</v>
      </c>
    </row>
    <row r="669" customFormat="false" ht="15" hidden="false" customHeight="false" outlineLevel="0" collapsed="false">
      <c r="A669" s="3" t="s">
        <v>1771</v>
      </c>
    </row>
    <row r="670" customFormat="false" ht="15" hidden="false" customHeight="false" outlineLevel="0" collapsed="false">
      <c r="A670" s="2" t="s">
        <v>1772</v>
      </c>
    </row>
    <row r="671" customFormat="false" ht="15" hidden="false" customHeight="false" outlineLevel="0" collapsed="false">
      <c r="A671" s="90" t="s">
        <v>86</v>
      </c>
      <c r="B671" s="130"/>
      <c r="C671" s="91" t="s">
        <v>1450</v>
      </c>
      <c r="D671" s="91" t="s">
        <v>1451</v>
      </c>
      <c r="E671" s="91" t="s">
        <v>1452</v>
      </c>
      <c r="F671" s="91" t="s">
        <v>1453</v>
      </c>
      <c r="G671" s="91" t="s">
        <v>1614</v>
      </c>
      <c r="H671" s="91" t="s">
        <v>1272</v>
      </c>
      <c r="I671" s="91" t="s">
        <v>1273</v>
      </c>
    </row>
    <row r="672" customFormat="false" ht="15" hidden="false" customHeight="false" outlineLevel="0" collapsed="false">
      <c r="A672" s="11" t="s">
        <v>884</v>
      </c>
      <c r="C672" s="30" t="n">
        <v>8.8993</v>
      </c>
      <c r="D672" s="30" t="n">
        <v>22.4881</v>
      </c>
      <c r="E672" s="30" t="n">
        <v>27.7001</v>
      </c>
      <c r="F672" s="30" t="n">
        <v>20.396</v>
      </c>
      <c r="G672" s="30" t="n">
        <v>16.1233</v>
      </c>
      <c r="H672" s="30" t="n">
        <v>10.0906</v>
      </c>
      <c r="I672" s="30" t="n">
        <v>12.6989</v>
      </c>
    </row>
    <row r="673" customFormat="false" ht="15" hidden="false" customHeight="false" outlineLevel="0" collapsed="false">
      <c r="A673" s="11" t="s">
        <v>1773</v>
      </c>
      <c r="C673" s="30" t="n">
        <v>1.6106</v>
      </c>
      <c r="D673" s="30" t="n">
        <v>1.4939</v>
      </c>
      <c r="E673" s="30" t="n">
        <v>1.2527</v>
      </c>
      <c r="F673" s="30" t="n">
        <v>1.0824</v>
      </c>
      <c r="G673" s="30" t="n">
        <v>0.686</v>
      </c>
      <c r="H673" s="30" t="n">
        <v>0.5687</v>
      </c>
      <c r="I673" s="30" t="n">
        <v>0.531</v>
      </c>
    </row>
    <row r="674" customFormat="false" ht="15" hidden="false" customHeight="false" outlineLevel="0" collapsed="false">
      <c r="A674" s="11" t="s">
        <v>1774</v>
      </c>
      <c r="C674" s="30" t="n">
        <v>154.5883</v>
      </c>
      <c r="D674" s="30" t="n">
        <v>174.943</v>
      </c>
      <c r="E674" s="30" t="n">
        <v>203.5985</v>
      </c>
      <c r="F674" s="30" t="n">
        <v>196.88</v>
      </c>
      <c r="G674" s="30" t="n">
        <v>111.4599</v>
      </c>
      <c r="H674" s="30" t="n">
        <v>89.6174</v>
      </c>
      <c r="I674" s="30" t="n">
        <v>98.5122</v>
      </c>
    </row>
    <row r="675" customFormat="false" ht="15" hidden="false" customHeight="false" outlineLevel="0" collapsed="false">
      <c r="A675" s="11" t="s">
        <v>1775</v>
      </c>
      <c r="C675" s="30" t="n">
        <v>-29.7528</v>
      </c>
      <c r="D675" s="30" t="n">
        <v>-10.0445</v>
      </c>
      <c r="E675" s="30" t="n">
        <v>1.7948</v>
      </c>
      <c r="F675" s="30" t="n">
        <v>46.567</v>
      </c>
      <c r="G675" s="30" t="n">
        <v>-7.0521</v>
      </c>
      <c r="H675" s="30" t="n">
        <v>15.549</v>
      </c>
      <c r="I675" s="30" t="n">
        <v>42.4736</v>
      </c>
    </row>
    <row r="676" customFormat="false" ht="15" hidden="false" customHeight="false" outlineLevel="0" collapsed="false">
      <c r="A676" s="11" t="s">
        <v>1776</v>
      </c>
      <c r="C676" s="30" t="n">
        <v>1.1666</v>
      </c>
      <c r="D676" s="30" t="n">
        <v>0.9881</v>
      </c>
      <c r="E676" s="30" t="n">
        <v>1.6016</v>
      </c>
      <c r="F676" s="30" t="n">
        <v>2.145</v>
      </c>
      <c r="G676" s="30" t="n">
        <v>0.6702</v>
      </c>
      <c r="H676" s="30" t="n">
        <v>0.7846</v>
      </c>
      <c r="I676" s="30" t="n">
        <v>1.4273</v>
      </c>
    </row>
    <row r="677" customFormat="false" ht="15" hidden="false" customHeight="false" outlineLevel="0" collapsed="false">
      <c r="A677" s="11" t="s">
        <v>1470</v>
      </c>
      <c r="C677" s="30" t="n">
        <v>-174.2752</v>
      </c>
      <c r="D677" s="30" t="n">
        <v>-161.5113</v>
      </c>
      <c r="E677" s="30" t="n">
        <v>-172.5019</v>
      </c>
      <c r="F677" s="30" t="n">
        <v>-127.772</v>
      </c>
      <c r="G677" s="30" t="n">
        <v>-101.7186</v>
      </c>
      <c r="H677" s="30" t="n">
        <v>-63.1933</v>
      </c>
      <c r="I677" s="30" t="n">
        <v>-41.9124</v>
      </c>
    </row>
    <row r="679" customFormat="false" ht="15" hidden="false" customHeight="false" outlineLevel="0" collapsed="false">
      <c r="A679" s="3" t="s">
        <v>1777</v>
      </c>
    </row>
    <row r="680" customFormat="false" ht="15" hidden="false" customHeight="false" outlineLevel="0" collapsed="false">
      <c r="A680" s="2" t="s">
        <v>1778</v>
      </c>
    </row>
    <row r="681" customFormat="false" ht="15" hidden="false" customHeight="false" outlineLevel="0" collapsed="false">
      <c r="A681" s="90" t="s">
        <v>86</v>
      </c>
      <c r="B681" s="130"/>
      <c r="C681" s="91" t="s">
        <v>1450</v>
      </c>
      <c r="D681" s="91" t="s">
        <v>1451</v>
      </c>
      <c r="E681" s="91" t="s">
        <v>1452</v>
      </c>
      <c r="F681" s="91" t="s">
        <v>1453</v>
      </c>
      <c r="G681" s="91" t="s">
        <v>1614</v>
      </c>
      <c r="H681" s="91" t="s">
        <v>1272</v>
      </c>
      <c r="I681" s="91" t="s">
        <v>1273</v>
      </c>
    </row>
    <row r="682" customFormat="false" ht="15" hidden="false" customHeight="false" outlineLevel="0" collapsed="false">
      <c r="A682" s="11" t="s">
        <v>1779</v>
      </c>
      <c r="C682" s="30" t="n">
        <v>20.0144</v>
      </c>
      <c r="D682" s="30" t="n">
        <v>55.0228</v>
      </c>
      <c r="E682" s="30" t="n">
        <v>49.7733</v>
      </c>
      <c r="F682" s="30" t="n">
        <v>30.4662</v>
      </c>
      <c r="G682" s="30" t="n">
        <v>20.0036</v>
      </c>
      <c r="H682" s="30" t="n">
        <v>18.7085</v>
      </c>
      <c r="I682" s="30" t="n">
        <v>20.9291</v>
      </c>
    </row>
    <row r="683" customFormat="false" ht="15" hidden="false" customHeight="false" outlineLevel="0" collapsed="false">
      <c r="A683" s="11" t="s">
        <v>1470</v>
      </c>
      <c r="C683" s="30" t="n">
        <v>20.0144</v>
      </c>
      <c r="D683" s="30" t="n">
        <v>55.0228</v>
      </c>
      <c r="E683" s="30" t="n">
        <v>49.7733</v>
      </c>
      <c r="F683" s="30" t="n">
        <v>30.4662</v>
      </c>
      <c r="G683" s="30" t="n">
        <v>20.0036</v>
      </c>
      <c r="H683" s="30" t="n">
        <v>18.7085</v>
      </c>
      <c r="I683" s="30" t="n">
        <v>20.9291</v>
      </c>
    </row>
    <row r="685" customFormat="false" ht="15" hidden="false" customHeight="false" outlineLevel="0" collapsed="false">
      <c r="A685" s="3" t="s">
        <v>1780</v>
      </c>
    </row>
    <row r="686" customFormat="false" ht="15" hidden="false" customHeight="false" outlineLevel="0" collapsed="false">
      <c r="A686" s="2" t="s">
        <v>1781</v>
      </c>
    </row>
    <row r="687" customFormat="false" ht="15" hidden="false" customHeight="false" outlineLevel="0" collapsed="false">
      <c r="A687" s="90" t="s">
        <v>86</v>
      </c>
      <c r="B687" s="130"/>
      <c r="C687" s="91" t="s">
        <v>1450</v>
      </c>
      <c r="D687" s="91" t="s">
        <v>1451</v>
      </c>
      <c r="E687" s="91" t="s">
        <v>1452</v>
      </c>
      <c r="F687" s="91" t="s">
        <v>1453</v>
      </c>
      <c r="G687" s="91" t="s">
        <v>1614</v>
      </c>
      <c r="H687" s="91" t="s">
        <v>1272</v>
      </c>
      <c r="I687" s="91" t="s">
        <v>1273</v>
      </c>
    </row>
    <row r="688" customFormat="false" ht="15" hidden="false" customHeight="false" outlineLevel="0" collapsed="false">
      <c r="A688" s="11" t="s">
        <v>1782</v>
      </c>
      <c r="C688" s="30" t="n">
        <v>0.0369</v>
      </c>
      <c r="D688" s="30" t="n">
        <v>0.0182</v>
      </c>
      <c r="E688" s="30" t="n">
        <v>0.0187</v>
      </c>
      <c r="F688" s="30" t="n">
        <v>0.0179</v>
      </c>
    </row>
    <row r="689" customFormat="false" ht="15" hidden="false" customHeight="false" outlineLevel="0" collapsed="false">
      <c r="A689" s="11" t="s">
        <v>1783</v>
      </c>
      <c r="C689" s="30" t="n">
        <v>97.6867</v>
      </c>
      <c r="D689" s="30" t="n">
        <v>56.5153</v>
      </c>
      <c r="E689" s="30" t="n">
        <v>17.0966</v>
      </c>
      <c r="F689" s="30" t="n">
        <v>41.6876</v>
      </c>
      <c r="G689" s="30" t="n">
        <v>5.4047</v>
      </c>
      <c r="H689" s="30" t="n">
        <v>21.9679</v>
      </c>
      <c r="I689" s="30" t="n">
        <v>11.3472</v>
      </c>
    </row>
    <row r="690" customFormat="false" ht="15" hidden="false" customHeight="false" outlineLevel="0" collapsed="false">
      <c r="A690" s="11" t="s">
        <v>1470</v>
      </c>
      <c r="C690" s="30" t="n">
        <v>97.7236</v>
      </c>
      <c r="D690" s="30" t="n">
        <v>56.5334</v>
      </c>
      <c r="E690" s="30" t="n">
        <v>17.1153</v>
      </c>
      <c r="F690" s="30" t="n">
        <v>41.7054</v>
      </c>
      <c r="G690" s="30" t="n">
        <v>5.4047</v>
      </c>
      <c r="H690" s="30" t="n">
        <v>21.9679</v>
      </c>
      <c r="I690" s="30" t="n">
        <v>11.3472</v>
      </c>
    </row>
    <row r="692" customFormat="false" ht="15" hidden="false" customHeight="false" outlineLevel="0" collapsed="false">
      <c r="A692" s="3" t="s">
        <v>1784</v>
      </c>
    </row>
    <row r="693" customFormat="false" ht="15" hidden="false" customHeight="false" outlineLevel="0" collapsed="false">
      <c r="A693" s="2" t="s">
        <v>1785</v>
      </c>
    </row>
    <row r="694" customFormat="false" ht="15" hidden="false" customHeight="false" outlineLevel="0" collapsed="false">
      <c r="A694" s="90" t="s">
        <v>86</v>
      </c>
      <c r="B694" s="130"/>
      <c r="C694" s="91" t="s">
        <v>1450</v>
      </c>
      <c r="D694" s="91" t="s">
        <v>1451</v>
      </c>
      <c r="E694" s="91" t="s">
        <v>1452</v>
      </c>
      <c r="F694" s="91" t="s">
        <v>1453</v>
      </c>
      <c r="G694" s="91" t="s">
        <v>1614</v>
      </c>
      <c r="H694" s="91" t="s">
        <v>1272</v>
      </c>
      <c r="I694" s="91" t="s">
        <v>1273</v>
      </c>
    </row>
    <row r="695" customFormat="false" ht="15" hidden="false" customHeight="false" outlineLevel="0" collapsed="false">
      <c r="A695" s="11" t="s">
        <v>1786</v>
      </c>
      <c r="D695" s="30" t="n">
        <v>1104.9694</v>
      </c>
      <c r="E695" s="30" t="n">
        <v>471.927</v>
      </c>
      <c r="F695" s="30" t="n">
        <v>30</v>
      </c>
      <c r="G695" s="30" t="n">
        <v>471.927</v>
      </c>
      <c r="H695" s="30" t="n">
        <v>30</v>
      </c>
      <c r="I695" s="30" t="n">
        <v>110.6774</v>
      </c>
    </row>
    <row r="696" customFormat="false" ht="15" hidden="false" customHeight="false" outlineLevel="0" collapsed="false">
      <c r="A696" s="11" t="s">
        <v>1787</v>
      </c>
      <c r="D696" s="30" t="n">
        <v>1104.9694</v>
      </c>
      <c r="E696" s="30" t="n">
        <v>471.927</v>
      </c>
      <c r="F696" s="30" t="n">
        <v>30</v>
      </c>
      <c r="G696" s="30" t="n">
        <v>471.927</v>
      </c>
      <c r="H696" s="30" t="n">
        <v>30</v>
      </c>
      <c r="I696" s="30" t="n">
        <v>110.6774</v>
      </c>
    </row>
    <row r="697" customFormat="false" ht="15" hidden="false" customHeight="false" outlineLevel="0" collapsed="false">
      <c r="A697" s="11" t="s">
        <v>1788</v>
      </c>
      <c r="D697" s="30" t="n">
        <v>454.8588</v>
      </c>
      <c r="E697" s="30" t="n">
        <v>1122.2695</v>
      </c>
      <c r="F697" s="30" t="n">
        <v>5.025</v>
      </c>
      <c r="G697" s="30" t="n">
        <v>514.7107</v>
      </c>
      <c r="I697" s="30" t="n">
        <v>0.025</v>
      </c>
    </row>
    <row r="698" customFormat="false" ht="15" hidden="false" customHeight="false" outlineLevel="0" collapsed="false">
      <c r="A698" s="11" t="s">
        <v>1252</v>
      </c>
      <c r="C698" s="30" t="n">
        <v>617.7758</v>
      </c>
      <c r="D698" s="30" t="n">
        <v>489.9347</v>
      </c>
      <c r="E698" s="30" t="n">
        <v>553.6596</v>
      </c>
      <c r="F698" s="30" t="n">
        <v>726.6256</v>
      </c>
      <c r="G698" s="30" t="n">
        <v>11.4218</v>
      </c>
      <c r="H698" s="30" t="n">
        <v>726.3767</v>
      </c>
      <c r="I698" s="30" t="n">
        <v>860.9669</v>
      </c>
    </row>
    <row r="699" customFormat="false" ht="15" hidden="false" customHeight="false" outlineLevel="0" collapsed="false">
      <c r="A699" s="11" t="s">
        <v>1789</v>
      </c>
      <c r="C699" s="30" t="n">
        <v>4.4966</v>
      </c>
    </row>
    <row r="700" customFormat="false" ht="15" hidden="false" customHeight="false" outlineLevel="0" collapsed="false">
      <c r="A700" s="11" t="s">
        <v>1790</v>
      </c>
      <c r="C700" s="30" t="n">
        <v>11.1512</v>
      </c>
      <c r="D700" s="30" t="n">
        <v>6.2402</v>
      </c>
      <c r="E700" s="30" t="n">
        <v>1.5249</v>
      </c>
      <c r="F700" s="30" t="n">
        <v>192.03</v>
      </c>
      <c r="G700" s="30" t="n">
        <v>0.728</v>
      </c>
      <c r="H700" s="30" t="n">
        <v>176.7303</v>
      </c>
      <c r="I700" s="30" t="n">
        <v>9.8351</v>
      </c>
    </row>
    <row r="701" customFormat="false" ht="15" hidden="false" customHeight="false" outlineLevel="0" collapsed="false">
      <c r="A701" s="11" t="s">
        <v>1791</v>
      </c>
      <c r="C701" s="30" t="n">
        <v>11.1512</v>
      </c>
      <c r="D701" s="30" t="n">
        <v>6.2402</v>
      </c>
      <c r="E701" s="30" t="n">
        <v>1.5249</v>
      </c>
      <c r="F701" s="30" t="n">
        <v>5.0153</v>
      </c>
      <c r="G701" s="30" t="n">
        <v>0.728</v>
      </c>
      <c r="H701" s="30" t="n">
        <v>1.2895</v>
      </c>
      <c r="I701" s="30" t="n">
        <v>3.2092</v>
      </c>
    </row>
    <row r="702" customFormat="false" ht="15" hidden="false" customHeight="false" outlineLevel="0" collapsed="false">
      <c r="A702" s="11" t="s">
        <v>1792</v>
      </c>
      <c r="F702" s="30" t="n">
        <v>175.4407</v>
      </c>
      <c r="H702" s="30" t="n">
        <v>175.4407</v>
      </c>
    </row>
    <row r="703" customFormat="false" ht="15" hidden="false" customHeight="false" outlineLevel="0" collapsed="false">
      <c r="A703" s="11" t="s">
        <v>1793</v>
      </c>
      <c r="F703" s="30" t="n">
        <v>11.5739</v>
      </c>
      <c r="I703" s="30" t="n">
        <v>6.6258</v>
      </c>
    </row>
    <row r="704" customFormat="false" ht="15" hidden="false" customHeight="false" outlineLevel="0" collapsed="false">
      <c r="A704" s="11" t="s">
        <v>1794</v>
      </c>
      <c r="C704" s="30" t="n">
        <v>628.927</v>
      </c>
      <c r="D704" s="30" t="n">
        <v>951.0336</v>
      </c>
      <c r="E704" s="30" t="n">
        <v>1677.4541</v>
      </c>
      <c r="F704" s="30" t="n">
        <v>923.6806</v>
      </c>
      <c r="G704" s="30" t="n">
        <v>526.8605</v>
      </c>
      <c r="H704" s="30" t="n">
        <v>903.1069</v>
      </c>
      <c r="I704" s="30" t="n">
        <v>870.827</v>
      </c>
    </row>
    <row r="705" customFormat="false" ht="15" hidden="false" customHeight="false" outlineLevel="0" collapsed="false">
      <c r="A705" s="11" t="s">
        <v>1795</v>
      </c>
      <c r="C705" s="30" t="n">
        <v>-628.927</v>
      </c>
      <c r="D705" s="30" t="n">
        <v>153.9358</v>
      </c>
      <c r="E705" s="30" t="n">
        <v>-1205.5271</v>
      </c>
      <c r="F705" s="30" t="n">
        <v>-893.6806</v>
      </c>
      <c r="G705" s="30" t="n">
        <v>-54.9335</v>
      </c>
      <c r="H705" s="30" t="n">
        <v>-873.1069</v>
      </c>
      <c r="I705" s="30" t="n">
        <v>-760.1495</v>
      </c>
    </row>
    <row r="707" customFormat="false" ht="15" hidden="false" customHeight="false" outlineLevel="0" collapsed="false">
      <c r="A707" s="3" t="s">
        <v>1796</v>
      </c>
    </row>
    <row r="708" customFormat="false" ht="15" hidden="false" customHeight="false" outlineLevel="0" collapsed="false">
      <c r="A708" s="2" t="s">
        <v>1797</v>
      </c>
    </row>
    <row r="709" customFormat="false" ht="15" hidden="false" customHeight="false" outlineLevel="0" collapsed="false">
      <c r="A709" s="90" t="s">
        <v>86</v>
      </c>
      <c r="B709" s="130"/>
      <c r="C709" s="91" t="s">
        <v>1450</v>
      </c>
      <c r="D709" s="91" t="s">
        <v>1451</v>
      </c>
      <c r="E709" s="91" t="s">
        <v>1452</v>
      </c>
      <c r="F709" s="91" t="s">
        <v>1453</v>
      </c>
      <c r="G709" s="91" t="s">
        <v>1614</v>
      </c>
      <c r="H709" s="91" t="s">
        <v>1272</v>
      </c>
      <c r="I709" s="91" t="s">
        <v>1273</v>
      </c>
    </row>
    <row r="710" customFormat="false" ht="15" hidden="false" customHeight="false" outlineLevel="0" collapsed="false">
      <c r="A710" s="11" t="s">
        <v>1798</v>
      </c>
      <c r="C710" s="30" t="n">
        <v>2073.8736</v>
      </c>
      <c r="D710" s="30" t="n">
        <v>1718.968</v>
      </c>
      <c r="E710" s="30" t="n">
        <v>2403.1223</v>
      </c>
      <c r="F710" s="30" t="n">
        <v>2877.6091</v>
      </c>
      <c r="G710" s="30" t="n">
        <v>771.8513</v>
      </c>
      <c r="H710" s="30" t="n">
        <v>1127.7094</v>
      </c>
      <c r="I710" s="30" t="n">
        <v>1297.3196</v>
      </c>
    </row>
    <row r="711" customFormat="false" ht="15" hidden="false" customHeight="false" outlineLevel="0" collapsed="false">
      <c r="A711" s="11" t="s">
        <v>1799</v>
      </c>
      <c r="C711" s="30" t="n">
        <v>12490.0357</v>
      </c>
      <c r="D711" s="30" t="n">
        <v>13435</v>
      </c>
      <c r="E711" s="30" t="n">
        <v>66602.15</v>
      </c>
      <c r="F711" s="30" t="n">
        <v>168585.03</v>
      </c>
      <c r="G711" s="30" t="n">
        <v>7530</v>
      </c>
      <c r="H711" s="30" t="n">
        <v>100066.18</v>
      </c>
      <c r="I711" s="30" t="n">
        <v>69242.2081</v>
      </c>
    </row>
    <row r="712" customFormat="false" ht="15" hidden="false" customHeight="false" outlineLevel="0" collapsed="false">
      <c r="A712" s="11" t="s">
        <v>1800</v>
      </c>
      <c r="C712" s="30" t="n">
        <v>96.8132</v>
      </c>
      <c r="D712" s="30" t="n">
        <v>109.8625</v>
      </c>
      <c r="E712" s="30" t="n">
        <v>63.7652</v>
      </c>
      <c r="F712" s="30" t="n">
        <v>267.5621</v>
      </c>
      <c r="G712" s="30" t="n">
        <v>30.8851</v>
      </c>
      <c r="H712" s="30" t="n">
        <v>57.9618</v>
      </c>
      <c r="I712" s="30" t="n">
        <v>94.9076</v>
      </c>
    </row>
    <row r="713" customFormat="false" ht="15" hidden="false" customHeight="false" outlineLevel="0" collapsed="false">
      <c r="A713" s="11" t="s">
        <v>1627</v>
      </c>
      <c r="C713" s="30" t="n">
        <v>61.3832</v>
      </c>
      <c r="D713" s="30" t="n">
        <v>14.3567</v>
      </c>
      <c r="E713" s="30" t="n">
        <v>29.458</v>
      </c>
      <c r="F713" s="30" t="n">
        <v>3.726</v>
      </c>
      <c r="G713" s="30" t="n">
        <v>28.8196</v>
      </c>
      <c r="H713" s="30" t="n">
        <v>3.3433</v>
      </c>
      <c r="I713" s="30" t="n">
        <v>3.6919</v>
      </c>
    </row>
    <row r="714" customFormat="false" ht="15" hidden="false" customHeight="false" outlineLevel="0" collapsed="false">
      <c r="A714" s="11" t="s">
        <v>1801</v>
      </c>
      <c r="C714" s="30" t="n">
        <v>12648.2322</v>
      </c>
      <c r="D714" s="30" t="n">
        <v>13559.2192</v>
      </c>
      <c r="E714" s="30" t="n">
        <v>66695.3732</v>
      </c>
      <c r="F714" s="30" t="n">
        <v>168856.3181</v>
      </c>
      <c r="G714" s="30" t="n">
        <v>7589.7047</v>
      </c>
      <c r="H714" s="30" t="n">
        <v>100127.485</v>
      </c>
      <c r="I714" s="30" t="n">
        <v>69340.8077</v>
      </c>
    </row>
    <row r="715" customFormat="false" ht="15" hidden="false" customHeight="false" outlineLevel="0" collapsed="false">
      <c r="A715" s="11" t="s">
        <v>1626</v>
      </c>
      <c r="C715" s="30" t="n">
        <v>1124.8091</v>
      </c>
      <c r="D715" s="30" t="n">
        <v>545.8847</v>
      </c>
      <c r="E715" s="30" t="n">
        <v>639.0352</v>
      </c>
      <c r="F715" s="30" t="n">
        <v>580.092</v>
      </c>
      <c r="G715" s="30" t="n">
        <v>335.819</v>
      </c>
      <c r="H715" s="30" t="n">
        <v>207.1667</v>
      </c>
      <c r="I715" s="30" t="n">
        <v>476.371</v>
      </c>
    </row>
    <row r="716" customFormat="false" ht="15" hidden="false" customHeight="false" outlineLevel="0" collapsed="false">
      <c r="A716" s="11" t="s">
        <v>1802</v>
      </c>
      <c r="C716" s="30" t="n">
        <v>15330.15</v>
      </c>
      <c r="D716" s="30" t="n">
        <v>16788.2595</v>
      </c>
      <c r="E716" s="30" t="n">
        <v>67410.2139</v>
      </c>
      <c r="F716" s="30" t="n">
        <v>169100.4235</v>
      </c>
      <c r="G716" s="30" t="n">
        <v>5625</v>
      </c>
      <c r="H716" s="30" t="n">
        <v>98547.7164</v>
      </c>
      <c r="I716" s="30" t="n">
        <v>68544.3972</v>
      </c>
    </row>
    <row r="717" customFormat="false" ht="15" hidden="false" customHeight="false" outlineLevel="0" collapsed="false">
      <c r="A717" s="11" t="s">
        <v>1803</v>
      </c>
      <c r="E717" s="30" t="n">
        <v>0.0553</v>
      </c>
      <c r="F717" s="30" t="n">
        <v>0.163</v>
      </c>
      <c r="H717" s="30" t="n">
        <v>0.0906</v>
      </c>
      <c r="I717" s="30" t="n">
        <v>0.0626</v>
      </c>
    </row>
    <row r="718" customFormat="false" ht="15" hidden="false" customHeight="false" outlineLevel="0" collapsed="false">
      <c r="A718" s="11" t="s">
        <v>1804</v>
      </c>
      <c r="C718" s="30" t="n">
        <v>16454.9591</v>
      </c>
      <c r="D718" s="30" t="n">
        <v>17334.1442</v>
      </c>
      <c r="E718" s="30" t="n">
        <v>68049.3043</v>
      </c>
      <c r="F718" s="30" t="n">
        <v>169680.6785</v>
      </c>
      <c r="G718" s="30" t="n">
        <v>5960.819</v>
      </c>
      <c r="H718" s="30" t="n">
        <v>98754.9736</v>
      </c>
      <c r="I718" s="30" t="n">
        <v>69020.8308</v>
      </c>
    </row>
    <row r="719" customFormat="false" ht="15" hidden="false" customHeight="false" outlineLevel="0" collapsed="false">
      <c r="A719" s="11" t="s">
        <v>1805</v>
      </c>
      <c r="C719" s="30" t="n">
        <v>-3806.7269</v>
      </c>
      <c r="D719" s="30" t="n">
        <v>-3774.925</v>
      </c>
      <c r="E719" s="30" t="n">
        <v>-1353.9311</v>
      </c>
      <c r="F719" s="30" t="n">
        <v>-824.3604</v>
      </c>
      <c r="G719" s="30" t="n">
        <v>1628.8857</v>
      </c>
      <c r="H719" s="30" t="n">
        <v>1372.5114</v>
      </c>
      <c r="I719" s="30" t="n">
        <v>319.9769</v>
      </c>
    </row>
    <row r="720" customFormat="false" ht="15" hidden="false" customHeight="false" outlineLevel="0" collapsed="false">
      <c r="A720" s="11" t="s">
        <v>1806</v>
      </c>
      <c r="C720" s="30" t="n">
        <v>9.9994</v>
      </c>
      <c r="D720" s="30" t="n">
        <v>7.436</v>
      </c>
      <c r="E720" s="30" t="n">
        <v>-0.4631</v>
      </c>
      <c r="F720" s="30" t="n">
        <v>-14.4299</v>
      </c>
      <c r="G720" s="30" t="n">
        <v>-0.4142</v>
      </c>
      <c r="H720" s="30" t="n">
        <v>13.6897</v>
      </c>
      <c r="I720" s="30" t="n">
        <v>-62.0636</v>
      </c>
    </row>
    <row r="721" customFormat="false" ht="15" hidden="false" customHeight="false" outlineLevel="0" collapsed="false">
      <c r="A721" s="11" t="s">
        <v>1401</v>
      </c>
      <c r="C721" s="30" t="n">
        <v>-2351.781</v>
      </c>
      <c r="D721" s="30" t="n">
        <v>-1894.5852</v>
      </c>
      <c r="E721" s="30" t="n">
        <v>-156.799</v>
      </c>
      <c r="F721" s="30" t="n">
        <v>1145.1382</v>
      </c>
      <c r="G721" s="30" t="n">
        <v>2345.3892</v>
      </c>
      <c r="H721" s="30" t="n">
        <v>1640.8036</v>
      </c>
      <c r="I721" s="30" t="n">
        <v>795.0833</v>
      </c>
    </row>
    <row r="722" customFormat="false" ht="15" hidden="false" customHeight="false" outlineLevel="0" collapsed="false">
      <c r="A722" s="11" t="s">
        <v>1807</v>
      </c>
      <c r="C722" s="30" t="n">
        <v>5543.4234</v>
      </c>
      <c r="D722" s="30" t="n">
        <v>3191.6424</v>
      </c>
      <c r="E722" s="30" t="n">
        <v>1297.0572</v>
      </c>
      <c r="F722" s="30" t="n">
        <v>1140.2582</v>
      </c>
      <c r="G722" s="30" t="n">
        <v>1297.0572</v>
      </c>
      <c r="H722" s="30" t="n">
        <v>1140.2582</v>
      </c>
      <c r="I722" s="30" t="n">
        <v>2285.3964</v>
      </c>
    </row>
    <row r="723" customFormat="false" ht="15" hidden="false" customHeight="false" outlineLevel="0" collapsed="false">
      <c r="A723" s="11" t="s">
        <v>1713</v>
      </c>
      <c r="C723" s="30" t="n">
        <v>3191.6424</v>
      </c>
      <c r="D723" s="30" t="n">
        <v>1297.0572</v>
      </c>
      <c r="E723" s="30" t="n">
        <v>1140.2582</v>
      </c>
      <c r="F723" s="30" t="n">
        <v>2285.3964</v>
      </c>
      <c r="G723" s="30" t="n">
        <v>3642.4464</v>
      </c>
      <c r="H723" s="30" t="n">
        <v>2781.0618</v>
      </c>
      <c r="I723" s="30" t="n">
        <v>3080.4797</v>
      </c>
    </row>
    <row r="724" customFormat="false" ht="15" hidden="false" customHeight="false" outlineLevel="0" collapsed="false">
      <c r="A724" s="11" t="s">
        <v>1808</v>
      </c>
      <c r="C724" s="30" t="n">
        <v>2840.1143</v>
      </c>
      <c r="D724" s="30" t="n">
        <v>3353.2595</v>
      </c>
      <c r="E724" s="30" t="n">
        <v>808.0639</v>
      </c>
      <c r="F724" s="30" t="n">
        <v>515.3935</v>
      </c>
      <c r="G724" s="30" t="n">
        <v>-1905</v>
      </c>
      <c r="H724" s="30" t="n">
        <v>-1518.4636</v>
      </c>
      <c r="I724" s="30" t="n">
        <v>-697.811</v>
      </c>
    </row>
    <row r="726" customFormat="false" ht="15" hidden="false" customHeight="false" outlineLevel="0" collapsed="false">
      <c r="A726" s="3" t="s">
        <v>1809</v>
      </c>
    </row>
    <row r="727" customFormat="false" ht="15" hidden="false" customHeight="false" outlineLevel="0" collapsed="false">
      <c r="A727" s="2" t="s">
        <v>1810</v>
      </c>
    </row>
    <row r="728" customFormat="false" ht="15" hidden="false" customHeight="false" outlineLevel="0" collapsed="false">
      <c r="A728" s="90" t="s">
        <v>86</v>
      </c>
      <c r="B728" s="130"/>
      <c r="C728" s="91" t="s">
        <v>1451</v>
      </c>
      <c r="D728" s="91" t="s">
        <v>1452</v>
      </c>
      <c r="E728" s="91" t="s">
        <v>1453</v>
      </c>
      <c r="F728" s="91" t="s">
        <v>1272</v>
      </c>
      <c r="G728" s="91" t="s">
        <v>1273</v>
      </c>
    </row>
    <row r="729" customFormat="false" ht="15" hidden="false" customHeight="false" outlineLevel="0" collapsed="false">
      <c r="A729" s="11" t="s">
        <v>1811</v>
      </c>
      <c r="C729" s="30" t="n">
        <v>230.9176</v>
      </c>
      <c r="D729" s="30" t="n">
        <v>817.406</v>
      </c>
      <c r="E729" s="30" t="n">
        <v>1525.971</v>
      </c>
      <c r="F729" s="30" t="n">
        <v>1251.7766</v>
      </c>
      <c r="G729" s="30" t="n">
        <v>2027.9363</v>
      </c>
    </row>
    <row r="730" customFormat="false" ht="15" hidden="false" customHeight="false" outlineLevel="0" collapsed="false">
      <c r="A730" s="11" t="s">
        <v>1812</v>
      </c>
      <c r="C730" s="30" t="n">
        <v>16.8293</v>
      </c>
      <c r="D730" s="30" t="n">
        <v>89.7608</v>
      </c>
      <c r="E730" s="30" t="n">
        <v>191.836</v>
      </c>
      <c r="F730" s="30" t="n">
        <v>146.0959</v>
      </c>
      <c r="G730" s="30" t="n">
        <v>264.1073</v>
      </c>
    </row>
    <row r="731" customFormat="false" ht="15" hidden="false" customHeight="false" outlineLevel="0" collapsed="false">
      <c r="A731" s="11" t="s">
        <v>1813</v>
      </c>
      <c r="C731" s="131" t="n">
        <v>7.0827</v>
      </c>
      <c r="D731" s="131" t="n">
        <v>7.1884</v>
      </c>
      <c r="E731" s="131" t="n">
        <v>7.0288</v>
      </c>
      <c r="F731" s="131" t="n">
        <v>7.1586</v>
      </c>
      <c r="G731" s="131" t="n">
        <v>6.8109</v>
      </c>
    </row>
    <row r="732" customFormat="false" ht="15" hidden="false" customHeight="false" outlineLevel="0" collapsed="false">
      <c r="A732" s="11" t="s">
        <v>1814</v>
      </c>
      <c r="C732" s="30" t="n">
        <v>119.1967</v>
      </c>
      <c r="D732" s="30" t="n">
        <v>645.2368</v>
      </c>
      <c r="E732" s="30" t="n">
        <v>1348.3768</v>
      </c>
      <c r="F732" s="30" t="n">
        <v>1045.8421</v>
      </c>
      <c r="G732" s="30" t="n">
        <v>1798.8085</v>
      </c>
    </row>
    <row r="733" customFormat="false" ht="15" hidden="false" customHeight="false" outlineLevel="0" collapsed="false">
      <c r="A733" s="11" t="s">
        <v>1815</v>
      </c>
      <c r="C733" s="30" t="n">
        <v>9.083</v>
      </c>
      <c r="D733" s="30" t="n">
        <v>18.4677</v>
      </c>
      <c r="E733" s="30" t="n">
        <v>17.8206</v>
      </c>
      <c r="F733" s="30" t="n">
        <v>20.878</v>
      </c>
      <c r="G733" s="30" t="n">
        <v>19.0606</v>
      </c>
    </row>
    <row r="734" customFormat="false" ht="15" hidden="false" customHeight="false" outlineLevel="0" collapsed="false">
      <c r="A734" s="11" t="s">
        <v>1816</v>
      </c>
      <c r="C734" s="131" t="n">
        <v>7.8592</v>
      </c>
      <c r="D734" s="131" t="n">
        <v>7.5257</v>
      </c>
      <c r="E734" s="131" t="n">
        <v>8.2355</v>
      </c>
      <c r="F734" s="131" t="n">
        <v>8.4024</v>
      </c>
      <c r="G734" s="131" t="n">
        <v>7.7671</v>
      </c>
    </row>
    <row r="735" customFormat="false" ht="15" hidden="false" customHeight="false" outlineLevel="0" collapsed="false">
      <c r="A735" s="11" t="s">
        <v>1817</v>
      </c>
      <c r="C735" s="30" t="n">
        <v>71.3848</v>
      </c>
      <c r="D735" s="30" t="n">
        <v>138.9824</v>
      </c>
      <c r="E735" s="30" t="n">
        <v>146.7619</v>
      </c>
      <c r="F735" s="30" t="n">
        <v>175.4257</v>
      </c>
      <c r="G735" s="30" t="n">
        <v>148.0457</v>
      </c>
    </row>
    <row r="736" customFormat="false" ht="15" hidden="false" customHeight="false" outlineLevel="0" collapsed="false">
      <c r="A736" s="11" t="s">
        <v>1818</v>
      </c>
      <c r="C736" s="30" t="n">
        <v>384.4251</v>
      </c>
      <c r="D736" s="30" t="n">
        <v>307.967</v>
      </c>
      <c r="E736" s="30" t="n">
        <v>385.7041</v>
      </c>
      <c r="F736" s="30" t="n">
        <v>290.6324</v>
      </c>
      <c r="G736" s="30" t="n">
        <v>580.8381</v>
      </c>
    </row>
    <row r="737" customFormat="false" ht="15" hidden="false" customHeight="false" outlineLevel="0" collapsed="false">
      <c r="A737" s="11" t="s">
        <v>1819</v>
      </c>
      <c r="C737" s="30" t="n">
        <v>48.2351</v>
      </c>
      <c r="D737" s="30" t="n">
        <v>36.4915</v>
      </c>
      <c r="E737" s="30" t="n">
        <v>48.7846</v>
      </c>
      <c r="F737" s="30" t="n">
        <v>33.6416</v>
      </c>
      <c r="G737" s="30" t="n">
        <v>78.9311</v>
      </c>
    </row>
    <row r="738" customFormat="false" ht="15" hidden="false" customHeight="false" outlineLevel="0" collapsed="false">
      <c r="A738" s="11" t="s">
        <v>1820</v>
      </c>
      <c r="C738" s="30" t="n">
        <v>341.6348</v>
      </c>
      <c r="D738" s="30" t="n">
        <v>262.3153</v>
      </c>
      <c r="E738" s="30" t="n">
        <v>342.897</v>
      </c>
      <c r="F738" s="30" t="n">
        <v>240.8266</v>
      </c>
      <c r="G738" s="30" t="n">
        <v>537.5919</v>
      </c>
    </row>
    <row r="739" customFormat="false" ht="15" hidden="false" customHeight="false" outlineLevel="0" collapsed="false">
      <c r="A739" s="11" t="s">
        <v>1821</v>
      </c>
      <c r="C739" s="30" t="n">
        <v>2.1247</v>
      </c>
      <c r="D739" s="30" t="n">
        <v>2.675</v>
      </c>
      <c r="E739" s="30" t="n">
        <v>2.5687</v>
      </c>
      <c r="F739" s="30" t="n">
        <v>2.2402</v>
      </c>
      <c r="G739" s="30" t="n">
        <v>3.4007</v>
      </c>
    </row>
    <row r="740" customFormat="false" ht="15" hidden="false" customHeight="false" outlineLevel="0" collapsed="false">
      <c r="A740" s="11" t="s">
        <v>1822</v>
      </c>
      <c r="C740" s="30" t="n">
        <v>20.2097</v>
      </c>
      <c r="D740" s="30" t="n">
        <v>25.6148</v>
      </c>
      <c r="E740" s="30" t="n">
        <v>43.5827</v>
      </c>
      <c r="F740" s="30" t="n">
        <v>33.1985</v>
      </c>
      <c r="G740" s="30" t="n">
        <v>42.2587</v>
      </c>
    </row>
    <row r="741" customFormat="false" ht="15" hidden="false" customHeight="false" outlineLevel="0" collapsed="false">
      <c r="A741" s="11" t="s">
        <v>1823</v>
      </c>
      <c r="C741" s="30" t="n">
        <v>2.5709</v>
      </c>
      <c r="D741" s="30" t="n">
        <v>2.6986</v>
      </c>
      <c r="E741" s="30" t="n">
        <v>3.7585</v>
      </c>
      <c r="F741" s="30" t="n">
        <v>2.4599</v>
      </c>
      <c r="G741" s="30" t="n">
        <v>5.0737</v>
      </c>
    </row>
    <row r="743" customFormat="false" ht="15" hidden="false" customHeight="false" outlineLevel="0" collapsed="false">
      <c r="A743" s="3" t="s">
        <v>1824</v>
      </c>
    </row>
    <row r="744" customFormat="false" ht="15" hidden="false" customHeight="false" outlineLevel="0" collapsed="false">
      <c r="A744" s="2" t="s">
        <v>1825</v>
      </c>
    </row>
    <row r="745" customFormat="false" ht="15" hidden="false" customHeight="false" outlineLevel="0" collapsed="false">
      <c r="A745" s="90" t="s">
        <v>86</v>
      </c>
      <c r="B745" s="130"/>
      <c r="C745" s="91" t="s">
        <v>1826</v>
      </c>
      <c r="D745" s="91" t="s">
        <v>1450</v>
      </c>
      <c r="E745" s="91" t="s">
        <v>1451</v>
      </c>
      <c r="F745" s="91" t="s">
        <v>1452</v>
      </c>
      <c r="G745" s="91" t="s">
        <v>1453</v>
      </c>
    </row>
    <row r="746" customFormat="false" ht="15" hidden="false" customHeight="false" outlineLevel="0" collapsed="false">
      <c r="A746" s="11" t="s">
        <v>1827</v>
      </c>
      <c r="D746" s="131" t="n">
        <v>2.5</v>
      </c>
      <c r="E746" s="131" t="n">
        <v>2.8</v>
      </c>
      <c r="F746" s="131" t="n">
        <v>3.8</v>
      </c>
      <c r="G746" s="131" t="n">
        <v>4.5</v>
      </c>
    </row>
    <row r="747" customFormat="false" ht="15" hidden="false" customHeight="false" outlineLevel="0" collapsed="false">
      <c r="A747" s="11" t="s">
        <v>1828</v>
      </c>
      <c r="D747" s="131" t="n">
        <v>1916497371</v>
      </c>
      <c r="E747" s="131" t="n">
        <v>1916497371</v>
      </c>
      <c r="F747" s="131" t="n">
        <v>1916497371</v>
      </c>
      <c r="G747" s="131" t="n">
        <v>1911363571</v>
      </c>
    </row>
    <row r="748" customFormat="false" ht="15" hidden="false" customHeight="false" outlineLevel="0" collapsed="false">
      <c r="A748" s="11" t="s">
        <v>1829</v>
      </c>
      <c r="D748" s="30" t="n">
        <v>479.1243</v>
      </c>
      <c r="E748" s="30" t="n">
        <v>536.6193</v>
      </c>
      <c r="F748" s="30" t="n">
        <v>728.269</v>
      </c>
      <c r="G748" s="30" t="n">
        <v>860.1136</v>
      </c>
    </row>
    <row r="749" customFormat="false" ht="15" hidden="false" customHeight="false" outlineLevel="0" collapsed="false">
      <c r="A749" s="11" t="s">
        <v>1830</v>
      </c>
      <c r="D749" s="131" t="n">
        <v>1916497371</v>
      </c>
      <c r="E749" s="131" t="n">
        <v>1916497371</v>
      </c>
      <c r="F749" s="131" t="n">
        <v>1911363571</v>
      </c>
      <c r="G749" s="131" t="n">
        <v>1911363571</v>
      </c>
    </row>
    <row r="750" customFormat="false" ht="15" hidden="false" customHeight="false" outlineLevel="0" collapsed="false">
      <c r="A750" s="11" t="s">
        <v>1831</v>
      </c>
      <c r="C750" s="30" t="n">
        <v>613.2792</v>
      </c>
      <c r="D750" s="30" t="n">
        <v>479.1243</v>
      </c>
      <c r="E750" s="30" t="n">
        <v>536.6193</v>
      </c>
      <c r="F750" s="30" t="n">
        <v>726.3182</v>
      </c>
      <c r="G750" s="30" t="n">
        <v>860.1136</v>
      </c>
    </row>
    <row r="751" customFormat="false" ht="15" hidden="false" customHeight="false" outlineLevel="0" collapsed="false">
      <c r="A751" s="11" t="s">
        <v>1832</v>
      </c>
      <c r="E751" s="30" t="n">
        <v>0</v>
      </c>
      <c r="F751" s="30" t="n">
        <v>0</v>
      </c>
      <c r="G751" s="30" t="n">
        <v>175.4231</v>
      </c>
    </row>
    <row r="752" customFormat="false" ht="15" hidden="false" customHeight="false" outlineLevel="0" collapsed="false">
      <c r="A752" s="11" t="s">
        <v>1833</v>
      </c>
      <c r="E752" s="30" t="n">
        <v>536.6193</v>
      </c>
      <c r="F752" s="30" t="n">
        <v>728.269</v>
      </c>
      <c r="G752" s="30" t="n">
        <v>1035.5367</v>
      </c>
    </row>
    <row r="753" customFormat="false" ht="15" hidden="false" customHeight="false" outlineLevel="0" collapsed="false">
      <c r="A753" s="11" t="s">
        <v>1834</v>
      </c>
      <c r="E753" s="30" t="n">
        <v>6101.4269</v>
      </c>
      <c r="F753" s="30" t="n">
        <v>6382.3634</v>
      </c>
      <c r="G753" s="30" t="n">
        <v>6735.0135</v>
      </c>
    </row>
    <row r="754" customFormat="false" ht="15" hidden="false" customHeight="false" outlineLevel="0" collapsed="false">
      <c r="A754" s="11" t="s">
        <v>1835</v>
      </c>
      <c r="E754" s="131" t="n">
        <v>33.94</v>
      </c>
      <c r="F754" s="131" t="n">
        <v>33.25</v>
      </c>
      <c r="G754" s="131" t="n">
        <v>32.85</v>
      </c>
    </row>
    <row r="755" customFormat="false" ht="15" hidden="false" customHeight="false" outlineLevel="0" collapsed="false">
      <c r="A755" s="11" t="s">
        <v>1836</v>
      </c>
      <c r="F755" s="131" t="n">
        <v>33.16</v>
      </c>
      <c r="G755" s="131" t="n">
        <v>32.85</v>
      </c>
    </row>
    <row r="756" customFormat="false" ht="15" hidden="false" customHeight="false" outlineLevel="0" collapsed="false">
      <c r="A756" s="11" t="s">
        <v>1837</v>
      </c>
      <c r="C756" s="30" t="n">
        <v>2010.8114</v>
      </c>
      <c r="D756" s="30" t="n">
        <v>1504.706</v>
      </c>
      <c r="E756" s="30" t="n">
        <v>1580.986</v>
      </c>
      <c r="F756" s="30" t="n">
        <v>2190.4494</v>
      </c>
      <c r="G756" s="30" t="n">
        <v>2618.3843</v>
      </c>
    </row>
    <row r="757" customFormat="false" ht="15" hidden="false" customHeight="false" outlineLevel="0" collapsed="false">
      <c r="A757" s="11" t="s">
        <v>1838</v>
      </c>
      <c r="C757" s="131" t="n">
        <v>30.5</v>
      </c>
      <c r="D757" s="131" t="n">
        <v>31.84</v>
      </c>
      <c r="E757" s="131" t="n">
        <v>33.94</v>
      </c>
      <c r="F757" s="131" t="n">
        <v>33.16</v>
      </c>
      <c r="G757" s="131" t="n">
        <v>32.85</v>
      </c>
    </row>
    <row r="758" customFormat="false" ht="15" hidden="false" customHeight="false" outlineLevel="0" collapsed="false">
      <c r="A758" s="11" t="s">
        <v>1839</v>
      </c>
      <c r="C758" s="131" t="n">
        <v>3.2</v>
      </c>
    </row>
    <row r="759" customFormat="false" ht="15" hidden="false" customHeight="false" outlineLevel="0" collapsed="false">
      <c r="A759" s="11" t="s">
        <v>1840</v>
      </c>
      <c r="E759" s="131" t="n">
        <v>35.41</v>
      </c>
      <c r="F759" s="131" t="n">
        <v>40.77</v>
      </c>
      <c r="G759" s="131" t="n">
        <v>48.03</v>
      </c>
    </row>
    <row r="761" customFormat="false" ht="15" hidden="false" customHeight="false" outlineLevel="0" collapsed="false">
      <c r="A761" s="3" t="s">
        <v>1841</v>
      </c>
    </row>
    <row r="762" customFormat="false" ht="15" hidden="false" customHeight="false" outlineLevel="0" collapsed="false">
      <c r="A762" s="2" t="s">
        <v>1842</v>
      </c>
    </row>
    <row r="763" customFormat="false" ht="15" hidden="false" customHeight="false" outlineLevel="0" collapsed="false">
      <c r="A763" s="90" t="s">
        <v>86</v>
      </c>
      <c r="B763" s="130"/>
      <c r="C763" s="91" t="s">
        <v>1450</v>
      </c>
      <c r="D763" s="91" t="s">
        <v>1451</v>
      </c>
      <c r="E763" s="91" t="s">
        <v>1452</v>
      </c>
      <c r="F763" s="91" t="s">
        <v>1453</v>
      </c>
      <c r="G763" s="91" t="s">
        <v>1614</v>
      </c>
      <c r="H763" s="91" t="s">
        <v>1272</v>
      </c>
      <c r="I763" s="91" t="s">
        <v>1273</v>
      </c>
    </row>
    <row r="764" customFormat="false" ht="15" hidden="false" customHeight="false" outlineLevel="0" collapsed="false">
      <c r="A764" s="11" t="s">
        <v>1843</v>
      </c>
      <c r="C764" s="30" t="n">
        <v>613.2792</v>
      </c>
      <c r="D764" s="30" t="n">
        <v>479.1243</v>
      </c>
      <c r="E764" s="30" t="n">
        <v>536.6193</v>
      </c>
      <c r="F764" s="30" t="n">
        <v>726.3182</v>
      </c>
      <c r="G764" s="30" t="n">
        <v>536.6193</v>
      </c>
      <c r="H764" s="30" t="n">
        <v>726.3182</v>
      </c>
      <c r="I764" s="30" t="n">
        <v>860.1136</v>
      </c>
    </row>
    <row r="765" customFormat="false" ht="15" hidden="false" customHeight="false" outlineLevel="0" collapsed="false">
      <c r="A765" s="11" t="s">
        <v>1844</v>
      </c>
      <c r="C765" s="30" t="n">
        <v>617.7758</v>
      </c>
      <c r="D765" s="30" t="n">
        <v>489.9347</v>
      </c>
      <c r="E765" s="30" t="n">
        <v>553.6596</v>
      </c>
      <c r="F765" s="30" t="n">
        <v>726.6256</v>
      </c>
      <c r="G765" s="30" t="n">
        <v>11.4218</v>
      </c>
      <c r="H765" s="30" t="n">
        <v>726.3767</v>
      </c>
      <c r="I765" s="30" t="n">
        <v>860.9669</v>
      </c>
    </row>
    <row r="766" customFormat="false" ht="15" hidden="false" customHeight="false" outlineLevel="0" collapsed="false">
      <c r="A766" s="11" t="s">
        <v>1789</v>
      </c>
      <c r="C766" s="30" t="n">
        <v>4.4966</v>
      </c>
    </row>
    <row r="767" customFormat="false" ht="15" hidden="false" customHeight="false" outlineLevel="0" collapsed="false">
      <c r="A767" s="11" t="s">
        <v>1845</v>
      </c>
      <c r="C767" s="30" t="n">
        <v>0</v>
      </c>
      <c r="D767" s="30" t="n">
        <v>10.8103</v>
      </c>
      <c r="E767" s="30" t="n">
        <v>17.0403</v>
      </c>
      <c r="F767" s="30" t="n">
        <v>0.3075</v>
      </c>
      <c r="G767" s="30" t="n">
        <v>11.4218</v>
      </c>
      <c r="H767" s="30" t="n">
        <v>0.0585</v>
      </c>
      <c r="I767" s="30" t="n">
        <v>0.8533</v>
      </c>
    </row>
    <row r="769" customFormat="false" ht="15" hidden="false" customHeight="false" outlineLevel="0" collapsed="false">
      <c r="A769" s="3" t="s">
        <v>1846</v>
      </c>
    </row>
    <row r="770" customFormat="false" ht="15" hidden="false" customHeight="false" outlineLevel="0" collapsed="false">
      <c r="A770" s="2" t="s">
        <v>1847</v>
      </c>
    </row>
    <row r="771" customFormat="false" ht="15" hidden="false" customHeight="false" outlineLevel="0" collapsed="false">
      <c r="A771" s="90" t="s">
        <v>86</v>
      </c>
      <c r="B771" s="130"/>
      <c r="C771" s="91" t="s">
        <v>1451</v>
      </c>
      <c r="D771" s="91" t="s">
        <v>1452</v>
      </c>
      <c r="E771" s="91" t="s">
        <v>1453</v>
      </c>
      <c r="F771" s="91" t="s">
        <v>1272</v>
      </c>
      <c r="G771" s="91" t="s">
        <v>1273</v>
      </c>
    </row>
    <row r="772" customFormat="false" ht="15" hidden="false" customHeight="false" outlineLevel="0" collapsed="false">
      <c r="A772" s="11" t="s">
        <v>1848</v>
      </c>
      <c r="E772" s="30" t="n">
        <v>175.4407</v>
      </c>
      <c r="F772" s="30" t="n">
        <v>175.4407</v>
      </c>
      <c r="G772" s="30" t="n">
        <v>175.4407</v>
      </c>
    </row>
    <row r="773" customFormat="false" ht="15" hidden="false" customHeight="false" outlineLevel="0" collapsed="false">
      <c r="A773" s="11" t="s">
        <v>1849</v>
      </c>
      <c r="E773" s="30" t="n">
        <v>175.4407</v>
      </c>
      <c r="F773" s="30" t="n">
        <v>175.4407</v>
      </c>
    </row>
    <row r="774" customFormat="false" ht="15" hidden="false" customHeight="false" outlineLevel="0" collapsed="false">
      <c r="A774" s="11" t="s">
        <v>1850</v>
      </c>
      <c r="E774" s="131" t="n">
        <v>5133800</v>
      </c>
      <c r="F774" s="131" t="n">
        <v>5133800</v>
      </c>
      <c r="G774" s="131" t="n">
        <v>5133800</v>
      </c>
    </row>
    <row r="775" customFormat="false" ht="15" hidden="false" customHeight="false" outlineLevel="0" collapsed="false">
      <c r="A775" s="11" t="s">
        <v>1851</v>
      </c>
      <c r="C775" s="131" t="n">
        <v>1916497371</v>
      </c>
      <c r="D775" s="131" t="n">
        <v>1916497371</v>
      </c>
      <c r="E775" s="131" t="n">
        <v>1916497371</v>
      </c>
      <c r="F775" s="131" t="n">
        <v>1916497371</v>
      </c>
      <c r="G775" s="131" t="n">
        <v>1916497371</v>
      </c>
    </row>
    <row r="777" customFormat="false" ht="15" hidden="false" customHeight="false" outlineLevel="0" collapsed="false">
      <c r="A777" s="38" t="s">
        <v>1852</v>
      </c>
    </row>
    <row r="778" customFormat="false" ht="15" hidden="false" customHeight="false" outlineLevel="0" collapsed="false">
      <c r="A778" s="2" t="s">
        <v>1853</v>
      </c>
    </row>
    <row r="779" customFormat="false" ht="15" hidden="false" customHeight="false" outlineLevel="0" collapsed="false">
      <c r="A779" s="90" t="s">
        <v>86</v>
      </c>
      <c r="B779" s="130"/>
      <c r="C779" s="130" t="s">
        <v>1854</v>
      </c>
      <c r="D779" s="130" t="s">
        <v>1855</v>
      </c>
      <c r="E779" s="130" t="s">
        <v>1856</v>
      </c>
      <c r="F779" s="130" t="s">
        <v>1857</v>
      </c>
      <c r="G779" s="130" t="s">
        <v>1858</v>
      </c>
      <c r="H779" s="130" t="s">
        <v>1859</v>
      </c>
      <c r="I779" s="130" t="s">
        <v>1860</v>
      </c>
      <c r="J779" s="130" t="s">
        <v>1861</v>
      </c>
      <c r="K779" s="130" t="s">
        <v>1862</v>
      </c>
    </row>
    <row r="780" customFormat="false" ht="15" hidden="false" customHeight="false" outlineLevel="0" collapsed="false">
      <c r="A780" s="4" t="s">
        <v>1863</v>
      </c>
      <c r="C780" s="30" t="n">
        <v>150</v>
      </c>
      <c r="D780" s="30" t="n">
        <v>200</v>
      </c>
      <c r="E780" s="131" t="n">
        <v>5133800</v>
      </c>
      <c r="F780" s="30" t="n">
        <v>175.4407</v>
      </c>
      <c r="G780" s="30" t="n">
        <v>175.4231</v>
      </c>
      <c r="H780" s="131" t="n">
        <v>35.7</v>
      </c>
      <c r="I780" s="131" t="n">
        <v>32.05</v>
      </c>
      <c r="J780" s="131" t="n">
        <v>0.2679</v>
      </c>
      <c r="K780" s="131" t="n">
        <v>34.1702</v>
      </c>
    </row>
    <row r="781" customFormat="false" ht="15" hidden="false" customHeight="false" outlineLevel="0" collapsed="false">
      <c r="A781" s="4" t="s">
        <v>1864</v>
      </c>
      <c r="C781" s="30" t="n">
        <v>450</v>
      </c>
      <c r="D781" s="30" t="n">
        <v>900</v>
      </c>
      <c r="E781" s="131" t="n">
        <v>8547300</v>
      </c>
      <c r="G781" s="30" t="n">
        <v>894.6616</v>
      </c>
      <c r="K781" s="131" t="n">
        <v>104.6718</v>
      </c>
    </row>
    <row r="782" customFormat="false" ht="15" hidden="false" customHeight="false" outlineLevel="0" collapsed="false">
      <c r="A782" s="4" t="s">
        <v>1865</v>
      </c>
      <c r="C782" s="30" t="n">
        <v>500</v>
      </c>
      <c r="D782" s="30" t="n">
        <v>1000</v>
      </c>
    </row>
    <row r="784" customFormat="false" ht="15" hidden="false" customHeight="false" outlineLevel="0" collapsed="false">
      <c r="A784" s="38" t="s">
        <v>1866</v>
      </c>
    </row>
    <row r="785" customFormat="false" ht="15" hidden="false" customHeight="false" outlineLevel="0" collapsed="false">
      <c r="A785" s="2" t="s">
        <v>1867</v>
      </c>
    </row>
    <row r="786" customFormat="false" ht="15" hidden="false" customHeight="false" outlineLevel="0" collapsed="false">
      <c r="A786" s="90" t="s">
        <v>86</v>
      </c>
      <c r="B786" s="130"/>
      <c r="C786" s="130" t="s">
        <v>1868</v>
      </c>
      <c r="D786" s="130" t="s">
        <v>1869</v>
      </c>
      <c r="E786" s="130" t="s">
        <v>1870</v>
      </c>
    </row>
    <row r="787" customFormat="false" ht="15" hidden="false" customHeight="false" outlineLevel="0" collapsed="false">
      <c r="A787" s="11" t="s">
        <v>1871</v>
      </c>
      <c r="C787" s="131" t="n">
        <v>71364300</v>
      </c>
      <c r="D787" s="131" t="n">
        <v>100.3</v>
      </c>
      <c r="E787" s="131" t="n">
        <v>7157839290</v>
      </c>
    </row>
    <row r="788" customFormat="false" ht="15" hidden="false" customHeight="false" outlineLevel="0" collapsed="false">
      <c r="A788" s="11" t="s">
        <v>1872</v>
      </c>
      <c r="C788" s="131" t="n">
        <v>8856900</v>
      </c>
      <c r="D788" s="131" t="n">
        <v>100.3</v>
      </c>
      <c r="E788" s="131" t="n">
        <v>888347070</v>
      </c>
    </row>
    <row r="789" customFormat="false" ht="15" hidden="false" customHeight="false" outlineLevel="0" collapsed="false">
      <c r="A789" s="11" t="s">
        <v>1873</v>
      </c>
      <c r="C789" s="131" t="n">
        <v>80221200</v>
      </c>
      <c r="D789" s="131" t="n">
        <v>100.3</v>
      </c>
      <c r="E789" s="131" t="n">
        <v>8046186360</v>
      </c>
    </row>
    <row r="790" customFormat="false" ht="15" hidden="false" customHeight="false" outlineLevel="0" collapsed="false">
      <c r="A790" s="11" t="s">
        <v>1874</v>
      </c>
      <c r="C790" s="131" t="n">
        <v>1996718571</v>
      </c>
    </row>
    <row r="792" customFormat="false" ht="15" hidden="false" customHeight="false" outlineLevel="0" collapsed="false">
      <c r="A792" s="38" t="s">
        <v>1875</v>
      </c>
    </row>
    <row r="793" customFormat="false" ht="15" hidden="false" customHeight="false" outlineLevel="0" collapsed="false">
      <c r="A793" s="2" t="s">
        <v>1876</v>
      </c>
    </row>
    <row r="794" customFormat="false" ht="15" hidden="false" customHeight="false" outlineLevel="0" collapsed="false">
      <c r="A794" s="90" t="s">
        <v>86</v>
      </c>
      <c r="B794" s="130"/>
      <c r="C794" s="91" t="s">
        <v>1453</v>
      </c>
      <c r="D794" s="91" t="s">
        <v>1273</v>
      </c>
    </row>
    <row r="795" customFormat="false" ht="15" hidden="false" customHeight="false" outlineLevel="0" collapsed="false">
      <c r="A795" s="11" t="s">
        <v>1877</v>
      </c>
      <c r="C795" s="30" t="n">
        <v>11.5739</v>
      </c>
      <c r="D795" s="30" t="n">
        <v>6.6258</v>
      </c>
    </row>
    <row r="796" customFormat="false" ht="15" hidden="false" customHeight="false" outlineLevel="0" collapsed="false">
      <c r="A796" s="11" t="s">
        <v>1878</v>
      </c>
      <c r="C796" s="30" t="n">
        <v>10.2011</v>
      </c>
      <c r="D796" s="30" t="n">
        <v>15.3605</v>
      </c>
    </row>
    <row r="798" customFormat="false" ht="15" hidden="false" customHeight="false" outlineLevel="0" collapsed="false">
      <c r="A798" s="38" t="s">
        <v>1879</v>
      </c>
    </row>
    <row r="799" customFormat="false" ht="15" hidden="false" customHeight="false" outlineLevel="0" collapsed="false">
      <c r="A799" s="2" t="s">
        <v>1880</v>
      </c>
    </row>
    <row r="800" customFormat="false" ht="15" hidden="false" customHeight="false" outlineLevel="0" collapsed="false">
      <c r="A800" s="90" t="s">
        <v>86</v>
      </c>
      <c r="B800" s="130"/>
      <c r="C800" s="91" t="s">
        <v>1451</v>
      </c>
      <c r="D800" s="91" t="s">
        <v>1452</v>
      </c>
      <c r="E800" s="91" t="s">
        <v>1453</v>
      </c>
      <c r="F800" s="91" t="s">
        <v>1272</v>
      </c>
      <c r="G800" s="91" t="s">
        <v>1273</v>
      </c>
    </row>
    <row r="801" customFormat="false" ht="15" hidden="false" customHeight="false" outlineLevel="0" collapsed="false">
      <c r="A801" s="11" t="s">
        <v>1881</v>
      </c>
      <c r="C801" s="30" t="n">
        <v>3900</v>
      </c>
      <c r="D801" s="30" t="n">
        <v>3900</v>
      </c>
      <c r="E801" s="30" t="n">
        <v>3900</v>
      </c>
      <c r="F801" s="30" t="n">
        <v>3900</v>
      </c>
      <c r="G801" s="30" t="n">
        <v>3900</v>
      </c>
    </row>
    <row r="802" customFormat="false" ht="15" hidden="false" customHeight="false" outlineLevel="0" collapsed="false">
      <c r="A802" s="11" t="s">
        <v>1882</v>
      </c>
      <c r="C802" s="30" t="n">
        <v>3879.8117</v>
      </c>
      <c r="D802" s="30" t="n">
        <v>3879.8117</v>
      </c>
      <c r="E802" s="30" t="n">
        <v>3879.8117</v>
      </c>
      <c r="F802" s="30" t="n">
        <v>3879.8117</v>
      </c>
      <c r="G802" s="30" t="n">
        <v>3879.8117</v>
      </c>
    </row>
    <row r="803" customFormat="false" ht="15" hidden="false" customHeight="false" outlineLevel="0" collapsed="false">
      <c r="A803" s="11" t="s">
        <v>1883</v>
      </c>
      <c r="C803" s="30" t="n">
        <v>177.5256</v>
      </c>
      <c r="D803" s="30" t="n">
        <v>462.1488</v>
      </c>
      <c r="E803" s="30" t="n">
        <v>491.3611</v>
      </c>
      <c r="F803" s="30" t="n">
        <v>282.0062</v>
      </c>
      <c r="G803" s="30" t="n">
        <v>560.339</v>
      </c>
    </row>
    <row r="804" customFormat="false" ht="15" hidden="false" customHeight="false" outlineLevel="0" collapsed="false">
      <c r="A804" s="11" t="s">
        <v>1884</v>
      </c>
      <c r="C804" s="30" t="n">
        <v>493.3177</v>
      </c>
      <c r="D804" s="30" t="n">
        <v>955.4665</v>
      </c>
      <c r="E804" s="30" t="n">
        <v>1446.8276</v>
      </c>
      <c r="F804" s="30" t="n">
        <v>1237.4727</v>
      </c>
      <c r="G804" s="30" t="n">
        <v>2007.1666</v>
      </c>
    </row>
    <row r="805" customFormat="false" ht="15" hidden="false" customHeight="false" outlineLevel="0" collapsed="false">
      <c r="A805" s="11" t="s">
        <v>1885</v>
      </c>
      <c r="C805" s="30" t="n">
        <v>428.7711</v>
      </c>
      <c r="D805" s="30" t="n">
        <v>809.7921</v>
      </c>
      <c r="E805" s="30" t="n">
        <v>1301.1532</v>
      </c>
      <c r="F805" s="30" t="n">
        <v>1091.7983</v>
      </c>
      <c r="G805" s="30" t="n">
        <v>1861.4922</v>
      </c>
    </row>
    <row r="806" customFormat="false" ht="15" hidden="false" customHeight="false" outlineLevel="0" collapsed="false">
      <c r="A806" s="11" t="s">
        <v>1886</v>
      </c>
      <c r="C806" s="30" t="n">
        <v>64.5466</v>
      </c>
      <c r="D806" s="30" t="n">
        <v>145.6744</v>
      </c>
      <c r="E806" s="30" t="n">
        <v>145.6744</v>
      </c>
      <c r="F806" s="30" t="n">
        <v>145.6744</v>
      </c>
      <c r="G806" s="30" t="n">
        <v>145.6744</v>
      </c>
    </row>
    <row r="807" customFormat="false" ht="15" hidden="false" customHeight="false" outlineLevel="0" collapsed="false">
      <c r="A807" s="11" t="s">
        <v>1887</v>
      </c>
      <c r="D807" s="131" t="n">
        <v>24.63</v>
      </c>
      <c r="E807" s="131" t="n">
        <v>37.29</v>
      </c>
      <c r="F807" s="131" t="n">
        <v>31.9</v>
      </c>
      <c r="G807" s="131" t="n">
        <v>51.73</v>
      </c>
    </row>
    <row r="808" customFormat="false" ht="15" hidden="false" customHeight="false" outlineLevel="0" collapsed="false">
      <c r="A808" s="11" t="s">
        <v>1888</v>
      </c>
      <c r="C808" s="30" t="n">
        <v>3386.494</v>
      </c>
      <c r="D808" s="30" t="n">
        <v>2924.3452</v>
      </c>
      <c r="E808" s="30" t="n">
        <v>2432.9841</v>
      </c>
      <c r="F808" s="30" t="n">
        <v>2642.339</v>
      </c>
      <c r="G808" s="30" t="n">
        <v>1872.6451</v>
      </c>
    </row>
    <row r="809" customFormat="false" ht="15" hidden="false" customHeight="false" outlineLevel="0" collapsed="false">
      <c r="A809" s="11" t="s">
        <v>1889</v>
      </c>
      <c r="C809" s="30" t="n">
        <v>3729.8117</v>
      </c>
      <c r="D809" s="30" t="n">
        <v>3729.8117</v>
      </c>
      <c r="E809" s="30" t="n">
        <v>3729.8117</v>
      </c>
      <c r="F809" s="30" t="n">
        <v>3729.8117</v>
      </c>
      <c r="G809" s="30" t="n">
        <v>3729.8117</v>
      </c>
    </row>
    <row r="810" customFormat="false" ht="15" hidden="false" customHeight="false" outlineLevel="0" collapsed="false">
      <c r="A810" s="11" t="s">
        <v>1890</v>
      </c>
      <c r="C810" s="30" t="n">
        <v>150</v>
      </c>
      <c r="D810" s="30" t="n">
        <v>150</v>
      </c>
      <c r="E810" s="30" t="n">
        <v>150</v>
      </c>
      <c r="F810" s="30" t="n">
        <v>150</v>
      </c>
      <c r="G810" s="30" t="n">
        <v>150</v>
      </c>
    </row>
    <row r="812" customFormat="false" ht="15" hidden="false" customHeight="false" outlineLevel="0" collapsed="false">
      <c r="A812" s="3" t="s">
        <v>1891</v>
      </c>
    </row>
    <row r="813" customFormat="false" ht="15" hidden="false" customHeight="false" outlineLevel="0" collapsed="false">
      <c r="A813" s="2" t="s">
        <v>1892</v>
      </c>
    </row>
    <row r="814" customFormat="false" ht="15" hidden="false" customHeight="false" outlineLevel="0" collapsed="false">
      <c r="A814" s="90" t="s">
        <v>86</v>
      </c>
      <c r="B814" s="130"/>
      <c r="C814" s="91" t="s">
        <v>1451</v>
      </c>
      <c r="D814" s="91" t="s">
        <v>1452</v>
      </c>
      <c r="E814" s="91" t="s">
        <v>1453</v>
      </c>
      <c r="F814" s="91" t="s">
        <v>1272</v>
      </c>
      <c r="G814" s="91" t="s">
        <v>1273</v>
      </c>
    </row>
    <row r="815" customFormat="false" ht="15" hidden="false" customHeight="false" outlineLevel="0" collapsed="false">
      <c r="A815" s="11" t="s">
        <v>1893</v>
      </c>
      <c r="C815" s="30" t="n">
        <v>230.9176</v>
      </c>
      <c r="D815" s="30" t="n">
        <v>817.406</v>
      </c>
      <c r="E815" s="30" t="n">
        <v>1525.971</v>
      </c>
      <c r="F815" s="30" t="n">
        <v>1251.7766</v>
      </c>
      <c r="G815" s="30" t="n">
        <v>2027.9363</v>
      </c>
    </row>
    <row r="816" customFormat="false" ht="15" hidden="false" customHeight="false" outlineLevel="0" collapsed="false">
      <c r="A816" s="11" t="s">
        <v>1894</v>
      </c>
      <c r="C816" s="30" t="n">
        <v>119.1967</v>
      </c>
      <c r="D816" s="30" t="n">
        <v>645.2368</v>
      </c>
      <c r="E816" s="30" t="n">
        <v>1348.3768</v>
      </c>
      <c r="F816" s="30" t="n">
        <v>1045.8421</v>
      </c>
      <c r="G816" s="30" t="n">
        <v>1798.8085</v>
      </c>
    </row>
    <row r="817" customFormat="false" ht="15" hidden="false" customHeight="false" outlineLevel="0" collapsed="false">
      <c r="A817" s="11" t="s">
        <v>1895</v>
      </c>
      <c r="C817" s="30" t="n">
        <v>71.3848</v>
      </c>
      <c r="D817" s="30" t="n">
        <v>138.9824</v>
      </c>
      <c r="E817" s="30" t="n">
        <v>146.7619</v>
      </c>
      <c r="F817" s="30" t="n">
        <v>175.4257</v>
      </c>
      <c r="G817" s="30" t="n">
        <v>148.0457</v>
      </c>
    </row>
    <row r="818" customFormat="false" ht="15" hidden="false" customHeight="false" outlineLevel="0" collapsed="false">
      <c r="A818" s="11" t="s">
        <v>1896</v>
      </c>
      <c r="C818" s="30" t="n">
        <v>0.2747</v>
      </c>
      <c r="D818" s="30" t="n">
        <v>1.9805</v>
      </c>
      <c r="E818" s="30" t="n">
        <v>2.1714</v>
      </c>
      <c r="F818" s="30" t="n">
        <v>1.7487</v>
      </c>
      <c r="G818" s="30" t="n">
        <v>0.3618</v>
      </c>
    </row>
    <row r="819" customFormat="false" ht="15" hidden="false" customHeight="false" outlineLevel="0" collapsed="false">
      <c r="A819" s="11" t="s">
        <v>1897</v>
      </c>
      <c r="C819" s="131" t="n">
        <v>51.1</v>
      </c>
      <c r="D819" s="131" t="n">
        <v>47.5</v>
      </c>
      <c r="E819" s="131" t="n">
        <v>49.42</v>
      </c>
      <c r="F819" s="131" t="n">
        <v>49.35</v>
      </c>
      <c r="G819" s="131" t="n">
        <v>49.38</v>
      </c>
    </row>
    <row r="820" customFormat="false" ht="15" hidden="false" customHeight="false" outlineLevel="0" collapsed="false">
      <c r="A820" s="11" t="s">
        <v>1898</v>
      </c>
      <c r="C820" s="30" t="n">
        <v>0.0223</v>
      </c>
      <c r="D820" s="30" t="n">
        <v>0.0282</v>
      </c>
      <c r="E820" s="30" t="n">
        <v>0.2346</v>
      </c>
      <c r="F820" s="30" t="n">
        <v>0.0178</v>
      </c>
      <c r="G820" s="30" t="n">
        <v>0.0242</v>
      </c>
    </row>
    <row r="821" customFormat="false" ht="15" hidden="false" customHeight="false" outlineLevel="0" collapsed="false">
      <c r="A821" s="11" t="s">
        <v>1899</v>
      </c>
      <c r="C821" s="30" t="n">
        <v>6.8297</v>
      </c>
      <c r="D821" s="30" t="n">
        <v>7.1542</v>
      </c>
      <c r="E821" s="30" t="n">
        <v>9.8634</v>
      </c>
      <c r="F821" s="30" t="n">
        <v>9.9038</v>
      </c>
      <c r="G821" s="30" t="n">
        <v>10.4676</v>
      </c>
    </row>
    <row r="822" customFormat="false" ht="15" hidden="false" customHeight="false" outlineLevel="0" collapsed="false">
      <c r="A822" s="11" t="s">
        <v>1900</v>
      </c>
      <c r="C822" s="30" t="n">
        <v>15.1861</v>
      </c>
      <c r="D822" s="30" t="n">
        <v>9.3899</v>
      </c>
      <c r="E822" s="30" t="n">
        <v>5.0298</v>
      </c>
      <c r="F822" s="30" t="n">
        <v>10.8555</v>
      </c>
      <c r="G822" s="30" t="n">
        <v>10.6256</v>
      </c>
    </row>
    <row r="823" customFormat="false" ht="15" hidden="false" customHeight="false" outlineLevel="0" collapsed="false">
      <c r="A823" s="11" t="s">
        <v>1901</v>
      </c>
      <c r="C823" s="30" t="n">
        <v>17.9899</v>
      </c>
      <c r="D823" s="30" t="n">
        <v>13.8561</v>
      </c>
      <c r="E823" s="30" t="n">
        <v>12.3322</v>
      </c>
      <c r="F823" s="30" t="n">
        <v>7.3038</v>
      </c>
      <c r="G823" s="30" t="n">
        <v>58.1845</v>
      </c>
    </row>
    <row r="824" customFormat="false" ht="15" hidden="false" customHeight="false" outlineLevel="0" collapsed="false">
      <c r="A824" s="11" t="s">
        <v>1902</v>
      </c>
      <c r="C824" s="30" t="n">
        <v>0.0334</v>
      </c>
      <c r="D824" s="30" t="n">
        <v>0.778</v>
      </c>
      <c r="E824" s="30" t="n">
        <v>1.2009</v>
      </c>
      <c r="F824" s="30" t="n">
        <v>0.6793</v>
      </c>
      <c r="G824" s="30" t="n">
        <v>1.4184</v>
      </c>
    </row>
    <row r="825" customFormat="false" ht="15" hidden="false" customHeight="false" outlineLevel="0" collapsed="false">
      <c r="A825" s="11" t="s">
        <v>1903</v>
      </c>
      <c r="C825" s="30" t="n">
        <v>384.4251</v>
      </c>
      <c r="D825" s="30" t="n">
        <v>307.967</v>
      </c>
      <c r="E825" s="30" t="n">
        <v>385.7041</v>
      </c>
      <c r="F825" s="30" t="n">
        <v>290.6324</v>
      </c>
      <c r="G825" s="30" t="n">
        <v>580.8381</v>
      </c>
    </row>
    <row r="826" customFormat="false" ht="15" hidden="false" customHeight="false" outlineLevel="0" collapsed="false">
      <c r="A826" s="11" t="s">
        <v>1904</v>
      </c>
      <c r="C826" s="30" t="n">
        <v>341.6348</v>
      </c>
      <c r="D826" s="30" t="n">
        <v>262.3153</v>
      </c>
      <c r="E826" s="30" t="n">
        <v>342.897</v>
      </c>
      <c r="F826" s="30" t="n">
        <v>240.8266</v>
      </c>
      <c r="G826" s="30" t="n">
        <v>537.5919</v>
      </c>
    </row>
    <row r="827" customFormat="false" ht="15" hidden="false" customHeight="false" outlineLevel="0" collapsed="false">
      <c r="A827" s="11" t="s">
        <v>1905</v>
      </c>
      <c r="C827" s="30" t="n">
        <v>26.682</v>
      </c>
      <c r="D827" s="30" t="n">
        <v>33.616</v>
      </c>
      <c r="E827" s="30" t="n">
        <v>30.4135</v>
      </c>
      <c r="F827" s="30" t="n">
        <v>37.334</v>
      </c>
      <c r="G827" s="30" t="n">
        <v>25.8723</v>
      </c>
    </row>
    <row r="828" customFormat="false" ht="15" hidden="false" customHeight="false" outlineLevel="0" collapsed="false">
      <c r="A828" s="11" t="s">
        <v>1906</v>
      </c>
      <c r="C828" s="30" t="n">
        <v>0.6258</v>
      </c>
      <c r="D828" s="30" t="n">
        <v>0.5067</v>
      </c>
      <c r="E828" s="30" t="n">
        <v>0.4078</v>
      </c>
      <c r="F828" s="30" t="n">
        <v>0.5151</v>
      </c>
      <c r="G828" s="30" t="n">
        <v>0.4843</v>
      </c>
    </row>
    <row r="829" customFormat="false" ht="15" hidden="false" customHeight="false" outlineLevel="0" collapsed="false">
      <c r="A829" s="11" t="s">
        <v>1907</v>
      </c>
      <c r="C829" s="30" t="n">
        <v>0.096</v>
      </c>
      <c r="D829" s="30" t="n">
        <v>0.1009</v>
      </c>
      <c r="E829" s="30" t="n">
        <v>0.2562</v>
      </c>
      <c r="F829" s="30" t="n">
        <v>0.4469</v>
      </c>
      <c r="G829" s="30" t="n">
        <v>0.2798</v>
      </c>
    </row>
    <row r="830" customFormat="false" ht="15" hidden="false" customHeight="false" outlineLevel="0" collapsed="false">
      <c r="A830" s="11" t="s">
        <v>1908</v>
      </c>
      <c r="C830" s="30" t="n">
        <v>2.9086</v>
      </c>
      <c r="D830" s="30" t="n">
        <v>4.5787</v>
      </c>
      <c r="E830" s="30" t="n">
        <v>4.4306</v>
      </c>
      <c r="F830" s="30" t="n">
        <v>6.1077</v>
      </c>
      <c r="G830" s="30" t="n">
        <v>7.1882</v>
      </c>
    </row>
    <row r="831" customFormat="false" ht="15" hidden="false" customHeight="false" outlineLevel="0" collapsed="false">
      <c r="A831" s="11" t="s">
        <v>1909</v>
      </c>
      <c r="C831" s="30" t="n">
        <v>12.4779</v>
      </c>
      <c r="D831" s="30" t="n">
        <v>6.7459</v>
      </c>
      <c r="E831" s="30" t="n">
        <v>6.7284</v>
      </c>
      <c r="F831" s="30" t="n">
        <v>4.9682</v>
      </c>
      <c r="G831" s="30" t="n">
        <v>8.6115</v>
      </c>
    </row>
    <row r="832" customFormat="false" ht="15" hidden="false" customHeight="false" outlineLevel="0" collapsed="false">
      <c r="A832" s="11" t="s">
        <v>1910</v>
      </c>
      <c r="E832" s="30" t="n">
        <v>0.1207</v>
      </c>
      <c r="F832" s="30" t="n">
        <v>0.0021</v>
      </c>
      <c r="G832" s="30" t="n">
        <v>0.2195</v>
      </c>
    </row>
    <row r="833" customFormat="false" ht="15" hidden="false" customHeight="false" outlineLevel="0" collapsed="false">
      <c r="A833" s="11" t="s">
        <v>1911</v>
      </c>
      <c r="D833" s="30" t="n">
        <v>0.1034</v>
      </c>
      <c r="E833" s="30" t="n">
        <v>0.4499</v>
      </c>
      <c r="F833" s="30" t="n">
        <v>0.4319</v>
      </c>
      <c r="G833" s="30" t="n">
        <v>0.5906</v>
      </c>
    </row>
    <row r="834" customFormat="false" ht="15" hidden="false" customHeight="false" outlineLevel="0" collapsed="false">
      <c r="A834" s="11" t="s">
        <v>1912</v>
      </c>
      <c r="C834" s="30" t="n">
        <v>2.1247</v>
      </c>
      <c r="D834" s="30" t="n">
        <v>2.675</v>
      </c>
      <c r="E834" s="30" t="n">
        <v>2.5687</v>
      </c>
      <c r="F834" s="30" t="n">
        <v>2.2402</v>
      </c>
      <c r="G834" s="30" t="n">
        <v>3.4007</v>
      </c>
    </row>
    <row r="835" customFormat="false" ht="15" hidden="false" customHeight="false" outlineLevel="0" collapsed="false">
      <c r="A835" s="11" t="s">
        <v>1913</v>
      </c>
      <c r="C835" s="30" t="n">
        <v>0.0404</v>
      </c>
      <c r="D835" s="30" t="n">
        <v>0.0814</v>
      </c>
      <c r="E835" s="30" t="n">
        <v>0.1211</v>
      </c>
      <c r="F835" s="30" t="n">
        <v>0.081</v>
      </c>
      <c r="G835" s="30" t="n">
        <v>1.01</v>
      </c>
    </row>
    <row r="836" customFormat="false" ht="15" hidden="false" customHeight="false" outlineLevel="0" collapsed="false">
      <c r="A836" s="11" t="s">
        <v>1914</v>
      </c>
      <c r="C836" s="30" t="n">
        <v>0.2575</v>
      </c>
      <c r="D836" s="30" t="n">
        <v>0.9093</v>
      </c>
      <c r="E836" s="30" t="n">
        <v>0.1501</v>
      </c>
      <c r="F836" s="30" t="n">
        <v>0.4439</v>
      </c>
      <c r="G836" s="30" t="n">
        <v>0.2881</v>
      </c>
    </row>
    <row r="837" customFormat="false" ht="15" hidden="false" customHeight="false" outlineLevel="0" collapsed="false">
      <c r="A837" s="11" t="s">
        <v>1915</v>
      </c>
      <c r="C837" s="30" t="n">
        <v>0.0107</v>
      </c>
      <c r="D837" s="30" t="n">
        <v>0.0109</v>
      </c>
      <c r="E837" s="30" t="n">
        <v>0.0107</v>
      </c>
      <c r="F837" s="30" t="n">
        <v>0.0108</v>
      </c>
      <c r="G837" s="30" t="n">
        <v>0.0102</v>
      </c>
    </row>
    <row r="838" customFormat="false" ht="15" hidden="false" customHeight="false" outlineLevel="0" collapsed="false">
      <c r="A838" s="11" t="s">
        <v>1916</v>
      </c>
      <c r="C838" s="30" t="n">
        <v>0.0628</v>
      </c>
      <c r="D838" s="30" t="n">
        <v>0.0798</v>
      </c>
      <c r="E838" s="30" t="n">
        <v>0.6008</v>
      </c>
      <c r="F838" s="30" t="n">
        <v>0.1124</v>
      </c>
      <c r="G838" s="30" t="n">
        <v>0.1251</v>
      </c>
    </row>
    <row r="839" customFormat="false" ht="15" hidden="false" customHeight="false" outlineLevel="0" collapsed="false">
      <c r="A839" s="11" t="s">
        <v>1917</v>
      </c>
      <c r="C839" s="30" t="n">
        <v>0.2453</v>
      </c>
      <c r="D839" s="30" t="n">
        <v>0.219</v>
      </c>
      <c r="E839" s="30" t="n">
        <v>0.2406</v>
      </c>
      <c r="F839" s="30" t="n">
        <v>0.2369</v>
      </c>
      <c r="G839" s="30" t="n">
        <v>0.216</v>
      </c>
    </row>
    <row r="840" customFormat="false" ht="15" hidden="false" customHeight="false" outlineLevel="0" collapsed="false">
      <c r="A840" s="11" t="s">
        <v>1918</v>
      </c>
      <c r="C840" s="30" t="n">
        <v>1.3531</v>
      </c>
      <c r="D840" s="30" t="n">
        <v>1.3745</v>
      </c>
      <c r="E840" s="30" t="n">
        <v>1.4455</v>
      </c>
      <c r="F840" s="30" t="n">
        <v>1.3552</v>
      </c>
      <c r="G840" s="30" t="n">
        <v>1.7513</v>
      </c>
    </row>
    <row r="841" customFormat="false" ht="15" hidden="false" customHeight="false" outlineLevel="0" collapsed="false">
      <c r="A841" s="11" t="s">
        <v>1919</v>
      </c>
      <c r="C841" s="30" t="n">
        <v>0.155</v>
      </c>
    </row>
    <row r="842" customFormat="false" ht="15" hidden="false" customHeight="false" outlineLevel="0" collapsed="false">
      <c r="A842" s="11" t="s">
        <v>1920</v>
      </c>
      <c r="C842" s="30" t="n">
        <v>20.2097</v>
      </c>
      <c r="D842" s="30" t="n">
        <v>25.6148</v>
      </c>
      <c r="E842" s="30" t="n">
        <v>43.5827</v>
      </c>
      <c r="F842" s="30" t="n">
        <v>33.1985</v>
      </c>
      <c r="G842" s="30" t="n">
        <v>42.2587</v>
      </c>
    </row>
    <row r="843" customFormat="false" ht="15" hidden="false" customHeight="false" outlineLevel="0" collapsed="false">
      <c r="A843" s="11" t="s">
        <v>1921</v>
      </c>
      <c r="C843" s="30" t="n">
        <v>13.6445</v>
      </c>
      <c r="D843" s="30" t="n">
        <v>4.1838</v>
      </c>
      <c r="E843" s="30" t="n">
        <v>13.7152</v>
      </c>
      <c r="F843" s="30" t="n">
        <v>4.9041</v>
      </c>
      <c r="G843" s="30" t="n">
        <v>10.3103</v>
      </c>
    </row>
    <row r="844" customFormat="false" ht="15" hidden="false" customHeight="false" outlineLevel="0" collapsed="false">
      <c r="A844" s="11" t="s">
        <v>1922</v>
      </c>
      <c r="C844" s="30" t="n">
        <v>4.4508</v>
      </c>
      <c r="D844" s="30" t="n">
        <v>3.7305</v>
      </c>
      <c r="E844" s="30" t="n">
        <v>8.2997</v>
      </c>
      <c r="F844" s="30" t="n">
        <v>5.6696</v>
      </c>
      <c r="G844" s="30" t="n">
        <v>9.7823</v>
      </c>
    </row>
    <row r="845" customFormat="false" ht="15" hidden="false" customHeight="false" outlineLevel="0" collapsed="false">
      <c r="A845" s="11" t="s">
        <v>1923</v>
      </c>
      <c r="C845" s="30" t="n">
        <v>0.7485</v>
      </c>
      <c r="D845" s="30" t="n">
        <v>3.3855</v>
      </c>
      <c r="E845" s="30" t="n">
        <v>4.9586</v>
      </c>
      <c r="F845" s="30" t="n">
        <v>8.3175</v>
      </c>
      <c r="G845" s="30" t="n">
        <v>2.8488</v>
      </c>
    </row>
    <row r="846" customFormat="false" ht="15" hidden="false" customHeight="false" outlineLevel="0" collapsed="false">
      <c r="A846" s="11" t="s">
        <v>1924</v>
      </c>
      <c r="F846" s="30" t="n">
        <v>0.53</v>
      </c>
    </row>
    <row r="847" customFormat="false" ht="15" hidden="false" customHeight="false" outlineLevel="0" collapsed="false">
      <c r="A847" s="11" t="s">
        <v>1925</v>
      </c>
      <c r="C847" s="30" t="n">
        <v>1.3659</v>
      </c>
      <c r="D847" s="30" t="n">
        <v>14.3113</v>
      </c>
      <c r="E847" s="30" t="n">
        <v>16.609</v>
      </c>
      <c r="F847" s="30" t="n">
        <v>13.7772</v>
      </c>
      <c r="G847" s="30" t="n">
        <v>19.3173</v>
      </c>
    </row>
    <row r="848" customFormat="false" ht="15" hidden="false" customHeight="false" outlineLevel="0" collapsed="false">
      <c r="A848" s="11" t="s">
        <v>1926</v>
      </c>
      <c r="D848" s="30" t="n">
        <v>0.0037</v>
      </c>
      <c r="E848" s="30" t="n">
        <v>0.0003</v>
      </c>
    </row>
    <row r="849" customFormat="false" ht="15" hidden="false" customHeight="false" outlineLevel="0" collapsed="false">
      <c r="A849" s="11" t="s">
        <v>1927</v>
      </c>
      <c r="C849" s="30" t="n">
        <v>2.5709</v>
      </c>
      <c r="D849" s="30" t="n">
        <v>2.6986</v>
      </c>
      <c r="E849" s="30" t="n">
        <v>3.7585</v>
      </c>
      <c r="F849" s="30" t="n">
        <v>2.4599</v>
      </c>
      <c r="G849" s="30" t="n">
        <v>5.0737</v>
      </c>
    </row>
    <row r="850" customFormat="false" ht="15" hidden="false" customHeight="false" outlineLevel="0" collapsed="false">
      <c r="A850" s="11" t="s">
        <v>1928</v>
      </c>
      <c r="C850" s="30" t="n">
        <v>0.2721</v>
      </c>
      <c r="D850" s="30" t="n">
        <v>0.1572</v>
      </c>
      <c r="E850" s="30" t="n">
        <v>0.2134</v>
      </c>
      <c r="F850" s="30" t="n">
        <v>0.2786</v>
      </c>
      <c r="G850" s="30" t="n">
        <v>0.3343</v>
      </c>
    </row>
    <row r="851" customFormat="false" ht="15" hidden="false" customHeight="false" outlineLevel="0" collapsed="false">
      <c r="A851" s="11" t="s">
        <v>1929</v>
      </c>
      <c r="C851" s="30" t="n">
        <v>1.3471</v>
      </c>
      <c r="D851" s="30" t="n">
        <v>1.6804</v>
      </c>
      <c r="E851" s="30" t="n">
        <v>2.2218</v>
      </c>
      <c r="F851" s="30" t="n">
        <v>1.5595</v>
      </c>
      <c r="G851" s="30" t="n">
        <v>3.5427</v>
      </c>
    </row>
    <row r="852" customFormat="false" ht="15" hidden="false" customHeight="false" outlineLevel="0" collapsed="false">
      <c r="A852" s="11" t="s">
        <v>1930</v>
      </c>
      <c r="C852" s="30" t="n">
        <v>0.0032</v>
      </c>
    </row>
    <row r="853" customFormat="false" ht="15" hidden="false" customHeight="false" outlineLevel="0" collapsed="false">
      <c r="A853" s="11" t="s">
        <v>1931</v>
      </c>
      <c r="C853" s="30" t="n">
        <v>0.0035</v>
      </c>
    </row>
    <row r="854" customFormat="false" ht="15" hidden="false" customHeight="false" outlineLevel="0" collapsed="false">
      <c r="A854" s="11" t="s">
        <v>1932</v>
      </c>
      <c r="E854" s="30" t="n">
        <v>0.0905</v>
      </c>
    </row>
    <row r="855" customFormat="false" ht="15" hidden="false" customHeight="false" outlineLevel="0" collapsed="false">
      <c r="A855" s="11" t="s">
        <v>1933</v>
      </c>
      <c r="C855" s="30" t="n">
        <v>0.0776</v>
      </c>
      <c r="D855" s="30" t="n">
        <v>0.0954</v>
      </c>
      <c r="E855" s="30" t="n">
        <v>0.0771</v>
      </c>
      <c r="F855" s="30" t="n">
        <v>0.0678</v>
      </c>
      <c r="G855" s="30" t="n">
        <v>0.0368</v>
      </c>
    </row>
    <row r="856" customFormat="false" ht="15" hidden="false" customHeight="false" outlineLevel="0" collapsed="false">
      <c r="A856" s="11" t="s">
        <v>1934</v>
      </c>
      <c r="C856" s="30" t="n">
        <v>0.1666</v>
      </c>
      <c r="D856" s="30" t="n">
        <v>0.1324</v>
      </c>
      <c r="E856" s="30" t="n">
        <v>0.1127</v>
      </c>
      <c r="F856" s="30" t="n">
        <v>0.0932</v>
      </c>
      <c r="G856" s="30" t="n">
        <v>0.0622</v>
      </c>
    </row>
    <row r="857" customFormat="false" ht="15" hidden="false" customHeight="false" outlineLevel="0" collapsed="false">
      <c r="A857" s="11" t="s">
        <v>1935</v>
      </c>
      <c r="C857" s="30" t="n">
        <v>0.6908</v>
      </c>
      <c r="D857" s="30" t="n">
        <v>0.2892</v>
      </c>
      <c r="E857" s="30" t="n">
        <v>1.0429</v>
      </c>
      <c r="G857" s="30" t="n">
        <v>1.0977</v>
      </c>
    </row>
    <row r="858" customFormat="false" ht="15" hidden="false" customHeight="false" outlineLevel="0" collapsed="false">
      <c r="A858" s="11" t="s">
        <v>1936</v>
      </c>
      <c r="C858" s="30" t="n">
        <v>0.01</v>
      </c>
      <c r="D858" s="30" t="n">
        <v>0.3441</v>
      </c>
      <c r="F858" s="30" t="n">
        <v>0.4609</v>
      </c>
    </row>
    <row r="860" customFormat="false" ht="15" hidden="false" customHeight="false" outlineLevel="0" collapsed="false">
      <c r="A860" s="3" t="s">
        <v>1937</v>
      </c>
    </row>
    <row r="861" customFormat="false" ht="15" hidden="false" customHeight="false" outlineLevel="0" collapsed="false">
      <c r="A861" s="2" t="s">
        <v>1938</v>
      </c>
    </row>
    <row r="862" customFormat="false" ht="15" hidden="false" customHeight="false" outlineLevel="0" collapsed="false">
      <c r="A862" s="90" t="s">
        <v>86</v>
      </c>
      <c r="B862" s="130"/>
      <c r="C862" s="91" t="s">
        <v>1451</v>
      </c>
      <c r="D862" s="91" t="s">
        <v>1452</v>
      </c>
      <c r="E862" s="91" t="s">
        <v>1453</v>
      </c>
      <c r="F862" s="91" t="s">
        <v>1272</v>
      </c>
      <c r="G862" s="91" t="s">
        <v>1273</v>
      </c>
    </row>
    <row r="863" customFormat="false" ht="15" hidden="false" customHeight="false" outlineLevel="0" collapsed="false">
      <c r="A863" s="11" t="s">
        <v>1894</v>
      </c>
      <c r="C863" s="131" t="n">
        <v>16829268.98</v>
      </c>
      <c r="D863" s="131" t="n">
        <v>89760831.95</v>
      </c>
      <c r="E863" s="131" t="n">
        <v>191835982.39</v>
      </c>
      <c r="F863" s="131" t="n">
        <v>146095898.16</v>
      </c>
      <c r="G863" s="131" t="n">
        <v>264107310.63</v>
      </c>
    </row>
    <row r="864" customFormat="false" ht="15" hidden="false" customHeight="false" outlineLevel="0" collapsed="false">
      <c r="A864" s="11" t="s">
        <v>1895</v>
      </c>
      <c r="C864" s="131" t="n">
        <v>9082954.27</v>
      </c>
      <c r="D864" s="131" t="n">
        <v>18467700.04</v>
      </c>
      <c r="E864" s="131" t="n">
        <v>17820644.62</v>
      </c>
      <c r="F864" s="131" t="n">
        <v>20878041.14</v>
      </c>
      <c r="G864" s="131" t="n">
        <v>19060615.4</v>
      </c>
    </row>
    <row r="865" customFormat="false" ht="15" hidden="false" customHeight="false" outlineLevel="0" collapsed="false">
      <c r="A865" s="11" t="s">
        <v>1896</v>
      </c>
      <c r="C865" s="131" t="n">
        <v>303121.42</v>
      </c>
      <c r="D865" s="131" t="n">
        <v>2138682.18</v>
      </c>
      <c r="E865" s="131" t="n">
        <v>2404022.29</v>
      </c>
      <c r="F865" s="131" t="n">
        <v>1917564.92</v>
      </c>
      <c r="G865" s="131" t="n">
        <v>416557.48</v>
      </c>
    </row>
    <row r="866" customFormat="false" ht="15" hidden="false" customHeight="false" outlineLevel="0" collapsed="false">
      <c r="A866" s="11" t="s">
        <v>1897</v>
      </c>
      <c r="C866" s="131" t="n">
        <v>10.54</v>
      </c>
      <c r="D866" s="131" t="n">
        <v>10.54</v>
      </c>
      <c r="E866" s="131" t="n">
        <v>10.54</v>
      </c>
      <c r="F866" s="131" t="n">
        <v>10.54</v>
      </c>
      <c r="G866" s="131" t="n">
        <v>10.55</v>
      </c>
    </row>
    <row r="867" customFormat="false" ht="15" hidden="false" customHeight="false" outlineLevel="0" collapsed="false">
      <c r="A867" s="11" t="s">
        <v>1898</v>
      </c>
      <c r="C867" s="131" t="n">
        <v>444353</v>
      </c>
      <c r="D867" s="131" t="n">
        <v>610374</v>
      </c>
      <c r="E867" s="131" t="n">
        <v>5236853</v>
      </c>
      <c r="F867" s="131" t="n">
        <v>358646</v>
      </c>
      <c r="G867" s="131" t="n">
        <v>575047</v>
      </c>
    </row>
    <row r="868" customFormat="false" ht="15" hidden="false" customHeight="false" outlineLevel="0" collapsed="false">
      <c r="A868" s="11" t="s">
        <v>1899</v>
      </c>
      <c r="C868" s="131" t="n">
        <v>4430570.62</v>
      </c>
      <c r="D868" s="131" t="n">
        <v>4416432.97</v>
      </c>
      <c r="E868" s="131" t="n">
        <v>5695107.85</v>
      </c>
      <c r="F868" s="131" t="n">
        <v>5842946.56</v>
      </c>
      <c r="G868" s="131" t="n">
        <v>6255269.84</v>
      </c>
    </row>
    <row r="869" customFormat="false" ht="15" hidden="false" customHeight="false" outlineLevel="0" collapsed="false">
      <c r="A869" s="11" t="s">
        <v>1900</v>
      </c>
      <c r="C869" s="131" t="n">
        <v>2761108125</v>
      </c>
      <c r="D869" s="131" t="n">
        <v>1916296568</v>
      </c>
      <c r="E869" s="131" t="n">
        <v>1026494281</v>
      </c>
      <c r="F869" s="131" t="n">
        <v>2048199705</v>
      </c>
      <c r="G869" s="131" t="n">
        <v>2414913096</v>
      </c>
    </row>
    <row r="870" customFormat="false" ht="15" hidden="false" customHeight="false" outlineLevel="0" collapsed="false">
      <c r="A870" s="11" t="s">
        <v>1901</v>
      </c>
      <c r="C870" s="131" t="n">
        <v>86756770.95</v>
      </c>
      <c r="D870" s="131" t="n">
        <v>65162092.77</v>
      </c>
      <c r="E870" s="131" t="n">
        <v>55420435.99</v>
      </c>
      <c r="F870" s="131" t="n">
        <v>33247274.47</v>
      </c>
      <c r="G870" s="131" t="n">
        <v>284883049.55</v>
      </c>
    </row>
    <row r="871" customFormat="false" ht="15" hidden="false" customHeight="false" outlineLevel="0" collapsed="false">
      <c r="A871" s="11" t="s">
        <v>1902</v>
      </c>
      <c r="C871" s="131" t="n">
        <v>390630.09</v>
      </c>
      <c r="D871" s="131" t="n">
        <v>9110281.24</v>
      </c>
      <c r="E871" s="131" t="n">
        <v>15396453.97</v>
      </c>
      <c r="F871" s="131" t="n">
        <v>8087080.42</v>
      </c>
      <c r="G871" s="131" t="n">
        <v>19727357.86</v>
      </c>
    </row>
    <row r="872" customFormat="false" ht="15" hidden="false" customHeight="false" outlineLevel="0" collapsed="false">
      <c r="A872" s="11" t="s">
        <v>1904</v>
      </c>
      <c r="C872" s="131" t="n">
        <v>48235113.86</v>
      </c>
      <c r="D872" s="131" t="n">
        <v>36491477.08</v>
      </c>
      <c r="E872" s="131" t="n">
        <v>48784565.13</v>
      </c>
      <c r="F872" s="131" t="n">
        <v>33641575.32</v>
      </c>
      <c r="G872" s="131" t="n">
        <v>78931109.62</v>
      </c>
    </row>
    <row r="873" customFormat="false" ht="15" hidden="false" customHeight="false" outlineLevel="0" collapsed="false">
      <c r="A873" s="11" t="s">
        <v>1905</v>
      </c>
      <c r="C873" s="131" t="n">
        <v>3395002.02</v>
      </c>
      <c r="D873" s="131" t="n">
        <v>4466828.15</v>
      </c>
      <c r="E873" s="131" t="n">
        <v>3692973.97</v>
      </c>
      <c r="F873" s="131" t="n">
        <v>4443257.66</v>
      </c>
      <c r="G873" s="131" t="n">
        <v>3331016.5</v>
      </c>
    </row>
    <row r="874" customFormat="false" ht="15" hidden="false" customHeight="false" outlineLevel="0" collapsed="false">
      <c r="A874" s="11" t="s">
        <v>1906</v>
      </c>
      <c r="C874" s="131" t="n">
        <v>690521.34</v>
      </c>
      <c r="D874" s="131" t="n">
        <v>547180.11</v>
      </c>
      <c r="E874" s="131" t="n">
        <v>451503.46</v>
      </c>
      <c r="F874" s="131" t="n">
        <v>564854.55</v>
      </c>
      <c r="G874" s="131" t="n">
        <v>557576.22</v>
      </c>
    </row>
    <row r="875" customFormat="false" ht="15" hidden="false" customHeight="false" outlineLevel="0" collapsed="false">
      <c r="A875" s="11" t="s">
        <v>1907</v>
      </c>
      <c r="C875" s="131" t="n">
        <v>1911000</v>
      </c>
      <c r="D875" s="131" t="n">
        <v>2183000</v>
      </c>
      <c r="E875" s="131" t="n">
        <v>5719000</v>
      </c>
      <c r="F875" s="131" t="n">
        <v>9011000</v>
      </c>
      <c r="G875" s="131" t="n">
        <v>6653000</v>
      </c>
    </row>
    <row r="876" customFormat="false" ht="15" hidden="false" customHeight="false" outlineLevel="0" collapsed="false">
      <c r="A876" s="11" t="s">
        <v>1908</v>
      </c>
      <c r="C876" s="131" t="n">
        <v>1886885.61</v>
      </c>
      <c r="D876" s="131" t="n">
        <v>2826521.76</v>
      </c>
      <c r="E876" s="131" t="n">
        <v>2558236.59</v>
      </c>
      <c r="F876" s="131" t="n">
        <v>3603375.86</v>
      </c>
      <c r="G876" s="131" t="n">
        <v>4295551.69</v>
      </c>
    </row>
    <row r="877" customFormat="false" ht="15" hidden="false" customHeight="false" outlineLevel="0" collapsed="false">
      <c r="A877" s="11" t="s">
        <v>1909</v>
      </c>
      <c r="C877" s="131" t="n">
        <v>2268704136</v>
      </c>
      <c r="D877" s="131" t="n">
        <v>1376716937</v>
      </c>
      <c r="E877" s="131" t="n">
        <v>1373141902</v>
      </c>
      <c r="F877" s="131" t="n">
        <v>937389503</v>
      </c>
      <c r="G877" s="131" t="n">
        <v>1957167600</v>
      </c>
    </row>
    <row r="878" customFormat="false" ht="15" hidden="false" customHeight="false" outlineLevel="0" collapsed="false">
      <c r="A878" s="11" t="s">
        <v>1910</v>
      </c>
      <c r="E878" s="131" t="n">
        <v>542490</v>
      </c>
      <c r="F878" s="131" t="n">
        <v>9350</v>
      </c>
      <c r="G878" s="131" t="n">
        <v>1074932.7</v>
      </c>
    </row>
    <row r="879" customFormat="false" ht="15" hidden="false" customHeight="false" outlineLevel="0" collapsed="false">
      <c r="A879" s="11" t="s">
        <v>1911</v>
      </c>
      <c r="D879" s="131" t="n">
        <v>1211321.15</v>
      </c>
      <c r="E879" s="131" t="n">
        <v>5767913.48</v>
      </c>
      <c r="F879" s="131" t="n">
        <v>5141365.75</v>
      </c>
      <c r="G879" s="131" t="n">
        <v>8213981.2</v>
      </c>
    </row>
    <row r="880" customFormat="false" ht="15" hidden="false" customHeight="false" outlineLevel="0" collapsed="false">
      <c r="A880" s="11" t="s">
        <v>1913</v>
      </c>
      <c r="C880" s="131" t="n">
        <v>5700</v>
      </c>
      <c r="D880" s="131" t="n">
        <v>11322</v>
      </c>
      <c r="E880" s="131" t="n">
        <v>17232</v>
      </c>
      <c r="F880" s="131" t="n">
        <v>11322</v>
      </c>
      <c r="G880" s="131" t="n">
        <v>148292.16</v>
      </c>
    </row>
    <row r="881" customFormat="false" ht="15" hidden="false" customHeight="false" outlineLevel="0" collapsed="false">
      <c r="A881" s="11" t="s">
        <v>1914</v>
      </c>
      <c r="C881" s="131" t="n">
        <v>32767.29</v>
      </c>
      <c r="D881" s="131" t="n">
        <v>120829.88</v>
      </c>
      <c r="E881" s="131" t="n">
        <v>18229.37</v>
      </c>
      <c r="F881" s="131" t="n">
        <v>52830.17</v>
      </c>
      <c r="G881" s="131" t="n">
        <v>37090</v>
      </c>
    </row>
    <row r="882" customFormat="false" ht="15" hidden="false" customHeight="false" outlineLevel="0" collapsed="false">
      <c r="A882" s="11" t="s">
        <v>1915</v>
      </c>
      <c r="C882" s="131" t="n">
        <v>11800</v>
      </c>
      <c r="D882" s="131" t="n">
        <v>11800</v>
      </c>
      <c r="E882" s="131" t="n">
        <v>11800</v>
      </c>
      <c r="F882" s="131" t="n">
        <v>11800</v>
      </c>
      <c r="G882" s="131" t="n">
        <v>11800</v>
      </c>
    </row>
    <row r="883" customFormat="false" ht="15" hidden="false" customHeight="false" outlineLevel="0" collapsed="false">
      <c r="A883" s="11" t="s">
        <v>1916</v>
      </c>
      <c r="C883" s="131" t="n">
        <v>40708.44</v>
      </c>
      <c r="D883" s="131" t="n">
        <v>49284</v>
      </c>
      <c r="E883" s="131" t="n">
        <v>346881.92</v>
      </c>
      <c r="F883" s="131" t="n">
        <v>66284</v>
      </c>
      <c r="G883" s="131" t="n">
        <v>74740</v>
      </c>
    </row>
    <row r="884" customFormat="false" ht="15" hidden="false" customHeight="false" outlineLevel="0" collapsed="false">
      <c r="A884" s="11" t="s">
        <v>1917</v>
      </c>
      <c r="C884" s="131" t="n">
        <v>44604000</v>
      </c>
      <c r="D884" s="131" t="n">
        <v>44701877</v>
      </c>
      <c r="E884" s="131" t="n">
        <v>49099000</v>
      </c>
      <c r="F884" s="131" t="n">
        <v>44701173</v>
      </c>
      <c r="G884" s="131" t="n">
        <v>49099000</v>
      </c>
    </row>
    <row r="885" customFormat="false" ht="15" hidden="false" customHeight="false" outlineLevel="0" collapsed="false">
      <c r="A885" s="11" t="s">
        <v>1918</v>
      </c>
      <c r="C885" s="131" t="n">
        <v>6525350.98</v>
      </c>
      <c r="D885" s="131" t="n">
        <v>6464103.74</v>
      </c>
      <c r="E885" s="131" t="n">
        <v>6495915.97</v>
      </c>
      <c r="F885" s="131" t="n">
        <v>6169163.6</v>
      </c>
      <c r="G885" s="131" t="n">
        <v>8574685.18</v>
      </c>
    </row>
    <row r="886" customFormat="false" ht="15" hidden="false" customHeight="false" outlineLevel="0" collapsed="false">
      <c r="A886" s="11" t="s">
        <v>1919</v>
      </c>
      <c r="C886" s="131" t="n">
        <v>1812913.7</v>
      </c>
    </row>
    <row r="887" customFormat="false" ht="15" hidden="false" customHeight="false" outlineLevel="0" collapsed="false">
      <c r="A887" s="11" t="s">
        <v>1921</v>
      </c>
      <c r="C887" s="131" t="n">
        <v>1926454.48</v>
      </c>
      <c r="D887" s="131" t="n">
        <v>582022.26</v>
      </c>
      <c r="E887" s="131" t="n">
        <v>1951280.17</v>
      </c>
      <c r="F887" s="131" t="n">
        <v>685070.46</v>
      </c>
      <c r="G887" s="131" t="n">
        <v>1513791.46</v>
      </c>
    </row>
    <row r="888" customFormat="false" ht="15" hidden="false" customHeight="false" outlineLevel="0" collapsed="false">
      <c r="A888" s="11" t="s">
        <v>1922</v>
      </c>
      <c r="C888" s="131" t="n">
        <v>566322.25</v>
      </c>
      <c r="D888" s="131" t="n">
        <v>495703.81</v>
      </c>
      <c r="E888" s="131" t="n">
        <v>1007797.73</v>
      </c>
      <c r="F888" s="131" t="n">
        <v>674763.35</v>
      </c>
      <c r="G888" s="131" t="n">
        <v>1259454.51</v>
      </c>
    </row>
    <row r="889" customFormat="false" ht="15" hidden="false" customHeight="false" outlineLevel="0" collapsed="false">
      <c r="A889" s="11" t="s">
        <v>1923</v>
      </c>
      <c r="C889" s="131" t="n">
        <v>14906647</v>
      </c>
      <c r="D889" s="131" t="n">
        <v>73232141</v>
      </c>
      <c r="E889" s="131" t="n">
        <v>110682067.91</v>
      </c>
      <c r="F889" s="131" t="n">
        <v>167725444</v>
      </c>
      <c r="G889" s="131" t="n">
        <v>67748610</v>
      </c>
    </row>
    <row r="890" customFormat="false" ht="15" hidden="false" customHeight="false" outlineLevel="0" collapsed="false">
      <c r="A890" s="11" t="s">
        <v>1924</v>
      </c>
      <c r="F890" s="131" t="n">
        <v>100004307.57</v>
      </c>
    </row>
    <row r="891" customFormat="false" ht="15" hidden="false" customHeight="false" outlineLevel="0" collapsed="false">
      <c r="A891" s="11" t="s">
        <v>1925</v>
      </c>
      <c r="C891" s="131" t="n">
        <v>6586959.21</v>
      </c>
      <c r="D891" s="131" t="n">
        <v>67302777.54</v>
      </c>
      <c r="E891" s="131" t="n">
        <v>74640284.47</v>
      </c>
      <c r="F891" s="131" t="n">
        <v>62714874.1</v>
      </c>
      <c r="G891" s="131" t="n">
        <v>94581411.56</v>
      </c>
    </row>
    <row r="892" customFormat="false" ht="15" hidden="false" customHeight="false" outlineLevel="0" collapsed="false">
      <c r="A892" s="11" t="s">
        <v>1926</v>
      </c>
      <c r="D892" s="131" t="n">
        <v>43209.15</v>
      </c>
      <c r="E892" s="131" t="n">
        <v>3634.35</v>
      </c>
    </row>
    <row r="893" customFormat="false" ht="15" hidden="false" customHeight="false" outlineLevel="0" collapsed="false">
      <c r="A893" s="11" t="s">
        <v>1928</v>
      </c>
      <c r="C893" s="131" t="n">
        <v>38420.35</v>
      </c>
      <c r="D893" s="131" t="n">
        <v>21870.9</v>
      </c>
      <c r="E893" s="131" t="n">
        <v>30365.09</v>
      </c>
      <c r="F893" s="131" t="n">
        <v>38916.89</v>
      </c>
      <c r="G893" s="131" t="n">
        <v>49087.46</v>
      </c>
    </row>
    <row r="894" customFormat="false" ht="15" hidden="false" customHeight="false" outlineLevel="0" collapsed="false">
      <c r="A894" s="11" t="s">
        <v>1929</v>
      </c>
      <c r="C894" s="131" t="n">
        <v>171404.09</v>
      </c>
      <c r="D894" s="131" t="n">
        <v>223289.68</v>
      </c>
      <c r="E894" s="131" t="n">
        <v>269788.84</v>
      </c>
      <c r="F894" s="131" t="n">
        <v>185596.34</v>
      </c>
      <c r="G894" s="131" t="n">
        <v>456121.02</v>
      </c>
    </row>
    <row r="895" customFormat="false" ht="15" hidden="false" customHeight="false" outlineLevel="0" collapsed="false">
      <c r="A895" s="11" t="s">
        <v>1930</v>
      </c>
      <c r="C895" s="131" t="n">
        <v>3502.65</v>
      </c>
    </row>
    <row r="896" customFormat="false" ht="15" hidden="false" customHeight="false" outlineLevel="0" collapsed="false">
      <c r="A896" s="11" t="s">
        <v>1931</v>
      </c>
      <c r="C896" s="131" t="n">
        <v>730.8</v>
      </c>
    </row>
    <row r="897" customFormat="false" ht="15" hidden="false" customHeight="false" outlineLevel="0" collapsed="false">
      <c r="A897" s="11" t="s">
        <v>1932</v>
      </c>
      <c r="E897" s="131" t="n">
        <v>2019500</v>
      </c>
    </row>
    <row r="898" customFormat="false" ht="15" hidden="false" customHeight="false" outlineLevel="0" collapsed="false">
      <c r="A898" s="11" t="s">
        <v>1933</v>
      </c>
      <c r="C898" s="131" t="n">
        <v>50329.61</v>
      </c>
      <c r="D898" s="131" t="n">
        <v>58872.77</v>
      </c>
      <c r="E898" s="131" t="n">
        <v>44522.98</v>
      </c>
      <c r="F898" s="131" t="n">
        <v>39972.52</v>
      </c>
      <c r="G898" s="131" t="n">
        <v>21977.99</v>
      </c>
    </row>
    <row r="899" customFormat="false" ht="15" hidden="false" customHeight="false" outlineLevel="0" collapsed="false">
      <c r="A899" s="11" t="s">
        <v>1934</v>
      </c>
      <c r="C899" s="131" t="n">
        <v>30291620</v>
      </c>
      <c r="D899" s="131" t="n">
        <v>27014357</v>
      </c>
      <c r="E899" s="131" t="n">
        <v>22993600</v>
      </c>
      <c r="F899" s="131" t="n">
        <v>17583095</v>
      </c>
      <c r="G899" s="131" t="n">
        <v>14131521</v>
      </c>
    </row>
    <row r="900" customFormat="false" ht="15" hidden="false" customHeight="false" outlineLevel="0" collapsed="false">
      <c r="A900" s="11" t="s">
        <v>1935</v>
      </c>
      <c r="C900" s="131" t="n">
        <v>3331338.76</v>
      </c>
      <c r="D900" s="131" t="n">
        <v>1360053.95</v>
      </c>
      <c r="E900" s="131" t="n">
        <v>4686973.11</v>
      </c>
      <c r="G900" s="131" t="n">
        <v>5374617.69</v>
      </c>
    </row>
    <row r="901" customFormat="false" ht="15" hidden="false" customHeight="false" outlineLevel="0" collapsed="false">
      <c r="A901" s="11" t="s">
        <v>1936</v>
      </c>
      <c r="C901" s="131" t="n">
        <v>116730</v>
      </c>
      <c r="D901" s="131" t="n">
        <v>4029002.84</v>
      </c>
      <c r="F901" s="131" t="n">
        <v>5486958.49</v>
      </c>
    </row>
    <row r="903" customFormat="false" ht="15" hidden="false" customHeight="false" outlineLevel="0" collapsed="false">
      <c r="A903" s="3" t="s">
        <v>1939</v>
      </c>
    </row>
    <row r="904" customFormat="false" ht="15" hidden="false" customHeight="false" outlineLevel="0" collapsed="false">
      <c r="A904" s="2" t="s">
        <v>1940</v>
      </c>
    </row>
    <row r="905" customFormat="false" ht="15" hidden="false" customHeight="false" outlineLevel="0" collapsed="false">
      <c r="A905" s="90" t="s">
        <v>86</v>
      </c>
      <c r="B905" s="130"/>
      <c r="C905" s="91" t="s">
        <v>1451</v>
      </c>
      <c r="D905" s="91" t="s">
        <v>1452</v>
      </c>
      <c r="E905" s="91" t="s">
        <v>1453</v>
      </c>
      <c r="F905" s="91" t="s">
        <v>1272</v>
      </c>
      <c r="G905" s="91" t="s">
        <v>1273</v>
      </c>
    </row>
    <row r="906" customFormat="false" ht="15" hidden="false" customHeight="false" outlineLevel="0" collapsed="false">
      <c r="A906" s="11" t="s">
        <v>1941</v>
      </c>
      <c r="C906" s="131" t="n">
        <v>7.0827</v>
      </c>
      <c r="D906" s="131" t="n">
        <v>7.1884</v>
      </c>
      <c r="E906" s="131" t="n">
        <v>7.0288</v>
      </c>
      <c r="F906" s="131" t="n">
        <v>7.1586</v>
      </c>
      <c r="G906" s="131" t="n">
        <v>6.8109</v>
      </c>
    </row>
    <row r="907" customFormat="false" ht="15" hidden="false" customHeight="false" outlineLevel="0" collapsed="false">
      <c r="A907" s="11" t="s">
        <v>1942</v>
      </c>
      <c r="C907" s="131" t="n">
        <v>7.8592</v>
      </c>
      <c r="D907" s="131" t="n">
        <v>7.5257</v>
      </c>
      <c r="E907" s="131" t="n">
        <v>8.2355</v>
      </c>
      <c r="F907" s="131" t="n">
        <v>8.4024</v>
      </c>
      <c r="G907" s="131" t="n">
        <v>7.7671</v>
      </c>
    </row>
    <row r="908" customFormat="false" ht="15" hidden="false" customHeight="false" outlineLevel="0" collapsed="false">
      <c r="A908" s="11" t="s">
        <v>1943</v>
      </c>
      <c r="C908" s="131" t="n">
        <v>0.90622</v>
      </c>
      <c r="D908" s="131" t="n">
        <v>0.92604</v>
      </c>
      <c r="E908" s="131" t="n">
        <v>0.90322</v>
      </c>
      <c r="F908" s="131" t="n">
        <v>0.91195</v>
      </c>
      <c r="G908" s="131" t="n">
        <v>0.86855</v>
      </c>
    </row>
    <row r="909" customFormat="false" ht="15" hidden="false" customHeight="false" outlineLevel="0" collapsed="false">
      <c r="A909" s="11" t="s">
        <v>1944</v>
      </c>
      <c r="C909" s="131" t="n">
        <v>4.8484</v>
      </c>
      <c r="D909" s="131" t="n">
        <v>4.507</v>
      </c>
      <c r="E909" s="131" t="n">
        <v>4.6892</v>
      </c>
      <c r="F909" s="131" t="n">
        <v>4.6817</v>
      </c>
      <c r="G909" s="131" t="n">
        <v>4.6804</v>
      </c>
    </row>
    <row r="910" customFormat="false" ht="15" hidden="false" customHeight="false" outlineLevel="0" collapsed="false">
      <c r="A910" s="11" t="s">
        <v>1945</v>
      </c>
      <c r="C910" s="131" t="n">
        <v>0.05021</v>
      </c>
      <c r="D910" s="131" t="n">
        <v>0.04623</v>
      </c>
      <c r="E910" s="131" t="n">
        <v>0.0448</v>
      </c>
      <c r="F910" s="131" t="n">
        <v>0.04959</v>
      </c>
      <c r="G910" s="131" t="n">
        <v>0.04205</v>
      </c>
    </row>
    <row r="911" customFormat="false" ht="15" hidden="false" customHeight="false" outlineLevel="0" collapsed="false">
      <c r="A911" s="11" t="s">
        <v>1946</v>
      </c>
      <c r="C911" s="131" t="n">
        <v>1.5415</v>
      </c>
      <c r="D911" s="131" t="n">
        <v>1.6199</v>
      </c>
      <c r="E911" s="131" t="n">
        <v>1.7319</v>
      </c>
      <c r="F911" s="131" t="n">
        <v>1.695</v>
      </c>
      <c r="G911" s="131" t="n">
        <v>1.6734</v>
      </c>
    </row>
    <row r="912" customFormat="false" ht="15" hidden="false" customHeight="false" outlineLevel="0" collapsed="false">
      <c r="A912" s="11" t="s">
        <v>1947</v>
      </c>
      <c r="C912" s="131" t="n">
        <v>0.0055</v>
      </c>
      <c r="D912" s="131" t="n">
        <v>0.0049</v>
      </c>
      <c r="E912" s="131" t="n">
        <v>0.0049</v>
      </c>
      <c r="F912" s="131" t="n">
        <v>0.0053</v>
      </c>
      <c r="G912" s="131" t="n">
        <v>0.0044</v>
      </c>
    </row>
    <row r="913" customFormat="false" ht="15" hidden="false" customHeight="false" outlineLevel="0" collapsed="false">
      <c r="A913" s="11" t="s">
        <v>1948</v>
      </c>
      <c r="C913" s="131" t="n">
        <v>0.20736</v>
      </c>
      <c r="D913" s="131" t="n">
        <v>0.21264</v>
      </c>
      <c r="E913" s="131" t="n">
        <v>0.22252</v>
      </c>
      <c r="F913" s="131" t="n">
        <v>0.21968</v>
      </c>
      <c r="G913" s="131" t="n">
        <v>0.20424</v>
      </c>
    </row>
    <row r="914" customFormat="false" ht="15" hidden="false" customHeight="false" outlineLevel="0" collapsed="false">
      <c r="A914" s="11" t="s">
        <v>1949</v>
      </c>
      <c r="C914" s="131" t="n">
        <v>0.08548</v>
      </c>
      <c r="D914" s="131" t="n">
        <v>0.0854</v>
      </c>
      <c r="E914" s="131" t="n">
        <v>0.078</v>
      </c>
      <c r="F914" s="131" t="n">
        <v>0.084</v>
      </c>
      <c r="G914" s="131" t="n">
        <v>0.0719</v>
      </c>
    </row>
    <row r="916" customFormat="false" ht="15" hidden="false" customHeight="false" outlineLevel="0" collapsed="false">
      <c r="A916" s="3" t="s">
        <v>1950</v>
      </c>
    </row>
    <row r="917" customFormat="false" ht="15" hidden="false" customHeight="false" outlineLevel="0" collapsed="false">
      <c r="A917" s="2" t="s">
        <v>1951</v>
      </c>
    </row>
    <row r="918" customFormat="false" ht="15" hidden="false" customHeight="false" outlineLevel="0" collapsed="false">
      <c r="A918" s="90" t="s">
        <v>86</v>
      </c>
      <c r="B918" s="130"/>
      <c r="C918" s="91" t="s">
        <v>1451</v>
      </c>
      <c r="D918" s="91" t="s">
        <v>1452</v>
      </c>
      <c r="E918" s="91" t="s">
        <v>1453</v>
      </c>
      <c r="F918" s="91" t="s">
        <v>1272</v>
      </c>
      <c r="G918" s="91" t="s">
        <v>1273</v>
      </c>
    </row>
    <row r="919" customFormat="false" ht="15" hidden="false" customHeight="false" outlineLevel="0" collapsed="false">
      <c r="A919" s="11" t="s">
        <v>1952</v>
      </c>
      <c r="C919" s="30" t="n">
        <v>446.9553</v>
      </c>
      <c r="D919" s="30" t="n">
        <v>903.2925</v>
      </c>
      <c r="E919" s="30" t="n">
        <v>1677.4662</v>
      </c>
      <c r="F919" s="30" t="n">
        <v>1281.567</v>
      </c>
      <c r="G919" s="30" t="n">
        <v>2326.7658</v>
      </c>
    </row>
    <row r="920" customFormat="false" ht="15" hidden="false" customHeight="false" outlineLevel="0" collapsed="false">
      <c r="A920" s="11" t="s">
        <v>1953</v>
      </c>
      <c r="C920" s="30" t="n">
        <v>92.5263</v>
      </c>
      <c r="D920" s="30" t="n">
        <v>168.0968</v>
      </c>
      <c r="E920" s="30" t="n">
        <v>166.804</v>
      </c>
      <c r="F920" s="30" t="n">
        <v>205.9745</v>
      </c>
      <c r="G920" s="30" t="n">
        <v>160.8811</v>
      </c>
    </row>
    <row r="921" customFormat="false" ht="15" hidden="false" customHeight="false" outlineLevel="0" collapsed="false">
      <c r="A921" s="11" t="s">
        <v>1954</v>
      </c>
      <c r="C921" s="30" t="n">
        <v>0.908</v>
      </c>
      <c r="D921" s="30" t="n">
        <v>2.4981</v>
      </c>
      <c r="E921" s="30" t="n">
        <v>2.5898</v>
      </c>
      <c r="F921" s="30" t="n">
        <v>2.2746</v>
      </c>
      <c r="G921" s="30" t="n">
        <v>0.8563</v>
      </c>
    </row>
    <row r="922" customFormat="false" ht="15" hidden="false" customHeight="false" outlineLevel="0" collapsed="false">
      <c r="A922" s="11" t="s">
        <v>1955</v>
      </c>
      <c r="C922" s="30" t="n">
        <v>-0.0035</v>
      </c>
      <c r="D922" s="30" t="n">
        <v>0</v>
      </c>
      <c r="E922" s="30" t="n">
        <v>0</v>
      </c>
      <c r="F922" s="30" t="n">
        <v>0</v>
      </c>
      <c r="G922" s="30" t="n">
        <v>0</v>
      </c>
    </row>
    <row r="923" customFormat="false" ht="15" hidden="false" customHeight="false" outlineLevel="0" collapsed="false">
      <c r="A923" s="11" t="s">
        <v>1956</v>
      </c>
      <c r="C923" s="30" t="n">
        <v>-0.6302</v>
      </c>
      <c r="D923" s="30" t="n">
        <v>-3.2564</v>
      </c>
      <c r="E923" s="30" t="n">
        <v>-4.5582</v>
      </c>
      <c r="F923" s="30" t="n">
        <v>-7.8529</v>
      </c>
      <c r="G923" s="30" t="n">
        <v>-2.5449</v>
      </c>
    </row>
    <row r="924" customFormat="false" ht="15" hidden="false" customHeight="false" outlineLevel="0" collapsed="false">
      <c r="A924" s="11" t="s">
        <v>1957</v>
      </c>
      <c r="C924" s="30" t="n">
        <v>9.7235</v>
      </c>
      <c r="D924" s="30" t="n">
        <v>11.7173</v>
      </c>
      <c r="E924" s="30" t="n">
        <v>14.8176</v>
      </c>
      <c r="F924" s="30" t="n">
        <v>16.0561</v>
      </c>
      <c r="G924" s="30" t="n">
        <v>17.744</v>
      </c>
    </row>
    <row r="925" customFormat="false" ht="15" hidden="false" customHeight="false" outlineLevel="0" collapsed="false">
      <c r="A925" s="11" t="s">
        <v>1958</v>
      </c>
      <c r="C925" s="30" t="n">
        <v>27.7427</v>
      </c>
      <c r="D925" s="30" t="n">
        <v>16.2224</v>
      </c>
      <c r="E925" s="30" t="n">
        <v>11.8861</v>
      </c>
      <c r="F925" s="30" t="n">
        <v>15.4373</v>
      </c>
      <c r="G925" s="30" t="n">
        <v>19.391</v>
      </c>
    </row>
    <row r="926" customFormat="false" ht="15" hidden="false" customHeight="false" outlineLevel="0" collapsed="false">
      <c r="A926" s="11" t="s">
        <v>1959</v>
      </c>
      <c r="C926" s="30" t="n">
        <v>17.2863</v>
      </c>
      <c r="D926" s="30" t="n">
        <v>0.6301</v>
      </c>
      <c r="E926" s="30" t="n">
        <v>-3.7536</v>
      </c>
      <c r="F926" s="30" t="n">
        <v>-5.1161</v>
      </c>
      <c r="G926" s="30" t="n">
        <v>39.7403</v>
      </c>
    </row>
    <row r="927" customFormat="false" ht="15" hidden="false" customHeight="false" outlineLevel="0" collapsed="false">
      <c r="A927" s="11" t="s">
        <v>1960</v>
      </c>
      <c r="C927" s="30" t="n">
        <v>0.1784</v>
      </c>
      <c r="D927" s="30" t="n">
        <v>0.5337</v>
      </c>
      <c r="E927" s="30" t="n">
        <v>1.6505</v>
      </c>
      <c r="F927" s="30" t="n">
        <v>0.6503</v>
      </c>
      <c r="G927" s="30" t="n">
        <v>2.009</v>
      </c>
    </row>
    <row r="928" customFormat="false" ht="15" hidden="false" customHeight="false" outlineLevel="0" collapsed="false">
      <c r="A928" s="11" t="s">
        <v>1961</v>
      </c>
      <c r="C928" s="30" t="n">
        <v>594.6868</v>
      </c>
      <c r="D928" s="30" t="n">
        <v>1099.7346</v>
      </c>
      <c r="E928" s="30" t="n">
        <v>1866.9026</v>
      </c>
      <c r="F928" s="30" t="n">
        <v>1508.9909</v>
      </c>
      <c r="G928" s="30" t="n">
        <v>2564.8427</v>
      </c>
    </row>
    <row r="929" customFormat="false" ht="15" hidden="false" customHeight="false" outlineLevel="0" collapsed="false">
      <c r="A929" s="11" t="s">
        <v>1962</v>
      </c>
      <c r="C929" s="30" t="n">
        <v>5.9469</v>
      </c>
      <c r="D929" s="30" t="n">
        <v>10.9973</v>
      </c>
      <c r="E929" s="30" t="n">
        <v>18.669</v>
      </c>
      <c r="F929" s="30" t="n">
        <v>15.0899</v>
      </c>
      <c r="G929" s="30" t="n">
        <v>25.6484</v>
      </c>
    </row>
    <row r="930" customFormat="false" ht="15" hidden="false" customHeight="false" outlineLevel="0" collapsed="false">
      <c r="A930" s="11" t="s">
        <v>1963</v>
      </c>
      <c r="C930" s="30" t="n">
        <v>4.4696</v>
      </c>
      <c r="D930" s="30" t="n">
        <v>9.0329</v>
      </c>
      <c r="E930" s="30" t="n">
        <v>16.7747</v>
      </c>
      <c r="F930" s="30" t="n">
        <v>12.8157</v>
      </c>
      <c r="G930" s="30" t="n">
        <v>23.2677</v>
      </c>
    </row>
    <row r="932" customFormat="false" ht="15" hidden="false" customHeight="false" outlineLevel="0" collapsed="false">
      <c r="A932" s="3" t="s">
        <v>1964</v>
      </c>
    </row>
    <row r="933" customFormat="false" ht="15" hidden="false" customHeight="false" outlineLevel="0" collapsed="false">
      <c r="A933" s="2" t="s">
        <v>1965</v>
      </c>
    </row>
    <row r="934" customFormat="false" ht="15" hidden="false" customHeight="false" outlineLevel="0" collapsed="false">
      <c r="A934" s="90" t="s">
        <v>86</v>
      </c>
      <c r="B934" s="130"/>
      <c r="C934" s="91" t="s">
        <v>1450</v>
      </c>
      <c r="D934" s="91" t="s">
        <v>1451</v>
      </c>
      <c r="E934" s="91" t="s">
        <v>1452</v>
      </c>
      <c r="F934" s="91" t="s">
        <v>1453</v>
      </c>
      <c r="G934" s="91" t="s">
        <v>1272</v>
      </c>
      <c r="H934" s="91" t="s">
        <v>1273</v>
      </c>
    </row>
    <row r="935" customFormat="false" ht="15" hidden="false" customHeight="false" outlineLevel="0" collapsed="false">
      <c r="A935" s="11" t="s">
        <v>1966</v>
      </c>
      <c r="E935" s="30" t="n">
        <v>16.1217</v>
      </c>
      <c r="F935" s="30" t="n">
        <v>27.3888</v>
      </c>
    </row>
    <row r="936" customFormat="false" ht="15" hidden="false" customHeight="false" outlineLevel="0" collapsed="false">
      <c r="A936" s="11" t="s">
        <v>1967</v>
      </c>
      <c r="C936" s="30" t="n">
        <v>27.8661</v>
      </c>
      <c r="D936" s="30" t="n">
        <v>242.5137</v>
      </c>
      <c r="E936" s="30" t="n">
        <v>505.359</v>
      </c>
      <c r="F936" s="30" t="n">
        <v>1091.7999</v>
      </c>
      <c r="G936" s="30" t="n">
        <v>594.3072</v>
      </c>
      <c r="H936" s="30" t="n">
        <v>1487.9957</v>
      </c>
    </row>
    <row r="937" customFormat="false" ht="15" hidden="false" customHeight="false" outlineLevel="0" collapsed="false">
      <c r="A937" s="11" t="s">
        <v>1968</v>
      </c>
      <c r="C937" s="30" t="n">
        <v>27.8661</v>
      </c>
      <c r="D937" s="30" t="n">
        <v>242.5137</v>
      </c>
      <c r="E937" s="30" t="n">
        <v>521.4807</v>
      </c>
      <c r="F937" s="30" t="n">
        <v>1119.1886</v>
      </c>
      <c r="G937" s="30" t="n">
        <v>594.3072</v>
      </c>
      <c r="H937" s="30" t="n">
        <v>1487.9957</v>
      </c>
    </row>
    <row r="938" customFormat="false" ht="15" hidden="false" customHeight="false" outlineLevel="0" collapsed="false">
      <c r="A938" s="11" t="s">
        <v>1969</v>
      </c>
      <c r="C938" s="30" t="n">
        <v>141.3923</v>
      </c>
      <c r="D938" s="30" t="n">
        <v>160.3877</v>
      </c>
      <c r="E938" s="30" t="n">
        <v>201.1225</v>
      </c>
      <c r="F938" s="30" t="n">
        <v>255.485</v>
      </c>
      <c r="G938" s="30" t="n">
        <v>223.5646</v>
      </c>
      <c r="H938" s="30" t="n">
        <v>179.4355</v>
      </c>
    </row>
    <row r="939" customFormat="false" ht="15" hidden="false" customHeight="false" outlineLevel="0" collapsed="false">
      <c r="A939" s="11" t="s">
        <v>1970</v>
      </c>
      <c r="C939" s="30" t="n">
        <v>151.8424</v>
      </c>
      <c r="D939" s="30" t="n">
        <v>86.9319</v>
      </c>
      <c r="E939" s="30" t="n">
        <v>322.0556</v>
      </c>
      <c r="F939" s="30" t="n">
        <v>295.094</v>
      </c>
      <c r="G939" s="30" t="n">
        <v>281.9097</v>
      </c>
      <c r="H939" s="30" t="n">
        <v>344.7348</v>
      </c>
    </row>
    <row r="940" customFormat="false" ht="15" hidden="false" customHeight="false" outlineLevel="0" collapsed="false">
      <c r="A940" s="11" t="s">
        <v>1971</v>
      </c>
      <c r="D940" s="30" t="n">
        <v>3.03</v>
      </c>
      <c r="E940" s="30" t="n">
        <v>152.7393</v>
      </c>
      <c r="F940" s="30" t="n">
        <v>244.3238</v>
      </c>
      <c r="G940" s="30" t="n">
        <v>161.3374</v>
      </c>
      <c r="H940" s="30" t="n">
        <v>284.4518</v>
      </c>
    </row>
    <row r="942" customFormat="false" ht="15" hidden="false" customHeight="false" outlineLevel="0" collapsed="false">
      <c r="A942" s="3" t="s">
        <v>1972</v>
      </c>
    </row>
    <row r="943" customFormat="false" ht="15" hidden="false" customHeight="false" outlineLevel="0" collapsed="false">
      <c r="A943" s="2" t="s">
        <v>1973</v>
      </c>
    </row>
    <row r="944" customFormat="false" ht="15" hidden="false" customHeight="false" outlineLevel="0" collapsed="false">
      <c r="A944" s="90" t="s">
        <v>86</v>
      </c>
      <c r="B944" s="130"/>
      <c r="C944" s="91" t="s">
        <v>1450</v>
      </c>
      <c r="D944" s="91" t="s">
        <v>1451</v>
      </c>
      <c r="E944" s="91" t="s">
        <v>1452</v>
      </c>
      <c r="F944" s="91" t="s">
        <v>1453</v>
      </c>
      <c r="G944" s="91" t="s">
        <v>1272</v>
      </c>
      <c r="H944" s="91" t="s">
        <v>1273</v>
      </c>
    </row>
    <row r="945" customFormat="false" ht="15" hidden="false" customHeight="false" outlineLevel="0" collapsed="false">
      <c r="A945" s="11" t="s">
        <v>1974</v>
      </c>
      <c r="C945" s="30" t="n">
        <v>1.936</v>
      </c>
      <c r="D945" s="30" t="n">
        <v>2.8117</v>
      </c>
      <c r="E945" s="30" t="n">
        <v>2.6717</v>
      </c>
      <c r="F945" s="30" t="n">
        <v>2.5974</v>
      </c>
      <c r="G945" s="30" t="n">
        <v>3.6823</v>
      </c>
      <c r="H945" s="30" t="n">
        <v>9.8816</v>
      </c>
    </row>
    <row r="946" customFormat="false" ht="15" hidden="false" customHeight="false" outlineLevel="0" collapsed="false">
      <c r="A946" s="11" t="s">
        <v>1975</v>
      </c>
      <c r="C946" s="30" t="n">
        <v>141.3923</v>
      </c>
      <c r="D946" s="30" t="n">
        <v>160.3877</v>
      </c>
      <c r="E946" s="30" t="n">
        <v>201.1225</v>
      </c>
      <c r="F946" s="30" t="n">
        <v>255.485</v>
      </c>
      <c r="G946" s="30" t="n">
        <v>223.5646</v>
      </c>
      <c r="H946" s="30" t="n">
        <v>179.4355</v>
      </c>
    </row>
    <row r="947" customFormat="false" ht="15" hidden="false" customHeight="false" outlineLevel="0" collapsed="false">
      <c r="A947" s="11" t="s">
        <v>1976</v>
      </c>
      <c r="C947" s="30" t="n">
        <v>5.8237</v>
      </c>
      <c r="D947" s="30" t="n">
        <v>5.5196</v>
      </c>
      <c r="F947" s="30" t="n">
        <v>2.9427</v>
      </c>
      <c r="H947" s="30" t="n">
        <v>6.5722</v>
      </c>
    </row>
    <row r="948" customFormat="false" ht="15" hidden="false" customHeight="false" outlineLevel="0" collapsed="false">
      <c r="A948" s="11" t="s">
        <v>1977</v>
      </c>
      <c r="F948" s="30" t="n">
        <v>1.0897</v>
      </c>
      <c r="H948" s="30" t="n">
        <v>1.33</v>
      </c>
    </row>
    <row r="949" customFormat="false" ht="15" hidden="false" customHeight="false" outlineLevel="0" collapsed="false">
      <c r="A949" s="11" t="s">
        <v>1470</v>
      </c>
      <c r="C949" s="30" t="n">
        <v>149.1519</v>
      </c>
      <c r="D949" s="30" t="n">
        <v>168.719</v>
      </c>
      <c r="E949" s="30" t="n">
        <v>203.7941</v>
      </c>
      <c r="F949" s="30" t="n">
        <v>262.1147</v>
      </c>
      <c r="G949" s="30" t="n">
        <v>227.2469</v>
      </c>
      <c r="H949" s="30" t="n">
        <v>197.2194</v>
      </c>
    </row>
    <row r="951" customFormat="false" ht="15" hidden="false" customHeight="false" outlineLevel="0" collapsed="false">
      <c r="A951" s="3" t="s">
        <v>1978</v>
      </c>
    </row>
    <row r="952" customFormat="false" ht="15" hidden="false" customHeight="false" outlineLevel="0" collapsed="false">
      <c r="A952" s="2" t="s">
        <v>1979</v>
      </c>
    </row>
    <row r="953" customFormat="false" ht="15" hidden="false" customHeight="false" outlineLevel="0" collapsed="false">
      <c r="A953" s="90" t="s">
        <v>86</v>
      </c>
      <c r="B953" s="130"/>
      <c r="C953" s="91" t="s">
        <v>1450</v>
      </c>
      <c r="D953" s="91" t="s">
        <v>1451</v>
      </c>
      <c r="E953" s="91" t="s">
        <v>1452</v>
      </c>
      <c r="F953" s="91" t="s">
        <v>1453</v>
      </c>
      <c r="G953" s="91" t="s">
        <v>1614</v>
      </c>
      <c r="H953" s="91" t="s">
        <v>1272</v>
      </c>
      <c r="I953" s="91" t="s">
        <v>1273</v>
      </c>
    </row>
    <row r="954" customFormat="false" ht="15" hidden="false" customHeight="false" outlineLevel="0" collapsed="false">
      <c r="A954" s="11" t="s">
        <v>1980</v>
      </c>
      <c r="C954" s="30" t="n">
        <v>147.9927</v>
      </c>
      <c r="D954" s="30" t="n">
        <v>97.4954</v>
      </c>
      <c r="E954" s="30" t="n">
        <v>88.4885</v>
      </c>
      <c r="F954" s="30" t="n">
        <v>44.5522</v>
      </c>
      <c r="G954" s="30" t="n">
        <v>48.375</v>
      </c>
      <c r="H954" s="30" t="n">
        <v>19.609</v>
      </c>
      <c r="I954" s="30" t="n">
        <v>27.9785</v>
      </c>
    </row>
    <row r="955" customFormat="false" ht="15" hidden="false" customHeight="false" outlineLevel="0" collapsed="false">
      <c r="A955" s="11" t="s">
        <v>1981</v>
      </c>
      <c r="C955" s="30" t="n">
        <v>1.0119</v>
      </c>
      <c r="D955" s="30" t="n">
        <v>0.8632</v>
      </c>
      <c r="E955" s="30" t="n">
        <v>1.3305</v>
      </c>
      <c r="F955" s="30" t="n">
        <v>2.037</v>
      </c>
      <c r="G955" s="30" t="n">
        <v>0.5959</v>
      </c>
      <c r="H955" s="30" t="n">
        <v>0.7501</v>
      </c>
      <c r="I955" s="30" t="n">
        <v>1.3863</v>
      </c>
    </row>
    <row r="956" customFormat="false" ht="15" hidden="false" customHeight="false" outlineLevel="0" collapsed="false">
      <c r="A956" s="11" t="s">
        <v>1982</v>
      </c>
      <c r="E956" s="30" t="n">
        <v>0.0553</v>
      </c>
      <c r="F956" s="30" t="n">
        <v>0.153</v>
      </c>
      <c r="H956" s="30" t="n">
        <v>0.0906</v>
      </c>
      <c r="I956" s="30" t="n">
        <v>0.0626</v>
      </c>
    </row>
    <row r="957" customFormat="false" ht="15" hidden="false" customHeight="false" outlineLevel="0" collapsed="false">
      <c r="A957" s="11" t="s">
        <v>1983</v>
      </c>
      <c r="F957" s="30" t="n">
        <v>0.01</v>
      </c>
    </row>
    <row r="958" customFormat="false" ht="15" hidden="false" customHeight="false" outlineLevel="0" collapsed="false">
      <c r="A958" s="11" t="s">
        <v>1984</v>
      </c>
      <c r="C958" s="30" t="n">
        <v>96.8132</v>
      </c>
      <c r="D958" s="30" t="n">
        <v>109.8625</v>
      </c>
      <c r="E958" s="30" t="n">
        <v>63.7652</v>
      </c>
      <c r="F958" s="30" t="n">
        <v>267.5621</v>
      </c>
      <c r="G958" s="30" t="n">
        <v>30.8851</v>
      </c>
      <c r="H958" s="30" t="n">
        <v>57.9618</v>
      </c>
      <c r="I958" s="30" t="n">
        <v>94.9076</v>
      </c>
    </row>
    <row r="959" customFormat="false" ht="15" hidden="false" customHeight="false" outlineLevel="0" collapsed="false">
      <c r="A959" s="11" t="s">
        <v>1985</v>
      </c>
      <c r="C959" s="30" t="n">
        <v>154.5883</v>
      </c>
      <c r="D959" s="30" t="n">
        <v>174.943</v>
      </c>
      <c r="E959" s="30" t="n">
        <v>203.5985</v>
      </c>
      <c r="F959" s="30" t="n">
        <v>196.88</v>
      </c>
      <c r="G959" s="30" t="n">
        <v>111.4599</v>
      </c>
      <c r="H959" s="30" t="n">
        <v>89.6174</v>
      </c>
      <c r="I959" s="30" t="n">
        <v>98.5122</v>
      </c>
    </row>
    <row r="960" customFormat="false" ht="15" hidden="false" customHeight="false" outlineLevel="0" collapsed="false">
      <c r="A960" s="11" t="s">
        <v>1986</v>
      </c>
      <c r="C960" s="30" t="n">
        <v>117.7011</v>
      </c>
      <c r="D960" s="30" t="n">
        <v>111.5381</v>
      </c>
      <c r="E960" s="30" t="n">
        <v>66.87</v>
      </c>
      <c r="F960" s="30" t="n">
        <v>72.1538</v>
      </c>
      <c r="G960" s="30" t="n">
        <v>25.4083</v>
      </c>
      <c r="H960" s="30" t="n">
        <v>40.6764</v>
      </c>
      <c r="I960" s="30" t="n">
        <v>32.2763</v>
      </c>
    </row>
    <row r="962" customFormat="false" ht="15" hidden="false" customHeight="false" outlineLevel="0" collapsed="false">
      <c r="A962" s="3" t="s">
        <v>1987</v>
      </c>
    </row>
    <row r="963" customFormat="false" ht="15" hidden="false" customHeight="false" outlineLevel="0" collapsed="false">
      <c r="A963" s="2" t="s">
        <v>1988</v>
      </c>
    </row>
    <row r="964" customFormat="false" ht="15" hidden="false" customHeight="false" outlineLevel="0" collapsed="false">
      <c r="A964" s="90" t="s">
        <v>86</v>
      </c>
      <c r="B964" s="130"/>
      <c r="C964" s="91" t="s">
        <v>1450</v>
      </c>
      <c r="D964" s="91" t="s">
        <v>1451</v>
      </c>
      <c r="E964" s="91" t="s">
        <v>1452</v>
      </c>
      <c r="F964" s="91" t="s">
        <v>1453</v>
      </c>
      <c r="G964" s="91" t="s">
        <v>1614</v>
      </c>
      <c r="H964" s="91" t="s">
        <v>1272</v>
      </c>
      <c r="I964" s="91" t="s">
        <v>1273</v>
      </c>
    </row>
    <row r="965" customFormat="false" ht="15" hidden="false" customHeight="false" outlineLevel="0" collapsed="false">
      <c r="A965" s="11" t="s">
        <v>1989</v>
      </c>
      <c r="C965" s="30" t="n">
        <v>-20.0144</v>
      </c>
      <c r="D965" s="30" t="n">
        <v>-55.0228</v>
      </c>
      <c r="E965" s="30" t="n">
        <v>-49.7733</v>
      </c>
      <c r="F965" s="30" t="n">
        <v>-30.4662</v>
      </c>
      <c r="G965" s="30" t="n">
        <v>-20.0036</v>
      </c>
      <c r="H965" s="30" t="n">
        <v>-18.7085</v>
      </c>
      <c r="I965" s="30" t="n">
        <v>-20.9291</v>
      </c>
    </row>
    <row r="966" customFormat="false" ht="15" hidden="false" customHeight="false" outlineLevel="0" collapsed="false">
      <c r="A966" s="11" t="s">
        <v>1250</v>
      </c>
      <c r="C966" s="30" t="n">
        <v>-1.1</v>
      </c>
      <c r="D966" s="30" t="n">
        <v>-62.3017</v>
      </c>
      <c r="E966" s="30" t="n">
        <v>-90.6263</v>
      </c>
      <c r="F966" s="30" t="n">
        <v>-137.6439</v>
      </c>
      <c r="G966" s="30" t="n">
        <v>-54.0138</v>
      </c>
      <c r="H966" s="30" t="n">
        <v>-73.6075</v>
      </c>
      <c r="I966" s="30" t="n">
        <v>-26.6906</v>
      </c>
    </row>
    <row r="967" customFormat="false" ht="15" hidden="false" customHeight="false" outlineLevel="0" collapsed="false">
      <c r="A967" s="11" t="s">
        <v>1990</v>
      </c>
      <c r="C967" s="30" t="n">
        <v>-97.7236</v>
      </c>
      <c r="D967" s="30" t="n">
        <v>-56.5334</v>
      </c>
      <c r="E967" s="30" t="n">
        <v>-17.1153</v>
      </c>
      <c r="F967" s="30" t="n">
        <v>-41.7054</v>
      </c>
      <c r="G967" s="30" t="n">
        <v>-5.4047</v>
      </c>
      <c r="H967" s="30" t="n">
        <v>-21.9679</v>
      </c>
      <c r="I967" s="30" t="n">
        <v>-11.3472</v>
      </c>
    </row>
    <row r="969" customFormat="false" ht="15" hidden="false" customHeight="false" outlineLevel="0" collapsed="false">
      <c r="A969" s="3" t="s">
        <v>1991</v>
      </c>
    </row>
    <row r="970" customFormat="false" ht="15" hidden="false" customHeight="false" outlineLevel="0" collapsed="false">
      <c r="A970" s="2" t="s">
        <v>1992</v>
      </c>
    </row>
    <row r="971" customFormat="false" ht="15" hidden="false" customHeight="false" outlineLevel="0" collapsed="false">
      <c r="A971" s="90" t="s">
        <v>86</v>
      </c>
      <c r="B971" s="130"/>
      <c r="C971" s="91" t="s">
        <v>1450</v>
      </c>
      <c r="D971" s="91" t="s">
        <v>1451</v>
      </c>
      <c r="E971" s="91" t="s">
        <v>1452</v>
      </c>
      <c r="F971" s="91" t="s">
        <v>1453</v>
      </c>
      <c r="G971" s="91" t="s">
        <v>1614</v>
      </c>
      <c r="H971" s="91" t="s">
        <v>1272</v>
      </c>
      <c r="I971" s="91" t="s">
        <v>1273</v>
      </c>
    </row>
    <row r="972" customFormat="false" ht="15" hidden="false" customHeight="false" outlineLevel="0" collapsed="false">
      <c r="A972" s="11" t="s">
        <v>1993</v>
      </c>
      <c r="C972" s="30" t="n">
        <v>7088.9596</v>
      </c>
      <c r="D972" s="30" t="n">
        <v>7886.5543</v>
      </c>
      <c r="E972" s="30" t="n">
        <v>8988.4159</v>
      </c>
      <c r="F972" s="30" t="n">
        <v>10642.246</v>
      </c>
      <c r="G972" s="30" t="n">
        <v>8988.4159</v>
      </c>
      <c r="H972" s="30" t="n">
        <v>10642.246</v>
      </c>
      <c r="I972" s="30" t="n">
        <v>12534.3122</v>
      </c>
    </row>
    <row r="973" customFormat="false" ht="15" hidden="false" customHeight="false" outlineLevel="0" collapsed="false">
      <c r="A973" s="11" t="s">
        <v>1994</v>
      </c>
      <c r="C973" s="30" t="n">
        <v>1504.706</v>
      </c>
      <c r="D973" s="30" t="n">
        <v>1580.986</v>
      </c>
      <c r="E973" s="30" t="n">
        <v>2190.4494</v>
      </c>
      <c r="F973" s="30" t="n">
        <v>2618.3843</v>
      </c>
      <c r="G973" s="30" t="n">
        <v>1025.5462</v>
      </c>
      <c r="H973" s="30" t="n">
        <v>1237.1379</v>
      </c>
      <c r="I973" s="30" t="n">
        <v>1932.1182</v>
      </c>
    </row>
    <row r="974" customFormat="false" ht="15" hidden="false" customHeight="false" outlineLevel="0" collapsed="false">
      <c r="A974" s="11" t="s">
        <v>1995</v>
      </c>
      <c r="C974" s="30" t="n">
        <v>93.8321</v>
      </c>
    </row>
    <row r="975" customFormat="false" ht="15" hidden="false" customHeight="false" outlineLevel="0" collapsed="false">
      <c r="A975" s="11" t="s">
        <v>1996</v>
      </c>
      <c r="C975" s="30" t="n">
        <v>613.2792</v>
      </c>
      <c r="D975" s="30" t="n">
        <v>479.1243</v>
      </c>
      <c r="E975" s="30" t="n">
        <v>536.6193</v>
      </c>
      <c r="F975" s="30" t="n">
        <v>726.3182</v>
      </c>
      <c r="G975" s="30" t="n">
        <v>536.6193</v>
      </c>
      <c r="H975" s="30" t="n">
        <v>726.3182</v>
      </c>
      <c r="I975" s="30" t="n">
        <v>860.1136</v>
      </c>
    </row>
    <row r="976" customFormat="false" ht="15" hidden="false" customHeight="false" outlineLevel="0" collapsed="false">
      <c r="A976" s="11" t="s">
        <v>1997</v>
      </c>
      <c r="C976" s="30" t="n">
        <v>7886.5543</v>
      </c>
      <c r="D976" s="30" t="n">
        <v>8988.4159</v>
      </c>
      <c r="E976" s="30" t="n">
        <v>10642.246</v>
      </c>
      <c r="F976" s="30" t="n">
        <v>12534.3122</v>
      </c>
      <c r="G976" s="30" t="n">
        <v>9477.3428</v>
      </c>
      <c r="H976" s="30" t="n">
        <v>11153.0657</v>
      </c>
      <c r="I976" s="30" t="n">
        <v>13606.3168</v>
      </c>
    </row>
    <row r="978" customFormat="false" ht="15" hidden="false" customHeight="false" outlineLevel="0" collapsed="false">
      <c r="A978" s="3" t="s">
        <v>1998</v>
      </c>
    </row>
    <row r="979" customFormat="false" ht="15" hidden="false" customHeight="false" outlineLevel="0" collapsed="false">
      <c r="A979" s="2" t="s">
        <v>1999</v>
      </c>
    </row>
    <row r="980" customFormat="false" ht="15" hidden="false" customHeight="false" outlineLevel="0" collapsed="false">
      <c r="A980" s="90" t="s">
        <v>86</v>
      </c>
      <c r="B980" s="130"/>
      <c r="C980" s="91" t="s">
        <v>1451</v>
      </c>
      <c r="D980" s="91" t="s">
        <v>1452</v>
      </c>
      <c r="E980" s="91" t="s">
        <v>1453</v>
      </c>
      <c r="F980" s="91" t="s">
        <v>1272</v>
      </c>
      <c r="G980" s="91" t="s">
        <v>1273</v>
      </c>
    </row>
    <row r="981" customFormat="false" ht="15" hidden="false" customHeight="false" outlineLevel="0" collapsed="false">
      <c r="A981" s="11" t="s">
        <v>2000</v>
      </c>
      <c r="C981" s="30" t="n">
        <v>3846.7081</v>
      </c>
      <c r="D981" s="30" t="n">
        <v>5053.3869</v>
      </c>
      <c r="E981" s="30" t="n">
        <v>3758.5116</v>
      </c>
      <c r="F981" s="30" t="n">
        <v>2865.6921</v>
      </c>
      <c r="G981" s="30" t="n">
        <v>3256.5671</v>
      </c>
    </row>
    <row r="982" customFormat="false" ht="15" hidden="false" customHeight="false" outlineLevel="0" collapsed="false">
      <c r="A982" s="11" t="s">
        <v>2001</v>
      </c>
      <c r="C982" s="30" t="n">
        <v>2.7994</v>
      </c>
      <c r="D982" s="30" t="n">
        <v>2.9601</v>
      </c>
      <c r="E982" s="30" t="n">
        <v>3.1953</v>
      </c>
      <c r="F982" s="30" t="n">
        <v>2.9601</v>
      </c>
      <c r="G982" s="30" t="n">
        <v>3.1953</v>
      </c>
    </row>
    <row r="983" customFormat="false" ht="15" hidden="false" customHeight="false" outlineLevel="0" collapsed="false">
      <c r="A983" s="11" t="s">
        <v>2002</v>
      </c>
      <c r="C983" s="30" t="n">
        <v>170.1508</v>
      </c>
      <c r="D983" s="30" t="n">
        <v>172.5082</v>
      </c>
      <c r="E983" s="30" t="n">
        <v>345.5521</v>
      </c>
      <c r="F983" s="30" t="n">
        <v>185.3687</v>
      </c>
      <c r="G983" s="30" t="n">
        <v>357.0871</v>
      </c>
    </row>
    <row r="984" customFormat="false" ht="15" hidden="false" customHeight="false" outlineLevel="0" collapsed="false">
      <c r="A984" s="11" t="s">
        <v>2003</v>
      </c>
      <c r="C984" s="30" t="n">
        <v>4019.6584</v>
      </c>
      <c r="D984" s="30" t="n">
        <v>5228.8553</v>
      </c>
      <c r="E984" s="30" t="n">
        <v>4107.2591</v>
      </c>
      <c r="F984" s="30" t="n">
        <v>3054.0209</v>
      </c>
      <c r="G984" s="30" t="n">
        <v>3616.8495</v>
      </c>
    </row>
    <row r="986" customFormat="false" ht="15" hidden="false" customHeight="false" outlineLevel="0" collapsed="false">
      <c r="A986" s="3" t="s">
        <v>2004</v>
      </c>
    </row>
    <row r="987" customFormat="false" ht="15" hidden="false" customHeight="false" outlineLevel="0" collapsed="false">
      <c r="A987" s="2" t="s">
        <v>2005</v>
      </c>
    </row>
    <row r="988" customFormat="false" ht="15" hidden="false" customHeight="false" outlineLevel="0" collapsed="false">
      <c r="A988" s="90" t="s">
        <v>86</v>
      </c>
      <c r="B988" s="130"/>
      <c r="C988" s="91" t="s">
        <v>1450</v>
      </c>
      <c r="D988" s="91" t="s">
        <v>1451</v>
      </c>
      <c r="E988" s="91" t="s">
        <v>1452</v>
      </c>
      <c r="F988" s="91" t="s">
        <v>1453</v>
      </c>
      <c r="G988" s="91" t="s">
        <v>1272</v>
      </c>
      <c r="H988" s="91" t="s">
        <v>1273</v>
      </c>
    </row>
    <row r="989" customFormat="false" ht="15" hidden="false" customHeight="false" outlineLevel="0" collapsed="false">
      <c r="A989" s="11" t="s">
        <v>129</v>
      </c>
      <c r="C989" s="30" t="n">
        <v>4509.4292</v>
      </c>
      <c r="D989" s="30" t="n">
        <v>2841.6149</v>
      </c>
      <c r="E989" s="30" t="n">
        <v>3062.8452</v>
      </c>
      <c r="F989" s="30" t="n">
        <v>3057.7786</v>
      </c>
      <c r="G989" s="30" t="n">
        <v>5430.1287</v>
      </c>
      <c r="H989" s="30" t="n">
        <v>3825.5415</v>
      </c>
    </row>
    <row r="990" customFormat="false" ht="15" hidden="false" customHeight="false" outlineLevel="0" collapsed="false">
      <c r="A990" s="11" t="s">
        <v>2006</v>
      </c>
      <c r="C990" s="30" t="n">
        <v>4255.0144</v>
      </c>
      <c r="D990" s="30" t="n">
        <v>3846.7081</v>
      </c>
      <c r="E990" s="30" t="n">
        <v>5053.3869</v>
      </c>
      <c r="F990" s="30" t="n">
        <v>3758.5116</v>
      </c>
      <c r="G990" s="30" t="n">
        <v>2865.6921</v>
      </c>
      <c r="H990" s="30" t="n">
        <v>3256.5671</v>
      </c>
    </row>
    <row r="991" customFormat="false" ht="15" hidden="false" customHeight="false" outlineLevel="0" collapsed="false">
      <c r="A991" s="11" t="s">
        <v>2007</v>
      </c>
      <c r="D991" s="30" t="n">
        <v>3590.7033</v>
      </c>
      <c r="E991" s="30" t="n">
        <v>2930.2505</v>
      </c>
      <c r="F991" s="30" t="n">
        <v>5850.9937</v>
      </c>
      <c r="G991" s="30" t="n">
        <v>2925.9402</v>
      </c>
      <c r="H991" s="30" t="n">
        <v>5693.1376</v>
      </c>
    </row>
    <row r="992" customFormat="false" ht="15" hidden="false" customHeight="false" outlineLevel="0" collapsed="false">
      <c r="A992" s="11" t="s">
        <v>2008</v>
      </c>
      <c r="C992" s="30" t="n">
        <v>8764.4436</v>
      </c>
      <c r="D992" s="30" t="n">
        <v>10279.0264</v>
      </c>
      <c r="E992" s="30" t="n">
        <v>11046.4827</v>
      </c>
      <c r="F992" s="30" t="n">
        <v>12667.2839</v>
      </c>
      <c r="G992" s="30" t="n">
        <v>11221.7611</v>
      </c>
      <c r="H992" s="30" t="n">
        <v>12775.2463</v>
      </c>
    </row>
    <row r="993" customFormat="false" ht="15" hidden="false" customHeight="false" outlineLevel="0" collapsed="false">
      <c r="A993" s="11" t="s">
        <v>2009</v>
      </c>
      <c r="C993" s="30" t="n">
        <v>1.9175</v>
      </c>
      <c r="D993" s="30" t="n">
        <v>2.038</v>
      </c>
      <c r="E993" s="30" t="n">
        <v>25.825</v>
      </c>
      <c r="F993" s="30" t="n">
        <v>0.0173</v>
      </c>
      <c r="G993" s="30" t="n">
        <v>0.9211</v>
      </c>
      <c r="H993" s="30" t="n">
        <v>0.01</v>
      </c>
    </row>
    <row r="994" customFormat="false" ht="15" hidden="false" customHeight="false" outlineLevel="0" collapsed="false">
      <c r="A994" s="11" t="s">
        <v>2010</v>
      </c>
      <c r="C994" s="30" t="n">
        <v>151.8424</v>
      </c>
      <c r="D994" s="30" t="n">
        <v>740.5347</v>
      </c>
      <c r="E994" s="30" t="n">
        <v>474.7949</v>
      </c>
      <c r="F994" s="30" t="n">
        <v>539.4178</v>
      </c>
      <c r="G994" s="30" t="n">
        <v>443.2471</v>
      </c>
      <c r="H994" s="30" t="n">
        <v>739.8641</v>
      </c>
    </row>
    <row r="995" customFormat="false" ht="15" hidden="false" customHeight="false" outlineLevel="0" collapsed="false">
      <c r="A995" s="11" t="s">
        <v>2011</v>
      </c>
      <c r="C995" s="30" t="n">
        <v>151.8424</v>
      </c>
      <c r="D995" s="30" t="n">
        <v>86.9319</v>
      </c>
      <c r="E995" s="30" t="n">
        <v>322.0556</v>
      </c>
      <c r="F995" s="30" t="n">
        <v>295.094</v>
      </c>
      <c r="G995" s="30" t="n">
        <v>281.9097</v>
      </c>
      <c r="H995" s="30" t="n">
        <v>344.7348</v>
      </c>
    </row>
    <row r="996" customFormat="false" ht="15" hidden="false" customHeight="false" outlineLevel="0" collapsed="false">
      <c r="A996" s="11" t="s">
        <v>1753</v>
      </c>
      <c r="F996" s="30" t="n">
        <v>0.05</v>
      </c>
      <c r="G996" s="30" t="n">
        <v>0.05</v>
      </c>
      <c r="H996" s="30" t="n">
        <v>0.05</v>
      </c>
    </row>
    <row r="997" customFormat="false" ht="15" hidden="false" customHeight="false" outlineLevel="0" collapsed="false">
      <c r="A997" s="11" t="s">
        <v>2012</v>
      </c>
      <c r="F997" s="30" t="n">
        <v>24.925</v>
      </c>
      <c r="G997" s="30" t="n">
        <v>29.95</v>
      </c>
      <c r="H997" s="30" t="n">
        <v>24.9</v>
      </c>
    </row>
    <row r="998" customFormat="false" ht="15" hidden="false" customHeight="false" outlineLevel="0" collapsed="false">
      <c r="A998" s="11" t="s">
        <v>2013</v>
      </c>
      <c r="C998" s="30" t="n">
        <v>151.8424</v>
      </c>
      <c r="D998" s="30" t="n">
        <v>740.5347</v>
      </c>
      <c r="E998" s="30" t="n">
        <v>474.7949</v>
      </c>
      <c r="F998" s="30" t="n">
        <v>564.3928</v>
      </c>
      <c r="G998" s="30" t="n">
        <v>473.2471</v>
      </c>
      <c r="H998" s="30" t="n">
        <v>764.8141</v>
      </c>
    </row>
    <row r="999" customFormat="false" ht="15" hidden="false" customHeight="false" outlineLevel="0" collapsed="false">
      <c r="A999" s="11" t="s">
        <v>2014</v>
      </c>
      <c r="C999" s="30" t="n">
        <v>37.3653</v>
      </c>
      <c r="D999" s="30" t="n">
        <v>31.318</v>
      </c>
      <c r="E999" s="30" t="n">
        <v>26.7983</v>
      </c>
      <c r="F999" s="30" t="n">
        <v>22.0444</v>
      </c>
      <c r="G999" s="30" t="n">
        <v>24.5979</v>
      </c>
      <c r="H999" s="30" t="n">
        <v>26.0203</v>
      </c>
    </row>
    <row r="1000" customFormat="false" ht="15" hidden="false" customHeight="false" outlineLevel="0" collapsed="false">
      <c r="A1000" s="11" t="s">
        <v>2015</v>
      </c>
      <c r="C1000" s="30" t="n">
        <v>8575.2359</v>
      </c>
      <c r="D1000" s="30" t="n">
        <v>9507.1737</v>
      </c>
      <c r="E1000" s="30" t="n">
        <v>10544.8895</v>
      </c>
      <c r="F1000" s="30" t="n">
        <v>12080.8467</v>
      </c>
      <c r="G1000" s="30" t="n">
        <v>10723.916</v>
      </c>
      <c r="H1000" s="30" t="n">
        <v>11984.4119</v>
      </c>
    </row>
    <row r="1001" customFormat="false" ht="15" hidden="false" customHeight="false" outlineLevel="0" collapsed="false">
      <c r="A1001" s="11" t="s">
        <v>2016</v>
      </c>
      <c r="C1001" s="30" t="n">
        <v>8725.1607</v>
      </c>
      <c r="D1001" s="30" t="n">
        <v>9592.0675</v>
      </c>
      <c r="E1001" s="30" t="n">
        <v>10841.1201</v>
      </c>
      <c r="F1001" s="30" t="n">
        <v>12375.9234</v>
      </c>
      <c r="G1001" s="30" t="n">
        <v>11004.9047</v>
      </c>
      <c r="H1001" s="30" t="n">
        <v>12329.1368</v>
      </c>
    </row>
    <row r="1003" customFormat="false" ht="15" hidden="false" customHeight="false" outlineLevel="0" collapsed="false">
      <c r="A1003" s="3" t="s">
        <v>2017</v>
      </c>
    </row>
    <row r="1004" customFormat="false" ht="15" hidden="false" customHeight="false" outlineLevel="0" collapsed="false">
      <c r="A1004" s="2" t="s">
        <v>2018</v>
      </c>
    </row>
    <row r="1005" customFormat="false" ht="15" hidden="false" customHeight="false" outlineLevel="0" collapsed="false">
      <c r="A1005" s="90" t="s">
        <v>86</v>
      </c>
      <c r="B1005" s="130"/>
      <c r="C1005" s="91" t="s">
        <v>1451</v>
      </c>
      <c r="D1005" s="91" t="s">
        <v>1452</v>
      </c>
      <c r="E1005" s="91" t="s">
        <v>1453</v>
      </c>
      <c r="F1005" s="91" t="s">
        <v>1272</v>
      </c>
      <c r="G1005" s="91" t="s">
        <v>1273</v>
      </c>
    </row>
    <row r="1006" customFormat="false" ht="15" hidden="false" customHeight="false" outlineLevel="0" collapsed="false">
      <c r="A1006" s="11" t="s">
        <v>2019</v>
      </c>
      <c r="C1006" s="131" t="n">
        <v>3.2</v>
      </c>
      <c r="D1006" s="131" t="n">
        <v>3.28</v>
      </c>
      <c r="E1006" s="131" t="n">
        <v>2.64</v>
      </c>
      <c r="F1006" s="131" t="n">
        <v>2.5</v>
      </c>
      <c r="G1006" s="131" t="n">
        <v>2.14</v>
      </c>
    </row>
    <row r="1007" customFormat="false" ht="15" hidden="false" customHeight="false" outlineLevel="0" collapsed="false">
      <c r="A1007" s="11" t="s">
        <v>2020</v>
      </c>
      <c r="C1007" s="131" t="n">
        <v>2.75</v>
      </c>
      <c r="D1007" s="131" t="n">
        <v>1.5</v>
      </c>
      <c r="E1007" s="131" t="n">
        <v>1.64</v>
      </c>
      <c r="F1007" s="131" t="n">
        <v>2.05</v>
      </c>
      <c r="G1007" s="131" t="n">
        <v>1.84</v>
      </c>
    </row>
    <row r="1008" customFormat="false" ht="15" hidden="false" customHeight="false" outlineLevel="0" collapsed="false">
      <c r="A1008" s="11" t="s">
        <v>2021</v>
      </c>
      <c r="C1008" s="131" t="n">
        <v>3.01</v>
      </c>
      <c r="D1008" s="131" t="n">
        <v>2.54</v>
      </c>
      <c r="E1008" s="131" t="n">
        <v>2.27</v>
      </c>
      <c r="F1008" s="131" t="n">
        <v>2.34</v>
      </c>
      <c r="G1008" s="131" t="n">
        <v>2.06</v>
      </c>
    </row>
    <row r="1010" customFormat="false" ht="15" hidden="false" customHeight="false" outlineLevel="0" collapsed="false">
      <c r="A1010" s="40" t="s">
        <v>2022</v>
      </c>
      <c r="B1010" s="6"/>
      <c r="C1010" s="6"/>
      <c r="D1010" s="6"/>
      <c r="E1010" s="6"/>
      <c r="F1010" s="6"/>
      <c r="G1010" s="6"/>
      <c r="H1010" s="6"/>
      <c r="I1010" s="6"/>
      <c r="J1010" s="6"/>
      <c r="K1010" s="6"/>
      <c r="L1010" s="6"/>
    </row>
    <row r="1011" customFormat="false" ht="15" hidden="false" customHeight="false" outlineLevel="0" collapsed="false">
      <c r="A1011" s="3" t="s">
        <v>2023</v>
      </c>
    </row>
    <row r="1012" customFormat="false" ht="15" hidden="false" customHeight="false" outlineLevel="0" collapsed="false">
      <c r="A1012" s="2" t="s">
        <v>2024</v>
      </c>
    </row>
    <row r="1013" customFormat="false" ht="15" hidden="false" customHeight="false" outlineLevel="0" collapsed="false">
      <c r="A1013" s="90" t="s">
        <v>86</v>
      </c>
      <c r="B1013" s="130"/>
      <c r="C1013" s="91" t="s">
        <v>2025</v>
      </c>
      <c r="D1013" s="91" t="s">
        <v>2026</v>
      </c>
      <c r="E1013" s="91" t="s">
        <v>2027</v>
      </c>
      <c r="F1013" s="91" t="s">
        <v>2028</v>
      </c>
      <c r="G1013" s="91" t="s">
        <v>2029</v>
      </c>
    </row>
    <row r="1014" customFormat="false" ht="15" hidden="false" customHeight="false" outlineLevel="0" collapsed="false">
      <c r="A1014" s="11" t="s">
        <v>638</v>
      </c>
      <c r="C1014" s="30" t="n">
        <v>5726.6885</v>
      </c>
      <c r="D1014" s="131" t="n">
        <v>100</v>
      </c>
      <c r="E1014" s="30" t="n">
        <v>5149.3869</v>
      </c>
      <c r="F1014" s="131" t="n">
        <v>100</v>
      </c>
      <c r="G1014" s="131" t="n">
        <v>11.21</v>
      </c>
    </row>
    <row r="1015" customFormat="false" ht="15" hidden="false" customHeight="false" outlineLevel="0" collapsed="false">
      <c r="A1015" s="11" t="s">
        <v>2030</v>
      </c>
      <c r="C1015" s="30" t="n">
        <v>5726.6885</v>
      </c>
      <c r="D1015" s="131" t="n">
        <v>100</v>
      </c>
      <c r="E1015" s="30" t="n">
        <v>5149.3869</v>
      </c>
      <c r="F1015" s="131" t="n">
        <v>100</v>
      </c>
      <c r="G1015" s="131" t="n">
        <v>11.21</v>
      </c>
    </row>
    <row r="1016" customFormat="false" ht="15" hidden="false" customHeight="false" outlineLevel="0" collapsed="false">
      <c r="A1016" s="11" t="s">
        <v>2031</v>
      </c>
      <c r="C1016" s="30" t="n">
        <v>2196.3991</v>
      </c>
      <c r="D1016" s="131" t="n">
        <v>38.35</v>
      </c>
      <c r="E1016" s="30" t="n">
        <v>1461.1536</v>
      </c>
      <c r="F1016" s="131" t="n">
        <v>28.38</v>
      </c>
      <c r="G1016" s="131" t="n">
        <v>50.32</v>
      </c>
    </row>
    <row r="1017" customFormat="false" ht="15" hidden="false" customHeight="false" outlineLevel="0" collapsed="false">
      <c r="A1017" s="11" t="s">
        <v>2032</v>
      </c>
      <c r="C1017" s="30" t="n">
        <v>1987.0488</v>
      </c>
      <c r="D1017" s="131" t="n">
        <v>34.7</v>
      </c>
      <c r="E1017" s="30" t="n">
        <v>2458.6047</v>
      </c>
      <c r="F1017" s="131" t="n">
        <v>47.75</v>
      </c>
      <c r="G1017" s="131" t="n">
        <v>-19.18</v>
      </c>
    </row>
    <row r="1018" customFormat="false" ht="15" hidden="false" customHeight="false" outlineLevel="0" collapsed="false">
      <c r="A1018" s="11" t="s">
        <v>2033</v>
      </c>
      <c r="C1018" s="30" t="n">
        <v>109.1019</v>
      </c>
      <c r="D1018" s="131" t="n">
        <v>1.91</v>
      </c>
      <c r="E1018" s="30" t="n">
        <v>113.504</v>
      </c>
      <c r="F1018" s="131" t="n">
        <v>2.2</v>
      </c>
      <c r="G1018" s="131" t="n">
        <v>-3.88</v>
      </c>
    </row>
    <row r="1019" customFormat="false" ht="15" hidden="false" customHeight="false" outlineLevel="0" collapsed="false">
      <c r="A1019" s="11" t="s">
        <v>2034</v>
      </c>
      <c r="C1019" s="30" t="n">
        <v>1434.1388</v>
      </c>
      <c r="D1019" s="131" t="n">
        <v>25.04</v>
      </c>
      <c r="E1019" s="30" t="n">
        <v>1116.1247</v>
      </c>
      <c r="F1019" s="131" t="n">
        <v>21.67</v>
      </c>
      <c r="G1019" s="131" t="n">
        <v>28.49</v>
      </c>
    </row>
    <row r="1020" customFormat="false" ht="15" hidden="false" customHeight="false" outlineLevel="0" collapsed="false">
      <c r="A1020" s="11" t="s">
        <v>2035</v>
      </c>
      <c r="C1020" s="30" t="n">
        <v>4575.2063</v>
      </c>
      <c r="D1020" s="131" t="n">
        <v>79.89</v>
      </c>
      <c r="E1020" s="30" t="n">
        <v>4061.8659</v>
      </c>
      <c r="F1020" s="131" t="n">
        <v>78.88</v>
      </c>
      <c r="G1020" s="131" t="n">
        <v>12.64</v>
      </c>
    </row>
    <row r="1021" customFormat="false" ht="15" hidden="false" customHeight="false" outlineLevel="0" collapsed="false">
      <c r="A1021" s="11" t="s">
        <v>2036</v>
      </c>
      <c r="C1021" s="30" t="n">
        <v>1151.4822</v>
      </c>
      <c r="D1021" s="131" t="n">
        <v>20.11</v>
      </c>
      <c r="E1021" s="30" t="n">
        <v>1087.521</v>
      </c>
      <c r="F1021" s="131" t="n">
        <v>21.12</v>
      </c>
      <c r="G1021" s="131" t="n">
        <v>5.88</v>
      </c>
    </row>
    <row r="1022" customFormat="false" ht="15" hidden="false" customHeight="false" outlineLevel="0" collapsed="false">
      <c r="A1022" s="11" t="s">
        <v>2037</v>
      </c>
      <c r="C1022" s="30" t="n">
        <v>4735.6298</v>
      </c>
      <c r="D1022" s="131" t="n">
        <v>82.69</v>
      </c>
      <c r="E1022" s="30" t="n">
        <v>4604.8798</v>
      </c>
      <c r="F1022" s="131" t="n">
        <v>89.43</v>
      </c>
      <c r="G1022" s="131" t="n">
        <v>2.84</v>
      </c>
    </row>
    <row r="1023" customFormat="false" ht="15" hidden="false" customHeight="false" outlineLevel="0" collapsed="false">
      <c r="A1023" s="11" t="s">
        <v>2038</v>
      </c>
      <c r="C1023" s="30" t="n">
        <v>991.0587</v>
      </c>
      <c r="D1023" s="131" t="n">
        <v>17.31</v>
      </c>
      <c r="E1023" s="30" t="n">
        <v>544.5072</v>
      </c>
      <c r="F1023" s="131" t="n">
        <v>10.57</v>
      </c>
      <c r="G1023" s="131" t="n">
        <v>82.01</v>
      </c>
    </row>
    <row r="1025" customFormat="false" ht="15" hidden="false" customHeight="false" outlineLevel="0" collapsed="false">
      <c r="A1025" s="3" t="s">
        <v>2039</v>
      </c>
    </row>
    <row r="1026" customFormat="false" ht="15" hidden="false" customHeight="false" outlineLevel="0" collapsed="false">
      <c r="A1026" s="2" t="s">
        <v>2040</v>
      </c>
    </row>
    <row r="1027" customFormat="false" ht="15" hidden="false" customHeight="false" outlineLevel="0" collapsed="false">
      <c r="A1027" s="90" t="s">
        <v>86</v>
      </c>
      <c r="B1027" s="130"/>
      <c r="C1027" s="91" t="s">
        <v>2041</v>
      </c>
      <c r="D1027" s="91" t="s">
        <v>2042</v>
      </c>
      <c r="E1027" s="91" t="s">
        <v>2025</v>
      </c>
      <c r="F1027" s="91" t="s">
        <v>2026</v>
      </c>
      <c r="G1027" s="91" t="s">
        <v>2029</v>
      </c>
    </row>
    <row r="1028" customFormat="false" ht="15" hidden="false" customHeight="false" outlineLevel="0" collapsed="false">
      <c r="A1028" s="11" t="s">
        <v>638</v>
      </c>
      <c r="C1028" s="30" t="n">
        <v>7374.9908</v>
      </c>
      <c r="D1028" s="131" t="n">
        <v>100</v>
      </c>
      <c r="E1028" s="30" t="n">
        <v>5726.6885</v>
      </c>
      <c r="F1028" s="131" t="n">
        <v>100</v>
      </c>
      <c r="G1028" s="131" t="n">
        <v>28.78</v>
      </c>
    </row>
    <row r="1029" customFormat="false" ht="15" hidden="false" customHeight="false" outlineLevel="0" collapsed="false">
      <c r="A1029" s="11" t="s">
        <v>2030</v>
      </c>
      <c r="C1029" s="30" t="n">
        <v>7374.9908</v>
      </c>
      <c r="D1029" s="131" t="n">
        <v>100</v>
      </c>
      <c r="E1029" s="30" t="n">
        <v>5726.6885</v>
      </c>
      <c r="F1029" s="131" t="n">
        <v>100</v>
      </c>
      <c r="G1029" s="131" t="n">
        <v>28.78</v>
      </c>
    </row>
    <row r="1030" customFormat="false" ht="15" hidden="false" customHeight="false" outlineLevel="0" collapsed="false">
      <c r="A1030" s="11" t="s">
        <v>2043</v>
      </c>
      <c r="C1030" s="30" t="n">
        <v>6196.8947</v>
      </c>
      <c r="D1030" s="131" t="n">
        <v>84.03</v>
      </c>
      <c r="E1030" s="30" t="n">
        <v>4630.0012</v>
      </c>
      <c r="F1030" s="131" t="n">
        <v>80.85</v>
      </c>
      <c r="G1030" s="131" t="n">
        <v>33.84</v>
      </c>
    </row>
    <row r="1031" customFormat="false" ht="15" hidden="false" customHeight="false" outlineLevel="0" collapsed="false">
      <c r="A1031" s="11" t="s">
        <v>2034</v>
      </c>
      <c r="C1031" s="30" t="n">
        <v>1178.0961</v>
      </c>
      <c r="D1031" s="131" t="n">
        <v>15.97</v>
      </c>
      <c r="E1031" s="30" t="n">
        <v>1096.6874</v>
      </c>
      <c r="F1031" s="131" t="n">
        <v>19.15</v>
      </c>
      <c r="G1031" s="131" t="n">
        <v>7.42</v>
      </c>
    </row>
    <row r="1033" customFormat="false" ht="15" hidden="false" customHeight="false" outlineLevel="0" collapsed="false">
      <c r="A1033" s="3" t="s">
        <v>2044</v>
      </c>
    </row>
    <row r="1034" customFormat="false" ht="15" hidden="false" customHeight="false" outlineLevel="0" collapsed="false">
      <c r="A1034" s="2" t="s">
        <v>2045</v>
      </c>
    </row>
    <row r="1035" customFormat="false" ht="15" hidden="false" customHeight="false" outlineLevel="0" collapsed="false">
      <c r="A1035" s="90" t="s">
        <v>86</v>
      </c>
      <c r="B1035" s="130"/>
      <c r="C1035" s="91" t="s">
        <v>2046</v>
      </c>
      <c r="D1035" s="91" t="s">
        <v>2047</v>
      </c>
      <c r="E1035" s="91" t="s">
        <v>2041</v>
      </c>
      <c r="F1035" s="91" t="s">
        <v>2042</v>
      </c>
      <c r="G1035" s="91" t="s">
        <v>2029</v>
      </c>
    </row>
    <row r="1036" customFormat="false" ht="15" hidden="false" customHeight="false" outlineLevel="0" collapsed="false">
      <c r="A1036" s="11" t="s">
        <v>638</v>
      </c>
      <c r="C1036" s="30" t="n">
        <v>9007.1539</v>
      </c>
      <c r="D1036" s="131" t="n">
        <v>100</v>
      </c>
      <c r="E1036" s="30" t="n">
        <v>7374.9908</v>
      </c>
      <c r="F1036" s="131" t="n">
        <v>100</v>
      </c>
      <c r="G1036" s="131" t="n">
        <v>22.13</v>
      </c>
    </row>
    <row r="1037" customFormat="false" ht="15" hidden="false" customHeight="false" outlineLevel="0" collapsed="false">
      <c r="A1037" s="11" t="s">
        <v>2030</v>
      </c>
      <c r="C1037" s="30" t="n">
        <v>9007.1539</v>
      </c>
      <c r="D1037" s="131" t="n">
        <v>100</v>
      </c>
      <c r="E1037" s="30" t="n">
        <v>7374.9908</v>
      </c>
      <c r="F1037" s="131" t="n">
        <v>100</v>
      </c>
      <c r="G1037" s="131" t="n">
        <v>22.13</v>
      </c>
    </row>
    <row r="1038" customFormat="false" ht="15" hidden="false" customHeight="false" outlineLevel="0" collapsed="false">
      <c r="A1038" s="11" t="s">
        <v>2048</v>
      </c>
      <c r="C1038" s="30" t="n">
        <v>3308.0896</v>
      </c>
      <c r="D1038" s="131" t="n">
        <v>36.73</v>
      </c>
      <c r="E1038" s="30" t="n">
        <v>2298.159</v>
      </c>
      <c r="F1038" s="131" t="n">
        <v>31.16</v>
      </c>
      <c r="G1038" s="131" t="n">
        <v>43.95</v>
      </c>
    </row>
    <row r="1039" customFormat="false" ht="15" hidden="false" customHeight="false" outlineLevel="0" collapsed="false">
      <c r="A1039" s="11" t="s">
        <v>2049</v>
      </c>
      <c r="C1039" s="30" t="n">
        <v>1959.378</v>
      </c>
      <c r="D1039" s="131" t="n">
        <v>21.75</v>
      </c>
      <c r="E1039" s="30" t="n">
        <v>1677.2328</v>
      </c>
      <c r="F1039" s="131" t="n">
        <v>22.74</v>
      </c>
      <c r="G1039" s="131" t="n">
        <v>16.82</v>
      </c>
    </row>
    <row r="1040" customFormat="false" ht="15" hidden="false" customHeight="false" outlineLevel="0" collapsed="false">
      <c r="A1040" s="11" t="s">
        <v>2050</v>
      </c>
      <c r="C1040" s="30" t="n">
        <v>2594.3099</v>
      </c>
      <c r="D1040" s="131" t="n">
        <v>28.8</v>
      </c>
      <c r="E1040" s="30" t="n">
        <v>2305.9847</v>
      </c>
      <c r="F1040" s="131" t="n">
        <v>31.27</v>
      </c>
      <c r="G1040" s="131" t="n">
        <v>12.5</v>
      </c>
    </row>
    <row r="1041" customFormat="false" ht="15" hidden="false" customHeight="false" outlineLevel="0" collapsed="false">
      <c r="A1041" s="11" t="s">
        <v>2051</v>
      </c>
      <c r="C1041" s="30" t="n">
        <v>601.7534</v>
      </c>
      <c r="D1041" s="131" t="n">
        <v>6.68</v>
      </c>
      <c r="E1041" s="30" t="n">
        <v>536.8247</v>
      </c>
      <c r="F1041" s="131" t="n">
        <v>7.28</v>
      </c>
      <c r="G1041" s="131" t="n">
        <v>12.09</v>
      </c>
    </row>
    <row r="1042" customFormat="false" ht="15" hidden="false" customHeight="false" outlineLevel="0" collapsed="false">
      <c r="A1042" s="11" t="s">
        <v>2034</v>
      </c>
      <c r="C1042" s="30" t="n">
        <v>404.9964</v>
      </c>
      <c r="D1042" s="131" t="n">
        <v>4.5</v>
      </c>
      <c r="E1042" s="30" t="n">
        <v>447.9315</v>
      </c>
      <c r="F1042" s="131" t="n">
        <v>6.07</v>
      </c>
      <c r="G1042" s="131" t="n">
        <v>-9.59</v>
      </c>
    </row>
    <row r="1043" customFormat="false" ht="15" hidden="false" customHeight="false" outlineLevel="0" collapsed="false">
      <c r="A1043" s="11" t="s">
        <v>2052</v>
      </c>
      <c r="C1043" s="30" t="n">
        <v>138.6266</v>
      </c>
      <c r="D1043" s="131" t="n">
        <v>1.54</v>
      </c>
      <c r="E1043" s="30" t="n">
        <v>108.8582</v>
      </c>
      <c r="F1043" s="131" t="n">
        <v>1.48</v>
      </c>
      <c r="G1043" s="131" t="n">
        <v>27.35</v>
      </c>
    </row>
    <row r="1045" customFormat="false" ht="15" hidden="false" customHeight="false" outlineLevel="0" collapsed="false">
      <c r="A1045" s="3" t="s">
        <v>2053</v>
      </c>
    </row>
    <row r="1046" customFormat="false" ht="15" hidden="false" customHeight="false" outlineLevel="0" collapsed="false">
      <c r="A1046" s="2" t="s">
        <v>2054</v>
      </c>
    </row>
    <row r="1047" customFormat="false" ht="15" hidden="false" customHeight="false" outlineLevel="0" collapsed="false">
      <c r="A1047" s="90" t="s">
        <v>86</v>
      </c>
      <c r="B1047" s="130"/>
      <c r="C1047" s="130" t="s">
        <v>17</v>
      </c>
      <c r="D1047" s="130" t="s">
        <v>951</v>
      </c>
      <c r="E1047" s="130" t="s">
        <v>2055</v>
      </c>
      <c r="F1047" s="130" t="s">
        <v>2056</v>
      </c>
      <c r="G1047" s="130" t="s">
        <v>2057</v>
      </c>
      <c r="H1047" s="130" t="s">
        <v>2058</v>
      </c>
    </row>
    <row r="1048" customFormat="false" ht="15" hidden="false" customHeight="false" outlineLevel="0" collapsed="false">
      <c r="A1048" s="11" t="s">
        <v>2030</v>
      </c>
      <c r="C1048" s="30" t="n">
        <v>5726.6885</v>
      </c>
      <c r="D1048" s="30" t="n">
        <v>3445.5299</v>
      </c>
      <c r="E1048" s="131" t="n">
        <v>39.83</v>
      </c>
      <c r="F1048" s="131" t="n">
        <v>11.21</v>
      </c>
      <c r="G1048" s="131" t="n">
        <v>19.71</v>
      </c>
      <c r="H1048" s="30" t="n">
        <v>0</v>
      </c>
    </row>
    <row r="1049" customFormat="false" ht="15" hidden="false" customHeight="false" outlineLevel="0" collapsed="false">
      <c r="A1049" s="11" t="s">
        <v>2031</v>
      </c>
      <c r="C1049" s="30" t="n">
        <v>2196.3991</v>
      </c>
      <c r="D1049" s="30" t="n">
        <v>1484.1501</v>
      </c>
      <c r="E1049" s="131" t="n">
        <v>32.43</v>
      </c>
      <c r="F1049" s="131" t="n">
        <v>50.32</v>
      </c>
      <c r="G1049" s="131" t="n">
        <v>84.22</v>
      </c>
      <c r="H1049" s="30" t="n">
        <v>0</v>
      </c>
    </row>
    <row r="1050" customFormat="false" ht="15" hidden="false" customHeight="false" outlineLevel="0" collapsed="false">
      <c r="A1050" s="11" t="s">
        <v>2032</v>
      </c>
      <c r="C1050" s="30" t="n">
        <v>1987.0488</v>
      </c>
      <c r="D1050" s="30" t="n">
        <v>1184.2438</v>
      </c>
      <c r="E1050" s="131" t="n">
        <v>40.4</v>
      </c>
      <c r="F1050" s="131" t="n">
        <v>-19.18</v>
      </c>
      <c r="G1050" s="131" t="n">
        <v>-18.09</v>
      </c>
      <c r="H1050" s="30" t="n">
        <v>0</v>
      </c>
    </row>
    <row r="1051" customFormat="false" ht="15" hidden="false" customHeight="false" outlineLevel="0" collapsed="false">
      <c r="A1051" s="11" t="s">
        <v>2035</v>
      </c>
      <c r="C1051" s="30" t="n">
        <v>4575.2063</v>
      </c>
      <c r="D1051" s="30" t="n">
        <v>2817.0454</v>
      </c>
      <c r="E1051" s="131" t="n">
        <v>38.43</v>
      </c>
      <c r="F1051" s="131" t="n">
        <v>12.64</v>
      </c>
      <c r="G1051" s="131" t="n">
        <v>22.76</v>
      </c>
      <c r="H1051" s="30" t="n">
        <v>0</v>
      </c>
    </row>
    <row r="1052" customFormat="false" ht="15" hidden="false" customHeight="false" outlineLevel="0" collapsed="false">
      <c r="A1052" s="11" t="s">
        <v>2036</v>
      </c>
      <c r="C1052" s="30" t="n">
        <v>1151.4822</v>
      </c>
      <c r="D1052" s="30" t="n">
        <v>628.4844</v>
      </c>
      <c r="E1052" s="131" t="n">
        <v>45.42</v>
      </c>
      <c r="F1052" s="131" t="n">
        <v>5.88</v>
      </c>
      <c r="G1052" s="131" t="n">
        <v>7.7</v>
      </c>
      <c r="H1052" s="30" t="n">
        <v>0</v>
      </c>
    </row>
    <row r="1053" customFormat="false" ht="15" hidden="false" customHeight="false" outlineLevel="0" collapsed="false">
      <c r="A1053" s="11" t="s">
        <v>2037</v>
      </c>
      <c r="C1053" s="30" t="n">
        <v>4735.6298</v>
      </c>
      <c r="D1053" s="30" t="n">
        <v>2747.0103</v>
      </c>
      <c r="E1053" s="131" t="n">
        <v>41.99</v>
      </c>
      <c r="F1053" s="131" t="n">
        <v>2.84</v>
      </c>
      <c r="G1053" s="131" t="n">
        <v>10.34</v>
      </c>
      <c r="H1053" s="30" t="n">
        <v>0</v>
      </c>
    </row>
    <row r="1054" customFormat="false" ht="15" hidden="false" customHeight="false" outlineLevel="0" collapsed="false">
      <c r="A1054" s="11" t="s">
        <v>2038</v>
      </c>
      <c r="C1054" s="30" t="n">
        <v>991.0587</v>
      </c>
      <c r="D1054" s="30" t="n">
        <v>698.5196</v>
      </c>
      <c r="E1054" s="131" t="n">
        <v>29.52</v>
      </c>
      <c r="F1054" s="131" t="n">
        <v>82.01</v>
      </c>
      <c r="G1054" s="131" t="n">
        <v>79.74</v>
      </c>
      <c r="H1054" s="30" t="n">
        <v>0</v>
      </c>
    </row>
    <row r="1056" customFormat="false" ht="15" hidden="false" customHeight="false" outlineLevel="0" collapsed="false">
      <c r="A1056" s="3" t="s">
        <v>2059</v>
      </c>
    </row>
    <row r="1057" customFormat="false" ht="15" hidden="false" customHeight="false" outlineLevel="0" collapsed="false">
      <c r="A1057" s="2" t="s">
        <v>2060</v>
      </c>
    </row>
    <row r="1058" customFormat="false" ht="15" hidden="false" customHeight="false" outlineLevel="0" collapsed="false">
      <c r="A1058" s="90" t="s">
        <v>86</v>
      </c>
      <c r="B1058" s="130"/>
      <c r="C1058" s="130" t="s">
        <v>17</v>
      </c>
      <c r="D1058" s="130" t="s">
        <v>951</v>
      </c>
      <c r="E1058" s="130" t="s">
        <v>2055</v>
      </c>
      <c r="F1058" s="130" t="s">
        <v>2056</v>
      </c>
      <c r="G1058" s="130" t="s">
        <v>2057</v>
      </c>
      <c r="H1058" s="130" t="s">
        <v>2058</v>
      </c>
    </row>
    <row r="1059" customFormat="false" ht="15" hidden="false" customHeight="false" outlineLevel="0" collapsed="false">
      <c r="A1059" s="11" t="s">
        <v>2030</v>
      </c>
      <c r="C1059" s="30" t="n">
        <v>7374.9908</v>
      </c>
      <c r="D1059" s="30" t="n">
        <v>4204.8637</v>
      </c>
      <c r="E1059" s="131" t="n">
        <v>42.98</v>
      </c>
      <c r="F1059" s="131" t="n">
        <v>28.78</v>
      </c>
      <c r="G1059" s="131" t="n">
        <v>22.04</v>
      </c>
      <c r="H1059" s="30" t="n">
        <v>0</v>
      </c>
    </row>
    <row r="1060" customFormat="false" ht="15" hidden="false" customHeight="false" outlineLevel="0" collapsed="false">
      <c r="A1060" s="11" t="s">
        <v>2043</v>
      </c>
      <c r="C1060" s="30" t="n">
        <v>6196.8947</v>
      </c>
      <c r="D1060" s="30" t="n">
        <v>3597.8407</v>
      </c>
      <c r="E1060" s="131" t="n">
        <v>41.94</v>
      </c>
      <c r="F1060" s="131" t="n">
        <v>33.84</v>
      </c>
      <c r="G1060" s="131" t="n">
        <v>20.09</v>
      </c>
      <c r="H1060" s="30" t="n">
        <v>0</v>
      </c>
    </row>
    <row r="1062" customFormat="false" ht="15" hidden="false" customHeight="false" outlineLevel="0" collapsed="false">
      <c r="A1062" s="3" t="s">
        <v>2061</v>
      </c>
    </row>
    <row r="1063" customFormat="false" ht="15" hidden="false" customHeight="false" outlineLevel="0" collapsed="false">
      <c r="A1063" s="2" t="s">
        <v>2062</v>
      </c>
    </row>
    <row r="1064" customFormat="false" ht="15" hidden="false" customHeight="false" outlineLevel="0" collapsed="false">
      <c r="A1064" s="90" t="s">
        <v>86</v>
      </c>
      <c r="B1064" s="130"/>
      <c r="C1064" s="130" t="s">
        <v>17</v>
      </c>
      <c r="D1064" s="130" t="s">
        <v>951</v>
      </c>
      <c r="E1064" s="130" t="s">
        <v>2055</v>
      </c>
      <c r="F1064" s="130" t="s">
        <v>2056</v>
      </c>
      <c r="G1064" s="130" t="s">
        <v>2057</v>
      </c>
      <c r="H1064" s="130" t="s">
        <v>2058</v>
      </c>
    </row>
    <row r="1065" customFormat="false" ht="15" hidden="false" customHeight="false" outlineLevel="0" collapsed="false">
      <c r="A1065" s="11" t="s">
        <v>2030</v>
      </c>
      <c r="C1065" s="30" t="n">
        <v>9007.1539</v>
      </c>
      <c r="D1065" s="30" t="n">
        <v>5211.7617</v>
      </c>
      <c r="E1065" s="131" t="n">
        <v>42.14</v>
      </c>
      <c r="F1065" s="131" t="n">
        <v>22.13</v>
      </c>
      <c r="G1065" s="131" t="n">
        <v>23.95</v>
      </c>
      <c r="H1065" s="30" t="n">
        <v>0</v>
      </c>
    </row>
    <row r="1066" customFormat="false" ht="15" hidden="false" customHeight="false" outlineLevel="0" collapsed="false">
      <c r="A1066" s="11" t="s">
        <v>2048</v>
      </c>
      <c r="C1066" s="30" t="n">
        <v>3308.0896</v>
      </c>
      <c r="D1066" s="30" t="n">
        <v>1908.6416</v>
      </c>
      <c r="E1066" s="131" t="n">
        <v>42.3</v>
      </c>
      <c r="F1066" s="131" t="n">
        <v>43.95</v>
      </c>
      <c r="G1066" s="131" t="n">
        <v>49.29</v>
      </c>
      <c r="H1066" s="30" t="n">
        <v>0</v>
      </c>
    </row>
    <row r="1067" customFormat="false" ht="15" hidden="false" customHeight="false" outlineLevel="0" collapsed="false">
      <c r="A1067" s="11" t="s">
        <v>2049</v>
      </c>
      <c r="C1067" s="30" t="n">
        <v>1959.378</v>
      </c>
      <c r="D1067" s="30" t="n">
        <v>1213.1183</v>
      </c>
      <c r="E1067" s="131" t="n">
        <v>38.09</v>
      </c>
      <c r="F1067" s="131" t="n">
        <v>16.82</v>
      </c>
      <c r="G1067" s="131" t="n">
        <v>21.7</v>
      </c>
      <c r="H1067" s="30" t="n">
        <v>0</v>
      </c>
    </row>
    <row r="1068" customFormat="false" ht="15" hidden="false" customHeight="false" outlineLevel="0" collapsed="false">
      <c r="A1068" s="11" t="s">
        <v>2050</v>
      </c>
      <c r="C1068" s="30" t="n">
        <v>2594.3099</v>
      </c>
      <c r="D1068" s="30" t="n">
        <v>1443.6034</v>
      </c>
      <c r="E1068" s="131" t="n">
        <v>44.36</v>
      </c>
      <c r="F1068" s="131" t="n">
        <v>12.5</v>
      </c>
      <c r="G1068" s="131" t="n">
        <v>11.65</v>
      </c>
      <c r="H1068" s="30" t="n">
        <v>0</v>
      </c>
    </row>
    <row r="1070" customFormat="false" ht="15" hidden="false" customHeight="false" outlineLevel="0" collapsed="false">
      <c r="A1070" s="3" t="s">
        <v>2063</v>
      </c>
    </row>
    <row r="1071" customFormat="false" ht="15" hidden="false" customHeight="false" outlineLevel="0" collapsed="false">
      <c r="A1071" s="2" t="s">
        <v>2064</v>
      </c>
    </row>
    <row r="1072" customFormat="false" ht="15" hidden="false" customHeight="false" outlineLevel="0" collapsed="false">
      <c r="A1072" s="90" t="s">
        <v>86</v>
      </c>
      <c r="B1072" s="130"/>
      <c r="C1072" s="130" t="s">
        <v>17</v>
      </c>
      <c r="D1072" s="130" t="s">
        <v>951</v>
      </c>
      <c r="E1072" s="130" t="s">
        <v>2055</v>
      </c>
      <c r="F1072" s="130" t="s">
        <v>2056</v>
      </c>
      <c r="G1072" s="130" t="s">
        <v>2057</v>
      </c>
      <c r="H1072" s="130" t="s">
        <v>2058</v>
      </c>
    </row>
    <row r="1073" customFormat="false" ht="15" hidden="false" customHeight="false" outlineLevel="0" collapsed="false">
      <c r="A1073" s="11" t="s">
        <v>2065</v>
      </c>
      <c r="C1073" s="30" t="n">
        <v>3506.8685</v>
      </c>
      <c r="D1073" s="30" t="n">
        <v>2104.1511</v>
      </c>
      <c r="E1073" s="131" t="n">
        <v>40</v>
      </c>
      <c r="F1073" s="131" t="n">
        <v>21.46</v>
      </c>
      <c r="G1073" s="131" t="n">
        <v>22.1</v>
      </c>
      <c r="H1073" s="30" t="n">
        <v>0</v>
      </c>
    </row>
    <row r="1075" customFormat="false" ht="15" hidden="false" customHeight="false" outlineLevel="0" collapsed="false">
      <c r="A1075" s="3" t="s">
        <v>2066</v>
      </c>
    </row>
    <row r="1076" customFormat="false" ht="15" hidden="false" customHeight="false" outlineLevel="0" collapsed="false">
      <c r="A1076" s="2" t="s">
        <v>2067</v>
      </c>
    </row>
    <row r="1077" customFormat="false" ht="15" hidden="false" customHeight="false" outlineLevel="0" collapsed="false">
      <c r="A1077" s="90" t="s">
        <v>86</v>
      </c>
      <c r="B1077" s="130"/>
      <c r="C1077" s="130" t="s">
        <v>17</v>
      </c>
      <c r="D1077" s="130" t="s">
        <v>951</v>
      </c>
      <c r="E1077" s="130" t="s">
        <v>2055</v>
      </c>
      <c r="F1077" s="130" t="s">
        <v>2056</v>
      </c>
      <c r="G1077" s="130" t="s">
        <v>2057</v>
      </c>
      <c r="H1077" s="130" t="s">
        <v>2058</v>
      </c>
    </row>
    <row r="1078" customFormat="false" ht="15" hidden="false" customHeight="false" outlineLevel="0" collapsed="false">
      <c r="A1078" s="11" t="s">
        <v>2065</v>
      </c>
      <c r="C1078" s="30" t="n">
        <v>6080.7434</v>
      </c>
      <c r="D1078" s="30" t="n">
        <v>3391.4235</v>
      </c>
      <c r="E1078" s="131" t="n">
        <v>44.23</v>
      </c>
      <c r="F1078" s="131" t="n">
        <v>54.97</v>
      </c>
      <c r="G1078" s="131" t="n">
        <v>48.27</v>
      </c>
      <c r="H1078" s="30" t="n">
        <v>0</v>
      </c>
    </row>
    <row r="1080" customFormat="false" ht="15" hidden="false" customHeight="false" outlineLevel="0" collapsed="false">
      <c r="A1080" s="3" t="s">
        <v>2068</v>
      </c>
    </row>
    <row r="1081" customFormat="false" ht="15" hidden="false" customHeight="false" outlineLevel="0" collapsed="false">
      <c r="A1081" s="2" t="s">
        <v>2069</v>
      </c>
    </row>
    <row r="1082" customFormat="false" ht="15" hidden="false" customHeight="false" outlineLevel="0" collapsed="false">
      <c r="A1082" s="90" t="s">
        <v>86</v>
      </c>
      <c r="B1082" s="130"/>
      <c r="C1082" s="91" t="s">
        <v>1450</v>
      </c>
      <c r="D1082" s="91" t="s">
        <v>1451</v>
      </c>
      <c r="E1082" s="91" t="s">
        <v>1452</v>
      </c>
      <c r="F1082" s="91" t="s">
        <v>1453</v>
      </c>
      <c r="G1082" s="91" t="s">
        <v>1614</v>
      </c>
      <c r="H1082" s="91" t="s">
        <v>1272</v>
      </c>
      <c r="I1082" s="91" t="s">
        <v>1273</v>
      </c>
    </row>
    <row r="1083" customFormat="false" ht="15" hidden="false" customHeight="false" outlineLevel="0" collapsed="false">
      <c r="A1083" s="11" t="s">
        <v>2070</v>
      </c>
      <c r="C1083" s="30" t="n">
        <v>5088.7274</v>
      </c>
      <c r="D1083" s="30" t="n">
        <v>5681.5293</v>
      </c>
      <c r="E1083" s="30" t="n">
        <v>7266.1327</v>
      </c>
      <c r="F1083" s="30" t="n">
        <v>8868.5273</v>
      </c>
      <c r="G1083" s="30" t="n">
        <v>3394.3053</v>
      </c>
      <c r="H1083" s="30" t="n">
        <v>4107.5017</v>
      </c>
      <c r="I1083" s="30" t="n">
        <v>6313.4964</v>
      </c>
    </row>
    <row r="1084" customFormat="false" ht="15" hidden="false" customHeight="false" outlineLevel="0" collapsed="false">
      <c r="A1084" s="11" t="s">
        <v>2071</v>
      </c>
      <c r="C1084" s="30" t="n">
        <v>2855.4941</v>
      </c>
      <c r="D1084" s="30" t="n">
        <v>3442.1657</v>
      </c>
      <c r="E1084" s="30" t="n">
        <v>4185.3484</v>
      </c>
      <c r="F1084" s="30" t="n">
        <v>5183.4304</v>
      </c>
      <c r="G1084" s="30" t="n">
        <v>1977.9065</v>
      </c>
      <c r="H1084" s="30" t="n">
        <v>2399.9123</v>
      </c>
      <c r="I1084" s="30" t="n">
        <v>3556.0614</v>
      </c>
    </row>
    <row r="1085" customFormat="false" ht="15" hidden="false" customHeight="false" outlineLevel="0" collapsed="false">
      <c r="A1085" s="11" t="s">
        <v>635</v>
      </c>
      <c r="C1085" s="30" t="n">
        <v>60.6595</v>
      </c>
      <c r="D1085" s="30" t="n">
        <v>45.1592</v>
      </c>
      <c r="E1085" s="30" t="n">
        <v>108.8582</v>
      </c>
      <c r="F1085" s="30" t="n">
        <v>138.6266</v>
      </c>
      <c r="G1085" s="30" t="n">
        <v>33.1004</v>
      </c>
      <c r="H1085" s="30" t="n">
        <v>41.2934</v>
      </c>
      <c r="I1085" s="30" t="n">
        <v>109.8353</v>
      </c>
    </row>
    <row r="1086" customFormat="false" ht="15" hidden="false" customHeight="false" outlineLevel="0" collapsed="false">
      <c r="A1086" s="11" t="s">
        <v>2072</v>
      </c>
      <c r="C1086" s="30" t="n">
        <v>22.8268</v>
      </c>
      <c r="D1086" s="30" t="n">
        <v>3.3642</v>
      </c>
      <c r="E1086" s="30" t="n">
        <v>19.5153</v>
      </c>
      <c r="F1086" s="30" t="n">
        <v>28.3312</v>
      </c>
      <c r="G1086" s="30" t="n">
        <v>13.5014</v>
      </c>
      <c r="H1086" s="30" t="n">
        <v>7.4674</v>
      </c>
      <c r="I1086" s="30" t="n">
        <v>20.4715</v>
      </c>
    </row>
    <row r="1087" customFormat="false" ht="15" hidden="false" customHeight="false" outlineLevel="0" collapsed="false">
      <c r="A1087" s="11" t="s">
        <v>638</v>
      </c>
      <c r="C1087" s="30" t="n">
        <v>5149.3869</v>
      </c>
      <c r="D1087" s="30" t="n">
        <v>5726.6885</v>
      </c>
      <c r="E1087" s="30" t="n">
        <v>7374.9908</v>
      </c>
      <c r="F1087" s="30" t="n">
        <v>9007.1539</v>
      </c>
      <c r="G1087" s="30" t="n">
        <v>3427.4058</v>
      </c>
      <c r="H1087" s="30" t="n">
        <v>4148.7951</v>
      </c>
      <c r="I1087" s="30" t="n">
        <v>6423.3318</v>
      </c>
    </row>
    <row r="1088" customFormat="false" ht="15" hidden="false" customHeight="false" outlineLevel="0" collapsed="false">
      <c r="A1088" s="11" t="s">
        <v>691</v>
      </c>
      <c r="C1088" s="30" t="n">
        <v>2878.3209</v>
      </c>
      <c r="D1088" s="30" t="n">
        <v>3445.5299</v>
      </c>
      <c r="E1088" s="30" t="n">
        <v>4204.8637</v>
      </c>
      <c r="F1088" s="30" t="n">
        <v>5211.7617</v>
      </c>
      <c r="G1088" s="30" t="n">
        <v>1991.4079</v>
      </c>
      <c r="H1088" s="30" t="n">
        <v>2407.3798</v>
      </c>
      <c r="I1088" s="30" t="n">
        <v>3576.5329</v>
      </c>
    </row>
    <row r="1090" customFormat="false" ht="15" hidden="false" customHeight="false" outlineLevel="0" collapsed="false">
      <c r="A1090" s="3" t="s">
        <v>2073</v>
      </c>
    </row>
    <row r="1091" customFormat="false" ht="15" hidden="false" customHeight="false" outlineLevel="0" collapsed="false">
      <c r="A1091" s="2" t="s">
        <v>2074</v>
      </c>
    </row>
    <row r="1092" customFormat="false" ht="15" hidden="false" customHeight="false" outlineLevel="0" collapsed="false">
      <c r="A1092" s="90" t="s">
        <v>86</v>
      </c>
      <c r="B1092" s="130"/>
      <c r="C1092" s="91" t="s">
        <v>1450</v>
      </c>
      <c r="D1092" s="91" t="s">
        <v>1451</v>
      </c>
      <c r="E1092" s="91" t="s">
        <v>1452</v>
      </c>
      <c r="F1092" s="91" t="s">
        <v>1453</v>
      </c>
    </row>
    <row r="1093" customFormat="false" ht="15" hidden="false" customHeight="false" outlineLevel="0" collapsed="false">
      <c r="A1093" s="11" t="s">
        <v>592</v>
      </c>
      <c r="C1093" s="131" t="n">
        <v>15932021.8</v>
      </c>
      <c r="D1093" s="131" t="n">
        <v>28725608.91</v>
      </c>
      <c r="E1093" s="131" t="n">
        <v>38161069.07</v>
      </c>
      <c r="F1093" s="131" t="n">
        <v>53299092.48</v>
      </c>
    </row>
    <row r="1094" customFormat="false" ht="15" hidden="false" customHeight="false" outlineLevel="0" collapsed="false">
      <c r="A1094" s="11" t="s">
        <v>595</v>
      </c>
      <c r="C1094" s="131" t="n">
        <v>18484198.14</v>
      </c>
      <c r="D1094" s="131" t="n">
        <v>28272912.26</v>
      </c>
      <c r="E1094" s="131" t="n">
        <v>40786015.18</v>
      </c>
      <c r="F1094" s="131" t="n">
        <v>56232789.54</v>
      </c>
    </row>
    <row r="1095" customFormat="false" ht="15" hidden="false" customHeight="false" outlineLevel="0" collapsed="false">
      <c r="A1095" s="11" t="s">
        <v>596</v>
      </c>
      <c r="C1095" s="131" t="n">
        <v>8083933.77</v>
      </c>
      <c r="D1095" s="131" t="n">
        <v>7631237.12</v>
      </c>
      <c r="E1095" s="131" t="n">
        <v>10256183.23</v>
      </c>
      <c r="F1095" s="131" t="n">
        <v>13189880.29</v>
      </c>
    </row>
    <row r="1096" customFormat="false" ht="15" hidden="false" customHeight="false" outlineLevel="0" collapsed="false">
      <c r="A1096" s="11" t="s">
        <v>2075</v>
      </c>
      <c r="D1096" s="131" t="n">
        <v>80.3</v>
      </c>
      <c r="E1096" s="131" t="n">
        <v>32.85</v>
      </c>
      <c r="F1096" s="131" t="n">
        <v>39.67</v>
      </c>
    </row>
    <row r="1097" customFormat="false" ht="15" hidden="false" customHeight="false" outlineLevel="0" collapsed="false">
      <c r="A1097" s="11" t="s">
        <v>2076</v>
      </c>
      <c r="D1097" s="131" t="n">
        <v>52.96</v>
      </c>
      <c r="E1097" s="131" t="n">
        <v>44.26</v>
      </c>
      <c r="F1097" s="131" t="n">
        <v>37.87</v>
      </c>
    </row>
    <row r="1098" customFormat="false" ht="15" hidden="false" customHeight="false" outlineLevel="0" collapsed="false">
      <c r="A1098" s="11" t="s">
        <v>2077</v>
      </c>
      <c r="D1098" s="131" t="n">
        <v>-5.6</v>
      </c>
      <c r="E1098" s="131" t="n">
        <v>34.4</v>
      </c>
      <c r="F1098" s="131" t="n">
        <v>28.6</v>
      </c>
    </row>
    <row r="1100" customFormat="false" ht="15" hidden="false" customHeight="false" outlineLevel="0" collapsed="false">
      <c r="A1100" s="3" t="s">
        <v>2078</v>
      </c>
    </row>
    <row r="1101" customFormat="false" ht="15" hidden="false" customHeight="false" outlineLevel="0" collapsed="false">
      <c r="A1101" s="2" t="s">
        <v>2079</v>
      </c>
    </row>
    <row r="1102" customFormat="false" ht="15" hidden="false" customHeight="false" outlineLevel="0" collapsed="false">
      <c r="A1102" s="90" t="s">
        <v>86</v>
      </c>
      <c r="B1102" s="130"/>
      <c r="C1102" s="91" t="s">
        <v>1450</v>
      </c>
      <c r="D1102" s="91" t="s">
        <v>1451</v>
      </c>
      <c r="E1102" s="91" t="s">
        <v>1452</v>
      </c>
      <c r="F1102" s="91" t="s">
        <v>1453</v>
      </c>
    </row>
    <row r="1103" customFormat="false" ht="15" hidden="false" customHeight="false" outlineLevel="0" collapsed="false">
      <c r="A1103" s="11" t="s">
        <v>2080</v>
      </c>
      <c r="C1103" s="30" t="n">
        <v>1542.6735</v>
      </c>
      <c r="D1103" s="30" t="n">
        <v>1972.6116</v>
      </c>
      <c r="E1103" s="30" t="n">
        <v>2489.6812</v>
      </c>
      <c r="F1103" s="30" t="n">
        <v>3315.2286</v>
      </c>
    </row>
    <row r="1104" customFormat="false" ht="15" hidden="false" customHeight="false" outlineLevel="0" collapsed="false">
      <c r="A1104" s="11" t="s">
        <v>2081</v>
      </c>
      <c r="C1104" s="30" t="n">
        <v>657.5569</v>
      </c>
      <c r="D1104" s="30" t="n">
        <v>673.3108</v>
      </c>
      <c r="E1104" s="30" t="n">
        <v>879.7622</v>
      </c>
      <c r="F1104" s="30" t="n">
        <v>955.389</v>
      </c>
    </row>
    <row r="1105" customFormat="false" ht="15" hidden="false" customHeight="false" outlineLevel="0" collapsed="false">
      <c r="A1105" s="11" t="s">
        <v>2082</v>
      </c>
      <c r="C1105" s="30" t="n">
        <v>678.0906</v>
      </c>
      <c r="D1105" s="30" t="n">
        <v>799.6075</v>
      </c>
      <c r="E1105" s="30" t="n">
        <v>835.4203</v>
      </c>
      <c r="F1105" s="30" t="n">
        <v>941.1441</v>
      </c>
    </row>
    <row r="1106" customFormat="false" ht="15" hidden="false" customHeight="false" outlineLevel="0" collapsed="false">
      <c r="A1106" s="11" t="s">
        <v>2083</v>
      </c>
      <c r="C1106" s="131" t="n">
        <v>53.6</v>
      </c>
      <c r="D1106" s="131" t="n">
        <v>57.25</v>
      </c>
      <c r="E1106" s="131" t="n">
        <v>59.21</v>
      </c>
      <c r="F1106" s="131" t="n">
        <v>63.61</v>
      </c>
    </row>
    <row r="1107" customFormat="false" ht="15" hidden="false" customHeight="false" outlineLevel="0" collapsed="false">
      <c r="A1107" s="11" t="s">
        <v>2084</v>
      </c>
      <c r="C1107" s="131" t="n">
        <v>22.85</v>
      </c>
      <c r="D1107" s="131" t="n">
        <v>19.54</v>
      </c>
      <c r="E1107" s="131" t="n">
        <v>20.92</v>
      </c>
      <c r="F1107" s="131" t="n">
        <v>18.33</v>
      </c>
    </row>
    <row r="1108" customFormat="false" ht="15" hidden="false" customHeight="false" outlineLevel="0" collapsed="false">
      <c r="A1108" s="11" t="s">
        <v>2085</v>
      </c>
      <c r="C1108" s="131" t="n">
        <v>23.56</v>
      </c>
      <c r="D1108" s="131" t="n">
        <v>23.21</v>
      </c>
      <c r="E1108" s="131" t="n">
        <v>19.87</v>
      </c>
      <c r="F1108" s="131" t="n">
        <v>18.06</v>
      </c>
    </row>
    <row r="1109" customFormat="false" ht="15" hidden="false" customHeight="false" outlineLevel="0" collapsed="false">
      <c r="A1109" s="11" t="s">
        <v>2086</v>
      </c>
      <c r="D1109" s="131" t="n">
        <v>3.65</v>
      </c>
      <c r="E1109" s="131" t="n">
        <v>1.96</v>
      </c>
      <c r="F1109" s="131" t="n">
        <v>4.4</v>
      </c>
    </row>
    <row r="1110" customFormat="false" ht="15" hidden="false" customHeight="false" outlineLevel="0" collapsed="false">
      <c r="A1110" s="11" t="s">
        <v>2087</v>
      </c>
      <c r="D1110" s="131" t="n">
        <v>-3.31</v>
      </c>
      <c r="E1110" s="131" t="n">
        <v>1.38</v>
      </c>
      <c r="F1110" s="131" t="n">
        <v>-2.59</v>
      </c>
    </row>
    <row r="1111" customFormat="false" ht="15" hidden="false" customHeight="false" outlineLevel="0" collapsed="false">
      <c r="A1111" s="11" t="s">
        <v>2088</v>
      </c>
      <c r="D1111" s="131" t="n">
        <v>-0.35</v>
      </c>
      <c r="E1111" s="131" t="n">
        <v>-3.34</v>
      </c>
      <c r="F1111" s="131" t="n">
        <v>-1.81</v>
      </c>
    </row>
    <row r="1113" customFormat="false" ht="15" hidden="false" customHeight="false" outlineLevel="0" collapsed="false">
      <c r="A1113" s="3" t="s">
        <v>2089</v>
      </c>
    </row>
    <row r="1114" customFormat="false" ht="15" hidden="false" customHeight="false" outlineLevel="0" collapsed="false">
      <c r="A1114" s="2" t="s">
        <v>2090</v>
      </c>
    </row>
    <row r="1115" customFormat="false" ht="15" hidden="false" customHeight="false" outlineLevel="0" collapsed="false">
      <c r="A1115" s="90" t="s">
        <v>86</v>
      </c>
      <c r="B1115" s="130"/>
      <c r="C1115" s="91" t="s">
        <v>1451</v>
      </c>
      <c r="D1115" s="91" t="s">
        <v>1452</v>
      </c>
      <c r="E1115" s="91" t="s">
        <v>1453</v>
      </c>
    </row>
    <row r="1116" customFormat="false" ht="15" hidden="false" customHeight="false" outlineLevel="0" collapsed="false">
      <c r="A1116" s="11" t="s">
        <v>2091</v>
      </c>
      <c r="C1116" s="30" t="n">
        <v>449.3187</v>
      </c>
      <c r="D1116" s="30" t="n">
        <v>323.8696</v>
      </c>
      <c r="E1116" s="30" t="n">
        <v>330.718</v>
      </c>
    </row>
    <row r="1117" customFormat="false" ht="15" hidden="false" customHeight="false" outlineLevel="0" collapsed="false">
      <c r="A1117" s="11" t="s">
        <v>2092</v>
      </c>
      <c r="C1117" s="30" t="n">
        <v>154.7255</v>
      </c>
      <c r="D1117" s="30" t="n">
        <v>193.2199</v>
      </c>
      <c r="E1117" s="30" t="n">
        <v>327.9564</v>
      </c>
    </row>
    <row r="1118" customFormat="false" ht="15" hidden="false" customHeight="false" outlineLevel="0" collapsed="false">
      <c r="A1118" s="11" t="s">
        <v>2093</v>
      </c>
      <c r="C1118" s="30" t="n">
        <v>146.6085</v>
      </c>
      <c r="D1118" s="30" t="n">
        <v>174.0281</v>
      </c>
      <c r="E1118" s="30" t="n">
        <v>281.6174</v>
      </c>
    </row>
    <row r="1119" customFormat="false" ht="15" hidden="false" customHeight="false" outlineLevel="0" collapsed="false">
      <c r="A1119" s="11" t="s">
        <v>2094</v>
      </c>
      <c r="C1119" s="30" t="n">
        <v>143.9713</v>
      </c>
      <c r="D1119" s="30" t="n">
        <v>170.7339</v>
      </c>
      <c r="E1119" s="30" t="n">
        <v>203.3973</v>
      </c>
    </row>
    <row r="1120" customFormat="false" ht="15" hidden="false" customHeight="false" outlineLevel="0" collapsed="false">
      <c r="A1120" s="11" t="s">
        <v>2095</v>
      </c>
      <c r="C1120" s="30" t="n">
        <v>110.4413</v>
      </c>
      <c r="D1120" s="30" t="n">
        <v>155.0344</v>
      </c>
      <c r="E1120" s="30" t="n">
        <v>201.6572</v>
      </c>
    </row>
    <row r="1121" customFormat="false" ht="15" hidden="false" customHeight="false" outlineLevel="0" collapsed="false">
      <c r="A1121" s="11" t="s">
        <v>1470</v>
      </c>
      <c r="C1121" s="30" t="n">
        <v>1005.0653</v>
      </c>
      <c r="D1121" s="30" t="n">
        <v>1016.886</v>
      </c>
      <c r="E1121" s="30" t="n">
        <v>1345.3463</v>
      </c>
    </row>
    <row r="1122" customFormat="false" ht="15" hidden="false" customHeight="false" outlineLevel="0" collapsed="false">
      <c r="A1122" s="11" t="s">
        <v>2096</v>
      </c>
      <c r="C1122" s="131" t="n">
        <v>7.85</v>
      </c>
      <c r="D1122" s="131" t="n">
        <v>4.39</v>
      </c>
      <c r="E1122" s="131" t="n">
        <v>3.67</v>
      </c>
    </row>
    <row r="1123" customFormat="false" ht="15" hidden="false" customHeight="false" outlineLevel="0" collapsed="false">
      <c r="A1123" s="11" t="s">
        <v>2097</v>
      </c>
      <c r="C1123" s="131" t="n">
        <v>2.7</v>
      </c>
      <c r="D1123" s="131" t="n">
        <v>2.62</v>
      </c>
      <c r="E1123" s="131" t="n">
        <v>3.64</v>
      </c>
    </row>
    <row r="1124" customFormat="false" ht="15" hidden="false" customHeight="false" outlineLevel="0" collapsed="false">
      <c r="A1124" s="11" t="s">
        <v>2098</v>
      </c>
      <c r="C1124" s="131" t="n">
        <v>2.56</v>
      </c>
      <c r="D1124" s="131" t="n">
        <v>2.36</v>
      </c>
      <c r="E1124" s="131" t="n">
        <v>3.13</v>
      </c>
    </row>
    <row r="1125" customFormat="false" ht="15" hidden="false" customHeight="false" outlineLevel="0" collapsed="false">
      <c r="A1125" s="11" t="s">
        <v>2099</v>
      </c>
      <c r="C1125" s="131" t="n">
        <v>2.51</v>
      </c>
      <c r="D1125" s="131" t="n">
        <v>2.32</v>
      </c>
      <c r="E1125" s="131" t="n">
        <v>2.26</v>
      </c>
    </row>
    <row r="1126" customFormat="false" ht="15" hidden="false" customHeight="false" outlineLevel="0" collapsed="false">
      <c r="A1126" s="11" t="s">
        <v>2100</v>
      </c>
      <c r="C1126" s="131" t="n">
        <v>1.93</v>
      </c>
      <c r="D1126" s="131" t="n">
        <v>2.1</v>
      </c>
      <c r="E1126" s="131" t="n">
        <v>2.24</v>
      </c>
    </row>
    <row r="1127" customFormat="false" ht="15" hidden="false" customHeight="false" outlineLevel="0" collapsed="false">
      <c r="A1127" s="11" t="s">
        <v>2101</v>
      </c>
      <c r="C1127" s="131" t="n">
        <v>17.55</v>
      </c>
      <c r="D1127" s="131" t="n">
        <v>13.79</v>
      </c>
      <c r="E1127" s="131" t="n">
        <v>14.94</v>
      </c>
    </row>
    <row r="1128" customFormat="false" ht="15" hidden="false" customHeight="false" outlineLevel="0" collapsed="false">
      <c r="A1128" s="11" t="s">
        <v>2102</v>
      </c>
      <c r="C1128" s="131" t="n">
        <v>0</v>
      </c>
      <c r="D1128" s="131" t="n">
        <v>0</v>
      </c>
      <c r="E1128" s="131" t="n">
        <v>0</v>
      </c>
    </row>
    <row r="1130" customFormat="false" ht="15" hidden="false" customHeight="false" outlineLevel="0" collapsed="false">
      <c r="A1130" s="3" t="s">
        <v>2103</v>
      </c>
    </row>
    <row r="1131" customFormat="false" ht="15" hidden="false" customHeight="false" outlineLevel="0" collapsed="false">
      <c r="A1131" s="2" t="s">
        <v>2104</v>
      </c>
    </row>
    <row r="1132" customFormat="false" ht="15" hidden="false" customHeight="false" outlineLevel="0" collapsed="false">
      <c r="A1132" s="90" t="s">
        <v>86</v>
      </c>
      <c r="B1132" s="130"/>
      <c r="C1132" s="91" t="s">
        <v>1451</v>
      </c>
      <c r="D1132" s="91" t="s">
        <v>1452</v>
      </c>
      <c r="E1132" s="91" t="s">
        <v>1453</v>
      </c>
    </row>
    <row r="1133" customFormat="false" ht="15" hidden="false" customHeight="false" outlineLevel="0" collapsed="false">
      <c r="A1133" s="11" t="s">
        <v>2105</v>
      </c>
      <c r="C1133" s="30" t="n">
        <v>130.0415</v>
      </c>
      <c r="D1133" s="30" t="n">
        <v>242.233</v>
      </c>
      <c r="E1133" s="30" t="n">
        <v>252.4851</v>
      </c>
    </row>
    <row r="1134" customFormat="false" ht="15" hidden="false" customHeight="false" outlineLevel="0" collapsed="false">
      <c r="A1134" s="11" t="s">
        <v>2106</v>
      </c>
      <c r="C1134" s="30" t="n">
        <v>116.7115</v>
      </c>
      <c r="D1134" s="30" t="n">
        <v>223.8953</v>
      </c>
      <c r="E1134" s="30" t="n">
        <v>237.8408</v>
      </c>
    </row>
    <row r="1135" customFormat="false" ht="15" hidden="false" customHeight="false" outlineLevel="0" collapsed="false">
      <c r="A1135" s="11" t="s">
        <v>2107</v>
      </c>
      <c r="C1135" s="30" t="n">
        <v>87.6235</v>
      </c>
      <c r="D1135" s="30" t="n">
        <v>146.0088</v>
      </c>
      <c r="E1135" s="30" t="n">
        <v>187.1859</v>
      </c>
    </row>
    <row r="1136" customFormat="false" ht="15" hidden="false" customHeight="false" outlineLevel="0" collapsed="false">
      <c r="A1136" s="11" t="s">
        <v>2108</v>
      </c>
      <c r="C1136" s="30" t="n">
        <v>87.4177</v>
      </c>
      <c r="D1136" s="30" t="n">
        <v>117.0373</v>
      </c>
      <c r="E1136" s="30" t="n">
        <v>173.3566</v>
      </c>
    </row>
    <row r="1137" customFormat="false" ht="15" hidden="false" customHeight="false" outlineLevel="0" collapsed="false">
      <c r="A1137" s="11" t="s">
        <v>2109</v>
      </c>
      <c r="C1137" s="30" t="n">
        <v>83.9969</v>
      </c>
      <c r="D1137" s="30" t="n">
        <v>100.5625</v>
      </c>
      <c r="E1137" s="30" t="n">
        <v>154.9565</v>
      </c>
    </row>
    <row r="1138" customFormat="false" ht="15" hidden="false" customHeight="false" outlineLevel="0" collapsed="false">
      <c r="A1138" s="11" t="s">
        <v>1470</v>
      </c>
      <c r="C1138" s="30" t="n">
        <v>505.7911</v>
      </c>
      <c r="D1138" s="30" t="n">
        <v>829.737</v>
      </c>
      <c r="E1138" s="30" t="n">
        <v>1005.825</v>
      </c>
    </row>
    <row r="1139" customFormat="false" ht="15" hidden="false" customHeight="false" outlineLevel="0" collapsed="false">
      <c r="A1139" s="11" t="s">
        <v>2110</v>
      </c>
      <c r="C1139" s="131" t="n">
        <v>5.7</v>
      </c>
      <c r="D1139" s="131" t="n">
        <v>7.58</v>
      </c>
      <c r="E1139" s="131" t="n">
        <v>6.74</v>
      </c>
    </row>
    <row r="1140" customFormat="false" ht="15" hidden="false" customHeight="false" outlineLevel="0" collapsed="false">
      <c r="A1140" s="11" t="s">
        <v>2111</v>
      </c>
      <c r="C1140" s="131" t="n">
        <v>5.12</v>
      </c>
      <c r="D1140" s="131" t="n">
        <v>7.01</v>
      </c>
      <c r="E1140" s="131" t="n">
        <v>6.35</v>
      </c>
    </row>
    <row r="1141" customFormat="false" ht="15" hidden="false" customHeight="false" outlineLevel="0" collapsed="false">
      <c r="A1141" s="11" t="s">
        <v>2112</v>
      </c>
      <c r="C1141" s="131" t="n">
        <v>3.84</v>
      </c>
      <c r="D1141" s="131" t="n">
        <v>4.57</v>
      </c>
      <c r="E1141" s="131" t="n">
        <v>5</v>
      </c>
    </row>
    <row r="1142" customFormat="false" ht="15" hidden="false" customHeight="false" outlineLevel="0" collapsed="false">
      <c r="A1142" s="11" t="s">
        <v>2113</v>
      </c>
      <c r="C1142" s="131" t="n">
        <v>3.83</v>
      </c>
      <c r="D1142" s="131" t="n">
        <v>3.66</v>
      </c>
      <c r="E1142" s="131" t="n">
        <v>4.63</v>
      </c>
    </row>
    <row r="1143" customFormat="false" ht="15" hidden="false" customHeight="false" outlineLevel="0" collapsed="false">
      <c r="A1143" s="11" t="s">
        <v>2114</v>
      </c>
      <c r="C1143" s="131" t="n">
        <v>3.68</v>
      </c>
      <c r="D1143" s="131" t="n">
        <v>3.15</v>
      </c>
      <c r="E1143" s="131" t="n">
        <v>4.14</v>
      </c>
    </row>
    <row r="1144" customFormat="false" ht="15" hidden="false" customHeight="false" outlineLevel="0" collapsed="false">
      <c r="A1144" s="11" t="s">
        <v>2101</v>
      </c>
      <c r="C1144" s="131" t="n">
        <v>22.17</v>
      </c>
      <c r="D1144" s="131" t="n">
        <v>25.97</v>
      </c>
      <c r="E1144" s="131" t="n">
        <v>26.86</v>
      </c>
    </row>
    <row r="1145" customFormat="false" ht="15" hidden="false" customHeight="false" outlineLevel="0" collapsed="false">
      <c r="A1145" s="11" t="s">
        <v>2115</v>
      </c>
      <c r="C1145" s="131" t="n">
        <v>0</v>
      </c>
      <c r="D1145" s="131" t="n">
        <v>0</v>
      </c>
      <c r="E1145" s="131" t="n">
        <v>0</v>
      </c>
    </row>
    <row r="1147" customFormat="false" ht="15" hidden="false" customHeight="false" outlineLevel="0" collapsed="false">
      <c r="A1147" s="3" t="s">
        <v>2116</v>
      </c>
    </row>
    <row r="1148" customFormat="false" ht="15" hidden="false" customHeight="false" outlineLevel="0" collapsed="false">
      <c r="A1148" s="2" t="s">
        <v>2117</v>
      </c>
    </row>
    <row r="1149" customFormat="false" ht="15" hidden="false" customHeight="false" outlineLevel="0" collapsed="false">
      <c r="A1149" s="90" t="s">
        <v>86</v>
      </c>
      <c r="B1149" s="130"/>
      <c r="C1149" s="91" t="s">
        <v>1451</v>
      </c>
      <c r="D1149" s="91" t="s">
        <v>1452</v>
      </c>
      <c r="E1149" s="91" t="s">
        <v>1453</v>
      </c>
    </row>
    <row r="1150" customFormat="false" ht="15" hidden="false" customHeight="false" outlineLevel="0" collapsed="false">
      <c r="A1150" s="11" t="s">
        <v>2118</v>
      </c>
      <c r="C1150" s="131" t="n">
        <v>4722</v>
      </c>
      <c r="D1150" s="131" t="n">
        <v>4503</v>
      </c>
      <c r="E1150" s="131" t="n">
        <v>4527</v>
      </c>
    </row>
    <row r="1151" customFormat="false" ht="15" hidden="false" customHeight="false" outlineLevel="0" collapsed="false">
      <c r="A1151" s="11" t="s">
        <v>2119</v>
      </c>
      <c r="C1151" s="131" t="n">
        <v>8779</v>
      </c>
      <c r="D1151" s="131" t="n">
        <v>11012</v>
      </c>
      <c r="E1151" s="131" t="n">
        <v>12825</v>
      </c>
    </row>
    <row r="1152" customFormat="false" ht="15" hidden="false" customHeight="false" outlineLevel="0" collapsed="false">
      <c r="A1152" s="11" t="s">
        <v>2120</v>
      </c>
      <c r="C1152" s="131" t="n">
        <v>13501</v>
      </c>
      <c r="D1152" s="131" t="n">
        <v>15515</v>
      </c>
      <c r="E1152" s="131" t="n">
        <v>17352</v>
      </c>
    </row>
    <row r="1153" customFormat="false" ht="15" hidden="false" customHeight="false" outlineLevel="0" collapsed="false">
      <c r="A1153" s="11" t="s">
        <v>2121</v>
      </c>
      <c r="C1153" s="131" t="n">
        <v>13501</v>
      </c>
      <c r="D1153" s="131" t="n">
        <v>15515</v>
      </c>
      <c r="E1153" s="131" t="n">
        <v>17352</v>
      </c>
    </row>
    <row r="1154" customFormat="false" ht="15" hidden="false" customHeight="false" outlineLevel="0" collapsed="false">
      <c r="A1154" s="11" t="s">
        <v>2122</v>
      </c>
      <c r="C1154" s="131" t="n">
        <v>0</v>
      </c>
      <c r="D1154" s="131" t="n">
        <v>0</v>
      </c>
      <c r="E1154" s="131" t="n">
        <v>0</v>
      </c>
    </row>
    <row r="1155" customFormat="false" ht="15" hidden="false" customHeight="false" outlineLevel="0" collapsed="false">
      <c r="A1155" s="11" t="s">
        <v>2123</v>
      </c>
      <c r="C1155" s="131" t="n">
        <v>9657</v>
      </c>
      <c r="D1155" s="131" t="n">
        <v>10438</v>
      </c>
      <c r="E1155" s="131" t="n">
        <v>13906</v>
      </c>
    </row>
    <row r="1156" customFormat="false" ht="15" hidden="false" customHeight="false" outlineLevel="0" collapsed="false">
      <c r="A1156" s="11" t="s">
        <v>2124</v>
      </c>
      <c r="C1156" s="131" t="n">
        <v>211</v>
      </c>
      <c r="D1156" s="131" t="n">
        <v>188</v>
      </c>
      <c r="E1156" s="131" t="n">
        <v>208</v>
      </c>
    </row>
    <row r="1157" customFormat="false" ht="15" hidden="false" customHeight="false" outlineLevel="0" collapsed="false">
      <c r="A1157" s="11" t="s">
        <v>2125</v>
      </c>
      <c r="C1157" s="131" t="n">
        <v>2675</v>
      </c>
      <c r="D1157" s="131" t="n">
        <v>3918</v>
      </c>
      <c r="E1157" s="131" t="n">
        <v>1975</v>
      </c>
    </row>
    <row r="1158" customFormat="false" ht="15" hidden="false" customHeight="false" outlineLevel="0" collapsed="false">
      <c r="A1158" s="11" t="s">
        <v>2126</v>
      </c>
      <c r="C1158" s="131" t="n">
        <v>50</v>
      </c>
      <c r="D1158" s="131" t="n">
        <v>44</v>
      </c>
      <c r="E1158" s="131" t="n">
        <v>52</v>
      </c>
    </row>
    <row r="1159" customFormat="false" ht="15" hidden="false" customHeight="false" outlineLevel="0" collapsed="false">
      <c r="A1159" s="11" t="s">
        <v>2127</v>
      </c>
      <c r="C1159" s="131" t="n">
        <v>908</v>
      </c>
      <c r="D1159" s="131" t="n">
        <v>927</v>
      </c>
      <c r="E1159" s="131" t="n">
        <v>1211</v>
      </c>
    </row>
    <row r="1160" customFormat="false" ht="15" hidden="false" customHeight="false" outlineLevel="0" collapsed="false">
      <c r="A1160" s="11" t="s">
        <v>2128</v>
      </c>
      <c r="C1160" s="131" t="n">
        <v>2374</v>
      </c>
      <c r="D1160" s="131" t="n">
        <v>2693</v>
      </c>
      <c r="E1160" s="131" t="n">
        <v>3017</v>
      </c>
    </row>
    <row r="1161" customFormat="false" ht="15" hidden="false" customHeight="false" outlineLevel="0" collapsed="false">
      <c r="A1161" s="11" t="s">
        <v>2129</v>
      </c>
      <c r="C1161" s="131" t="n">
        <v>11127</v>
      </c>
      <c r="D1161" s="131" t="n">
        <v>12822</v>
      </c>
      <c r="E1161" s="131" t="n">
        <v>14335</v>
      </c>
    </row>
    <row r="1163" customFormat="false" ht="15" hidden="false" customHeight="false" outlineLevel="0" collapsed="false">
      <c r="A1163" s="3" t="s">
        <v>2130</v>
      </c>
    </row>
    <row r="1164" customFormat="false" ht="15" hidden="false" customHeight="false" outlineLevel="0" collapsed="false">
      <c r="A1164" s="2" t="s">
        <v>2131</v>
      </c>
    </row>
    <row r="1165" customFormat="false" ht="15" hidden="false" customHeight="false" outlineLevel="0" collapsed="false">
      <c r="A1165" s="90" t="s">
        <v>86</v>
      </c>
      <c r="B1165" s="130"/>
      <c r="C1165" s="130" t="s">
        <v>772</v>
      </c>
      <c r="D1165" s="130" t="s">
        <v>2132</v>
      </c>
      <c r="E1165" s="130" t="s">
        <v>2133</v>
      </c>
      <c r="F1165" s="130" t="s">
        <v>775</v>
      </c>
    </row>
    <row r="1166" customFormat="false" ht="15" hidden="false" customHeight="false" outlineLevel="0" collapsed="false">
      <c r="A1166" s="4" t="s">
        <v>2134</v>
      </c>
      <c r="C1166" s="30" t="n">
        <v>242.2267</v>
      </c>
      <c r="D1166" s="30" t="n">
        <v>1340.8478</v>
      </c>
      <c r="E1166" s="30" t="n">
        <v>1315.7745</v>
      </c>
      <c r="F1166" s="30" t="n">
        <v>267.3</v>
      </c>
    </row>
    <row r="1167" customFormat="false" ht="15" hidden="false" customHeight="false" outlineLevel="0" collapsed="false">
      <c r="A1167" s="4" t="s">
        <v>2135</v>
      </c>
      <c r="C1167" s="30" t="n">
        <v>0.0591</v>
      </c>
      <c r="D1167" s="30" t="n">
        <v>87.1172</v>
      </c>
      <c r="E1167" s="30" t="n">
        <v>87.0793</v>
      </c>
      <c r="F1167" s="30" t="n">
        <v>0.0971</v>
      </c>
    </row>
    <row r="1168" customFormat="false" ht="15" hidden="false" customHeight="false" outlineLevel="0" collapsed="false">
      <c r="A1168" s="4" t="s">
        <v>1592</v>
      </c>
      <c r="C1168" s="30" t="n">
        <v>242.2859</v>
      </c>
      <c r="D1168" s="30" t="n">
        <v>1427.965</v>
      </c>
      <c r="E1168" s="30" t="n">
        <v>1402.8538</v>
      </c>
      <c r="F1168" s="30" t="n">
        <v>267.3971</v>
      </c>
    </row>
    <row r="1169" customFormat="false" ht="15" hidden="false" customHeight="false" outlineLevel="0" collapsed="false">
      <c r="A1169" s="4" t="s">
        <v>2136</v>
      </c>
      <c r="C1169" s="30" t="n">
        <v>267.3</v>
      </c>
      <c r="D1169" s="30" t="n">
        <v>1759.6171</v>
      </c>
      <c r="E1169" s="30" t="n">
        <v>1679.3049</v>
      </c>
      <c r="F1169" s="30" t="n">
        <v>347.6122</v>
      </c>
    </row>
    <row r="1170" customFormat="false" ht="15" hidden="false" customHeight="false" outlineLevel="0" collapsed="false">
      <c r="A1170" s="4" t="s">
        <v>2137</v>
      </c>
      <c r="C1170" s="30" t="n">
        <v>0.0971</v>
      </c>
      <c r="D1170" s="30" t="n">
        <v>116.0537</v>
      </c>
      <c r="E1170" s="30" t="n">
        <v>116.0324</v>
      </c>
      <c r="F1170" s="30" t="n">
        <v>0.1184</v>
      </c>
    </row>
    <row r="1171" customFormat="false" ht="15" hidden="false" customHeight="false" outlineLevel="0" collapsed="false">
      <c r="A1171" s="4" t="s">
        <v>1595</v>
      </c>
      <c r="C1171" s="30" t="n">
        <v>267.3971</v>
      </c>
      <c r="D1171" s="30" t="n">
        <v>1875.6708</v>
      </c>
      <c r="E1171" s="30" t="n">
        <v>1795.3373</v>
      </c>
      <c r="F1171" s="30" t="n">
        <v>347.7306</v>
      </c>
    </row>
    <row r="1172" customFormat="false" ht="15" hidden="false" customHeight="false" outlineLevel="0" collapsed="false">
      <c r="A1172" s="4" t="s">
        <v>2138</v>
      </c>
      <c r="C1172" s="30" t="n">
        <v>347.6122</v>
      </c>
      <c r="D1172" s="30" t="n">
        <v>1970.2732</v>
      </c>
      <c r="E1172" s="30" t="n">
        <v>1923.4989</v>
      </c>
      <c r="F1172" s="30" t="n">
        <v>394.3865</v>
      </c>
    </row>
    <row r="1173" customFormat="false" ht="15" hidden="false" customHeight="false" outlineLevel="0" collapsed="false">
      <c r="A1173" s="4" t="s">
        <v>2139</v>
      </c>
      <c r="C1173" s="30" t="n">
        <v>0.1184</v>
      </c>
      <c r="D1173" s="30" t="n">
        <v>132.1071</v>
      </c>
      <c r="E1173" s="30" t="n">
        <v>130.9654</v>
      </c>
      <c r="F1173" s="30" t="n">
        <v>1.2601</v>
      </c>
    </row>
    <row r="1174" customFormat="false" ht="15" hidden="false" customHeight="false" outlineLevel="0" collapsed="false">
      <c r="A1174" s="4" t="s">
        <v>1601</v>
      </c>
      <c r="C1174" s="30" t="n">
        <v>347.7306</v>
      </c>
      <c r="D1174" s="30" t="n">
        <v>2102.3803</v>
      </c>
      <c r="E1174" s="30" t="n">
        <v>2054.4643</v>
      </c>
      <c r="F1174" s="30" t="n">
        <v>395.6466</v>
      </c>
    </row>
    <row r="1175" customFormat="false" ht="15" hidden="false" customHeight="false" outlineLevel="0" collapsed="false">
      <c r="A1175" s="4" t="s">
        <v>2140</v>
      </c>
      <c r="C1175" s="30" t="n">
        <v>347.6122</v>
      </c>
      <c r="D1175" s="30" t="n">
        <v>843.3698</v>
      </c>
      <c r="E1175" s="30" t="n">
        <v>1023.3592</v>
      </c>
      <c r="F1175" s="30" t="n">
        <v>167.6228</v>
      </c>
    </row>
    <row r="1176" customFormat="false" ht="15" hidden="false" customHeight="false" outlineLevel="0" collapsed="false">
      <c r="A1176" s="4" t="s">
        <v>2141</v>
      </c>
      <c r="C1176" s="30" t="n">
        <v>0.1184</v>
      </c>
      <c r="D1176" s="30" t="n">
        <v>64.2383</v>
      </c>
      <c r="E1176" s="30" t="n">
        <v>64.2244</v>
      </c>
      <c r="F1176" s="30" t="n">
        <v>0.1323</v>
      </c>
    </row>
    <row r="1177" customFormat="false" ht="15" hidden="false" customHeight="false" outlineLevel="0" collapsed="false">
      <c r="A1177" s="4" t="s">
        <v>1598</v>
      </c>
      <c r="C1177" s="30" t="n">
        <v>347.7306</v>
      </c>
      <c r="D1177" s="30" t="n">
        <v>907.6081</v>
      </c>
      <c r="E1177" s="30" t="n">
        <v>1087.5836</v>
      </c>
      <c r="F1177" s="30" t="n">
        <v>167.7551</v>
      </c>
    </row>
    <row r="1178" customFormat="false" ht="15" hidden="false" customHeight="false" outlineLevel="0" collapsed="false">
      <c r="A1178" s="4" t="s">
        <v>2142</v>
      </c>
      <c r="C1178" s="30" t="n">
        <v>394.3865</v>
      </c>
      <c r="D1178" s="30" t="n">
        <v>1050.8238</v>
      </c>
      <c r="E1178" s="30" t="n">
        <v>1204.6885</v>
      </c>
      <c r="F1178" s="30" t="n">
        <v>240.5218</v>
      </c>
    </row>
    <row r="1179" customFormat="false" ht="15" hidden="false" customHeight="false" outlineLevel="0" collapsed="false">
      <c r="A1179" s="4" t="s">
        <v>2143</v>
      </c>
      <c r="C1179" s="30" t="n">
        <v>1.2601</v>
      </c>
      <c r="D1179" s="30" t="n">
        <v>73.8744</v>
      </c>
      <c r="E1179" s="30" t="n">
        <v>74.5617</v>
      </c>
      <c r="F1179" s="30" t="n">
        <v>0.5728</v>
      </c>
    </row>
    <row r="1180" customFormat="false" ht="15" hidden="false" customHeight="false" outlineLevel="0" collapsed="false">
      <c r="A1180" s="4" t="s">
        <v>1604</v>
      </c>
      <c r="C1180" s="30" t="n">
        <v>395.6466</v>
      </c>
      <c r="D1180" s="30" t="n">
        <v>1124.6982</v>
      </c>
      <c r="E1180" s="30" t="n">
        <v>1279.2502</v>
      </c>
      <c r="F1180" s="30" t="n">
        <v>241.0946</v>
      </c>
    </row>
    <row r="1182" customFormat="false" ht="15" hidden="false" customHeight="false" outlineLevel="0" collapsed="false">
      <c r="A1182" s="3" t="s">
        <v>2144</v>
      </c>
    </row>
    <row r="1183" customFormat="false" ht="15" hidden="false" customHeight="false" outlineLevel="0" collapsed="false">
      <c r="A1183" s="2" t="s">
        <v>2145</v>
      </c>
    </row>
    <row r="1184" customFormat="false" ht="15" hidden="false" customHeight="false" outlineLevel="0" collapsed="false">
      <c r="A1184" s="90" t="s">
        <v>86</v>
      </c>
      <c r="B1184" s="130"/>
      <c r="C1184" s="91" t="s">
        <v>1451</v>
      </c>
      <c r="D1184" s="91" t="s">
        <v>1452</v>
      </c>
      <c r="E1184" s="91" t="s">
        <v>1453</v>
      </c>
      <c r="F1184" s="91" t="s">
        <v>1272</v>
      </c>
      <c r="G1184" s="91" t="s">
        <v>1273</v>
      </c>
    </row>
    <row r="1185" customFormat="false" ht="15" hidden="false" customHeight="false" outlineLevel="0" collapsed="false">
      <c r="A1185" s="11" t="s">
        <v>2146</v>
      </c>
      <c r="C1185" s="30" t="n">
        <v>1173.7172</v>
      </c>
      <c r="D1185" s="30" t="n">
        <v>1545.0559</v>
      </c>
      <c r="E1185" s="30" t="n">
        <v>1765.3489</v>
      </c>
      <c r="F1185" s="30" t="n">
        <v>742.0561</v>
      </c>
      <c r="G1185" s="30" t="n">
        <v>926.0777</v>
      </c>
    </row>
    <row r="1186" customFormat="false" ht="15" hidden="false" customHeight="false" outlineLevel="0" collapsed="false">
      <c r="A1186" s="11" t="s">
        <v>2147</v>
      </c>
      <c r="C1186" s="30" t="n">
        <v>85.0213</v>
      </c>
      <c r="D1186" s="30" t="n">
        <v>110.6547</v>
      </c>
      <c r="E1186" s="30" t="n">
        <v>88.9179</v>
      </c>
      <c r="F1186" s="30" t="n">
        <v>45.055</v>
      </c>
      <c r="G1186" s="30" t="n">
        <v>58.2887</v>
      </c>
    </row>
    <row r="1187" customFormat="false" ht="15" hidden="false" customHeight="false" outlineLevel="0" collapsed="false">
      <c r="A1187" s="11" t="s">
        <v>2148</v>
      </c>
      <c r="C1187" s="30" t="n">
        <v>49.1817</v>
      </c>
      <c r="D1187" s="30" t="n">
        <v>62.9876</v>
      </c>
      <c r="E1187" s="30" t="n">
        <v>68.2466</v>
      </c>
      <c r="F1187" s="30" t="n">
        <v>33.553</v>
      </c>
      <c r="G1187" s="30" t="n">
        <v>40.619</v>
      </c>
    </row>
    <row r="1188" customFormat="false" ht="15" hidden="false" customHeight="false" outlineLevel="0" collapsed="false">
      <c r="A1188" s="11" t="s">
        <v>2149</v>
      </c>
      <c r="C1188" s="30" t="n">
        <v>46.0325</v>
      </c>
      <c r="D1188" s="30" t="n">
        <v>57.9869</v>
      </c>
      <c r="E1188" s="30" t="n">
        <v>63.5215</v>
      </c>
      <c r="F1188" s="30" t="n">
        <v>31.2175</v>
      </c>
      <c r="G1188" s="30" t="n">
        <v>37.5058</v>
      </c>
    </row>
    <row r="1189" customFormat="false" ht="15" hidden="false" customHeight="false" outlineLevel="0" collapsed="false">
      <c r="A1189" s="11" t="s">
        <v>2150</v>
      </c>
      <c r="C1189" s="30" t="n">
        <v>3.1492</v>
      </c>
      <c r="D1189" s="30" t="n">
        <v>5.0007</v>
      </c>
      <c r="E1189" s="30" t="n">
        <v>4.7251</v>
      </c>
      <c r="F1189" s="30" t="n">
        <v>2.3355</v>
      </c>
      <c r="G1189" s="30" t="n">
        <v>3.1132</v>
      </c>
    </row>
    <row r="1190" customFormat="false" ht="15" hidden="false" customHeight="false" outlineLevel="0" collapsed="false">
      <c r="A1190" s="11" t="s">
        <v>2151</v>
      </c>
      <c r="C1190" s="30" t="n">
        <v>30.6347</v>
      </c>
      <c r="D1190" s="30" t="n">
        <v>36.2713</v>
      </c>
      <c r="E1190" s="30" t="n">
        <v>42.2314</v>
      </c>
      <c r="F1190" s="30" t="n">
        <v>19.5573</v>
      </c>
      <c r="G1190" s="30" t="n">
        <v>23.1313</v>
      </c>
    </row>
    <row r="1191" customFormat="false" ht="15" hidden="false" customHeight="false" outlineLevel="0" collapsed="false">
      <c r="A1191" s="11" t="s">
        <v>2152</v>
      </c>
      <c r="C1191" s="30" t="n">
        <v>2.2929</v>
      </c>
      <c r="D1191" s="30" t="n">
        <v>4.6476</v>
      </c>
      <c r="E1191" s="30" t="n">
        <v>5.5285</v>
      </c>
      <c r="F1191" s="30" t="n">
        <v>3.1484</v>
      </c>
      <c r="G1191" s="30" t="n">
        <v>2.7071</v>
      </c>
    </row>
    <row r="1192" customFormat="false" ht="15" hidden="false" customHeight="false" outlineLevel="0" collapsed="false">
      <c r="A1192" s="11" t="s">
        <v>2153</v>
      </c>
      <c r="C1192" s="30" t="n">
        <v>1340.8478</v>
      </c>
      <c r="D1192" s="30" t="n">
        <v>1759.6171</v>
      </c>
      <c r="E1192" s="30" t="n">
        <v>1970.2732</v>
      </c>
      <c r="F1192" s="30" t="n">
        <v>843.3698</v>
      </c>
      <c r="G1192" s="30" t="n">
        <v>1050.8238</v>
      </c>
    </row>
    <row r="1193" customFormat="false" ht="15" hidden="false" customHeight="false" outlineLevel="0" collapsed="false">
      <c r="A1193" s="11" t="s">
        <v>2154</v>
      </c>
      <c r="C1193" s="30" t="n">
        <v>83.8609</v>
      </c>
      <c r="D1193" s="30" t="n">
        <v>110.4626</v>
      </c>
      <c r="E1193" s="30" t="n">
        <v>126.6682</v>
      </c>
      <c r="F1193" s="30" t="n">
        <v>61.5915</v>
      </c>
      <c r="G1193" s="30" t="n">
        <v>70.8596</v>
      </c>
    </row>
    <row r="1194" customFormat="false" ht="15" hidden="false" customHeight="false" outlineLevel="0" collapsed="false">
      <c r="A1194" s="11" t="s">
        <v>2155</v>
      </c>
      <c r="C1194" s="30" t="n">
        <v>3.2563</v>
      </c>
      <c r="D1194" s="30" t="n">
        <v>5.5911</v>
      </c>
      <c r="E1194" s="30" t="n">
        <v>5.4389</v>
      </c>
      <c r="F1194" s="30" t="n">
        <v>2.6468</v>
      </c>
      <c r="G1194" s="30" t="n">
        <v>3.0148</v>
      </c>
    </row>
    <row r="1195" customFormat="false" ht="15" hidden="false" customHeight="false" outlineLevel="0" collapsed="false">
      <c r="A1195" s="11" t="s">
        <v>2156</v>
      </c>
      <c r="C1195" s="30" t="n">
        <v>87.1172</v>
      </c>
      <c r="D1195" s="30" t="n">
        <v>116.0537</v>
      </c>
      <c r="E1195" s="30" t="n">
        <v>132.1071</v>
      </c>
      <c r="F1195" s="30" t="n">
        <v>64.2383</v>
      </c>
      <c r="G1195" s="30" t="n">
        <v>73.8744</v>
      </c>
    </row>
    <row r="1196" customFormat="false" ht="15" hidden="false" customHeight="false" outlineLevel="0" collapsed="false">
      <c r="A1196" s="11" t="s">
        <v>2157</v>
      </c>
      <c r="C1196" s="30" t="n">
        <v>1427.965</v>
      </c>
      <c r="D1196" s="30" t="n">
        <v>1875.6708</v>
      </c>
      <c r="E1196" s="30" t="n">
        <v>2102.3803</v>
      </c>
      <c r="F1196" s="30" t="n">
        <v>907.6081</v>
      </c>
      <c r="G1196" s="30" t="n">
        <v>1124.6982</v>
      </c>
    </row>
    <row r="1198" customFormat="false" ht="15" hidden="false" customHeight="false" outlineLevel="0" collapsed="false">
      <c r="A1198" s="3" t="s">
        <v>2158</v>
      </c>
    </row>
    <row r="1199" customFormat="false" ht="15" hidden="false" customHeight="false" outlineLevel="0" collapsed="false">
      <c r="A1199" s="2" t="s">
        <v>2159</v>
      </c>
    </row>
    <row r="1200" customFormat="false" ht="15" hidden="false" customHeight="false" outlineLevel="0" collapsed="false">
      <c r="A1200" s="90" t="s">
        <v>86</v>
      </c>
      <c r="B1200" s="130"/>
      <c r="C1200" s="91" t="s">
        <v>1826</v>
      </c>
      <c r="D1200" s="91" t="s">
        <v>1450</v>
      </c>
      <c r="E1200" s="91" t="s">
        <v>1451</v>
      </c>
      <c r="F1200" s="91" t="s">
        <v>1452</v>
      </c>
      <c r="G1200" s="91" t="s">
        <v>1453</v>
      </c>
      <c r="H1200" s="91" t="s">
        <v>1614</v>
      </c>
      <c r="I1200" s="91" t="s">
        <v>1272</v>
      </c>
      <c r="J1200" s="91" t="s">
        <v>1273</v>
      </c>
    </row>
    <row r="1201" customFormat="false" ht="15" hidden="false" customHeight="false" outlineLevel="0" collapsed="false">
      <c r="A1201" s="11" t="s">
        <v>2160</v>
      </c>
      <c r="C1201" s="30" t="n">
        <v>418.5388</v>
      </c>
      <c r="D1201" s="30" t="n">
        <v>452.1724</v>
      </c>
      <c r="E1201" s="30" t="n">
        <v>545.8062</v>
      </c>
      <c r="F1201" s="30" t="n">
        <v>583.0724</v>
      </c>
      <c r="G1201" s="30" t="n">
        <v>653.4367</v>
      </c>
      <c r="H1201" s="30" t="n">
        <v>259.6462</v>
      </c>
      <c r="I1201" s="30" t="n">
        <v>292.6364</v>
      </c>
      <c r="J1201" s="30" t="n">
        <v>340.2655</v>
      </c>
    </row>
    <row r="1202" customFormat="false" ht="15" hidden="false" customHeight="false" outlineLevel="0" collapsed="false">
      <c r="A1202" s="11" t="s">
        <v>2161</v>
      </c>
      <c r="C1202" s="131" t="n">
        <v>6.73</v>
      </c>
      <c r="D1202" s="131" t="n">
        <v>8.78</v>
      </c>
      <c r="E1202" s="131" t="n">
        <v>9.53</v>
      </c>
      <c r="F1202" s="131" t="n">
        <v>7.91</v>
      </c>
      <c r="G1202" s="131" t="n">
        <v>7.25</v>
      </c>
    </row>
    <row r="1203" customFormat="false" ht="15" hidden="false" customHeight="false" outlineLevel="0" collapsed="false">
      <c r="A1203" s="11" t="s">
        <v>2162</v>
      </c>
      <c r="C1203" s="30" t="n">
        <v>0</v>
      </c>
      <c r="D1203" s="30" t="n">
        <v>0</v>
      </c>
      <c r="E1203" s="30" t="n">
        <v>0</v>
      </c>
      <c r="F1203" s="30" t="n">
        <v>0</v>
      </c>
      <c r="G1203" s="30" t="n">
        <v>0</v>
      </c>
    </row>
    <row r="1204" customFormat="false" ht="15" hidden="false" customHeight="false" outlineLevel="0" collapsed="false">
      <c r="A1204" s="11" t="s">
        <v>2163</v>
      </c>
      <c r="C1204" s="131" t="n">
        <v>0</v>
      </c>
      <c r="D1204" s="131" t="n">
        <v>0</v>
      </c>
      <c r="E1204" s="131" t="n">
        <v>0</v>
      </c>
      <c r="F1204" s="131" t="n">
        <v>0</v>
      </c>
      <c r="G1204" s="131" t="n">
        <v>0</v>
      </c>
    </row>
    <row r="1205" customFormat="false" ht="15" hidden="false" customHeight="false" outlineLevel="0" collapsed="false">
      <c r="A1205" s="11" t="s">
        <v>2164</v>
      </c>
      <c r="C1205" s="131" t="n">
        <v>0</v>
      </c>
      <c r="D1205" s="131" t="n">
        <v>0</v>
      </c>
      <c r="E1205" s="131" t="n">
        <v>0</v>
      </c>
      <c r="F1205" s="131" t="n">
        <v>0</v>
      </c>
      <c r="G1205" s="131" t="n">
        <v>0</v>
      </c>
    </row>
    <row r="1206" customFormat="false" ht="15" hidden="false" customHeight="false" outlineLevel="0" collapsed="false">
      <c r="A1206" s="11" t="s">
        <v>2165</v>
      </c>
      <c r="E1206" s="131" t="n">
        <v>20.71</v>
      </c>
      <c r="F1206" s="131" t="n">
        <v>6.83</v>
      </c>
      <c r="G1206" s="131" t="n">
        <v>12.07</v>
      </c>
      <c r="I1206" s="131" t="n">
        <v>12.71</v>
      </c>
      <c r="J1206" s="131" t="n">
        <v>16.28</v>
      </c>
    </row>
    <row r="1207" customFormat="false" ht="15" hidden="false" customHeight="false" outlineLevel="0" collapsed="false">
      <c r="A1207" s="11" t="s">
        <v>2166</v>
      </c>
      <c r="D1207" s="131" t="n">
        <v>1817</v>
      </c>
      <c r="E1207" s="131" t="n">
        <v>2034</v>
      </c>
      <c r="F1207" s="131" t="n">
        <v>1877</v>
      </c>
      <c r="G1207" s="131" t="n">
        <v>1975</v>
      </c>
    </row>
    <row r="1208" customFormat="false" ht="15" hidden="false" customHeight="false" outlineLevel="0" collapsed="false">
      <c r="A1208" s="11" t="s">
        <v>2167</v>
      </c>
      <c r="D1208" s="131" t="n">
        <v>15.43</v>
      </c>
      <c r="E1208" s="131" t="n">
        <v>15.07</v>
      </c>
      <c r="F1208" s="131" t="n">
        <v>12.1</v>
      </c>
      <c r="G1208" s="131" t="n">
        <v>11.38</v>
      </c>
    </row>
    <row r="1209" customFormat="false" ht="15" hidden="false" customHeight="false" outlineLevel="0" collapsed="false">
      <c r="A1209" s="11" t="s">
        <v>2168</v>
      </c>
      <c r="D1209" s="131" t="n">
        <v>678</v>
      </c>
      <c r="E1209" s="131" t="n">
        <v>764</v>
      </c>
      <c r="F1209" s="131" t="n">
        <v>650</v>
      </c>
      <c r="G1209" s="131" t="n">
        <v>677</v>
      </c>
    </row>
    <row r="1210" customFormat="false" ht="15" hidden="false" customHeight="false" outlineLevel="0" collapsed="false">
      <c r="A1210" s="11" t="s">
        <v>2169</v>
      </c>
      <c r="D1210" s="131" t="n">
        <v>411</v>
      </c>
      <c r="E1210" s="131" t="n">
        <v>609</v>
      </c>
      <c r="F1210" s="131" t="n">
        <v>690</v>
      </c>
      <c r="G1210" s="131" t="n">
        <v>842</v>
      </c>
    </row>
    <row r="1211" customFormat="false" ht="15" hidden="false" customHeight="false" outlineLevel="0" collapsed="false">
      <c r="A1211" s="11" t="s">
        <v>2170</v>
      </c>
      <c r="D1211" s="131" t="n">
        <v>1069</v>
      </c>
      <c r="E1211" s="131" t="n">
        <v>1110</v>
      </c>
      <c r="F1211" s="131" t="n">
        <v>1118</v>
      </c>
      <c r="G1211" s="131" t="n">
        <v>1325</v>
      </c>
    </row>
    <row r="1212" customFormat="false" ht="15" hidden="false" customHeight="false" outlineLevel="0" collapsed="false">
      <c r="A1212" s="11" t="s">
        <v>2171</v>
      </c>
      <c r="D1212" s="131" t="n">
        <v>597</v>
      </c>
      <c r="E1212" s="131" t="n">
        <v>755</v>
      </c>
      <c r="F1212" s="131" t="n">
        <v>672</v>
      </c>
      <c r="G1212" s="131" t="n">
        <v>561</v>
      </c>
    </row>
    <row r="1214" customFormat="false" ht="15" hidden="false" customHeight="false" outlineLevel="0" collapsed="false">
      <c r="A1214" s="3" t="s">
        <v>2172</v>
      </c>
    </row>
    <row r="1215" customFormat="false" ht="15" hidden="false" customHeight="false" outlineLevel="0" collapsed="false">
      <c r="A1215" s="2" t="s">
        <v>2173</v>
      </c>
    </row>
    <row r="1216" customFormat="false" ht="15" hidden="false" customHeight="false" outlineLevel="0" collapsed="false">
      <c r="A1216" s="90" t="s">
        <v>86</v>
      </c>
      <c r="B1216" s="130"/>
      <c r="C1216" s="91" t="s">
        <v>1450</v>
      </c>
      <c r="D1216" s="91" t="s">
        <v>1451</v>
      </c>
      <c r="E1216" s="91" t="s">
        <v>1452</v>
      </c>
      <c r="F1216" s="91" t="s">
        <v>1453</v>
      </c>
      <c r="G1216" s="91" t="s">
        <v>1614</v>
      </c>
      <c r="H1216" s="91" t="s">
        <v>1272</v>
      </c>
      <c r="I1216" s="91" t="s">
        <v>1273</v>
      </c>
    </row>
    <row r="1217" customFormat="false" ht="15" hidden="false" customHeight="false" outlineLevel="0" collapsed="false">
      <c r="A1217" s="11" t="s">
        <v>2174</v>
      </c>
      <c r="C1217" s="30" t="n">
        <v>291.7834</v>
      </c>
      <c r="D1217" s="30" t="n">
        <v>365.2851</v>
      </c>
      <c r="E1217" s="30" t="n">
        <v>451.1387</v>
      </c>
      <c r="F1217" s="30" t="n">
        <v>474.3049</v>
      </c>
      <c r="G1217" s="30" t="n">
        <v>191.9319</v>
      </c>
      <c r="H1217" s="30" t="n">
        <v>192.8509</v>
      </c>
      <c r="I1217" s="30" t="n">
        <v>234.4548</v>
      </c>
    </row>
    <row r="1218" customFormat="false" ht="15" hidden="false" customHeight="false" outlineLevel="0" collapsed="false">
      <c r="A1218" s="11" t="s">
        <v>2175</v>
      </c>
      <c r="C1218" s="30" t="n">
        <v>134.8229</v>
      </c>
      <c r="D1218" s="30" t="n">
        <v>138.1746</v>
      </c>
      <c r="E1218" s="30" t="n">
        <v>77.6279</v>
      </c>
      <c r="F1218" s="30" t="n">
        <v>116.9357</v>
      </c>
      <c r="G1218" s="30" t="n">
        <v>42.4215</v>
      </c>
      <c r="H1218" s="30" t="n">
        <v>68.6542</v>
      </c>
      <c r="I1218" s="30" t="n">
        <v>82.1536</v>
      </c>
    </row>
    <row r="1219" customFormat="false" ht="15" hidden="false" customHeight="false" outlineLevel="0" collapsed="false">
      <c r="A1219" s="11" t="s">
        <v>2176</v>
      </c>
      <c r="C1219" s="30" t="n">
        <v>21.0552</v>
      </c>
      <c r="D1219" s="30" t="n">
        <v>35.1406</v>
      </c>
      <c r="E1219" s="30" t="n">
        <v>40.1534</v>
      </c>
      <c r="F1219" s="30" t="n">
        <v>37.2577</v>
      </c>
      <c r="G1219" s="30" t="n">
        <v>18.0491</v>
      </c>
      <c r="H1219" s="30" t="n">
        <v>18.3489</v>
      </c>
      <c r="I1219" s="30" t="n">
        <v>18.9922</v>
      </c>
    </row>
    <row r="1220" customFormat="false" ht="15" hidden="false" customHeight="false" outlineLevel="0" collapsed="false">
      <c r="A1220" s="11" t="s">
        <v>2177</v>
      </c>
      <c r="C1220" s="30" t="n">
        <v>4.5109</v>
      </c>
      <c r="D1220" s="30" t="n">
        <v>7.2059</v>
      </c>
      <c r="E1220" s="30" t="n">
        <v>14.1524</v>
      </c>
      <c r="F1220" s="30" t="n">
        <v>24.9385</v>
      </c>
      <c r="G1220" s="30" t="n">
        <v>7.2437</v>
      </c>
      <c r="H1220" s="30" t="n">
        <v>12.7824</v>
      </c>
      <c r="I1220" s="30" t="n">
        <v>4.6649</v>
      </c>
    </row>
    <row r="1221" customFormat="false" ht="15" hidden="false" customHeight="false" outlineLevel="0" collapsed="false">
      <c r="A1221" s="11" t="s">
        <v>1470</v>
      </c>
      <c r="C1221" s="30" t="n">
        <v>452.1724</v>
      </c>
      <c r="D1221" s="30" t="n">
        <v>545.8062</v>
      </c>
      <c r="E1221" s="30" t="n">
        <v>583.0724</v>
      </c>
      <c r="F1221" s="30" t="n">
        <v>653.4367</v>
      </c>
      <c r="G1221" s="30" t="n">
        <v>259.6462</v>
      </c>
      <c r="H1221" s="30" t="n">
        <v>292.6364</v>
      </c>
      <c r="I1221" s="30" t="n">
        <v>340.2655</v>
      </c>
    </row>
    <row r="1223" customFormat="false" ht="15" hidden="false" customHeight="false" outlineLevel="0" collapsed="false">
      <c r="A1223" s="3" t="s">
        <v>2178</v>
      </c>
    </row>
    <row r="1224" customFormat="false" ht="15" hidden="false" customHeight="false" outlineLevel="0" collapsed="false">
      <c r="A1224" s="2" t="s">
        <v>2179</v>
      </c>
    </row>
    <row r="1225" customFormat="false" ht="15" hidden="false" customHeight="false" outlineLevel="0" collapsed="false">
      <c r="A1225" s="90" t="s">
        <v>86</v>
      </c>
      <c r="B1225" s="130"/>
      <c r="C1225" s="91" t="s">
        <v>1450</v>
      </c>
      <c r="D1225" s="91" t="s">
        <v>1451</v>
      </c>
      <c r="E1225" s="91" t="s">
        <v>1452</v>
      </c>
      <c r="F1225" s="91" t="s">
        <v>1453</v>
      </c>
      <c r="G1225" s="91" t="s">
        <v>1614</v>
      </c>
      <c r="H1225" s="91" t="s">
        <v>1272</v>
      </c>
    </row>
    <row r="1226" customFormat="false" ht="15" hidden="false" customHeight="false" outlineLevel="0" collapsed="false">
      <c r="A1226" s="11" t="s">
        <v>2180</v>
      </c>
      <c r="C1226" s="30" t="n">
        <v>46.1104</v>
      </c>
      <c r="D1226" s="30" t="n">
        <v>54.1584</v>
      </c>
      <c r="E1226" s="30" t="n">
        <v>59.9928</v>
      </c>
      <c r="F1226" s="30" t="n">
        <v>67.7914</v>
      </c>
      <c r="G1226" s="30" t="n">
        <v>25.3585</v>
      </c>
      <c r="H1226" s="30" t="n">
        <v>28.7814</v>
      </c>
    </row>
    <row r="1227" customFormat="false" ht="15" hidden="false" customHeight="false" outlineLevel="0" collapsed="false">
      <c r="A1227" s="11" t="s">
        <v>2181</v>
      </c>
      <c r="C1227" s="30" t="n">
        <v>3.1064</v>
      </c>
      <c r="D1227" s="30" t="n">
        <v>6.1606</v>
      </c>
      <c r="E1227" s="30" t="n">
        <v>5.7123</v>
      </c>
      <c r="F1227" s="30" t="n">
        <v>8.1405</v>
      </c>
      <c r="G1227" s="30" t="n">
        <v>2.4555</v>
      </c>
      <c r="H1227" s="30" t="n">
        <v>4.2562</v>
      </c>
    </row>
    <row r="1228" customFormat="false" ht="15" hidden="false" customHeight="false" outlineLevel="0" collapsed="false">
      <c r="A1228" s="11" t="s">
        <v>2182</v>
      </c>
      <c r="C1228" s="30" t="n">
        <v>2.9267</v>
      </c>
      <c r="D1228" s="30" t="n">
        <v>4.2674</v>
      </c>
      <c r="E1228" s="30" t="n">
        <v>3.3005</v>
      </c>
      <c r="F1228" s="30" t="n">
        <v>3.6151</v>
      </c>
      <c r="G1228" s="30" t="n">
        <v>1.1869</v>
      </c>
      <c r="H1228" s="30" t="n">
        <v>1.4466</v>
      </c>
    </row>
    <row r="1229" customFormat="false" ht="15" hidden="false" customHeight="false" outlineLevel="0" collapsed="false">
      <c r="A1229" s="11" t="s">
        <v>2183</v>
      </c>
      <c r="C1229" s="30" t="n">
        <v>1.4688</v>
      </c>
      <c r="D1229" s="30" t="n">
        <v>2.3531</v>
      </c>
      <c r="E1229" s="30" t="n">
        <v>3.2101</v>
      </c>
      <c r="F1229" s="30" t="n">
        <v>3.6451</v>
      </c>
      <c r="G1229" s="30" t="n">
        <v>1.3694</v>
      </c>
      <c r="H1229" s="30" t="n">
        <v>1.7943</v>
      </c>
    </row>
    <row r="1230" customFormat="false" ht="15" hidden="false" customHeight="false" outlineLevel="0" collapsed="false">
      <c r="A1230" s="11" t="s">
        <v>2184</v>
      </c>
      <c r="C1230" s="30" t="n">
        <v>3.6956</v>
      </c>
      <c r="D1230" s="30" t="n">
        <v>7.4036</v>
      </c>
      <c r="E1230" s="30" t="n">
        <v>7.176</v>
      </c>
      <c r="F1230" s="30" t="n">
        <v>10.0072</v>
      </c>
      <c r="G1230" s="30" t="n">
        <v>2.8638</v>
      </c>
      <c r="H1230" s="30" t="n">
        <v>5.707</v>
      </c>
    </row>
    <row r="1231" customFormat="false" ht="15" hidden="false" customHeight="false" outlineLevel="0" collapsed="false">
      <c r="A1231" s="11" t="s">
        <v>1470</v>
      </c>
      <c r="C1231" s="30" t="n">
        <v>57.308</v>
      </c>
      <c r="D1231" s="30" t="n">
        <v>74.3431</v>
      </c>
      <c r="E1231" s="30" t="n">
        <v>79.3918</v>
      </c>
      <c r="F1231" s="30" t="n">
        <v>93.1993</v>
      </c>
      <c r="G1231" s="30" t="n">
        <v>33.2342</v>
      </c>
      <c r="H1231" s="30" t="n">
        <v>41.9856</v>
      </c>
    </row>
    <row r="1233" customFormat="false" ht="15" hidden="false" customHeight="false" outlineLevel="0" collapsed="false">
      <c r="A1233" s="3" t="s">
        <v>2185</v>
      </c>
    </row>
    <row r="1234" customFormat="false" ht="15" hidden="false" customHeight="false" outlineLevel="0" collapsed="false">
      <c r="A1234" s="2" t="s">
        <v>2186</v>
      </c>
    </row>
    <row r="1235" customFormat="false" ht="15" hidden="false" customHeight="false" outlineLevel="0" collapsed="false">
      <c r="A1235" s="90" t="s">
        <v>86</v>
      </c>
      <c r="B1235" s="130"/>
      <c r="C1235" s="91" t="s">
        <v>1273</v>
      </c>
      <c r="D1235" s="91" t="s">
        <v>1272</v>
      </c>
    </row>
    <row r="1236" customFormat="false" ht="15" hidden="false" customHeight="false" outlineLevel="0" collapsed="false">
      <c r="A1236" s="11" t="s">
        <v>2187</v>
      </c>
      <c r="C1236" s="30" t="n">
        <v>32.2834</v>
      </c>
      <c r="D1236" s="30" t="n">
        <v>28.7814</v>
      </c>
    </row>
    <row r="1237" customFormat="false" ht="15" hidden="false" customHeight="false" outlineLevel="0" collapsed="false">
      <c r="A1237" s="11" t="s">
        <v>2188</v>
      </c>
      <c r="C1237" s="30" t="n">
        <v>5.6953</v>
      </c>
      <c r="D1237" s="30" t="n">
        <v>5.7029</v>
      </c>
    </row>
    <row r="1238" customFormat="false" ht="15" hidden="false" customHeight="false" outlineLevel="0" collapsed="false">
      <c r="A1238" s="11" t="s">
        <v>2184</v>
      </c>
      <c r="C1238" s="30" t="n">
        <v>6.8311</v>
      </c>
      <c r="D1238" s="30" t="n">
        <v>7.5014</v>
      </c>
    </row>
    <row r="1239" customFormat="false" ht="15" hidden="false" customHeight="false" outlineLevel="0" collapsed="false">
      <c r="A1239" s="11" t="s">
        <v>1470</v>
      </c>
      <c r="C1239" s="30" t="n">
        <v>44.8099</v>
      </c>
      <c r="D1239" s="30" t="n">
        <v>41.9856</v>
      </c>
    </row>
    <row r="1241" customFormat="false" ht="15" hidden="false" customHeight="false" outlineLevel="0" collapsed="false">
      <c r="A1241" s="3" t="s">
        <v>2189</v>
      </c>
    </row>
    <row r="1242" customFormat="false" ht="15" hidden="false" customHeight="false" outlineLevel="0" collapsed="false">
      <c r="A1242" s="2" t="s">
        <v>2190</v>
      </c>
    </row>
    <row r="1243" customFormat="false" ht="15" hidden="false" customHeight="false" outlineLevel="0" collapsed="false">
      <c r="A1243" s="90" t="s">
        <v>86</v>
      </c>
      <c r="B1243" s="130"/>
      <c r="C1243" s="91" t="s">
        <v>1450</v>
      </c>
      <c r="D1243" s="91" t="s">
        <v>1451</v>
      </c>
    </row>
    <row r="1244" customFormat="false" ht="15" hidden="false" customHeight="false" outlineLevel="0" collapsed="false">
      <c r="A1244" s="11" t="s">
        <v>2191</v>
      </c>
      <c r="C1244" s="30" t="n">
        <v>318.4378</v>
      </c>
      <c r="D1244" s="30" t="n">
        <v>267.2209</v>
      </c>
    </row>
    <row r="1245" customFormat="false" ht="15" hidden="false" customHeight="false" outlineLevel="0" collapsed="false">
      <c r="A1245" s="11" t="s">
        <v>2192</v>
      </c>
      <c r="C1245" s="30" t="n">
        <v>41.8384</v>
      </c>
      <c r="D1245" s="30" t="n">
        <v>33.393</v>
      </c>
    </row>
    <row r="1246" customFormat="false" ht="15" hidden="false" customHeight="false" outlineLevel="0" collapsed="false">
      <c r="A1246" s="11" t="s">
        <v>2193</v>
      </c>
      <c r="C1246" s="30" t="n">
        <v>29.4831</v>
      </c>
      <c r="D1246" s="30" t="n">
        <v>38.8131</v>
      </c>
    </row>
    <row r="1247" customFormat="false" ht="15" hidden="false" customHeight="false" outlineLevel="0" collapsed="false">
      <c r="A1247" s="11" t="s">
        <v>2194</v>
      </c>
      <c r="C1247" s="30" t="n">
        <v>9.0685</v>
      </c>
      <c r="D1247" s="30" t="n">
        <v>11.1037</v>
      </c>
    </row>
    <row r="1248" customFormat="false" ht="15" hidden="false" customHeight="false" outlineLevel="0" collapsed="false">
      <c r="A1248" s="11" t="s">
        <v>2195</v>
      </c>
      <c r="C1248" s="30" t="n">
        <v>7.8117</v>
      </c>
      <c r="D1248" s="30" t="n">
        <v>4.7419</v>
      </c>
    </row>
    <row r="1249" customFormat="false" ht="15" hidden="false" customHeight="false" outlineLevel="0" collapsed="false">
      <c r="A1249" s="11" t="s">
        <v>2196</v>
      </c>
      <c r="C1249" s="30" t="n">
        <v>7.06</v>
      </c>
      <c r="D1249" s="30" t="n">
        <v>4.2094</v>
      </c>
    </row>
    <row r="1250" customFormat="false" ht="15" hidden="false" customHeight="false" outlineLevel="0" collapsed="false">
      <c r="A1250" s="11" t="s">
        <v>2197</v>
      </c>
      <c r="C1250" s="30" t="n">
        <v>6.7914</v>
      </c>
      <c r="D1250" s="30" t="n">
        <v>3.5664</v>
      </c>
    </row>
    <row r="1251" customFormat="false" ht="15" hidden="false" customHeight="false" outlineLevel="0" collapsed="false">
      <c r="A1251" s="11" t="s">
        <v>2198</v>
      </c>
      <c r="C1251" s="30" t="n">
        <v>6.0582</v>
      </c>
      <c r="D1251" s="30" t="n">
        <v>9.2571</v>
      </c>
    </row>
    <row r="1252" customFormat="false" ht="15" hidden="false" customHeight="false" outlineLevel="0" collapsed="false">
      <c r="A1252" s="11" t="s">
        <v>499</v>
      </c>
      <c r="C1252" s="30" t="n">
        <v>4.833</v>
      </c>
      <c r="D1252" s="30" t="n">
        <v>2.405</v>
      </c>
    </row>
    <row r="1253" customFormat="false" ht="15" hidden="false" customHeight="false" outlineLevel="0" collapsed="false">
      <c r="A1253" s="11" t="s">
        <v>2181</v>
      </c>
      <c r="C1253" s="30" t="n">
        <v>3.8331</v>
      </c>
      <c r="D1253" s="30" t="n">
        <v>6.8653</v>
      </c>
    </row>
    <row r="1254" customFormat="false" ht="15" hidden="false" customHeight="false" outlineLevel="0" collapsed="false">
      <c r="A1254" s="11" t="s">
        <v>2199</v>
      </c>
      <c r="C1254" s="30" t="n">
        <v>3.5873</v>
      </c>
      <c r="D1254" s="30" t="n">
        <v>4.1584</v>
      </c>
    </row>
    <row r="1255" customFormat="false" ht="15" hidden="false" customHeight="false" outlineLevel="0" collapsed="false">
      <c r="A1255" s="11" t="s">
        <v>2182</v>
      </c>
      <c r="C1255" s="30" t="n">
        <v>3.3278</v>
      </c>
      <c r="D1255" s="30" t="n">
        <v>3.4946</v>
      </c>
    </row>
    <row r="1256" customFormat="false" ht="15" hidden="false" customHeight="false" outlineLevel="0" collapsed="false">
      <c r="A1256" s="11" t="s">
        <v>2200</v>
      </c>
      <c r="C1256" s="30" t="n">
        <v>3.0187</v>
      </c>
      <c r="D1256" s="30" t="n">
        <v>0.8906</v>
      </c>
    </row>
    <row r="1257" customFormat="false" ht="15" hidden="false" customHeight="false" outlineLevel="0" collapsed="false">
      <c r="A1257" s="11" t="s">
        <v>2184</v>
      </c>
      <c r="C1257" s="30" t="n">
        <v>34.2001</v>
      </c>
      <c r="D1257" s="30" t="n">
        <v>39.2945</v>
      </c>
    </row>
    <row r="1258" customFormat="false" ht="15" hidden="false" customHeight="false" outlineLevel="0" collapsed="false">
      <c r="A1258" s="11" t="s">
        <v>1470</v>
      </c>
      <c r="C1258" s="30" t="n">
        <v>479.3491</v>
      </c>
      <c r="D1258" s="30" t="n">
        <v>429.4141</v>
      </c>
    </row>
    <row r="1260" customFormat="false" ht="15" hidden="false" customHeight="false" outlineLevel="0" collapsed="false">
      <c r="A1260" s="3" t="s">
        <v>2201</v>
      </c>
    </row>
    <row r="1261" customFormat="false" ht="15" hidden="false" customHeight="false" outlineLevel="0" collapsed="false">
      <c r="A1261" s="2" t="s">
        <v>2202</v>
      </c>
    </row>
    <row r="1262" customFormat="false" ht="15" hidden="false" customHeight="false" outlineLevel="0" collapsed="false">
      <c r="A1262" s="90" t="s">
        <v>86</v>
      </c>
      <c r="B1262" s="130"/>
      <c r="C1262" s="91" t="s">
        <v>1451</v>
      </c>
      <c r="D1262" s="91" t="s">
        <v>1452</v>
      </c>
      <c r="E1262" s="91" t="s">
        <v>1453</v>
      </c>
    </row>
    <row r="1263" customFormat="false" ht="15" hidden="false" customHeight="false" outlineLevel="0" collapsed="false">
      <c r="A1263" s="11" t="s">
        <v>2187</v>
      </c>
      <c r="C1263" s="30" t="n">
        <v>267.2209</v>
      </c>
      <c r="D1263" s="30" t="n">
        <v>218.7219</v>
      </c>
      <c r="E1263" s="30" t="n">
        <v>271.2304</v>
      </c>
    </row>
    <row r="1264" customFormat="false" ht="15" hidden="false" customHeight="false" outlineLevel="0" collapsed="false">
      <c r="A1264" s="11" t="s">
        <v>2192</v>
      </c>
      <c r="C1264" s="30" t="n">
        <v>33.393</v>
      </c>
      <c r="D1264" s="30" t="n">
        <v>35.1995</v>
      </c>
      <c r="E1264" s="30" t="n">
        <v>36.8555</v>
      </c>
    </row>
    <row r="1265" customFormat="false" ht="15" hidden="false" customHeight="false" outlineLevel="0" collapsed="false">
      <c r="A1265" s="11" t="s">
        <v>2193</v>
      </c>
      <c r="C1265" s="30" t="n">
        <v>38.8131</v>
      </c>
      <c r="D1265" s="30" t="n">
        <v>56.169</v>
      </c>
      <c r="E1265" s="30" t="n">
        <v>68.029</v>
      </c>
    </row>
    <row r="1266" customFormat="false" ht="15" hidden="false" customHeight="false" outlineLevel="0" collapsed="false">
      <c r="A1266" s="11" t="s">
        <v>2194</v>
      </c>
      <c r="C1266" s="30" t="n">
        <v>11.1037</v>
      </c>
      <c r="D1266" s="30" t="n">
        <v>12.672</v>
      </c>
      <c r="E1266" s="30" t="n">
        <v>11.5655</v>
      </c>
    </row>
    <row r="1267" customFormat="false" ht="15" hidden="false" customHeight="false" outlineLevel="0" collapsed="false">
      <c r="A1267" s="11" t="s">
        <v>2195</v>
      </c>
      <c r="C1267" s="30" t="n">
        <v>4.7419</v>
      </c>
      <c r="D1267" s="30" t="n">
        <v>8.5762</v>
      </c>
      <c r="E1267" s="30" t="n">
        <v>11.1891</v>
      </c>
    </row>
    <row r="1268" customFormat="false" ht="15" hidden="false" customHeight="false" outlineLevel="0" collapsed="false">
      <c r="A1268" s="11" t="s">
        <v>2196</v>
      </c>
      <c r="C1268" s="30" t="n">
        <v>4.2094</v>
      </c>
      <c r="D1268" s="30" t="n">
        <v>3.6281</v>
      </c>
      <c r="E1268" s="30" t="n">
        <v>5.8478</v>
      </c>
    </row>
    <row r="1269" customFormat="false" ht="15" hidden="false" customHeight="false" outlineLevel="0" collapsed="false">
      <c r="A1269" s="11" t="s">
        <v>2197</v>
      </c>
      <c r="C1269" s="30" t="n">
        <v>3.5664</v>
      </c>
      <c r="D1269" s="30" t="n">
        <v>7.7651</v>
      </c>
      <c r="E1269" s="30" t="n">
        <v>8.9326</v>
      </c>
    </row>
    <row r="1270" customFormat="false" ht="15" hidden="false" customHeight="false" outlineLevel="0" collapsed="false">
      <c r="A1270" s="11" t="s">
        <v>2203</v>
      </c>
      <c r="C1270" s="30" t="n">
        <v>9.2571</v>
      </c>
      <c r="D1270" s="30" t="n">
        <v>12.8785</v>
      </c>
      <c r="E1270" s="30" t="n">
        <v>12.8879</v>
      </c>
    </row>
    <row r="1271" customFormat="false" ht="15" hidden="false" customHeight="false" outlineLevel="0" collapsed="false">
      <c r="A1271" s="11" t="s">
        <v>499</v>
      </c>
      <c r="C1271" s="30" t="n">
        <v>2.405</v>
      </c>
      <c r="D1271" s="30" t="n">
        <v>1.0056</v>
      </c>
      <c r="E1271" s="30" t="n">
        <v>0.2053</v>
      </c>
    </row>
    <row r="1272" customFormat="false" ht="15" hidden="false" customHeight="false" outlineLevel="0" collapsed="false">
      <c r="A1272" s="11" t="s">
        <v>2181</v>
      </c>
      <c r="C1272" s="30" t="n">
        <v>6.8653</v>
      </c>
      <c r="D1272" s="30" t="n">
        <v>6.9013</v>
      </c>
      <c r="E1272" s="30" t="n">
        <v>9.005</v>
      </c>
    </row>
    <row r="1273" customFormat="false" ht="15" hidden="false" customHeight="false" outlineLevel="0" collapsed="false">
      <c r="A1273" s="11" t="s">
        <v>2199</v>
      </c>
      <c r="C1273" s="30" t="n">
        <v>4.1584</v>
      </c>
      <c r="D1273" s="30" t="n">
        <v>2.8341</v>
      </c>
      <c r="E1273" s="30" t="n">
        <v>3.187</v>
      </c>
    </row>
    <row r="1274" customFormat="false" ht="15" hidden="false" customHeight="false" outlineLevel="0" collapsed="false">
      <c r="A1274" s="11" t="s">
        <v>2182</v>
      </c>
      <c r="C1274" s="30" t="n">
        <v>3.4946</v>
      </c>
      <c r="D1274" s="30" t="n">
        <v>5.2186</v>
      </c>
      <c r="E1274" s="30" t="n">
        <v>5.265</v>
      </c>
    </row>
    <row r="1275" customFormat="false" ht="15" hidden="false" customHeight="false" outlineLevel="0" collapsed="false">
      <c r="A1275" s="11" t="s">
        <v>2184</v>
      </c>
      <c r="C1275" s="30" t="n">
        <v>40.1852</v>
      </c>
      <c r="D1275" s="30" t="n">
        <v>38.2748</v>
      </c>
      <c r="E1275" s="30" t="n">
        <v>36.75</v>
      </c>
    </row>
    <row r="1276" customFormat="false" ht="15" hidden="false" customHeight="false" outlineLevel="0" collapsed="false">
      <c r="A1276" s="11" t="s">
        <v>1470</v>
      </c>
      <c r="C1276" s="30" t="n">
        <v>429.4141</v>
      </c>
      <c r="D1276" s="30" t="n">
        <v>409.8445</v>
      </c>
      <c r="E1276" s="30" t="n">
        <v>480.9502</v>
      </c>
    </row>
    <row r="1278" customFormat="false" ht="15" hidden="false" customHeight="false" outlineLevel="0" collapsed="false">
      <c r="A1278" s="3" t="s">
        <v>2204</v>
      </c>
    </row>
    <row r="1279" customFormat="false" ht="15" hidden="false" customHeight="false" outlineLevel="0" collapsed="false">
      <c r="A1279" s="2" t="s">
        <v>2205</v>
      </c>
    </row>
    <row r="1280" customFormat="false" ht="15" hidden="false" customHeight="false" outlineLevel="0" collapsed="false">
      <c r="A1280" s="90" t="s">
        <v>86</v>
      </c>
      <c r="B1280" s="130"/>
      <c r="C1280" s="91" t="s">
        <v>1614</v>
      </c>
      <c r="D1280" s="91" t="s">
        <v>1272</v>
      </c>
    </row>
    <row r="1281" customFormat="false" ht="15" hidden="false" customHeight="false" outlineLevel="0" collapsed="false">
      <c r="A1281" s="11" t="s">
        <v>2187</v>
      </c>
      <c r="C1281" s="30" t="n">
        <v>78.5381</v>
      </c>
      <c r="D1281" s="30" t="n">
        <v>99.657</v>
      </c>
    </row>
    <row r="1282" customFormat="false" ht="15" hidden="false" customHeight="false" outlineLevel="0" collapsed="false">
      <c r="A1282" s="11" t="s">
        <v>2192</v>
      </c>
      <c r="C1282" s="30" t="n">
        <v>19.2263</v>
      </c>
      <c r="D1282" s="30" t="n">
        <v>16.8858</v>
      </c>
    </row>
    <row r="1283" customFormat="false" ht="15" hidden="false" customHeight="false" outlineLevel="0" collapsed="false">
      <c r="A1283" s="11" t="s">
        <v>2193</v>
      </c>
      <c r="C1283" s="30" t="n">
        <v>25.5534</v>
      </c>
      <c r="D1283" s="30" t="n">
        <v>29.1441</v>
      </c>
    </row>
    <row r="1284" customFormat="false" ht="15" hidden="false" customHeight="false" outlineLevel="0" collapsed="false">
      <c r="A1284" s="11" t="s">
        <v>2194</v>
      </c>
      <c r="C1284" s="30" t="n">
        <v>6.3174</v>
      </c>
      <c r="D1284" s="30" t="n">
        <v>6.2524</v>
      </c>
    </row>
    <row r="1285" customFormat="false" ht="15" hidden="false" customHeight="false" outlineLevel="0" collapsed="false">
      <c r="A1285" s="11" t="s">
        <v>2195</v>
      </c>
      <c r="C1285" s="30" t="n">
        <v>4.3884</v>
      </c>
      <c r="D1285" s="30" t="n">
        <v>3.6516</v>
      </c>
    </row>
    <row r="1286" customFormat="false" ht="15" hidden="false" customHeight="false" outlineLevel="0" collapsed="false">
      <c r="A1286" s="11" t="s">
        <v>2197</v>
      </c>
      <c r="C1286" s="30" t="n">
        <v>2.9813</v>
      </c>
      <c r="D1286" s="30" t="n">
        <v>4.4394</v>
      </c>
    </row>
    <row r="1287" customFormat="false" ht="15" hidden="false" customHeight="false" outlineLevel="0" collapsed="false">
      <c r="A1287" s="11" t="s">
        <v>2198</v>
      </c>
      <c r="C1287" s="30" t="n">
        <v>5.7478</v>
      </c>
      <c r="D1287" s="30" t="n">
        <v>5.554</v>
      </c>
    </row>
    <row r="1288" customFormat="false" ht="15" hidden="false" customHeight="false" outlineLevel="0" collapsed="false">
      <c r="A1288" s="11" t="s">
        <v>2181</v>
      </c>
      <c r="C1288" s="30" t="n">
        <v>2.4547</v>
      </c>
      <c r="D1288" s="30" t="n">
        <v>4.695</v>
      </c>
    </row>
    <row r="1289" customFormat="false" ht="15" hidden="false" customHeight="false" outlineLevel="0" collapsed="false">
      <c r="A1289" s="11" t="s">
        <v>2182</v>
      </c>
      <c r="C1289" s="30" t="n">
        <v>2.0749</v>
      </c>
      <c r="D1289" s="30" t="n">
        <v>2.463</v>
      </c>
    </row>
    <row r="1290" customFormat="false" ht="15" hidden="false" customHeight="false" outlineLevel="0" collapsed="false">
      <c r="A1290" s="11" t="s">
        <v>2184</v>
      </c>
      <c r="C1290" s="30" t="n">
        <v>21.9933</v>
      </c>
      <c r="D1290" s="30" t="n">
        <v>18.7167</v>
      </c>
    </row>
    <row r="1291" customFormat="false" ht="15" hidden="false" customHeight="false" outlineLevel="0" collapsed="false">
      <c r="A1291" s="11" t="s">
        <v>1470</v>
      </c>
      <c r="C1291" s="30" t="n">
        <v>169.2756</v>
      </c>
      <c r="D1291" s="30" t="n">
        <v>191.459</v>
      </c>
    </row>
    <row r="1293" customFormat="false" ht="15" hidden="false" customHeight="false" outlineLevel="0" collapsed="false">
      <c r="A1293" s="3" t="s">
        <v>2206</v>
      </c>
    </row>
    <row r="1294" customFormat="false" ht="15" hidden="false" customHeight="false" outlineLevel="0" collapsed="false">
      <c r="A1294" s="2" t="s">
        <v>2207</v>
      </c>
    </row>
    <row r="1295" customFormat="false" ht="15" hidden="false" customHeight="false" outlineLevel="0" collapsed="false">
      <c r="A1295" s="90" t="s">
        <v>86</v>
      </c>
      <c r="B1295" s="130"/>
      <c r="C1295" s="91" t="s">
        <v>1273</v>
      </c>
      <c r="D1295" s="91" t="s">
        <v>1272</v>
      </c>
    </row>
    <row r="1296" customFormat="false" ht="15" hidden="false" customHeight="false" outlineLevel="0" collapsed="false">
      <c r="A1296" s="11" t="s">
        <v>2187</v>
      </c>
      <c r="C1296" s="30" t="n">
        <v>125.3424</v>
      </c>
      <c r="D1296" s="30" t="n">
        <v>99.657</v>
      </c>
    </row>
    <row r="1297" customFormat="false" ht="15" hidden="false" customHeight="false" outlineLevel="0" collapsed="false">
      <c r="A1297" s="11" t="s">
        <v>2208</v>
      </c>
      <c r="C1297" s="30" t="n">
        <v>35.147</v>
      </c>
      <c r="D1297" s="30" t="n">
        <v>29.3933</v>
      </c>
    </row>
    <row r="1298" customFormat="false" ht="15" hidden="false" customHeight="false" outlineLevel="0" collapsed="false">
      <c r="A1298" s="11" t="s">
        <v>2209</v>
      </c>
      <c r="C1298" s="30" t="n">
        <v>48.7774</v>
      </c>
      <c r="D1298" s="30" t="n">
        <v>36.7632</v>
      </c>
    </row>
    <row r="1299" customFormat="false" ht="15" hidden="false" customHeight="false" outlineLevel="0" collapsed="false">
      <c r="A1299" s="11" t="s">
        <v>2188</v>
      </c>
      <c r="C1299" s="30" t="n">
        <v>7.1145</v>
      </c>
      <c r="D1299" s="30" t="n">
        <v>7.1581</v>
      </c>
    </row>
    <row r="1300" customFormat="false" ht="15" hidden="false" customHeight="false" outlineLevel="0" collapsed="false">
      <c r="A1300" s="11" t="s">
        <v>2184</v>
      </c>
      <c r="C1300" s="30" t="n">
        <v>38.5491</v>
      </c>
      <c r="D1300" s="30" t="n">
        <v>18.4875</v>
      </c>
    </row>
    <row r="1301" customFormat="false" ht="15" hidden="false" customHeight="false" outlineLevel="0" collapsed="false">
      <c r="A1301" s="11" t="s">
        <v>1470</v>
      </c>
      <c r="C1301" s="30" t="n">
        <v>254.9304</v>
      </c>
      <c r="D1301" s="30" t="n">
        <v>191.459</v>
      </c>
    </row>
    <row r="1303" customFormat="false" ht="15" hidden="false" customHeight="false" outlineLevel="0" collapsed="false">
      <c r="A1303" s="3" t="s">
        <v>2210</v>
      </c>
    </row>
    <row r="1304" customFormat="false" ht="15" hidden="false" customHeight="false" outlineLevel="0" collapsed="false">
      <c r="A1304" s="2" t="s">
        <v>2211</v>
      </c>
    </row>
    <row r="1305" customFormat="false" ht="15" hidden="false" customHeight="false" outlineLevel="0" collapsed="false">
      <c r="A1305" s="90" t="s">
        <v>86</v>
      </c>
      <c r="B1305" s="130"/>
      <c r="C1305" s="91" t="s">
        <v>1450</v>
      </c>
      <c r="D1305" s="91" t="s">
        <v>1451</v>
      </c>
      <c r="E1305" s="91" t="s">
        <v>1452</v>
      </c>
      <c r="F1305" s="91" t="s">
        <v>1453</v>
      </c>
      <c r="G1305" s="91" t="s">
        <v>1614</v>
      </c>
      <c r="H1305" s="91" t="s">
        <v>1272</v>
      </c>
      <c r="I1305" s="91" t="s">
        <v>1273</v>
      </c>
    </row>
    <row r="1306" customFormat="false" ht="15" hidden="false" customHeight="false" outlineLevel="0" collapsed="false">
      <c r="A1306" s="11" t="s">
        <v>884</v>
      </c>
      <c r="C1306" s="30" t="n">
        <v>8.8993</v>
      </c>
      <c r="D1306" s="30" t="n">
        <v>22.4881</v>
      </c>
      <c r="E1306" s="30" t="n">
        <v>27.7001</v>
      </c>
      <c r="F1306" s="30" t="n">
        <v>20.396</v>
      </c>
      <c r="G1306" s="30" t="n">
        <v>16.1233</v>
      </c>
      <c r="H1306" s="30" t="n">
        <v>10.0906</v>
      </c>
      <c r="I1306" s="30" t="n">
        <v>12.6989</v>
      </c>
    </row>
    <row r="1307" customFormat="false" ht="15" hidden="false" customHeight="false" outlineLevel="0" collapsed="false">
      <c r="A1307" s="11" t="s">
        <v>1773</v>
      </c>
      <c r="C1307" s="30" t="n">
        <v>1.6106</v>
      </c>
      <c r="D1307" s="30" t="n">
        <v>1.4939</v>
      </c>
      <c r="E1307" s="30" t="n">
        <v>1.2527</v>
      </c>
      <c r="F1307" s="30" t="n">
        <v>1.0824</v>
      </c>
      <c r="G1307" s="30" t="n">
        <v>0.686</v>
      </c>
      <c r="H1307" s="30" t="n">
        <v>0.5687</v>
      </c>
      <c r="I1307" s="30" t="n">
        <v>0.531</v>
      </c>
    </row>
    <row r="1308" customFormat="false" ht="15" hidden="false" customHeight="false" outlineLevel="0" collapsed="false">
      <c r="A1308" s="11" t="s">
        <v>2212</v>
      </c>
      <c r="C1308" s="30" t="n">
        <v>154.5883</v>
      </c>
      <c r="D1308" s="30" t="n">
        <v>174.943</v>
      </c>
      <c r="E1308" s="30" t="n">
        <v>203.5985</v>
      </c>
      <c r="F1308" s="30" t="n">
        <v>196.88</v>
      </c>
      <c r="G1308" s="30" t="n">
        <v>111.4599</v>
      </c>
      <c r="H1308" s="30" t="n">
        <v>89.6174</v>
      </c>
      <c r="I1308" s="30" t="n">
        <v>98.5122</v>
      </c>
    </row>
    <row r="1309" customFormat="false" ht="15" hidden="false" customHeight="false" outlineLevel="0" collapsed="false">
      <c r="A1309" s="11" t="s">
        <v>2213</v>
      </c>
      <c r="C1309" s="30" t="n">
        <v>-29.7528</v>
      </c>
      <c r="D1309" s="30" t="n">
        <v>-10.0445</v>
      </c>
      <c r="E1309" s="30" t="n">
        <v>1.7948</v>
      </c>
      <c r="F1309" s="30" t="n">
        <v>46.567</v>
      </c>
      <c r="G1309" s="30" t="n">
        <v>-7.0521</v>
      </c>
      <c r="H1309" s="30" t="n">
        <v>15.549</v>
      </c>
      <c r="I1309" s="30" t="n">
        <v>42.4736</v>
      </c>
    </row>
    <row r="1310" customFormat="false" ht="15" hidden="false" customHeight="false" outlineLevel="0" collapsed="false">
      <c r="A1310" s="11" t="s">
        <v>2184</v>
      </c>
      <c r="C1310" s="30" t="n">
        <v>1.1666</v>
      </c>
      <c r="D1310" s="30" t="n">
        <v>0.9881</v>
      </c>
      <c r="E1310" s="30" t="n">
        <v>1.6016</v>
      </c>
      <c r="F1310" s="30" t="n">
        <v>2.145</v>
      </c>
      <c r="G1310" s="30" t="n">
        <v>0.6702</v>
      </c>
      <c r="H1310" s="30" t="n">
        <v>0.7846</v>
      </c>
      <c r="I1310" s="30" t="n">
        <v>1.4273</v>
      </c>
    </row>
    <row r="1311" customFormat="false" ht="15" hidden="false" customHeight="false" outlineLevel="0" collapsed="false">
      <c r="A1311" s="11" t="s">
        <v>1470</v>
      </c>
      <c r="C1311" s="30" t="n">
        <v>-174.2752</v>
      </c>
      <c r="D1311" s="30" t="n">
        <v>-161.5113</v>
      </c>
      <c r="E1311" s="30" t="n">
        <v>-172.5019</v>
      </c>
      <c r="F1311" s="30" t="n">
        <v>-127.772</v>
      </c>
      <c r="G1311" s="30" t="n">
        <v>-101.7186</v>
      </c>
      <c r="H1311" s="30" t="n">
        <v>-63.1933</v>
      </c>
      <c r="I1311" s="30" t="n">
        <v>-41.9124</v>
      </c>
    </row>
    <row r="1313" customFormat="false" ht="15" hidden="false" customHeight="false" outlineLevel="0" collapsed="false">
      <c r="A1313" s="3" t="s">
        <v>2214</v>
      </c>
    </row>
    <row r="1314" customFormat="false" ht="15" hidden="false" customHeight="false" outlineLevel="0" collapsed="false">
      <c r="A1314" s="2" t="s">
        <v>2215</v>
      </c>
    </row>
    <row r="1315" customFormat="false" ht="15" hidden="false" customHeight="false" outlineLevel="0" collapsed="false">
      <c r="A1315" s="90" t="s">
        <v>86</v>
      </c>
      <c r="B1315" s="130"/>
      <c r="C1315" s="91" t="s">
        <v>1450</v>
      </c>
      <c r="D1315" s="91" t="s">
        <v>1451</v>
      </c>
      <c r="E1315" s="91" t="s">
        <v>1452</v>
      </c>
      <c r="F1315" s="91" t="s">
        <v>1453</v>
      </c>
      <c r="G1315" s="91" t="s">
        <v>1614</v>
      </c>
      <c r="H1315" s="91" t="s">
        <v>1272</v>
      </c>
      <c r="I1315" s="91" t="s">
        <v>1273</v>
      </c>
    </row>
    <row r="1316" customFormat="false" ht="15" hidden="false" customHeight="false" outlineLevel="0" collapsed="false">
      <c r="A1316" s="11" t="s">
        <v>2216</v>
      </c>
      <c r="C1316" s="30" t="n">
        <v>23.0847</v>
      </c>
      <c r="D1316" s="30" t="n">
        <v>29.3055</v>
      </c>
      <c r="E1316" s="30" t="n">
        <v>25.4405</v>
      </c>
      <c r="F1316" s="30" t="n">
        <v>37.9406</v>
      </c>
      <c r="G1316" s="30" t="n">
        <v>12.5864</v>
      </c>
      <c r="H1316" s="30" t="n">
        <v>20.4796</v>
      </c>
      <c r="I1316" s="30" t="n">
        <v>21.0892</v>
      </c>
    </row>
    <row r="1317" customFormat="false" ht="15" hidden="false" customHeight="false" outlineLevel="0" collapsed="false">
      <c r="A1317" s="11" t="s">
        <v>2217</v>
      </c>
      <c r="C1317" s="30" t="n">
        <v>16.4973</v>
      </c>
      <c r="D1317" s="30" t="n">
        <v>20.9213</v>
      </c>
      <c r="E1317" s="30" t="n">
        <v>18.2538</v>
      </c>
      <c r="F1317" s="30" t="n">
        <v>27.1673</v>
      </c>
      <c r="G1317" s="30" t="n">
        <v>9.027</v>
      </c>
      <c r="H1317" s="30" t="n">
        <v>14.6739</v>
      </c>
      <c r="I1317" s="30" t="n">
        <v>15.0928</v>
      </c>
    </row>
    <row r="1318" customFormat="false" ht="15" hidden="false" customHeight="false" outlineLevel="0" collapsed="false">
      <c r="A1318" s="11" t="s">
        <v>2218</v>
      </c>
      <c r="C1318" s="30" t="n">
        <v>11.6673</v>
      </c>
      <c r="D1318" s="30" t="n">
        <v>16.4532</v>
      </c>
      <c r="E1318" s="30" t="n">
        <v>18.7085</v>
      </c>
      <c r="F1318" s="30" t="n">
        <v>21.7503</v>
      </c>
      <c r="G1318" s="30" t="n">
        <v>6.1073</v>
      </c>
      <c r="H1318" s="30" t="n">
        <v>10.4064</v>
      </c>
      <c r="I1318" s="30" t="n">
        <v>12.0998</v>
      </c>
    </row>
    <row r="1319" customFormat="false" ht="15" hidden="false" customHeight="false" outlineLevel="0" collapsed="false">
      <c r="A1319" s="11" t="s">
        <v>2219</v>
      </c>
      <c r="C1319" s="30" t="n">
        <v>6.9842</v>
      </c>
      <c r="D1319" s="30" t="n">
        <v>7.739</v>
      </c>
      <c r="E1319" s="30" t="n">
        <v>8.4317</v>
      </c>
      <c r="F1319" s="30" t="n">
        <v>8.9412</v>
      </c>
      <c r="G1319" s="30" t="n">
        <v>3.5809</v>
      </c>
      <c r="H1319" s="30" t="n">
        <v>4.5006</v>
      </c>
      <c r="I1319" s="30" t="n">
        <v>4.6443</v>
      </c>
    </row>
    <row r="1320" customFormat="false" ht="15" hidden="false" customHeight="false" outlineLevel="0" collapsed="false">
      <c r="A1320" s="11" t="s">
        <v>2220</v>
      </c>
      <c r="C1320" s="30" t="n">
        <v>0.0529</v>
      </c>
      <c r="D1320" s="30" t="n">
        <v>0.0403</v>
      </c>
      <c r="E1320" s="30" t="n">
        <v>0.0318</v>
      </c>
      <c r="F1320" s="30" t="n">
        <v>0.0412</v>
      </c>
      <c r="G1320" s="30" t="n">
        <v>0.0164</v>
      </c>
      <c r="H1320" s="30" t="n">
        <v>0.0225</v>
      </c>
      <c r="I1320" s="30" t="n">
        <v>0.0096</v>
      </c>
    </row>
    <row r="1321" customFormat="false" ht="15" hidden="false" customHeight="false" outlineLevel="0" collapsed="false">
      <c r="A1321" s="11" t="s">
        <v>2221</v>
      </c>
      <c r="C1321" s="30" t="n">
        <v>4.6845</v>
      </c>
      <c r="D1321" s="30" t="n">
        <v>8.5865</v>
      </c>
      <c r="E1321" s="30" t="n">
        <v>7.8548</v>
      </c>
      <c r="F1321" s="30" t="n">
        <v>8.725</v>
      </c>
      <c r="G1321" s="30" t="n">
        <v>3.8461</v>
      </c>
      <c r="H1321" s="30" t="n">
        <v>4.138</v>
      </c>
      <c r="I1321" s="30" t="n">
        <v>6.5366</v>
      </c>
    </row>
    <row r="1322" customFormat="false" ht="15" hidden="false" customHeight="false" outlineLevel="0" collapsed="false">
      <c r="A1322" s="11" t="s">
        <v>2222</v>
      </c>
      <c r="C1322" s="30" t="n">
        <v>0.2899</v>
      </c>
      <c r="D1322" s="30" t="n">
        <v>0.3368</v>
      </c>
      <c r="E1322" s="30" t="n">
        <v>0.3877</v>
      </c>
      <c r="F1322" s="30" t="n">
        <v>0.95</v>
      </c>
      <c r="G1322" s="30" t="n">
        <v>0.1603</v>
      </c>
      <c r="H1322" s="30" t="n">
        <v>0.5339</v>
      </c>
      <c r="I1322" s="30" t="n">
        <v>0.1858</v>
      </c>
    </row>
    <row r="1323" customFormat="false" ht="15" hidden="false" customHeight="false" outlineLevel="0" collapsed="false">
      <c r="A1323" s="11" t="s">
        <v>2223</v>
      </c>
      <c r="E1323" s="30" t="n">
        <v>0.0503</v>
      </c>
    </row>
    <row r="1324" customFormat="false" ht="15" hidden="false" customHeight="false" outlineLevel="0" collapsed="false">
      <c r="A1324" s="11" t="s">
        <v>2224</v>
      </c>
      <c r="D1324" s="30" t="n">
        <v>0.401</v>
      </c>
    </row>
    <row r="1325" customFormat="false" ht="15" hidden="false" customHeight="false" outlineLevel="0" collapsed="false">
      <c r="A1325" s="11" t="s">
        <v>2184</v>
      </c>
      <c r="C1325" s="30" t="n">
        <v>0.0069</v>
      </c>
      <c r="D1325" s="30" t="n">
        <v>0.4996</v>
      </c>
      <c r="E1325" s="30" t="n">
        <v>0.0152</v>
      </c>
      <c r="F1325" s="30" t="n">
        <v>2.2671</v>
      </c>
      <c r="G1325" s="30" t="n">
        <v>0.0503</v>
      </c>
      <c r="H1325" s="30" t="n">
        <v>0.0034</v>
      </c>
      <c r="I1325" s="30" t="n">
        <v>0.5413</v>
      </c>
    </row>
    <row r="1326" customFormat="false" ht="15" hidden="false" customHeight="false" outlineLevel="0" collapsed="false">
      <c r="A1326" s="11" t="s">
        <v>1470</v>
      </c>
      <c r="C1326" s="30" t="n">
        <v>63.2677</v>
      </c>
      <c r="D1326" s="30" t="n">
        <v>84.2832</v>
      </c>
      <c r="E1326" s="30" t="n">
        <v>79.1745</v>
      </c>
      <c r="F1326" s="30" t="n">
        <v>107.7827</v>
      </c>
      <c r="G1326" s="30" t="n">
        <v>35.3748</v>
      </c>
      <c r="H1326" s="30" t="n">
        <v>54.7584</v>
      </c>
      <c r="I1326" s="30" t="n">
        <v>60.1994</v>
      </c>
    </row>
    <row r="1328" customFormat="false" ht="15" hidden="false" customHeight="false" outlineLevel="0" collapsed="false">
      <c r="A1328" s="3" t="s">
        <v>2225</v>
      </c>
    </row>
    <row r="1329" customFormat="false" ht="15" hidden="false" customHeight="false" outlineLevel="0" collapsed="false">
      <c r="A1329" s="2" t="s">
        <v>2226</v>
      </c>
    </row>
    <row r="1330" customFormat="false" ht="15" hidden="false" customHeight="false" outlineLevel="0" collapsed="false">
      <c r="A1330" s="90" t="s">
        <v>86</v>
      </c>
      <c r="B1330" s="130"/>
      <c r="C1330" s="91" t="s">
        <v>1450</v>
      </c>
      <c r="D1330" s="91" t="s">
        <v>1451</v>
      </c>
      <c r="E1330" s="91" t="s">
        <v>1452</v>
      </c>
      <c r="F1330" s="91" t="s">
        <v>1453</v>
      </c>
      <c r="G1330" s="91" t="s">
        <v>1614</v>
      </c>
      <c r="H1330" s="91" t="s">
        <v>1272</v>
      </c>
      <c r="I1330" s="91" t="s">
        <v>1273</v>
      </c>
    </row>
    <row r="1331" customFormat="false" ht="15" hidden="false" customHeight="false" outlineLevel="0" collapsed="false">
      <c r="A1331" s="11" t="s">
        <v>98</v>
      </c>
      <c r="C1331" s="30" t="n">
        <v>57.308</v>
      </c>
      <c r="D1331" s="30" t="n">
        <v>74.3431</v>
      </c>
      <c r="E1331" s="30" t="n">
        <v>79.3918</v>
      </c>
      <c r="F1331" s="30" t="n">
        <v>93.1993</v>
      </c>
      <c r="G1331" s="30" t="n">
        <v>33.2342</v>
      </c>
      <c r="H1331" s="30" t="n">
        <v>41.9856</v>
      </c>
      <c r="I1331" s="30" t="n">
        <v>44.8099</v>
      </c>
    </row>
    <row r="1332" customFormat="false" ht="15" hidden="false" customHeight="false" outlineLevel="0" collapsed="false">
      <c r="A1332" s="11" t="s">
        <v>99</v>
      </c>
      <c r="C1332" s="30" t="n">
        <v>479.3491</v>
      </c>
      <c r="D1332" s="30" t="n">
        <v>429.4141</v>
      </c>
      <c r="E1332" s="30" t="n">
        <v>409.8445</v>
      </c>
      <c r="F1332" s="30" t="n">
        <v>480.9502</v>
      </c>
      <c r="G1332" s="30" t="n">
        <v>169.2756</v>
      </c>
      <c r="H1332" s="30" t="n">
        <v>191.459</v>
      </c>
      <c r="I1332" s="30" t="n">
        <v>254.9304</v>
      </c>
    </row>
    <row r="1333" customFormat="false" ht="15" hidden="false" customHeight="false" outlineLevel="0" collapsed="false">
      <c r="A1333" s="11" t="s">
        <v>100</v>
      </c>
      <c r="C1333" s="30" t="n">
        <v>452.1724</v>
      </c>
      <c r="D1333" s="30" t="n">
        <v>545.8062</v>
      </c>
      <c r="E1333" s="30" t="n">
        <v>583.0724</v>
      </c>
      <c r="F1333" s="30" t="n">
        <v>653.4367</v>
      </c>
      <c r="G1333" s="30" t="n">
        <v>259.6462</v>
      </c>
      <c r="H1333" s="30" t="n">
        <v>292.6364</v>
      </c>
      <c r="I1333" s="30" t="n">
        <v>340.2655</v>
      </c>
    </row>
    <row r="1334" customFormat="false" ht="15" hidden="false" customHeight="false" outlineLevel="0" collapsed="false">
      <c r="A1334" s="11" t="s">
        <v>1250</v>
      </c>
      <c r="C1334" s="30" t="n">
        <v>-174.2752</v>
      </c>
      <c r="D1334" s="30" t="n">
        <v>-161.5113</v>
      </c>
      <c r="E1334" s="30" t="n">
        <v>-172.5019</v>
      </c>
      <c r="F1334" s="30" t="n">
        <v>-127.772</v>
      </c>
      <c r="G1334" s="30" t="n">
        <v>-101.7186</v>
      </c>
      <c r="H1334" s="30" t="n">
        <v>-63.1933</v>
      </c>
      <c r="I1334" s="30" t="n">
        <v>-41.9124</v>
      </c>
    </row>
    <row r="1335" customFormat="false" ht="15" hidden="false" customHeight="false" outlineLevel="0" collapsed="false">
      <c r="A1335" s="11" t="s">
        <v>909</v>
      </c>
      <c r="C1335" s="30" t="n">
        <v>63.2677</v>
      </c>
      <c r="D1335" s="30" t="n">
        <v>84.2832</v>
      </c>
      <c r="E1335" s="30" t="n">
        <v>79.1745</v>
      </c>
      <c r="F1335" s="30" t="n">
        <v>107.7827</v>
      </c>
      <c r="G1335" s="30" t="n">
        <v>35.3748</v>
      </c>
      <c r="H1335" s="30" t="n">
        <v>54.7584</v>
      </c>
      <c r="I1335" s="30" t="n">
        <v>60.1994</v>
      </c>
    </row>
    <row r="1337" customFormat="false" ht="15" hidden="false" customHeight="false" outlineLevel="0" collapsed="false">
      <c r="A1337" s="3" t="s">
        <v>2227</v>
      </c>
    </row>
    <row r="1338" customFormat="false" ht="15" hidden="false" customHeight="false" outlineLevel="0" collapsed="false">
      <c r="A1338" s="2" t="s">
        <v>2228</v>
      </c>
    </row>
    <row r="1339" customFormat="false" ht="15" hidden="false" customHeight="false" outlineLevel="0" collapsed="false">
      <c r="A1339" s="90" t="s">
        <v>86</v>
      </c>
      <c r="B1339" s="130"/>
      <c r="C1339" s="130" t="s">
        <v>2229</v>
      </c>
      <c r="D1339" s="130" t="s">
        <v>2230</v>
      </c>
      <c r="E1339" s="130" t="s">
        <v>2231</v>
      </c>
      <c r="F1339" s="130" t="s">
        <v>2232</v>
      </c>
      <c r="G1339" s="130" t="s">
        <v>2233</v>
      </c>
      <c r="H1339" s="130" t="s">
        <v>2234</v>
      </c>
    </row>
    <row r="1340" customFormat="false" ht="15" hidden="false" customHeight="false" outlineLevel="0" collapsed="false">
      <c r="A1340" s="4" t="s">
        <v>2235</v>
      </c>
      <c r="C1340" s="30" t="n">
        <v>5149.3869</v>
      </c>
      <c r="D1340" s="30" t="n">
        <v>2878.2306</v>
      </c>
      <c r="E1340" s="131" t="n">
        <v>44.1</v>
      </c>
      <c r="F1340" s="131" t="n">
        <v>44.11</v>
      </c>
      <c r="G1340" s="131" t="n">
        <v>120216.8</v>
      </c>
      <c r="H1340" s="30" t="n">
        <v>0</v>
      </c>
    </row>
    <row r="1341" customFormat="false" ht="15" hidden="false" customHeight="false" outlineLevel="0" collapsed="false">
      <c r="A1341" s="4" t="s">
        <v>2236</v>
      </c>
      <c r="C1341" s="30" t="n">
        <v>1461.1536</v>
      </c>
      <c r="D1341" s="30" t="n">
        <v>805.6401</v>
      </c>
      <c r="E1341" s="131" t="n">
        <v>44.86</v>
      </c>
      <c r="F1341" s="131" t="n">
        <v>44.86</v>
      </c>
      <c r="G1341" s="131" t="n">
        <v>21866.25</v>
      </c>
      <c r="H1341" s="30" t="n">
        <v>0</v>
      </c>
    </row>
    <row r="1342" customFormat="false" ht="15" hidden="false" customHeight="false" outlineLevel="0" collapsed="false">
      <c r="A1342" s="4" t="s">
        <v>2237</v>
      </c>
      <c r="C1342" s="30" t="n">
        <v>2458.6047</v>
      </c>
      <c r="D1342" s="30" t="n">
        <v>1445.7866</v>
      </c>
      <c r="E1342" s="131" t="n">
        <v>41.19</v>
      </c>
      <c r="F1342" s="131" t="n">
        <v>41.19</v>
      </c>
      <c r="G1342" s="131" t="n">
        <v>88254.58</v>
      </c>
      <c r="H1342" s="30" t="n">
        <v>0</v>
      </c>
    </row>
    <row r="1343" customFormat="false" ht="15" hidden="false" customHeight="false" outlineLevel="0" collapsed="false">
      <c r="A1343" s="4" t="s">
        <v>2238</v>
      </c>
      <c r="C1343" s="30" t="n">
        <v>4061.8659</v>
      </c>
      <c r="D1343" s="30" t="n">
        <v>2294.7584</v>
      </c>
      <c r="E1343" s="131" t="n">
        <v>43.5</v>
      </c>
      <c r="F1343" s="131" t="n">
        <v>43.5</v>
      </c>
      <c r="G1343" s="131" t="n">
        <v>93465.23</v>
      </c>
      <c r="H1343" s="30" t="n">
        <v>0</v>
      </c>
    </row>
    <row r="1344" customFormat="false" ht="15" hidden="false" customHeight="false" outlineLevel="0" collapsed="false">
      <c r="A1344" s="4" t="s">
        <v>2239</v>
      </c>
      <c r="C1344" s="30" t="n">
        <v>1087.521</v>
      </c>
      <c r="D1344" s="30" t="n">
        <v>583.551</v>
      </c>
      <c r="E1344" s="131" t="n">
        <v>46.34</v>
      </c>
      <c r="F1344" s="131" t="n">
        <v>46.34</v>
      </c>
      <c r="G1344" s="131" t="n">
        <v>27091.5</v>
      </c>
      <c r="H1344" s="30" t="n">
        <v>0</v>
      </c>
    </row>
    <row r="1345" customFormat="false" ht="15" hidden="false" customHeight="false" outlineLevel="0" collapsed="false">
      <c r="A1345" s="4" t="s">
        <v>2240</v>
      </c>
      <c r="C1345" s="30" t="n">
        <v>4604.8798</v>
      </c>
      <c r="D1345" s="30" t="n">
        <v>2489.587</v>
      </c>
      <c r="E1345" s="131" t="n">
        <v>45.93</v>
      </c>
      <c r="F1345" s="131" t="n">
        <v>45.94</v>
      </c>
      <c r="G1345" s="131" t="n">
        <v>112814.35</v>
      </c>
      <c r="H1345" s="30" t="n">
        <v>0</v>
      </c>
    </row>
    <row r="1346" customFormat="false" ht="15" hidden="false" customHeight="false" outlineLevel="0" collapsed="false">
      <c r="A1346" s="4" t="s">
        <v>2241</v>
      </c>
      <c r="C1346" s="30" t="n">
        <v>544.5072</v>
      </c>
      <c r="D1346" s="30" t="n">
        <v>388.6278</v>
      </c>
      <c r="E1346" s="131" t="n">
        <v>28.63</v>
      </c>
      <c r="F1346" s="131" t="n">
        <v>28.63</v>
      </c>
      <c r="G1346" s="131" t="n">
        <v>10810.83</v>
      </c>
      <c r="H1346" s="30" t="n">
        <v>0</v>
      </c>
    </row>
    <row r="1347" customFormat="false" ht="15" hidden="false" customHeight="false" outlineLevel="0" collapsed="false">
      <c r="A1347" s="4" t="s">
        <v>2242</v>
      </c>
      <c r="C1347" s="30" t="n">
        <v>4630.0012</v>
      </c>
      <c r="D1347" s="30" t="n">
        <v>2995.9536</v>
      </c>
      <c r="E1347" s="131" t="n">
        <v>35.29</v>
      </c>
      <c r="F1347" s="131" t="n">
        <v>35.29</v>
      </c>
      <c r="G1347" s="131" t="n">
        <v>124737.85</v>
      </c>
      <c r="H1347" s="30" t="n">
        <v>0</v>
      </c>
    </row>
    <row r="1348" customFormat="false" ht="15" hidden="false" customHeight="false" outlineLevel="0" collapsed="false">
      <c r="A1348" s="4" t="s">
        <v>2243</v>
      </c>
      <c r="C1348" s="30" t="n">
        <v>2298.159</v>
      </c>
      <c r="D1348" s="30" t="n">
        <v>1278.4792</v>
      </c>
      <c r="E1348" s="131" t="n">
        <v>44.37</v>
      </c>
      <c r="F1348" s="131" t="n">
        <v>44.37</v>
      </c>
      <c r="G1348" s="131" t="n">
        <v>42818.65</v>
      </c>
      <c r="H1348" s="30" t="n">
        <v>0</v>
      </c>
    </row>
    <row r="1349" customFormat="false" ht="15" hidden="false" customHeight="false" outlineLevel="0" collapsed="false">
      <c r="A1349" s="4" t="s">
        <v>2244</v>
      </c>
      <c r="C1349" s="30" t="n">
        <v>1677.2328</v>
      </c>
      <c r="D1349" s="30" t="n">
        <v>996.8105</v>
      </c>
      <c r="E1349" s="131" t="n">
        <v>40.57</v>
      </c>
      <c r="F1349" s="131" t="n">
        <v>40.57</v>
      </c>
      <c r="G1349" s="131" t="n">
        <v>40953.59</v>
      </c>
      <c r="H1349" s="30" t="n">
        <v>0</v>
      </c>
    </row>
    <row r="1350" customFormat="false" ht="15" hidden="false" customHeight="false" outlineLevel="0" collapsed="false">
      <c r="A1350" s="4" t="s">
        <v>2245</v>
      </c>
      <c r="C1350" s="30" t="n">
        <v>2305.9847</v>
      </c>
      <c r="D1350" s="30" t="n">
        <v>1292.9722</v>
      </c>
      <c r="E1350" s="131" t="n">
        <v>43.93</v>
      </c>
      <c r="F1350" s="131" t="n">
        <v>43.93</v>
      </c>
      <c r="G1350" s="131" t="n">
        <v>57902.92</v>
      </c>
      <c r="H1350" s="30" t="n">
        <v>0</v>
      </c>
    </row>
    <row r="1351" customFormat="false" ht="15" hidden="false" customHeight="false" outlineLevel="0" collapsed="false">
      <c r="A1351" s="4" t="s">
        <v>2246</v>
      </c>
      <c r="C1351" s="30" t="n">
        <v>2887.2621</v>
      </c>
      <c r="D1351" s="30" t="n">
        <v>1723.3015</v>
      </c>
      <c r="E1351" s="131" t="n">
        <v>40.32</v>
      </c>
      <c r="F1351" s="131" t="n">
        <v>40.31</v>
      </c>
      <c r="G1351" s="131" t="n">
        <v>70569.27</v>
      </c>
      <c r="H1351" s="30" t="n">
        <v>0</v>
      </c>
    </row>
    <row r="1352" customFormat="false" ht="15" hidden="false" customHeight="false" outlineLevel="0" collapsed="false">
      <c r="A1352" s="4" t="s">
        <v>2247</v>
      </c>
      <c r="C1352" s="30" t="n">
        <v>3923.8197</v>
      </c>
      <c r="D1352" s="30" t="n">
        <v>2287.3295</v>
      </c>
      <c r="E1352" s="131" t="n">
        <v>41.71</v>
      </c>
      <c r="F1352" s="131" t="n">
        <v>41.71</v>
      </c>
      <c r="G1352" s="131" t="n">
        <v>77133.93</v>
      </c>
      <c r="H1352" s="30" t="n">
        <v>0</v>
      </c>
    </row>
    <row r="1354" customFormat="false" ht="15" hidden="false" customHeight="false" outlineLevel="0" collapsed="false">
      <c r="A1354" s="3" t="s">
        <v>2248</v>
      </c>
    </row>
    <row r="1355" customFormat="false" ht="15" hidden="false" customHeight="false" outlineLevel="0" collapsed="false">
      <c r="A1355" s="2" t="s">
        <v>2249</v>
      </c>
    </row>
    <row r="1356" customFormat="false" ht="15" hidden="false" customHeight="false" outlineLevel="0" collapsed="false">
      <c r="A1356" s="90" t="s">
        <v>86</v>
      </c>
      <c r="B1356" s="130"/>
      <c r="C1356" s="130" t="s">
        <v>17</v>
      </c>
      <c r="D1356" s="130" t="s">
        <v>2250</v>
      </c>
      <c r="E1356" s="130" t="s">
        <v>2055</v>
      </c>
      <c r="F1356" s="130" t="s">
        <v>2251</v>
      </c>
    </row>
    <row r="1357" customFormat="false" ht="15" hidden="false" customHeight="false" outlineLevel="0" collapsed="false">
      <c r="A1357" s="4" t="s">
        <v>2252</v>
      </c>
      <c r="C1357" s="30" t="n">
        <v>1543.2407</v>
      </c>
      <c r="D1357" s="30" t="n">
        <v>777.1359</v>
      </c>
      <c r="E1357" s="131" t="n">
        <v>49.64</v>
      </c>
      <c r="F1357" s="30" t="n">
        <v>0</v>
      </c>
    </row>
    <row r="1358" customFormat="false" ht="15" hidden="false" customHeight="false" outlineLevel="0" collapsed="false">
      <c r="A1358" s="4" t="s">
        <v>2253</v>
      </c>
      <c r="C1358" s="30" t="n">
        <v>1229.6287</v>
      </c>
      <c r="D1358" s="30" t="n">
        <v>626.8942</v>
      </c>
      <c r="E1358" s="131" t="n">
        <v>49.02</v>
      </c>
      <c r="F1358" s="30" t="n">
        <v>0</v>
      </c>
    </row>
    <row r="1359" customFormat="false" ht="15" hidden="false" customHeight="false" outlineLevel="0" collapsed="false">
      <c r="A1359" s="4" t="s">
        <v>2254</v>
      </c>
      <c r="C1359" s="30" t="n">
        <v>1178.0961</v>
      </c>
      <c r="D1359" s="30" t="n">
        <v>607.023</v>
      </c>
      <c r="E1359" s="131" t="n">
        <v>48.47</v>
      </c>
      <c r="F1359" s="30" t="n">
        <v>0</v>
      </c>
    </row>
    <row r="1360" customFormat="false" ht="15" hidden="false" customHeight="false" outlineLevel="0" collapsed="false">
      <c r="A1360" s="4" t="s">
        <v>2255</v>
      </c>
      <c r="C1360" s="30" t="n">
        <v>1096.6874</v>
      </c>
      <c r="D1360" s="30" t="n">
        <v>449.5762</v>
      </c>
      <c r="E1360" s="131" t="n">
        <v>59.01</v>
      </c>
      <c r="F1360" s="30" t="n">
        <v>0</v>
      </c>
    </row>
    <row r="1361" customFormat="false" ht="15" hidden="false" customHeight="false" outlineLevel="0" collapsed="false">
      <c r="A1361" s="4" t="s">
        <v>2256</v>
      </c>
      <c r="C1361" s="30" t="n">
        <v>1006.7498</v>
      </c>
      <c r="D1361" s="30" t="n">
        <v>618.067</v>
      </c>
      <c r="E1361" s="131" t="n">
        <v>38.61</v>
      </c>
      <c r="F1361" s="30" t="n">
        <v>0</v>
      </c>
    </row>
    <row r="1362" customFormat="false" ht="15" hidden="false" customHeight="false" outlineLevel="0" collapsed="false">
      <c r="A1362" s="4" t="s">
        <v>2257</v>
      </c>
      <c r="C1362" s="30" t="n">
        <v>138.6266</v>
      </c>
      <c r="D1362" s="30" t="n">
        <v>28.3312</v>
      </c>
      <c r="E1362" s="131" t="n">
        <v>79.56</v>
      </c>
      <c r="F1362" s="30" t="n">
        <v>0</v>
      </c>
    </row>
    <row r="1363" customFormat="false" ht="15" hidden="false" customHeight="false" outlineLevel="0" collapsed="false">
      <c r="A1363" s="4" t="s">
        <v>2258</v>
      </c>
      <c r="C1363" s="30" t="n">
        <v>984.7562</v>
      </c>
      <c r="D1363" s="30" t="n">
        <v>617.0866</v>
      </c>
      <c r="E1363" s="131" t="n">
        <v>37.34</v>
      </c>
      <c r="F1363" s="30" t="n">
        <v>0</v>
      </c>
    </row>
    <row r="1364" customFormat="false" ht="15" hidden="false" customHeight="false" outlineLevel="0" collapsed="false">
      <c r="A1364" s="4" t="s">
        <v>2259</v>
      </c>
      <c r="C1364" s="30" t="n">
        <v>108.8582</v>
      </c>
      <c r="D1364" s="30" t="n">
        <v>19.5153</v>
      </c>
      <c r="E1364" s="131" t="n">
        <v>82.07</v>
      </c>
      <c r="F1364" s="30" t="n">
        <v>0</v>
      </c>
    </row>
    <row r="1365" customFormat="false" ht="15" hidden="false" customHeight="false" outlineLevel="0" collapsed="false">
      <c r="A1365" s="4" t="s">
        <v>2260</v>
      </c>
      <c r="C1365" s="30" t="n">
        <v>641.9265</v>
      </c>
      <c r="D1365" s="30" t="n">
        <v>303.2286</v>
      </c>
      <c r="E1365" s="131" t="n">
        <v>52.76</v>
      </c>
      <c r="F1365" s="30" t="n">
        <v>0</v>
      </c>
    </row>
    <row r="1366" customFormat="false" ht="15" hidden="false" customHeight="false" outlineLevel="0" collapsed="false">
      <c r="A1366" s="4" t="s">
        <v>2261</v>
      </c>
      <c r="C1366" s="30" t="n">
        <v>41.2934</v>
      </c>
      <c r="D1366" s="30" t="n">
        <v>7.4674</v>
      </c>
      <c r="E1366" s="131" t="n">
        <v>81.92</v>
      </c>
      <c r="F1366" s="30" t="n">
        <v>0</v>
      </c>
    </row>
    <row r="1367" customFormat="false" ht="15" hidden="false" customHeight="false" outlineLevel="0" collapsed="false">
      <c r="A1367" s="4" t="s">
        <v>2262</v>
      </c>
      <c r="C1367" s="30" t="n">
        <v>342.5884</v>
      </c>
      <c r="D1367" s="30" t="n">
        <v>185.1094</v>
      </c>
      <c r="E1367" s="131" t="n">
        <v>45.97</v>
      </c>
      <c r="F1367" s="30" t="n">
        <v>0</v>
      </c>
    </row>
    <row r="1368" customFormat="false" ht="15" hidden="false" customHeight="false" outlineLevel="0" collapsed="false">
      <c r="A1368" s="4" t="s">
        <v>2263</v>
      </c>
      <c r="C1368" s="30" t="n">
        <v>109.8353</v>
      </c>
      <c r="D1368" s="30" t="n">
        <v>20.4715</v>
      </c>
      <c r="E1368" s="131" t="n">
        <v>81.36</v>
      </c>
      <c r="F1368" s="30" t="n">
        <v>0</v>
      </c>
    </row>
    <row r="1370" customFormat="false" ht="15" hidden="false" customHeight="false" outlineLevel="0" collapsed="false">
      <c r="A1370" s="3" t="s">
        <v>2264</v>
      </c>
    </row>
    <row r="1371" customFormat="false" ht="15" hidden="false" customHeight="false" outlineLevel="0" collapsed="false">
      <c r="A1371" s="2" t="s">
        <v>2265</v>
      </c>
    </row>
    <row r="1372" customFormat="false" ht="15" hidden="false" customHeight="false" outlineLevel="0" collapsed="false">
      <c r="A1372" s="90" t="s">
        <v>86</v>
      </c>
      <c r="B1372" s="130"/>
      <c r="C1372" s="91" t="s">
        <v>1450</v>
      </c>
      <c r="D1372" s="91" t="s">
        <v>1451</v>
      </c>
      <c r="E1372" s="91" t="s">
        <v>1452</v>
      </c>
      <c r="F1372" s="91" t="s">
        <v>1453</v>
      </c>
      <c r="G1372" s="91" t="s">
        <v>1614</v>
      </c>
      <c r="H1372" s="91" t="s">
        <v>1272</v>
      </c>
      <c r="I1372" s="91" t="s">
        <v>1273</v>
      </c>
    </row>
    <row r="1373" customFormat="false" ht="15" hidden="false" customHeight="false" outlineLevel="0" collapsed="false">
      <c r="A1373" s="11" t="s">
        <v>2266</v>
      </c>
      <c r="C1373" s="30" t="n">
        <v>1478.1609</v>
      </c>
      <c r="D1373" s="30" t="n">
        <v>1376.8356</v>
      </c>
      <c r="E1373" s="30" t="n">
        <v>1772.4983</v>
      </c>
      <c r="F1373" s="30" t="n">
        <v>1992.9064</v>
      </c>
      <c r="G1373" s="30" t="n">
        <v>895.4628</v>
      </c>
      <c r="H1373" s="30" t="n">
        <v>1068.4105</v>
      </c>
      <c r="I1373" s="30" t="n">
        <v>1262.4736</v>
      </c>
    </row>
    <row r="1374" customFormat="false" ht="15" hidden="false" customHeight="false" outlineLevel="0" collapsed="false">
      <c r="A1374" s="11" t="s">
        <v>2267</v>
      </c>
      <c r="D1374" s="30" t="n">
        <v>1427.965</v>
      </c>
      <c r="E1374" s="30" t="n">
        <v>1875.6708</v>
      </c>
      <c r="F1374" s="30" t="n">
        <v>2102.3803</v>
      </c>
      <c r="H1374" s="30" t="n">
        <v>907.6081</v>
      </c>
      <c r="I1374" s="30" t="n">
        <v>1124.6982</v>
      </c>
    </row>
    <row r="1375" customFormat="false" ht="15" hidden="false" customHeight="false" outlineLevel="0" collapsed="false">
      <c r="A1375" s="11" t="s">
        <v>2268</v>
      </c>
      <c r="D1375" s="30" t="n">
        <v>1402.8538</v>
      </c>
      <c r="E1375" s="30" t="n">
        <v>1795.3373</v>
      </c>
      <c r="F1375" s="30" t="n">
        <v>2054.4643</v>
      </c>
      <c r="H1375" s="30" t="n">
        <v>1087.5836</v>
      </c>
      <c r="I1375" s="30" t="n">
        <v>1279.2502</v>
      </c>
    </row>
    <row r="1376" customFormat="false" ht="15" hidden="false" customHeight="false" outlineLevel="0" collapsed="false">
      <c r="A1376" s="11" t="s">
        <v>2269</v>
      </c>
      <c r="D1376" s="30" t="n">
        <v>26.0182</v>
      </c>
      <c r="E1376" s="30" t="n">
        <v>22.839</v>
      </c>
      <c r="F1376" s="30" t="n">
        <v>61.5579</v>
      </c>
      <c r="H1376" s="30" t="n">
        <v>19.1732</v>
      </c>
      <c r="I1376" s="30" t="n">
        <v>16.7766</v>
      </c>
    </row>
    <row r="1378" customFormat="false" ht="15" hidden="false" customHeight="false" outlineLevel="0" collapsed="false">
      <c r="A1378" s="40" t="s">
        <v>2270</v>
      </c>
      <c r="B1378" s="6"/>
      <c r="C1378" s="6"/>
      <c r="D1378" s="6"/>
      <c r="E1378" s="6"/>
      <c r="F1378" s="6"/>
      <c r="G1378" s="6"/>
      <c r="H1378" s="6"/>
      <c r="I1378" s="6"/>
      <c r="J1378" s="6"/>
      <c r="K1378" s="6"/>
      <c r="L1378" s="6"/>
    </row>
    <row r="1379" customFormat="false" ht="15" hidden="false" customHeight="false" outlineLevel="0" collapsed="false">
      <c r="A1379" s="3" t="s">
        <v>2271</v>
      </c>
    </row>
    <row r="1380" customFormat="false" ht="15" hidden="false" customHeight="false" outlineLevel="0" collapsed="false">
      <c r="A1380" s="2" t="s">
        <v>2272</v>
      </c>
    </row>
    <row r="1381" customFormat="false" ht="15" hidden="false" customHeight="false" outlineLevel="0" collapsed="false">
      <c r="A1381" s="90" t="s">
        <v>86</v>
      </c>
      <c r="B1381" s="130"/>
      <c r="C1381" s="91" t="s">
        <v>1451</v>
      </c>
      <c r="D1381" s="91" t="s">
        <v>1452</v>
      </c>
      <c r="E1381" s="91" t="s">
        <v>1453</v>
      </c>
      <c r="F1381" s="91" t="s">
        <v>1272</v>
      </c>
      <c r="G1381" s="91" t="s">
        <v>1273</v>
      </c>
    </row>
    <row r="1382" customFormat="false" ht="15" hidden="false" customHeight="false" outlineLevel="0" collapsed="false">
      <c r="A1382" s="4" t="s">
        <v>2273</v>
      </c>
      <c r="C1382" s="30" t="n">
        <v>1706.8542</v>
      </c>
      <c r="D1382" s="30" t="n">
        <v>1970.2614</v>
      </c>
      <c r="E1382" s="30" t="n">
        <v>2272.3117</v>
      </c>
      <c r="F1382" s="30" t="n">
        <v>2076.4727</v>
      </c>
      <c r="G1382" s="30" t="n">
        <v>3187.0316</v>
      </c>
    </row>
    <row r="1383" customFormat="false" ht="15" hidden="false" customHeight="false" outlineLevel="0" collapsed="false">
      <c r="A1383" s="4" t="s">
        <v>2274</v>
      </c>
      <c r="C1383" s="30" t="n">
        <v>6.3126</v>
      </c>
      <c r="D1383" s="30" t="n">
        <v>0.629</v>
      </c>
      <c r="E1383" s="30" t="n">
        <v>1.7778</v>
      </c>
      <c r="F1383" s="30" t="n">
        <v>1.9384</v>
      </c>
      <c r="G1383" s="30" t="n">
        <v>0.7584</v>
      </c>
    </row>
    <row r="1384" customFormat="false" ht="15" hidden="false" customHeight="false" outlineLevel="0" collapsed="false">
      <c r="A1384" s="4" t="s">
        <v>2275</v>
      </c>
      <c r="E1384" s="30" t="n">
        <v>0.629</v>
      </c>
      <c r="G1384" s="30" t="n">
        <v>0.629</v>
      </c>
    </row>
    <row r="1385" customFormat="false" ht="15" hidden="false" customHeight="false" outlineLevel="0" collapsed="false">
      <c r="A1385" s="4" t="s">
        <v>2276</v>
      </c>
      <c r="C1385" s="30" t="n">
        <v>0.0271</v>
      </c>
      <c r="D1385" s="30" t="n">
        <v>0.0242</v>
      </c>
    </row>
    <row r="1386" customFormat="false" ht="15" hidden="false" customHeight="false" outlineLevel="0" collapsed="false">
      <c r="A1386" s="11" t="s">
        <v>2277</v>
      </c>
      <c r="C1386" s="30" t="n">
        <v>0.0271</v>
      </c>
    </row>
    <row r="1387" customFormat="false" ht="15" hidden="false" customHeight="false" outlineLevel="0" collapsed="false">
      <c r="A1387" s="11" t="s">
        <v>2278</v>
      </c>
      <c r="D1387" s="30" t="n">
        <v>0.0242</v>
      </c>
    </row>
    <row r="1388" customFormat="false" ht="15" hidden="false" customHeight="false" outlineLevel="0" collapsed="false">
      <c r="A1388" s="11" t="s">
        <v>2279</v>
      </c>
      <c r="C1388" s="30" t="n">
        <v>1713.1939</v>
      </c>
      <c r="D1388" s="30" t="n">
        <v>1970.9145</v>
      </c>
      <c r="E1388" s="30" t="n">
        <v>2274.7185</v>
      </c>
      <c r="F1388" s="30" t="n">
        <v>2078.4111</v>
      </c>
      <c r="G1388" s="30" t="n">
        <v>3188.4189</v>
      </c>
    </row>
    <row r="1390" customFormat="false" ht="15" hidden="false" customHeight="false" outlineLevel="0" collapsed="false">
      <c r="A1390" s="3" t="s">
        <v>2280</v>
      </c>
    </row>
    <row r="1391" customFormat="false" ht="15" hidden="false" customHeight="false" outlineLevel="0" collapsed="false">
      <c r="A1391" s="2" t="s">
        <v>2281</v>
      </c>
    </row>
    <row r="1392" customFormat="false" ht="15" hidden="false" customHeight="false" outlineLevel="0" collapsed="false">
      <c r="A1392" s="90" t="s">
        <v>86</v>
      </c>
      <c r="B1392" s="130"/>
      <c r="C1392" s="91" t="s">
        <v>1451</v>
      </c>
      <c r="D1392" s="91" t="s">
        <v>1452</v>
      </c>
      <c r="E1392" s="91" t="s">
        <v>1453</v>
      </c>
      <c r="F1392" s="91" t="s">
        <v>1272</v>
      </c>
      <c r="G1392" s="91" t="s">
        <v>1273</v>
      </c>
    </row>
    <row r="1393" customFormat="false" ht="15" hidden="false" customHeight="false" outlineLevel="0" collapsed="false">
      <c r="A1393" s="11" t="s">
        <v>2282</v>
      </c>
      <c r="C1393" s="30" t="n">
        <v>0.629</v>
      </c>
      <c r="D1393" s="30" t="n">
        <v>0.629</v>
      </c>
      <c r="E1393" s="30" t="n">
        <v>1.5503</v>
      </c>
      <c r="F1393" s="30" t="n">
        <v>0.629</v>
      </c>
      <c r="G1393" s="30" t="n">
        <v>1.3103</v>
      </c>
    </row>
    <row r="1394" customFormat="false" ht="15" hidden="false" customHeight="false" outlineLevel="0" collapsed="false">
      <c r="A1394" s="11" t="s">
        <v>2283</v>
      </c>
      <c r="C1394" s="30" t="n">
        <v>0.629</v>
      </c>
      <c r="D1394" s="30" t="n">
        <v>0.629</v>
      </c>
      <c r="E1394" s="30" t="n">
        <v>1.5503</v>
      </c>
      <c r="F1394" s="30" t="n">
        <v>0.629</v>
      </c>
      <c r="G1394" s="30" t="n">
        <v>1.3103</v>
      </c>
    </row>
    <row r="1395" customFormat="false" ht="15" hidden="false" customHeight="false" outlineLevel="0" collapsed="false">
      <c r="A1395" s="11" t="s">
        <v>2284</v>
      </c>
      <c r="C1395" s="30" t="n">
        <v>1712.5649</v>
      </c>
      <c r="D1395" s="30" t="n">
        <v>1970.2855</v>
      </c>
      <c r="E1395" s="30" t="n">
        <v>2273.1682</v>
      </c>
      <c r="F1395" s="30" t="n">
        <v>2077.7821</v>
      </c>
      <c r="G1395" s="30" t="n">
        <v>3187.1086</v>
      </c>
    </row>
    <row r="1396" customFormat="false" ht="15" hidden="false" customHeight="false" outlineLevel="0" collapsed="false">
      <c r="A1396" s="11" t="s">
        <v>2285</v>
      </c>
      <c r="C1396" s="30" t="n">
        <v>85.9669</v>
      </c>
      <c r="D1396" s="30" t="n">
        <v>98.5348</v>
      </c>
      <c r="E1396" s="30" t="n">
        <v>113.7202</v>
      </c>
      <c r="F1396" s="30" t="n">
        <v>103.9546</v>
      </c>
      <c r="G1396" s="30" t="n">
        <v>159.3593</v>
      </c>
    </row>
    <row r="1397" customFormat="false" ht="15" hidden="false" customHeight="false" outlineLevel="0" collapsed="false">
      <c r="A1397" s="11" t="s">
        <v>2286</v>
      </c>
      <c r="C1397" s="30" t="n">
        <v>1713.1939</v>
      </c>
      <c r="D1397" s="30" t="n">
        <v>1970.9145</v>
      </c>
      <c r="E1397" s="30" t="n">
        <v>2274.7185</v>
      </c>
      <c r="F1397" s="30" t="n">
        <v>2078.4111</v>
      </c>
      <c r="G1397" s="30" t="n">
        <v>3188.4189</v>
      </c>
    </row>
    <row r="1398" customFormat="false" ht="15" hidden="false" customHeight="false" outlineLevel="0" collapsed="false">
      <c r="A1398" s="11" t="s">
        <v>2287</v>
      </c>
      <c r="C1398" s="30" t="n">
        <v>86.5959</v>
      </c>
      <c r="D1398" s="30" t="n">
        <v>99.1638</v>
      </c>
      <c r="E1398" s="30" t="n">
        <v>115.2705</v>
      </c>
      <c r="F1398" s="30" t="n">
        <v>104.5835</v>
      </c>
      <c r="G1398" s="30" t="n">
        <v>160.6696</v>
      </c>
    </row>
    <row r="1399" customFormat="false" ht="15" hidden="false" customHeight="false" outlineLevel="0" collapsed="false">
      <c r="A1399" s="11" t="s">
        <v>2288</v>
      </c>
      <c r="C1399" s="30" t="n">
        <v>1626.598</v>
      </c>
      <c r="D1399" s="30" t="n">
        <v>1871.7507</v>
      </c>
      <c r="E1399" s="30" t="n">
        <v>2159.448</v>
      </c>
      <c r="F1399" s="30" t="n">
        <v>1973.8276</v>
      </c>
      <c r="G1399" s="30" t="n">
        <v>3027.7493</v>
      </c>
    </row>
    <row r="1401" customFormat="false" ht="15" hidden="false" customHeight="false" outlineLevel="0" collapsed="false">
      <c r="A1401" s="3" t="s">
        <v>2289</v>
      </c>
    </row>
    <row r="1402" customFormat="false" ht="15" hidden="false" customHeight="false" outlineLevel="0" collapsed="false">
      <c r="A1402" s="2" t="s">
        <v>2290</v>
      </c>
    </row>
    <row r="1403" customFormat="false" ht="15" hidden="false" customHeight="false" outlineLevel="0" collapsed="false">
      <c r="A1403" s="90" t="s">
        <v>86</v>
      </c>
      <c r="B1403" s="130"/>
      <c r="C1403" s="91" t="s">
        <v>1451</v>
      </c>
      <c r="D1403" s="91" t="s">
        <v>1452</v>
      </c>
      <c r="E1403" s="91" t="s">
        <v>1453</v>
      </c>
      <c r="F1403" s="91" t="s">
        <v>1272</v>
      </c>
      <c r="G1403" s="91" t="s">
        <v>1273</v>
      </c>
    </row>
    <row r="1404" customFormat="false" ht="15" hidden="false" customHeight="false" outlineLevel="0" collapsed="false">
      <c r="A1404" s="4" t="s">
        <v>2291</v>
      </c>
      <c r="C1404" s="30" t="n">
        <v>1706.2253</v>
      </c>
      <c r="D1404" s="30" t="n">
        <v>1970.2614</v>
      </c>
      <c r="E1404" s="30" t="n">
        <v>2271.9325</v>
      </c>
      <c r="F1404" s="30" t="n">
        <v>2076.4727</v>
      </c>
      <c r="G1404" s="30" t="n">
        <v>3187.0316</v>
      </c>
    </row>
    <row r="1405" customFormat="false" ht="15" hidden="false" customHeight="false" outlineLevel="0" collapsed="false">
      <c r="A1405" s="4" t="s">
        <v>2292</v>
      </c>
      <c r="C1405" s="30" t="n">
        <v>85.3113</v>
      </c>
      <c r="D1405" s="30" t="n">
        <v>98.5131</v>
      </c>
      <c r="E1405" s="30" t="n">
        <v>113.5966</v>
      </c>
      <c r="F1405" s="30" t="n">
        <v>103.8236</v>
      </c>
      <c r="G1405" s="30" t="n">
        <v>159.3516</v>
      </c>
    </row>
    <row r="1406" customFormat="false" ht="15" hidden="false" customHeight="false" outlineLevel="0" collapsed="false">
      <c r="A1406" s="4" t="s">
        <v>2293</v>
      </c>
      <c r="C1406" s="30" t="n">
        <v>6.3126</v>
      </c>
      <c r="E1406" s="30" t="n">
        <v>1.2357</v>
      </c>
      <c r="F1406" s="30" t="n">
        <v>1.3095</v>
      </c>
      <c r="G1406" s="30" t="n">
        <v>0.0771</v>
      </c>
    </row>
    <row r="1407" customFormat="false" ht="15" hidden="false" customHeight="false" outlineLevel="0" collapsed="false">
      <c r="A1407" s="4" t="s">
        <v>2294</v>
      </c>
      <c r="C1407" s="30" t="n">
        <v>0.6313</v>
      </c>
      <c r="E1407" s="30" t="n">
        <v>0.1236</v>
      </c>
      <c r="F1407" s="30" t="n">
        <v>0.1309</v>
      </c>
      <c r="G1407" s="30" t="n">
        <v>0.0077</v>
      </c>
    </row>
    <row r="1408" customFormat="false" ht="15" hidden="false" customHeight="false" outlineLevel="0" collapsed="false">
      <c r="A1408" s="4" t="s">
        <v>2295</v>
      </c>
      <c r="C1408" s="30" t="n">
        <v>0.0271</v>
      </c>
    </row>
    <row r="1409" customFormat="false" ht="15" hidden="false" customHeight="false" outlineLevel="0" collapsed="false">
      <c r="A1409" s="4" t="s">
        <v>2296</v>
      </c>
      <c r="C1409" s="30" t="n">
        <v>0.0244</v>
      </c>
    </row>
    <row r="1410" customFormat="false" ht="15" hidden="false" customHeight="false" outlineLevel="0" collapsed="false">
      <c r="A1410" s="4" t="s">
        <v>2297</v>
      </c>
      <c r="D1410" s="30" t="n">
        <v>0.0242</v>
      </c>
    </row>
    <row r="1411" customFormat="false" ht="15" hidden="false" customHeight="false" outlineLevel="0" collapsed="false">
      <c r="A1411" s="4" t="s">
        <v>2298</v>
      </c>
      <c r="D1411" s="30" t="n">
        <v>0.0217</v>
      </c>
    </row>
    <row r="1412" customFormat="false" ht="15" hidden="false" customHeight="false" outlineLevel="0" collapsed="false">
      <c r="A1412" s="11" t="s">
        <v>2299</v>
      </c>
      <c r="C1412" s="30" t="n">
        <v>1712.5649</v>
      </c>
      <c r="D1412" s="30" t="n">
        <v>1970.2855</v>
      </c>
      <c r="E1412" s="30" t="n">
        <v>2273.1682</v>
      </c>
      <c r="F1412" s="30" t="n">
        <v>2077.7821</v>
      </c>
      <c r="G1412" s="30" t="n">
        <v>3187.1086</v>
      </c>
    </row>
    <row r="1413" customFormat="false" ht="15" hidden="false" customHeight="false" outlineLevel="0" collapsed="false">
      <c r="A1413" s="11" t="s">
        <v>2300</v>
      </c>
      <c r="C1413" s="30" t="n">
        <v>85.9669</v>
      </c>
      <c r="D1413" s="30" t="n">
        <v>98.5348</v>
      </c>
      <c r="E1413" s="30" t="n">
        <v>113.7202</v>
      </c>
      <c r="F1413" s="30" t="n">
        <v>103.9546</v>
      </c>
      <c r="G1413" s="30" t="n">
        <v>159.3593</v>
      </c>
    </row>
    <row r="1415" customFormat="false" ht="15" hidden="false" customHeight="false" outlineLevel="0" collapsed="false">
      <c r="A1415" s="3" t="s">
        <v>2301</v>
      </c>
    </row>
    <row r="1416" customFormat="false" ht="15" hidden="false" customHeight="false" outlineLevel="0" collapsed="false">
      <c r="A1416" s="2" t="s">
        <v>2302</v>
      </c>
    </row>
    <row r="1417" customFormat="false" ht="15" hidden="false" customHeight="false" outlineLevel="0" collapsed="false">
      <c r="A1417" s="90" t="s">
        <v>86</v>
      </c>
      <c r="B1417" s="130"/>
      <c r="C1417" s="130" t="s">
        <v>772</v>
      </c>
      <c r="D1417" s="130" t="s">
        <v>2303</v>
      </c>
      <c r="E1417" s="130" t="s">
        <v>2304</v>
      </c>
      <c r="F1417" s="130" t="s">
        <v>2305</v>
      </c>
      <c r="G1417" s="130" t="s">
        <v>2306</v>
      </c>
      <c r="H1417" s="130" t="s">
        <v>775</v>
      </c>
    </row>
    <row r="1418" customFormat="false" ht="15" hidden="false" customHeight="false" outlineLevel="0" collapsed="false">
      <c r="A1418" s="4" t="s">
        <v>1451</v>
      </c>
      <c r="C1418" s="30" t="n">
        <v>63.0616</v>
      </c>
      <c r="D1418" s="30" t="n">
        <v>23.3415</v>
      </c>
      <c r="F1418" s="30" t="n">
        <v>0.0307</v>
      </c>
      <c r="G1418" s="30" t="n">
        <v>-0.2235</v>
      </c>
      <c r="H1418" s="30" t="n">
        <v>86.5959</v>
      </c>
    </row>
    <row r="1419" customFormat="false" ht="15" hidden="false" customHeight="false" outlineLevel="0" collapsed="false">
      <c r="A1419" s="4" t="s">
        <v>1452</v>
      </c>
      <c r="C1419" s="30" t="n">
        <v>86.5959</v>
      </c>
      <c r="D1419" s="30" t="n">
        <v>12.5324</v>
      </c>
      <c r="E1419" s="30" t="n">
        <v>0.0217</v>
      </c>
      <c r="F1419" s="30" t="n">
        <v>0.0045</v>
      </c>
      <c r="G1419" s="30" t="n">
        <v>0.0182</v>
      </c>
      <c r="H1419" s="30" t="n">
        <v>99.1638</v>
      </c>
    </row>
    <row r="1420" customFormat="false" ht="15" hidden="false" customHeight="false" outlineLevel="0" collapsed="false">
      <c r="A1420" s="4" t="s">
        <v>1453</v>
      </c>
      <c r="C1420" s="30" t="n">
        <v>99.1638</v>
      </c>
      <c r="D1420" s="30" t="n">
        <v>15.6965</v>
      </c>
      <c r="G1420" s="30" t="n">
        <v>0.4103</v>
      </c>
      <c r="H1420" s="30" t="n">
        <v>115.2705</v>
      </c>
    </row>
    <row r="1421" customFormat="false" ht="15" hidden="false" customHeight="false" outlineLevel="0" collapsed="false">
      <c r="A1421" s="4" t="s">
        <v>1272</v>
      </c>
      <c r="C1421" s="30" t="n">
        <v>99.1638</v>
      </c>
      <c r="D1421" s="30" t="n">
        <v>4.5733</v>
      </c>
      <c r="G1421" s="30" t="n">
        <v>0.8464</v>
      </c>
      <c r="H1421" s="30" t="n">
        <v>104.5835</v>
      </c>
    </row>
    <row r="1422" customFormat="false" ht="15" hidden="false" customHeight="false" outlineLevel="0" collapsed="false">
      <c r="A1422" s="4" t="s">
        <v>1273</v>
      </c>
      <c r="C1422" s="30" t="n">
        <v>115.2705</v>
      </c>
      <c r="D1422" s="30" t="n">
        <v>46.4124</v>
      </c>
      <c r="E1422" s="30" t="n">
        <v>0.24</v>
      </c>
      <c r="G1422" s="30" t="n">
        <v>-0.7733</v>
      </c>
      <c r="H1422" s="30" t="n">
        <v>160.6696</v>
      </c>
    </row>
    <row r="1424" customFormat="false" ht="15" hidden="false" customHeight="false" outlineLevel="0" collapsed="false">
      <c r="A1424" s="3" t="s">
        <v>2307</v>
      </c>
    </row>
    <row r="1425" customFormat="false" ht="15" hidden="false" customHeight="false" outlineLevel="0" collapsed="false">
      <c r="A1425" s="2" t="s">
        <v>2308</v>
      </c>
    </row>
    <row r="1426" customFormat="false" ht="15" hidden="false" customHeight="false" outlineLevel="0" collapsed="false">
      <c r="A1426" s="90" t="s">
        <v>86</v>
      </c>
      <c r="B1426" s="130"/>
      <c r="C1426" s="91" t="s">
        <v>1451</v>
      </c>
      <c r="D1426" s="91" t="s">
        <v>1452</v>
      </c>
      <c r="E1426" s="91" t="s">
        <v>1453</v>
      </c>
      <c r="F1426" s="91" t="s">
        <v>1272</v>
      </c>
      <c r="G1426" s="91" t="s">
        <v>1273</v>
      </c>
    </row>
    <row r="1427" customFormat="false" ht="15" hidden="false" customHeight="false" outlineLevel="0" collapsed="false">
      <c r="A1427" s="11" t="s">
        <v>2309</v>
      </c>
      <c r="C1427" s="30" t="n">
        <v>228.3606</v>
      </c>
      <c r="D1427" s="30" t="n">
        <v>116.596</v>
      </c>
      <c r="E1427" s="30" t="n">
        <v>122.5735</v>
      </c>
      <c r="F1427" s="30" t="n">
        <v>107.931</v>
      </c>
      <c r="G1427" s="30" t="n">
        <v>258.7545</v>
      </c>
    </row>
    <row r="1428" customFormat="false" ht="15" hidden="false" customHeight="false" outlineLevel="0" collapsed="false">
      <c r="A1428" s="11" t="s">
        <v>2310</v>
      </c>
      <c r="C1428" s="30" t="n">
        <v>81.0337</v>
      </c>
      <c r="D1428" s="30" t="n">
        <v>104.939</v>
      </c>
      <c r="E1428" s="30" t="n">
        <v>113.8777</v>
      </c>
      <c r="F1428" s="30" t="n">
        <v>80.3265</v>
      </c>
      <c r="G1428" s="30" t="n">
        <v>155.9453</v>
      </c>
    </row>
    <row r="1429" customFormat="false" ht="15" hidden="false" customHeight="false" outlineLevel="0" collapsed="false">
      <c r="A1429" s="11" t="s">
        <v>2311</v>
      </c>
      <c r="C1429" s="30" t="n">
        <v>74.9295</v>
      </c>
      <c r="D1429" s="30" t="n">
        <v>60.7618</v>
      </c>
      <c r="E1429" s="30" t="n">
        <v>71.7977</v>
      </c>
      <c r="F1429" s="30" t="n">
        <v>65.2594</v>
      </c>
      <c r="G1429" s="30" t="n">
        <v>136.7679</v>
      </c>
    </row>
    <row r="1430" customFormat="false" ht="15" hidden="false" customHeight="false" outlineLevel="0" collapsed="false">
      <c r="A1430" s="11" t="s">
        <v>2312</v>
      </c>
      <c r="C1430" s="30" t="n">
        <v>52.3491</v>
      </c>
      <c r="D1430" s="30" t="n">
        <v>60.1974</v>
      </c>
      <c r="E1430" s="30" t="n">
        <v>68.8879</v>
      </c>
      <c r="F1430" s="30" t="n">
        <v>42.7259</v>
      </c>
      <c r="G1430" s="30" t="n">
        <v>59.8116</v>
      </c>
    </row>
    <row r="1431" customFormat="false" ht="15" hidden="false" customHeight="false" outlineLevel="0" collapsed="false">
      <c r="A1431" s="11" t="s">
        <v>2313</v>
      </c>
      <c r="C1431" s="30" t="n">
        <v>49.7145</v>
      </c>
      <c r="D1431" s="30" t="n">
        <v>43.6675</v>
      </c>
      <c r="E1431" s="30" t="n">
        <v>65.3709</v>
      </c>
      <c r="F1431" s="30" t="n">
        <v>40.5221</v>
      </c>
      <c r="G1431" s="30" t="n">
        <v>58.8445</v>
      </c>
    </row>
    <row r="1432" customFormat="false" ht="15" hidden="false" customHeight="false" outlineLevel="0" collapsed="false">
      <c r="A1432" s="11" t="s">
        <v>2314</v>
      </c>
      <c r="C1432" s="30" t="n">
        <v>486.3873</v>
      </c>
      <c r="D1432" s="30" t="n">
        <v>386.1618</v>
      </c>
      <c r="E1432" s="30" t="n">
        <v>442.5078</v>
      </c>
      <c r="F1432" s="30" t="n">
        <v>336.7648</v>
      </c>
      <c r="G1432" s="30" t="n">
        <v>670.1239</v>
      </c>
    </row>
    <row r="1433" customFormat="false" ht="15" hidden="false" customHeight="false" outlineLevel="0" collapsed="false">
      <c r="A1433" s="11" t="s">
        <v>2315</v>
      </c>
      <c r="C1433" s="30" t="n">
        <v>24.3194</v>
      </c>
      <c r="D1433" s="30" t="n">
        <v>19.3081</v>
      </c>
      <c r="E1433" s="30" t="n">
        <v>22.1254</v>
      </c>
      <c r="F1433" s="30" t="n">
        <v>16.8382</v>
      </c>
      <c r="G1433" s="30" t="n">
        <v>33.5062</v>
      </c>
    </row>
    <row r="1435" customFormat="false" ht="15" hidden="false" customHeight="false" outlineLevel="0" collapsed="false">
      <c r="A1435" s="3" t="s">
        <v>2316</v>
      </c>
    </row>
    <row r="1436" customFormat="false" ht="15" hidden="false" customHeight="false" outlineLevel="0" collapsed="false">
      <c r="A1436" s="2" t="s">
        <v>2317</v>
      </c>
    </row>
    <row r="1437" customFormat="false" ht="15" hidden="false" customHeight="false" outlineLevel="0" collapsed="false">
      <c r="A1437" s="90" t="s">
        <v>86</v>
      </c>
      <c r="B1437" s="130"/>
      <c r="C1437" s="91" t="s">
        <v>1451</v>
      </c>
      <c r="D1437" s="91" t="s">
        <v>1452</v>
      </c>
      <c r="E1437" s="91" t="s">
        <v>1453</v>
      </c>
      <c r="F1437" s="91" t="s">
        <v>1272</v>
      </c>
      <c r="G1437" s="91" t="s">
        <v>1273</v>
      </c>
    </row>
    <row r="1438" customFormat="false" ht="15" hidden="false" customHeight="false" outlineLevel="0" collapsed="false">
      <c r="A1438" s="11" t="s">
        <v>2318</v>
      </c>
      <c r="C1438" s="131" t="n">
        <v>13.33</v>
      </c>
      <c r="D1438" s="131" t="n">
        <v>5.92</v>
      </c>
      <c r="E1438" s="131" t="n">
        <v>5.39</v>
      </c>
      <c r="F1438" s="131" t="n">
        <v>5.19</v>
      </c>
      <c r="G1438" s="131" t="n">
        <v>8.12</v>
      </c>
    </row>
    <row r="1439" customFormat="false" ht="15" hidden="false" customHeight="false" outlineLevel="0" collapsed="false">
      <c r="A1439" s="11" t="s">
        <v>2319</v>
      </c>
      <c r="C1439" s="131" t="n">
        <v>28.39</v>
      </c>
      <c r="D1439" s="131" t="n">
        <v>19.59</v>
      </c>
      <c r="E1439" s="131" t="n">
        <v>19.46</v>
      </c>
      <c r="F1439" s="131" t="n">
        <v>16.2</v>
      </c>
      <c r="G1439" s="131" t="n">
        <v>21.03</v>
      </c>
    </row>
    <row r="1441" customFormat="false" ht="15" hidden="false" customHeight="false" outlineLevel="0" collapsed="false">
      <c r="A1441" s="3" t="s">
        <v>2320</v>
      </c>
    </row>
    <row r="1442" customFormat="false" ht="15" hidden="false" customHeight="false" outlineLevel="0" collapsed="false">
      <c r="A1442" s="2" t="s">
        <v>2321</v>
      </c>
    </row>
    <row r="1443" customFormat="false" ht="15" hidden="false" customHeight="false" outlineLevel="0" collapsed="false">
      <c r="A1443" s="90" t="s">
        <v>86</v>
      </c>
      <c r="B1443" s="130"/>
      <c r="C1443" s="91" t="s">
        <v>1451</v>
      </c>
      <c r="D1443" s="91" t="s">
        <v>1452</v>
      </c>
      <c r="E1443" s="91" t="s">
        <v>1453</v>
      </c>
      <c r="F1443" s="91" t="s">
        <v>1272</v>
      </c>
      <c r="G1443" s="91" t="s">
        <v>1273</v>
      </c>
    </row>
    <row r="1444" customFormat="false" ht="15" hidden="false" customHeight="false" outlineLevel="0" collapsed="false">
      <c r="A1444" s="11" t="s">
        <v>2322</v>
      </c>
      <c r="C1444" s="30" t="n">
        <v>403.9799</v>
      </c>
      <c r="D1444" s="30" t="n">
        <v>518.9445</v>
      </c>
      <c r="E1444" s="30" t="n">
        <v>585.9106</v>
      </c>
      <c r="F1444" s="30" t="n">
        <v>494.8251</v>
      </c>
      <c r="G1444" s="30" t="n">
        <v>617.2371</v>
      </c>
    </row>
    <row r="1445" customFormat="false" ht="15" hidden="false" customHeight="false" outlineLevel="0" collapsed="false">
      <c r="A1445" s="11" t="s">
        <v>2323</v>
      </c>
      <c r="C1445" s="30" t="n">
        <v>58.5423</v>
      </c>
      <c r="D1445" s="30" t="n">
        <v>123.1312</v>
      </c>
      <c r="E1445" s="30" t="n">
        <v>169.011</v>
      </c>
      <c r="F1445" s="30" t="n">
        <v>150.6948</v>
      </c>
      <c r="G1445" s="30" t="n">
        <v>185.7394</v>
      </c>
    </row>
    <row r="1446" customFormat="false" ht="15" hidden="false" customHeight="false" outlineLevel="0" collapsed="false">
      <c r="A1446" s="11" t="s">
        <v>2324</v>
      </c>
      <c r="C1446" s="30" t="n">
        <v>462.5221</v>
      </c>
      <c r="D1446" s="30" t="n">
        <v>642.0757</v>
      </c>
      <c r="E1446" s="30" t="n">
        <v>754.9216</v>
      </c>
      <c r="F1446" s="30" t="n">
        <v>645.5199</v>
      </c>
      <c r="G1446" s="30" t="n">
        <v>802.9765</v>
      </c>
    </row>
    <row r="1447" customFormat="false" ht="15" hidden="false" customHeight="false" outlineLevel="0" collapsed="false">
      <c r="A1447" s="11" t="s">
        <v>2325</v>
      </c>
      <c r="G1447" s="30" t="n">
        <v>195.5152</v>
      </c>
    </row>
    <row r="1448" customFormat="false" ht="15" hidden="false" customHeight="false" outlineLevel="0" collapsed="false">
      <c r="A1448" s="11" t="s">
        <v>2326</v>
      </c>
      <c r="G1448" s="30" t="n">
        <v>9.7758</v>
      </c>
    </row>
    <row r="1449" customFormat="false" ht="15" hidden="false" customHeight="false" outlineLevel="0" collapsed="false">
      <c r="A1449" s="11" t="s">
        <v>2327</v>
      </c>
      <c r="G1449" s="30" t="n">
        <v>812.7523</v>
      </c>
    </row>
    <row r="1450" customFormat="false" ht="15" hidden="false" customHeight="false" outlineLevel="0" collapsed="false">
      <c r="A1450" s="11" t="s">
        <v>2328</v>
      </c>
      <c r="G1450" s="30" t="n">
        <v>9.7758</v>
      </c>
    </row>
    <row r="1451" customFormat="false" ht="15" hidden="false" customHeight="false" outlineLevel="0" collapsed="false">
      <c r="A1451" s="11" t="s">
        <v>2329</v>
      </c>
      <c r="C1451" s="30" t="n">
        <v>247.3196</v>
      </c>
      <c r="D1451" s="30" t="n">
        <v>426.9938</v>
      </c>
      <c r="E1451" s="30" t="n">
        <v>392.0976</v>
      </c>
      <c r="F1451" s="30" t="n">
        <v>402.9543</v>
      </c>
      <c r="G1451" s="30" t="n">
        <v>422.9963</v>
      </c>
    </row>
    <row r="1452" customFormat="false" ht="15" hidden="false" customHeight="false" outlineLevel="0" collapsed="false">
      <c r="A1452" s="11" t="s">
        <v>2330</v>
      </c>
      <c r="D1452" s="30" t="n">
        <v>96.1842</v>
      </c>
      <c r="E1452" s="30" t="n">
        <v>158.4814</v>
      </c>
      <c r="F1452" s="30" t="n">
        <v>102.52</v>
      </c>
      <c r="G1452" s="30" t="n">
        <v>101.1741</v>
      </c>
    </row>
    <row r="1453" customFormat="false" ht="15" hidden="false" customHeight="false" outlineLevel="0" collapsed="false">
      <c r="A1453" s="11" t="s">
        <v>2331</v>
      </c>
      <c r="C1453" s="30" t="n">
        <v>247.3196</v>
      </c>
      <c r="D1453" s="30" t="n">
        <v>523.1781</v>
      </c>
      <c r="E1453" s="30" t="n">
        <v>550.579</v>
      </c>
      <c r="F1453" s="30" t="n">
        <v>505.4742</v>
      </c>
      <c r="G1453" s="30" t="n">
        <v>524.1704</v>
      </c>
    </row>
    <row r="1454" customFormat="false" ht="15" hidden="false" customHeight="false" outlineLevel="0" collapsed="false">
      <c r="A1454" s="11" t="s">
        <v>2332</v>
      </c>
      <c r="C1454" s="30" t="n">
        <v>160.3877</v>
      </c>
      <c r="D1454" s="30" t="n">
        <v>201.1225</v>
      </c>
      <c r="E1454" s="30" t="n">
        <v>255.485</v>
      </c>
      <c r="F1454" s="30" t="n">
        <v>223.5646</v>
      </c>
      <c r="G1454" s="30" t="n">
        <v>179.4355</v>
      </c>
    </row>
    <row r="1455" customFormat="false" ht="15" hidden="false" customHeight="false" outlineLevel="0" collapsed="false">
      <c r="A1455" s="11" t="s">
        <v>2333</v>
      </c>
      <c r="C1455" s="30" t="n">
        <v>86.9319</v>
      </c>
      <c r="D1455" s="30" t="n">
        <v>322.0556</v>
      </c>
      <c r="E1455" s="30" t="n">
        <v>295.094</v>
      </c>
      <c r="F1455" s="30" t="n">
        <v>281.9097</v>
      </c>
      <c r="G1455" s="30" t="n">
        <v>344.7348</v>
      </c>
    </row>
    <row r="1457" customFormat="false" ht="15" hidden="false" customHeight="false" outlineLevel="0" collapsed="false">
      <c r="A1457" s="3" t="s">
        <v>2334</v>
      </c>
    </row>
    <row r="1458" customFormat="false" ht="15" hidden="false" customHeight="false" outlineLevel="0" collapsed="false">
      <c r="A1458" s="2" t="s">
        <v>2335</v>
      </c>
    </row>
    <row r="1459" customFormat="false" ht="15" hidden="false" customHeight="false" outlineLevel="0" collapsed="false">
      <c r="A1459" s="90" t="s">
        <v>86</v>
      </c>
      <c r="B1459" s="130"/>
      <c r="C1459" s="91" t="s">
        <v>1451</v>
      </c>
      <c r="D1459" s="91" t="s">
        <v>1452</v>
      </c>
      <c r="E1459" s="91" t="s">
        <v>1453</v>
      </c>
      <c r="F1459" s="91" t="s">
        <v>1272</v>
      </c>
      <c r="G1459" s="91" t="s">
        <v>1273</v>
      </c>
    </row>
    <row r="1460" customFormat="false" ht="15" hidden="false" customHeight="false" outlineLevel="0" collapsed="false">
      <c r="A1460" s="11" t="s">
        <v>772</v>
      </c>
      <c r="C1460" s="30" t="n">
        <v>81.9324</v>
      </c>
      <c r="D1460" s="30" t="n">
        <v>170.1508</v>
      </c>
      <c r="E1460" s="30" t="n">
        <v>172.5082</v>
      </c>
      <c r="F1460" s="30" t="n">
        <v>172.5082</v>
      </c>
      <c r="G1460" s="30" t="n">
        <v>345.5521</v>
      </c>
    </row>
    <row r="1461" customFormat="false" ht="15" hidden="false" customHeight="false" outlineLevel="0" collapsed="false">
      <c r="A1461" s="11" t="s">
        <v>2336</v>
      </c>
      <c r="C1461" s="30" t="n">
        <v>1649.4198</v>
      </c>
      <c r="D1461" s="30" t="n">
        <v>2347.2368</v>
      </c>
      <c r="E1461" s="30" t="n">
        <v>2828.5917</v>
      </c>
      <c r="F1461" s="30" t="n">
        <v>1318.4867</v>
      </c>
      <c r="G1461" s="30" t="n">
        <v>1635.7078</v>
      </c>
    </row>
    <row r="1462" customFormat="false" ht="15" hidden="false" customHeight="false" outlineLevel="0" collapsed="false">
      <c r="A1462" s="11" t="s">
        <v>2337</v>
      </c>
      <c r="C1462" s="30" t="n">
        <v>1561.2014</v>
      </c>
      <c r="D1462" s="30" t="n">
        <v>2344.8794</v>
      </c>
      <c r="E1462" s="30" t="n">
        <v>2655.5478</v>
      </c>
      <c r="F1462" s="30" t="n">
        <v>1305.6262</v>
      </c>
      <c r="G1462" s="30" t="n">
        <v>1624.1728</v>
      </c>
    </row>
    <row r="1463" customFormat="false" ht="15" hidden="false" customHeight="false" outlineLevel="0" collapsed="false">
      <c r="A1463" s="11" t="s">
        <v>2338</v>
      </c>
      <c r="C1463" s="30" t="n">
        <v>170.1508</v>
      </c>
      <c r="D1463" s="30" t="n">
        <v>172.5082</v>
      </c>
      <c r="E1463" s="30" t="n">
        <v>345.5521</v>
      </c>
      <c r="F1463" s="30" t="n">
        <v>185.3687</v>
      </c>
      <c r="G1463" s="30" t="n">
        <v>357.0871</v>
      </c>
    </row>
    <row r="1464" customFormat="false" ht="15" hidden="false" customHeight="false" outlineLevel="0" collapsed="false">
      <c r="A1464" s="11" t="s">
        <v>2339</v>
      </c>
      <c r="C1464" s="30" t="n">
        <v>657.9246</v>
      </c>
      <c r="D1464" s="30" t="n">
        <v>812.9977</v>
      </c>
      <c r="E1464" s="30" t="n">
        <v>911.3921</v>
      </c>
      <c r="F1464" s="30" t="n">
        <v>887.3936</v>
      </c>
      <c r="G1464" s="30" t="n">
        <v>985.585</v>
      </c>
    </row>
    <row r="1466" customFormat="false" ht="15" hidden="false" customHeight="false" outlineLevel="0" collapsed="false">
      <c r="A1466" s="3" t="s">
        <v>2340</v>
      </c>
    </row>
    <row r="1467" customFormat="false" ht="15" hidden="false" customHeight="false" outlineLevel="0" collapsed="false">
      <c r="A1467" s="2" t="s">
        <v>2341</v>
      </c>
    </row>
    <row r="1468" customFormat="false" ht="15" hidden="false" customHeight="false" outlineLevel="0" collapsed="false">
      <c r="A1468" s="90" t="s">
        <v>86</v>
      </c>
      <c r="B1468" s="130"/>
      <c r="C1468" s="91" t="s">
        <v>1451</v>
      </c>
      <c r="D1468" s="91" t="s">
        <v>1452</v>
      </c>
      <c r="E1468" s="91" t="s">
        <v>1453</v>
      </c>
      <c r="F1468" s="91" t="s">
        <v>1272</v>
      </c>
      <c r="G1468" s="91" t="s">
        <v>1273</v>
      </c>
    </row>
    <row r="1469" customFormat="false" ht="15" hidden="false" customHeight="false" outlineLevel="0" collapsed="false">
      <c r="A1469" s="4" t="s">
        <v>2342</v>
      </c>
      <c r="C1469" s="30" t="n">
        <v>45.6354</v>
      </c>
      <c r="D1469" s="30" t="n">
        <v>61.5252</v>
      </c>
      <c r="E1469" s="30" t="n">
        <v>74.5606</v>
      </c>
      <c r="F1469" s="30" t="n">
        <v>64.8786</v>
      </c>
      <c r="G1469" s="30" t="n">
        <v>140.9301</v>
      </c>
    </row>
    <row r="1470" customFormat="false" ht="15" hidden="false" customHeight="false" outlineLevel="0" collapsed="false">
      <c r="A1470" s="4" t="s">
        <v>2274</v>
      </c>
      <c r="C1470" s="30" t="n">
        <v>0.138</v>
      </c>
      <c r="D1470" s="30" t="n">
        <v>0.6795</v>
      </c>
      <c r="E1470" s="30" t="n">
        <v>0.3706</v>
      </c>
      <c r="F1470" s="30" t="n">
        <v>0.6042</v>
      </c>
      <c r="G1470" s="30" t="n">
        <v>0.6072</v>
      </c>
    </row>
    <row r="1471" customFormat="false" ht="15" hidden="false" customHeight="false" outlineLevel="0" collapsed="false">
      <c r="A1471" s="4" t="s">
        <v>2275</v>
      </c>
      <c r="D1471" s="30" t="n">
        <v>0.056</v>
      </c>
      <c r="E1471" s="30" t="n">
        <v>0.5305</v>
      </c>
      <c r="G1471" s="30" t="n">
        <v>0.0272</v>
      </c>
    </row>
    <row r="1472" customFormat="false" ht="15" hidden="false" customHeight="false" outlineLevel="0" collapsed="false">
      <c r="A1472" s="4" t="s">
        <v>2276</v>
      </c>
      <c r="E1472" s="30" t="n">
        <v>0.0474</v>
      </c>
      <c r="F1472" s="30" t="n">
        <v>0.0415</v>
      </c>
      <c r="G1472" s="30" t="n">
        <v>0.0906</v>
      </c>
    </row>
    <row r="1473" customFormat="false" ht="15" hidden="false" customHeight="false" outlineLevel="0" collapsed="false">
      <c r="A1473" s="11" t="s">
        <v>1470</v>
      </c>
      <c r="C1473" s="30" t="n">
        <v>45.7734</v>
      </c>
      <c r="D1473" s="30" t="n">
        <v>62.2607</v>
      </c>
      <c r="E1473" s="30" t="n">
        <v>75.5091</v>
      </c>
      <c r="F1473" s="30" t="n">
        <v>65.5243</v>
      </c>
      <c r="G1473" s="30" t="n">
        <v>141.655</v>
      </c>
    </row>
    <row r="1474" customFormat="false" ht="15" hidden="false" customHeight="false" outlineLevel="0" collapsed="false">
      <c r="A1474" s="11" t="s">
        <v>2343</v>
      </c>
      <c r="C1474" s="30" t="n">
        <v>29.8402</v>
      </c>
      <c r="D1474" s="30" t="n">
        <v>45.2032</v>
      </c>
      <c r="E1474" s="30" t="n">
        <v>48.7823</v>
      </c>
      <c r="F1474" s="30" t="n">
        <v>39.8672</v>
      </c>
      <c r="G1474" s="30" t="n">
        <v>94.1356</v>
      </c>
    </row>
    <row r="1476" customFormat="false" ht="15" hidden="false" customHeight="false" outlineLevel="0" collapsed="false">
      <c r="A1476" s="3" t="s">
        <v>2344</v>
      </c>
    </row>
    <row r="1477" customFormat="false" ht="15" hidden="false" customHeight="false" outlineLevel="0" collapsed="false">
      <c r="A1477" s="2" t="s">
        <v>2345</v>
      </c>
    </row>
    <row r="1478" customFormat="false" ht="15" hidden="false" customHeight="false" outlineLevel="0" collapsed="false">
      <c r="A1478" s="90" t="s">
        <v>86</v>
      </c>
      <c r="B1478" s="130"/>
      <c r="C1478" s="91" t="s">
        <v>1451</v>
      </c>
      <c r="D1478" s="91" t="s">
        <v>1452</v>
      </c>
      <c r="E1478" s="91" t="s">
        <v>1453</v>
      </c>
      <c r="F1478" s="91" t="s">
        <v>1272</v>
      </c>
      <c r="G1478" s="91" t="s">
        <v>1273</v>
      </c>
    </row>
    <row r="1479" customFormat="false" ht="15" hidden="false" customHeight="false" outlineLevel="0" collapsed="false">
      <c r="A1479" s="11" t="s">
        <v>2346</v>
      </c>
      <c r="C1479" s="30" t="n">
        <v>0.2993</v>
      </c>
      <c r="D1479" s="30" t="n">
        <v>0.2054</v>
      </c>
      <c r="E1479" s="30" t="n">
        <v>0.127</v>
      </c>
      <c r="F1479" s="30" t="n">
        <v>0.1578</v>
      </c>
      <c r="G1479" s="30" t="n">
        <v>0.0444</v>
      </c>
    </row>
    <row r="1480" customFormat="false" ht="15" hidden="false" customHeight="false" outlineLevel="0" collapsed="false">
      <c r="A1480" s="11" t="s">
        <v>2347</v>
      </c>
      <c r="C1480" s="30" t="n">
        <v>1.4493</v>
      </c>
      <c r="D1480" s="30" t="n">
        <v>4.1905</v>
      </c>
      <c r="E1480" s="30" t="n">
        <v>2.5996</v>
      </c>
      <c r="F1480" s="30" t="n">
        <v>2.2174</v>
      </c>
      <c r="G1480" s="30" t="n">
        <v>2.5283</v>
      </c>
    </row>
    <row r="1481" customFormat="false" ht="15" hidden="false" customHeight="false" outlineLevel="0" collapsed="false">
      <c r="A1481" s="11" t="s">
        <v>2348</v>
      </c>
      <c r="C1481" s="30" t="n">
        <v>12.6405</v>
      </c>
      <c r="D1481" s="30" t="n">
        <v>18.7886</v>
      </c>
      <c r="E1481" s="30" t="n">
        <v>12.2373</v>
      </c>
      <c r="F1481" s="30" t="n">
        <v>16.4652</v>
      </c>
      <c r="G1481" s="30" t="n">
        <v>11.9168</v>
      </c>
    </row>
    <row r="1482" customFormat="false" ht="15" hidden="false" customHeight="false" outlineLevel="0" collapsed="false">
      <c r="A1482" s="11" t="s">
        <v>2349</v>
      </c>
      <c r="C1482" s="30" t="n">
        <v>26.9497</v>
      </c>
    </row>
    <row r="1483" customFormat="false" ht="15" hidden="false" customHeight="false" outlineLevel="0" collapsed="false">
      <c r="A1483" s="11" t="s">
        <v>2184</v>
      </c>
      <c r="C1483" s="30" t="n">
        <v>3.3294</v>
      </c>
      <c r="D1483" s="30" t="n">
        <v>6.1075</v>
      </c>
      <c r="E1483" s="30" t="n">
        <v>3.8845</v>
      </c>
      <c r="F1483" s="30" t="n">
        <v>1.5837</v>
      </c>
      <c r="G1483" s="30" t="n">
        <v>3.0205</v>
      </c>
    </row>
    <row r="1484" customFormat="false" ht="15" hidden="false" customHeight="false" outlineLevel="0" collapsed="false">
      <c r="A1484" s="11" t="s">
        <v>2350</v>
      </c>
      <c r="C1484" s="30" t="n">
        <v>44.6682</v>
      </c>
      <c r="D1484" s="30" t="n">
        <v>29.292</v>
      </c>
      <c r="E1484" s="30" t="n">
        <v>18.8484</v>
      </c>
      <c r="F1484" s="30" t="n">
        <v>20.4241</v>
      </c>
      <c r="G1484" s="30" t="n">
        <v>17.5101</v>
      </c>
    </row>
    <row r="1485" customFormat="false" ht="15" hidden="false" customHeight="false" outlineLevel="0" collapsed="false">
      <c r="A1485" s="11" t="s">
        <v>2351</v>
      </c>
      <c r="C1485" s="30" t="n">
        <v>0.4342</v>
      </c>
      <c r="D1485" s="30" t="n">
        <v>0.6293</v>
      </c>
      <c r="E1485" s="30" t="n">
        <v>0.4089</v>
      </c>
      <c r="F1485" s="30" t="n">
        <v>0.2945</v>
      </c>
      <c r="G1485" s="30" t="n">
        <v>0.3892</v>
      </c>
    </row>
    <row r="1486" customFormat="false" ht="15" hidden="false" customHeight="false" outlineLevel="0" collapsed="false">
      <c r="A1486" s="11" t="s">
        <v>2352</v>
      </c>
      <c r="C1486" s="30" t="n">
        <v>44.234</v>
      </c>
      <c r="D1486" s="30" t="n">
        <v>28.6627</v>
      </c>
      <c r="E1486" s="30" t="n">
        <v>18.4395</v>
      </c>
      <c r="F1486" s="30" t="n">
        <v>20.1296</v>
      </c>
      <c r="G1486" s="30" t="n">
        <v>17.1209</v>
      </c>
    </row>
    <row r="1488" customFormat="false" ht="15" hidden="false" customHeight="false" outlineLevel="0" collapsed="false">
      <c r="A1488" s="3" t="s">
        <v>2353</v>
      </c>
    </row>
    <row r="1489" customFormat="false" ht="15" hidden="false" customHeight="false" outlineLevel="0" collapsed="false">
      <c r="A1489" s="2" t="s">
        <v>2354</v>
      </c>
    </row>
    <row r="1490" customFormat="false" ht="15" hidden="false" customHeight="false" outlineLevel="0" collapsed="false">
      <c r="A1490" s="90" t="s">
        <v>86</v>
      </c>
      <c r="B1490" s="130"/>
      <c r="C1490" s="91" t="s">
        <v>1451</v>
      </c>
      <c r="D1490" s="91" t="s">
        <v>1452</v>
      </c>
      <c r="E1490" s="91" t="s">
        <v>1453</v>
      </c>
      <c r="F1490" s="91" t="s">
        <v>1272</v>
      </c>
      <c r="G1490" s="91" t="s">
        <v>1273</v>
      </c>
    </row>
    <row r="1491" customFormat="false" ht="15" hidden="false" customHeight="false" outlineLevel="0" collapsed="false">
      <c r="A1491" s="4" t="s">
        <v>2273</v>
      </c>
      <c r="C1491" s="30" t="n">
        <v>12.4109</v>
      </c>
      <c r="D1491" s="30" t="n">
        <v>20.5362</v>
      </c>
      <c r="E1491" s="30" t="n">
        <v>9.6345</v>
      </c>
      <c r="F1491" s="30" t="n">
        <v>13.0175</v>
      </c>
      <c r="G1491" s="30" t="n">
        <v>10.7157</v>
      </c>
    </row>
    <row r="1492" customFormat="false" ht="15" hidden="false" customHeight="false" outlineLevel="0" collapsed="false">
      <c r="A1492" s="4" t="s">
        <v>2274</v>
      </c>
      <c r="C1492" s="30" t="n">
        <v>1.6342</v>
      </c>
      <c r="D1492" s="30" t="n">
        <v>7.0805</v>
      </c>
      <c r="E1492" s="30" t="n">
        <v>5.2361</v>
      </c>
      <c r="F1492" s="30" t="n">
        <v>6.1131</v>
      </c>
      <c r="G1492" s="30" t="n">
        <v>2.9462</v>
      </c>
    </row>
    <row r="1493" customFormat="false" ht="15" hidden="false" customHeight="false" outlineLevel="0" collapsed="false">
      <c r="A1493" s="4" t="s">
        <v>2275</v>
      </c>
      <c r="C1493" s="30" t="n">
        <v>1.3741</v>
      </c>
      <c r="D1493" s="30" t="n">
        <v>0.671</v>
      </c>
      <c r="E1493" s="30" t="n">
        <v>2.9264</v>
      </c>
      <c r="F1493" s="30" t="n">
        <v>0.4546</v>
      </c>
      <c r="G1493" s="30" t="n">
        <v>2.7994</v>
      </c>
    </row>
    <row r="1494" customFormat="false" ht="15" hidden="false" customHeight="false" outlineLevel="0" collapsed="false">
      <c r="A1494" s="4" t="s">
        <v>2276</v>
      </c>
      <c r="C1494" s="30" t="n">
        <v>29.2489</v>
      </c>
      <c r="D1494" s="30" t="n">
        <v>1.0043</v>
      </c>
      <c r="E1494" s="30" t="n">
        <v>1.0514</v>
      </c>
      <c r="F1494" s="30" t="n">
        <v>0.839</v>
      </c>
      <c r="G1494" s="30" t="n">
        <v>1.0488</v>
      </c>
    </row>
    <row r="1495" customFormat="false" ht="15" hidden="false" customHeight="false" outlineLevel="0" collapsed="false">
      <c r="A1495" s="11" t="s">
        <v>2355</v>
      </c>
      <c r="C1495" s="30" t="n">
        <v>28.4236</v>
      </c>
      <c r="D1495" s="30" t="n">
        <v>0.1385</v>
      </c>
      <c r="E1495" s="30" t="n">
        <v>0.6067</v>
      </c>
      <c r="F1495" s="30" t="n">
        <v>0.4755</v>
      </c>
      <c r="G1495" s="30" t="n">
        <v>0.3066</v>
      </c>
    </row>
    <row r="1496" customFormat="false" ht="15" hidden="false" customHeight="false" outlineLevel="0" collapsed="false">
      <c r="A1496" s="11" t="s">
        <v>2277</v>
      </c>
      <c r="C1496" s="30" t="n">
        <v>0.7702</v>
      </c>
      <c r="D1496" s="30" t="n">
        <v>0.5556</v>
      </c>
      <c r="E1496" s="30" t="n">
        <v>0.1178</v>
      </c>
      <c r="F1496" s="30" t="n">
        <v>0.2159</v>
      </c>
      <c r="G1496" s="30" t="n">
        <v>0.4524</v>
      </c>
    </row>
    <row r="1497" customFormat="false" ht="15" hidden="false" customHeight="false" outlineLevel="0" collapsed="false">
      <c r="A1497" s="11" t="s">
        <v>2278</v>
      </c>
      <c r="C1497" s="30" t="n">
        <v>0.0552</v>
      </c>
      <c r="D1497" s="30" t="n">
        <v>0.3102</v>
      </c>
      <c r="E1497" s="30" t="n">
        <v>0.327</v>
      </c>
      <c r="F1497" s="30" t="n">
        <v>0.1475</v>
      </c>
      <c r="G1497" s="30" t="n">
        <v>0.2897</v>
      </c>
    </row>
    <row r="1498" customFormat="false" ht="15" hidden="false" customHeight="false" outlineLevel="0" collapsed="false">
      <c r="A1498" s="11" t="s">
        <v>1470</v>
      </c>
      <c r="C1498" s="30" t="n">
        <v>44.6682</v>
      </c>
      <c r="D1498" s="30" t="n">
        <v>29.292</v>
      </c>
      <c r="E1498" s="30" t="n">
        <v>18.8484</v>
      </c>
      <c r="F1498" s="30" t="n">
        <v>20.4241</v>
      </c>
      <c r="G1498" s="30" t="n">
        <v>17.5101</v>
      </c>
    </row>
    <row r="1500" customFormat="false" ht="15" hidden="false" customHeight="false" outlineLevel="0" collapsed="false">
      <c r="A1500" s="3" t="s">
        <v>2356</v>
      </c>
    </row>
    <row r="1501" customFormat="false" ht="15" hidden="false" customHeight="false" outlineLevel="0" collapsed="false">
      <c r="A1501" s="2" t="s">
        <v>2357</v>
      </c>
    </row>
    <row r="1502" customFormat="false" ht="15" hidden="false" customHeight="false" outlineLevel="0" collapsed="false">
      <c r="A1502" s="90" t="s">
        <v>86</v>
      </c>
      <c r="B1502" s="130"/>
      <c r="C1502" s="130" t="s">
        <v>772</v>
      </c>
      <c r="D1502" s="130" t="s">
        <v>2303</v>
      </c>
      <c r="E1502" s="130" t="s">
        <v>2358</v>
      </c>
      <c r="F1502" s="130" t="s">
        <v>2359</v>
      </c>
      <c r="G1502" s="130" t="s">
        <v>2360</v>
      </c>
      <c r="H1502" s="130" t="s">
        <v>775</v>
      </c>
    </row>
    <row r="1503" customFormat="false" ht="15" hidden="false" customHeight="false" outlineLevel="0" collapsed="false">
      <c r="A1503" s="4" t="s">
        <v>1451</v>
      </c>
      <c r="C1503" s="30" t="n">
        <v>31.4332</v>
      </c>
      <c r="E1503" s="30" t="n">
        <v>30.9511</v>
      </c>
      <c r="F1503" s="30" t="n">
        <v>0.0529</v>
      </c>
      <c r="G1503" s="30" t="n">
        <v>0.005</v>
      </c>
      <c r="H1503" s="30" t="n">
        <v>0.4342</v>
      </c>
    </row>
    <row r="1504" customFormat="false" ht="15" hidden="false" customHeight="false" outlineLevel="0" collapsed="false">
      <c r="A1504" s="4" t="s">
        <v>1452</v>
      </c>
      <c r="C1504" s="30" t="n">
        <v>0.4342</v>
      </c>
      <c r="D1504" s="30" t="n">
        <v>0.2021</v>
      </c>
      <c r="G1504" s="30" t="n">
        <v>-0.007</v>
      </c>
      <c r="H1504" s="30" t="n">
        <v>0.6293</v>
      </c>
    </row>
    <row r="1505" customFormat="false" ht="15" hidden="false" customHeight="false" outlineLevel="0" collapsed="false">
      <c r="A1505" s="4" t="s">
        <v>1453</v>
      </c>
      <c r="C1505" s="30" t="n">
        <v>0.6293</v>
      </c>
      <c r="D1505" s="30" t="n">
        <v>-0.2515</v>
      </c>
      <c r="G1505" s="30" t="n">
        <v>0.0311</v>
      </c>
      <c r="H1505" s="30" t="n">
        <v>0.4089</v>
      </c>
    </row>
    <row r="1506" customFormat="false" ht="15" hidden="false" customHeight="false" outlineLevel="0" collapsed="false">
      <c r="A1506" s="4" t="s">
        <v>1272</v>
      </c>
      <c r="C1506" s="30" t="n">
        <v>0.6293</v>
      </c>
      <c r="E1506" s="30" t="n">
        <v>0.3657</v>
      </c>
      <c r="G1506" s="30" t="n">
        <v>0.031</v>
      </c>
      <c r="H1506" s="30" t="n">
        <v>0.2945</v>
      </c>
    </row>
    <row r="1507" customFormat="false" ht="15" hidden="false" customHeight="false" outlineLevel="0" collapsed="false">
      <c r="A1507" s="4" t="s">
        <v>1273</v>
      </c>
      <c r="C1507" s="30" t="n">
        <v>0.4089</v>
      </c>
      <c r="E1507" s="30" t="n">
        <v>0.0031</v>
      </c>
      <c r="G1507" s="30" t="n">
        <v>-0.0166</v>
      </c>
      <c r="H1507" s="30" t="n">
        <v>0.3892</v>
      </c>
    </row>
    <row r="1509" customFormat="false" ht="15" hidden="false" customHeight="false" outlineLevel="0" collapsed="false">
      <c r="A1509" s="3" t="s">
        <v>2361</v>
      </c>
    </row>
    <row r="1510" customFormat="false" ht="15" hidden="false" customHeight="false" outlineLevel="0" collapsed="false">
      <c r="A1510" s="2" t="s">
        <v>2362</v>
      </c>
    </row>
    <row r="1511" customFormat="false" ht="15" hidden="false" customHeight="false" outlineLevel="0" collapsed="false">
      <c r="A1511" s="90" t="s">
        <v>86</v>
      </c>
      <c r="B1511" s="130"/>
      <c r="C1511" s="91" t="s">
        <v>1451</v>
      </c>
      <c r="D1511" s="91" t="s">
        <v>1452</v>
      </c>
      <c r="E1511" s="91" t="s">
        <v>1453</v>
      </c>
      <c r="F1511" s="91" t="s">
        <v>1272</v>
      </c>
      <c r="G1511" s="91" t="s">
        <v>1273</v>
      </c>
    </row>
    <row r="1512" customFormat="false" ht="15" hidden="false" customHeight="false" outlineLevel="0" collapsed="false">
      <c r="A1512" s="11" t="s">
        <v>2314</v>
      </c>
      <c r="C1512" s="30" t="n">
        <v>33.0266</v>
      </c>
      <c r="D1512" s="30" t="n">
        <v>9.3077</v>
      </c>
      <c r="E1512" s="30" t="n">
        <v>5.8063</v>
      </c>
      <c r="F1512" s="30" t="n">
        <v>7.1997</v>
      </c>
      <c r="G1512" s="30" t="n">
        <v>5.1592</v>
      </c>
    </row>
    <row r="1514" customFormat="false" ht="15" hidden="false" customHeight="false" outlineLevel="0" collapsed="false">
      <c r="A1514" s="3" t="s">
        <v>2363</v>
      </c>
    </row>
    <row r="1515" customFormat="false" ht="15" hidden="false" customHeight="false" outlineLevel="0" collapsed="false">
      <c r="A1515" s="2" t="s">
        <v>2364</v>
      </c>
    </row>
    <row r="1516" customFormat="false" ht="15" hidden="false" customHeight="false" outlineLevel="0" collapsed="false">
      <c r="A1516" s="90" t="s">
        <v>86</v>
      </c>
      <c r="B1516" s="130"/>
      <c r="C1516" s="91" t="s">
        <v>1451</v>
      </c>
      <c r="D1516" s="91" t="s">
        <v>1452</v>
      </c>
      <c r="E1516" s="91" t="s">
        <v>1453</v>
      </c>
      <c r="F1516" s="91" t="s">
        <v>1272</v>
      </c>
      <c r="G1516" s="91" t="s">
        <v>1273</v>
      </c>
    </row>
    <row r="1517" customFormat="false" ht="15" hidden="false" customHeight="false" outlineLevel="0" collapsed="false">
      <c r="A1517" s="11" t="s">
        <v>2365</v>
      </c>
      <c r="C1517" s="30" t="n">
        <v>440.4651</v>
      </c>
      <c r="D1517" s="30" t="n">
        <v>343.247</v>
      </c>
      <c r="E1517" s="30" t="n">
        <v>406.8243</v>
      </c>
      <c r="F1517" s="30" t="n">
        <v>364.3881</v>
      </c>
      <c r="G1517" s="30" t="n">
        <v>724.667</v>
      </c>
    </row>
    <row r="1518" customFormat="false" ht="15" hidden="false" customHeight="false" outlineLevel="0" collapsed="false">
      <c r="A1518" s="11" t="s">
        <v>2366</v>
      </c>
      <c r="C1518" s="30" t="n">
        <v>430.1288</v>
      </c>
      <c r="D1518" s="30" t="n">
        <v>639.3457</v>
      </c>
      <c r="E1518" s="30" t="n">
        <v>713.5316</v>
      </c>
      <c r="F1518" s="30" t="n">
        <v>637.2653</v>
      </c>
      <c r="G1518" s="30" t="n">
        <v>812.9932</v>
      </c>
    </row>
    <row r="1519" customFormat="false" ht="15" hidden="false" customHeight="false" outlineLevel="0" collapsed="false">
      <c r="A1519" s="11" t="s">
        <v>2367</v>
      </c>
      <c r="C1519" s="30" t="n">
        <v>480.556</v>
      </c>
      <c r="D1519" s="30" t="n">
        <v>639.3457</v>
      </c>
      <c r="E1519" s="30" t="n">
        <v>708.9894</v>
      </c>
      <c r="F1519" s="30" t="n">
        <v>642.2152</v>
      </c>
      <c r="G1519" s="30" t="n">
        <v>646.5648</v>
      </c>
    </row>
    <row r="1520" customFormat="false" ht="15" hidden="false" customHeight="false" outlineLevel="0" collapsed="false">
      <c r="A1520" s="11" t="s">
        <v>2368</v>
      </c>
      <c r="C1520" s="30" t="n">
        <v>131.2904</v>
      </c>
      <c r="D1520" s="30" t="n">
        <v>201.1367</v>
      </c>
      <c r="E1520" s="30" t="n">
        <v>180.9998</v>
      </c>
      <c r="F1520" s="30" t="n">
        <v>201.697</v>
      </c>
      <c r="G1520" s="30" t="n">
        <v>280.4505</v>
      </c>
    </row>
    <row r="1521" customFormat="false" ht="15" hidden="false" customHeight="false" outlineLevel="0" collapsed="false">
      <c r="A1521" s="11" t="s">
        <v>2369</v>
      </c>
      <c r="C1521" s="30" t="n">
        <v>319.1963</v>
      </c>
      <c r="D1521" s="30" t="n">
        <v>432.0246</v>
      </c>
      <c r="E1521" s="30" t="n">
        <v>451.1722</v>
      </c>
      <c r="F1521" s="30" t="n">
        <v>384.2443</v>
      </c>
      <c r="G1521" s="30" t="n">
        <v>464.4741</v>
      </c>
    </row>
    <row r="1522" customFormat="false" ht="15" hidden="false" customHeight="false" outlineLevel="0" collapsed="false">
      <c r="A1522" s="11" t="s">
        <v>1470</v>
      </c>
      <c r="C1522" s="30" t="n">
        <v>1801.6366</v>
      </c>
      <c r="D1522" s="30" t="n">
        <v>2255.0996</v>
      </c>
      <c r="E1522" s="30" t="n">
        <v>2461.5173</v>
      </c>
      <c r="F1522" s="30" t="n">
        <v>2229.8099</v>
      </c>
      <c r="G1522" s="30" t="n">
        <v>2929.1497</v>
      </c>
    </row>
    <row r="1524" customFormat="false" ht="15" hidden="false" customHeight="false" outlineLevel="0" collapsed="false">
      <c r="A1524" s="3" t="s">
        <v>2370</v>
      </c>
    </row>
    <row r="1525" customFormat="false" ht="15" hidden="false" customHeight="false" outlineLevel="0" collapsed="false">
      <c r="A1525" s="2" t="s">
        <v>2371</v>
      </c>
    </row>
    <row r="1526" customFormat="false" ht="15" hidden="false" customHeight="false" outlineLevel="0" collapsed="false">
      <c r="A1526" s="90" t="s">
        <v>86</v>
      </c>
      <c r="B1526" s="130"/>
      <c r="C1526" s="91" t="s">
        <v>1451</v>
      </c>
      <c r="D1526" s="91" t="s">
        <v>1452</v>
      </c>
      <c r="E1526" s="91" t="s">
        <v>1453</v>
      </c>
      <c r="F1526" s="91" t="s">
        <v>1272</v>
      </c>
      <c r="G1526" s="91" t="s">
        <v>1273</v>
      </c>
    </row>
    <row r="1527" customFormat="false" ht="15" hidden="false" customHeight="false" outlineLevel="0" collapsed="false">
      <c r="A1527" s="11" t="s">
        <v>2365</v>
      </c>
      <c r="C1527" s="30" t="n">
        <v>2.1977</v>
      </c>
      <c r="D1527" s="30" t="n">
        <v>1.8574</v>
      </c>
      <c r="E1527" s="30" t="n">
        <v>6.586</v>
      </c>
      <c r="F1527" s="30" t="n">
        <v>5.7152</v>
      </c>
      <c r="G1527" s="30" t="n">
        <v>8.3591</v>
      </c>
    </row>
    <row r="1528" customFormat="false" ht="15" hidden="false" customHeight="false" outlineLevel="0" collapsed="false">
      <c r="A1528" s="11" t="s">
        <v>2366</v>
      </c>
      <c r="C1528" s="30" t="n">
        <v>11.8359</v>
      </c>
      <c r="D1528" s="30" t="n">
        <v>2.9053</v>
      </c>
      <c r="E1528" s="30" t="n">
        <v>10.1801</v>
      </c>
      <c r="F1528" s="30" t="n">
        <v>8.5019</v>
      </c>
      <c r="G1528" s="30" t="n">
        <v>23.0361</v>
      </c>
    </row>
    <row r="1529" customFormat="false" ht="15" hidden="false" customHeight="false" outlineLevel="0" collapsed="false">
      <c r="A1529" s="11" t="s">
        <v>2367</v>
      </c>
      <c r="C1529" s="30" t="n">
        <v>20.7517</v>
      </c>
      <c r="D1529" s="30" t="n">
        <v>27.852</v>
      </c>
      <c r="E1529" s="30" t="n">
        <v>30.9426</v>
      </c>
      <c r="F1529" s="30" t="n">
        <v>25.5166</v>
      </c>
      <c r="G1529" s="30" t="n">
        <v>44.1929</v>
      </c>
    </row>
    <row r="1530" customFormat="false" ht="15" hidden="false" customHeight="false" outlineLevel="0" collapsed="false">
      <c r="A1530" s="11" t="s">
        <v>2368</v>
      </c>
      <c r="C1530" s="30" t="n">
        <v>6.6469</v>
      </c>
      <c r="D1530" s="30" t="n">
        <v>15.6112</v>
      </c>
      <c r="E1530" s="30" t="n">
        <v>5.0706</v>
      </c>
      <c r="F1530" s="30" t="n">
        <v>7.6027</v>
      </c>
      <c r="G1530" s="30" t="n">
        <v>8.7186</v>
      </c>
    </row>
    <row r="1531" customFormat="false" ht="15" hidden="false" customHeight="false" outlineLevel="0" collapsed="false">
      <c r="A1531" s="11" t="s">
        <v>2369</v>
      </c>
      <c r="C1531" s="30" t="n">
        <v>6.6066</v>
      </c>
      <c r="D1531" s="30" t="n">
        <v>26.1623</v>
      </c>
      <c r="E1531" s="30" t="n">
        <v>17.0157</v>
      </c>
      <c r="F1531" s="30" t="n">
        <v>19.2329</v>
      </c>
      <c r="G1531" s="30" t="n">
        <v>33.7953</v>
      </c>
    </row>
    <row r="1532" customFormat="false" ht="15" hidden="false" customHeight="false" outlineLevel="0" collapsed="false">
      <c r="A1532" s="11" t="s">
        <v>1470</v>
      </c>
      <c r="C1532" s="30" t="n">
        <v>48.0388</v>
      </c>
      <c r="D1532" s="30" t="n">
        <v>74.3881</v>
      </c>
      <c r="E1532" s="30" t="n">
        <v>69.7949</v>
      </c>
      <c r="F1532" s="30" t="n">
        <v>66.5693</v>
      </c>
      <c r="G1532" s="30" t="n">
        <v>118.1018</v>
      </c>
    </row>
    <row r="1534" customFormat="false" ht="15" hidden="false" customHeight="false" outlineLevel="0" collapsed="false">
      <c r="A1534" s="3" t="s">
        <v>2372</v>
      </c>
    </row>
    <row r="1535" customFormat="false" ht="15" hidden="false" customHeight="false" outlineLevel="0" collapsed="false">
      <c r="A1535" s="2" t="s">
        <v>2371</v>
      </c>
    </row>
    <row r="1536" customFormat="false" ht="15" hidden="false" customHeight="false" outlineLevel="0" collapsed="false">
      <c r="A1536" s="90" t="s">
        <v>86</v>
      </c>
      <c r="B1536" s="130"/>
      <c r="C1536" s="91" t="s">
        <v>1451</v>
      </c>
      <c r="D1536" s="91" t="s">
        <v>1452</v>
      </c>
      <c r="E1536" s="91" t="s">
        <v>1453</v>
      </c>
      <c r="F1536" s="91" t="s">
        <v>1272</v>
      </c>
      <c r="G1536" s="91" t="s">
        <v>1273</v>
      </c>
    </row>
    <row r="1537" customFormat="false" ht="15" hidden="false" customHeight="false" outlineLevel="0" collapsed="false">
      <c r="A1537" s="11" t="s">
        <v>2365</v>
      </c>
      <c r="C1537" s="30" t="n">
        <v>438.2674</v>
      </c>
      <c r="D1537" s="30" t="n">
        <v>341.3897</v>
      </c>
      <c r="E1537" s="30" t="n">
        <v>400.2383</v>
      </c>
      <c r="F1537" s="30" t="n">
        <v>358.6729</v>
      </c>
      <c r="G1537" s="30" t="n">
        <v>716.308</v>
      </c>
    </row>
    <row r="1538" customFormat="false" ht="15" hidden="false" customHeight="false" outlineLevel="0" collapsed="false">
      <c r="A1538" s="11" t="s">
        <v>2366</v>
      </c>
      <c r="C1538" s="30" t="n">
        <v>418.2929</v>
      </c>
      <c r="D1538" s="30" t="n">
        <v>636.4404</v>
      </c>
      <c r="E1538" s="30" t="n">
        <v>703.3514</v>
      </c>
      <c r="F1538" s="30" t="n">
        <v>628.7634</v>
      </c>
      <c r="G1538" s="30" t="n">
        <v>789.9572</v>
      </c>
    </row>
    <row r="1539" customFormat="false" ht="15" hidden="false" customHeight="false" outlineLevel="0" collapsed="false">
      <c r="A1539" s="11" t="s">
        <v>2367</v>
      </c>
      <c r="C1539" s="30" t="n">
        <v>459.8043</v>
      </c>
      <c r="D1539" s="30" t="n">
        <v>611.4937</v>
      </c>
      <c r="E1539" s="30" t="n">
        <v>678.0468</v>
      </c>
      <c r="F1539" s="30" t="n">
        <v>616.6986</v>
      </c>
      <c r="G1539" s="30" t="n">
        <v>602.372</v>
      </c>
    </row>
    <row r="1540" customFormat="false" ht="15" hidden="false" customHeight="false" outlineLevel="0" collapsed="false">
      <c r="A1540" s="11" t="s">
        <v>2368</v>
      </c>
      <c r="C1540" s="30" t="n">
        <v>124.6435</v>
      </c>
      <c r="D1540" s="30" t="n">
        <v>185.5254</v>
      </c>
      <c r="E1540" s="30" t="n">
        <v>175.9293</v>
      </c>
      <c r="F1540" s="30" t="n">
        <v>194.0943</v>
      </c>
      <c r="G1540" s="30" t="n">
        <v>271.7319</v>
      </c>
    </row>
    <row r="1541" customFormat="false" ht="15" hidden="false" customHeight="false" outlineLevel="0" collapsed="false">
      <c r="A1541" s="11" t="s">
        <v>2369</v>
      </c>
      <c r="C1541" s="30" t="n">
        <v>312.5897</v>
      </c>
      <c r="D1541" s="30" t="n">
        <v>405.8622</v>
      </c>
      <c r="E1541" s="30" t="n">
        <v>434.1565</v>
      </c>
      <c r="F1541" s="30" t="n">
        <v>365.0114</v>
      </c>
      <c r="G1541" s="30" t="n">
        <v>430.6789</v>
      </c>
    </row>
    <row r="1542" customFormat="false" ht="15" hidden="false" customHeight="false" outlineLevel="0" collapsed="false">
      <c r="A1542" s="11" t="s">
        <v>1470</v>
      </c>
      <c r="C1542" s="30" t="n">
        <v>1753.5978</v>
      </c>
      <c r="D1542" s="30" t="n">
        <v>2180.7115</v>
      </c>
      <c r="E1542" s="30" t="n">
        <v>2391.7224</v>
      </c>
      <c r="F1542" s="30" t="n">
        <v>2163.2406</v>
      </c>
      <c r="G1542" s="30" t="n">
        <v>2811.0479</v>
      </c>
    </row>
    <row r="1544" customFormat="false" ht="15" hidden="false" customHeight="false" outlineLevel="0" collapsed="false">
      <c r="A1544" s="3" t="s">
        <v>2373</v>
      </c>
    </row>
    <row r="1545" customFormat="false" ht="15" hidden="false" customHeight="false" outlineLevel="0" collapsed="false">
      <c r="A1545" s="2" t="s">
        <v>2374</v>
      </c>
    </row>
    <row r="1546" customFormat="false" ht="15" hidden="false" customHeight="false" outlineLevel="0" collapsed="false">
      <c r="A1546" s="90" t="s">
        <v>86</v>
      </c>
      <c r="B1546" s="130"/>
      <c r="C1546" s="130" t="s">
        <v>772</v>
      </c>
      <c r="D1546" s="130" t="s">
        <v>2303</v>
      </c>
      <c r="E1546" s="130" t="s">
        <v>2375</v>
      </c>
      <c r="F1546" s="130" t="s">
        <v>2376</v>
      </c>
      <c r="G1546" s="130" t="s">
        <v>2377</v>
      </c>
      <c r="H1546" s="130" t="s">
        <v>775</v>
      </c>
    </row>
    <row r="1547" customFormat="false" ht="15" hidden="false" customHeight="false" outlineLevel="0" collapsed="false">
      <c r="A1547" s="11" t="s">
        <v>2365</v>
      </c>
      <c r="C1547" s="30" t="n">
        <v>1.7332</v>
      </c>
      <c r="D1547" s="30" t="n">
        <v>1.4884</v>
      </c>
      <c r="F1547" s="30" t="n">
        <v>1.0239</v>
      </c>
      <c r="H1547" s="30" t="n">
        <v>2.1977</v>
      </c>
    </row>
    <row r="1548" customFormat="false" ht="15" hidden="false" customHeight="false" outlineLevel="0" collapsed="false">
      <c r="A1548" s="11" t="s">
        <v>2366</v>
      </c>
      <c r="C1548" s="30" t="n">
        <v>57.5952</v>
      </c>
      <c r="F1548" s="30" t="n">
        <v>45.7593</v>
      </c>
      <c r="H1548" s="30" t="n">
        <v>11.8359</v>
      </c>
    </row>
    <row r="1549" customFormat="false" ht="15" hidden="false" customHeight="false" outlineLevel="0" collapsed="false">
      <c r="A1549" s="11" t="s">
        <v>2367</v>
      </c>
      <c r="C1549" s="30" t="n">
        <v>30.0889</v>
      </c>
      <c r="D1549" s="30" t="n">
        <v>7.0324</v>
      </c>
      <c r="F1549" s="30" t="n">
        <v>16.3696</v>
      </c>
      <c r="H1549" s="30" t="n">
        <v>20.7517</v>
      </c>
    </row>
    <row r="1550" customFormat="false" ht="15" hidden="false" customHeight="false" outlineLevel="0" collapsed="false">
      <c r="A1550" s="11" t="s">
        <v>2368</v>
      </c>
      <c r="C1550" s="30" t="n">
        <v>6.6631</v>
      </c>
      <c r="D1550" s="30" t="n">
        <v>6.6437</v>
      </c>
      <c r="F1550" s="30" t="n">
        <v>6.6599</v>
      </c>
      <c r="H1550" s="30" t="n">
        <v>6.6469</v>
      </c>
    </row>
    <row r="1551" customFormat="false" ht="15" hidden="false" customHeight="false" outlineLevel="0" collapsed="false">
      <c r="A1551" s="11" t="s">
        <v>2369</v>
      </c>
      <c r="D1551" s="30" t="n">
        <v>6.6066</v>
      </c>
      <c r="H1551" s="30" t="n">
        <v>6.6066</v>
      </c>
    </row>
    <row r="1552" customFormat="false" ht="15" hidden="false" customHeight="false" outlineLevel="0" collapsed="false">
      <c r="A1552" s="11" t="s">
        <v>1470</v>
      </c>
      <c r="C1552" s="30" t="n">
        <v>96.0804</v>
      </c>
      <c r="D1552" s="30" t="n">
        <v>21.7711</v>
      </c>
      <c r="F1552" s="30" t="n">
        <v>69.8127</v>
      </c>
      <c r="H1552" s="30" t="n">
        <v>48.0388</v>
      </c>
    </row>
    <row r="1554" customFormat="false" ht="15" hidden="false" customHeight="false" outlineLevel="0" collapsed="false">
      <c r="A1554" s="3" t="s">
        <v>2378</v>
      </c>
    </row>
    <row r="1555" customFormat="false" ht="15" hidden="false" customHeight="false" outlineLevel="0" collapsed="false">
      <c r="A1555" s="2" t="s">
        <v>2379</v>
      </c>
    </row>
    <row r="1556" customFormat="false" ht="15" hidden="false" customHeight="false" outlineLevel="0" collapsed="false">
      <c r="A1556" s="90" t="s">
        <v>86</v>
      </c>
      <c r="B1556" s="130"/>
      <c r="C1556" s="130" t="s">
        <v>772</v>
      </c>
      <c r="D1556" s="130" t="s">
        <v>2303</v>
      </c>
      <c r="E1556" s="130" t="s">
        <v>2375</v>
      </c>
      <c r="F1556" s="130" t="s">
        <v>2376</v>
      </c>
      <c r="G1556" s="130" t="s">
        <v>2377</v>
      </c>
      <c r="H1556" s="130" t="s">
        <v>775</v>
      </c>
    </row>
    <row r="1557" customFormat="false" ht="15" hidden="false" customHeight="false" outlineLevel="0" collapsed="false">
      <c r="A1557" s="11" t="s">
        <v>2365</v>
      </c>
      <c r="C1557" s="30" t="n">
        <v>2.1977</v>
      </c>
      <c r="D1557" s="30" t="n">
        <v>0.9152</v>
      </c>
      <c r="F1557" s="30" t="n">
        <v>1.2555</v>
      </c>
      <c r="H1557" s="30" t="n">
        <v>1.8574</v>
      </c>
    </row>
    <row r="1558" customFormat="false" ht="15" hidden="false" customHeight="false" outlineLevel="0" collapsed="false">
      <c r="A1558" s="11" t="s">
        <v>2366</v>
      </c>
      <c r="C1558" s="30" t="n">
        <v>11.8359</v>
      </c>
      <c r="D1558" s="30" t="n">
        <v>0.204</v>
      </c>
      <c r="F1558" s="30" t="n">
        <v>9.1346</v>
      </c>
      <c r="H1558" s="30" t="n">
        <v>2.9053</v>
      </c>
    </row>
    <row r="1559" customFormat="false" ht="15" hidden="false" customHeight="false" outlineLevel="0" collapsed="false">
      <c r="A1559" s="11" t="s">
        <v>2367</v>
      </c>
      <c r="C1559" s="30" t="n">
        <v>20.7517</v>
      </c>
      <c r="D1559" s="30" t="n">
        <v>13.1961</v>
      </c>
      <c r="F1559" s="30" t="n">
        <v>6.0958</v>
      </c>
      <c r="H1559" s="30" t="n">
        <v>27.852</v>
      </c>
    </row>
    <row r="1560" customFormat="false" ht="15" hidden="false" customHeight="false" outlineLevel="0" collapsed="false">
      <c r="A1560" s="11" t="s">
        <v>2368</v>
      </c>
      <c r="C1560" s="30" t="n">
        <v>6.6469</v>
      </c>
      <c r="D1560" s="30" t="n">
        <v>15.612</v>
      </c>
      <c r="F1560" s="30" t="n">
        <v>6.6478</v>
      </c>
      <c r="H1560" s="30" t="n">
        <v>15.6112</v>
      </c>
    </row>
    <row r="1561" customFormat="false" ht="15" hidden="false" customHeight="false" outlineLevel="0" collapsed="false">
      <c r="A1561" s="11" t="s">
        <v>2369</v>
      </c>
      <c r="C1561" s="30" t="n">
        <v>6.6066</v>
      </c>
      <c r="D1561" s="30" t="n">
        <v>20.58</v>
      </c>
      <c r="F1561" s="30" t="n">
        <v>1.0243</v>
      </c>
      <c r="H1561" s="30" t="n">
        <v>26.1623</v>
      </c>
    </row>
    <row r="1562" customFormat="false" ht="15" hidden="false" customHeight="false" outlineLevel="0" collapsed="false">
      <c r="A1562" s="11" t="s">
        <v>1470</v>
      </c>
      <c r="C1562" s="30" t="n">
        <v>48.0388</v>
      </c>
      <c r="D1562" s="30" t="n">
        <v>50.5073</v>
      </c>
      <c r="F1562" s="30" t="n">
        <v>24.158</v>
      </c>
      <c r="H1562" s="30" t="n">
        <v>74.3881</v>
      </c>
    </row>
    <row r="1564" customFormat="false" ht="15" hidden="false" customHeight="false" outlineLevel="0" collapsed="false">
      <c r="A1564" s="3" t="s">
        <v>2380</v>
      </c>
    </row>
    <row r="1565" customFormat="false" ht="15" hidden="false" customHeight="false" outlineLevel="0" collapsed="false">
      <c r="A1565" s="2" t="s">
        <v>2381</v>
      </c>
    </row>
    <row r="1566" customFormat="false" ht="15" hidden="false" customHeight="false" outlineLevel="0" collapsed="false">
      <c r="A1566" s="90" t="s">
        <v>86</v>
      </c>
      <c r="B1566" s="130"/>
      <c r="C1566" s="130" t="s">
        <v>772</v>
      </c>
      <c r="D1566" s="130" t="s">
        <v>2303</v>
      </c>
      <c r="E1566" s="130" t="s">
        <v>2375</v>
      </c>
      <c r="F1566" s="130" t="s">
        <v>2376</v>
      </c>
      <c r="G1566" s="130" t="s">
        <v>2377</v>
      </c>
      <c r="H1566" s="130" t="s">
        <v>775</v>
      </c>
    </row>
    <row r="1567" customFormat="false" ht="15" hidden="false" customHeight="false" outlineLevel="0" collapsed="false">
      <c r="A1567" s="11" t="s">
        <v>2365</v>
      </c>
      <c r="C1567" s="30" t="n">
        <v>1.8574</v>
      </c>
      <c r="D1567" s="30" t="n">
        <v>5.1766</v>
      </c>
      <c r="F1567" s="30" t="n">
        <v>0.448</v>
      </c>
      <c r="H1567" s="30" t="n">
        <v>6.586</v>
      </c>
    </row>
    <row r="1568" customFormat="false" ht="15" hidden="false" customHeight="false" outlineLevel="0" collapsed="false">
      <c r="A1568" s="11" t="s">
        <v>2366</v>
      </c>
      <c r="C1568" s="30" t="n">
        <v>2.9053</v>
      </c>
      <c r="D1568" s="30" t="n">
        <v>7.3568</v>
      </c>
      <c r="F1568" s="30" t="n">
        <v>0.0819</v>
      </c>
      <c r="H1568" s="30" t="n">
        <v>10.1801</v>
      </c>
    </row>
    <row r="1569" customFormat="false" ht="15" hidden="false" customHeight="false" outlineLevel="0" collapsed="false">
      <c r="A1569" s="11" t="s">
        <v>2367</v>
      </c>
      <c r="C1569" s="30" t="n">
        <v>27.852</v>
      </c>
      <c r="D1569" s="30" t="n">
        <v>8.0861</v>
      </c>
      <c r="F1569" s="30" t="n">
        <v>4.9955</v>
      </c>
      <c r="H1569" s="30" t="n">
        <v>30.9426</v>
      </c>
    </row>
    <row r="1570" customFormat="false" ht="15" hidden="false" customHeight="false" outlineLevel="0" collapsed="false">
      <c r="A1570" s="11" t="s">
        <v>2368</v>
      </c>
      <c r="C1570" s="30" t="n">
        <v>15.6112</v>
      </c>
      <c r="D1570" s="30" t="n">
        <v>13.6016</v>
      </c>
      <c r="F1570" s="30" t="n">
        <v>24.1422</v>
      </c>
      <c r="H1570" s="30" t="n">
        <v>5.0706</v>
      </c>
    </row>
    <row r="1571" customFormat="false" ht="15" hidden="false" customHeight="false" outlineLevel="0" collapsed="false">
      <c r="A1571" s="11" t="s">
        <v>2369</v>
      </c>
      <c r="C1571" s="30" t="n">
        <v>26.1623</v>
      </c>
      <c r="D1571" s="30" t="n">
        <v>0.4711</v>
      </c>
      <c r="F1571" s="30" t="n">
        <v>9.6178</v>
      </c>
      <c r="H1571" s="30" t="n">
        <v>17.0157</v>
      </c>
    </row>
    <row r="1572" customFormat="false" ht="15" hidden="false" customHeight="false" outlineLevel="0" collapsed="false">
      <c r="A1572" s="11" t="s">
        <v>1470</v>
      </c>
      <c r="C1572" s="30" t="n">
        <v>74.3881</v>
      </c>
      <c r="D1572" s="30" t="n">
        <v>34.6922</v>
      </c>
      <c r="F1572" s="30" t="n">
        <v>39.2855</v>
      </c>
      <c r="H1572" s="30" t="n">
        <v>69.7949</v>
      </c>
    </row>
    <row r="1574" customFormat="false" ht="15" hidden="false" customHeight="false" outlineLevel="0" collapsed="false">
      <c r="A1574" s="3" t="s">
        <v>2382</v>
      </c>
    </row>
    <row r="1575" customFormat="false" ht="15" hidden="false" customHeight="false" outlineLevel="0" collapsed="false">
      <c r="A1575" s="2" t="s">
        <v>2383</v>
      </c>
    </row>
    <row r="1576" customFormat="false" ht="15" hidden="false" customHeight="false" outlineLevel="0" collapsed="false">
      <c r="A1576" s="90" t="s">
        <v>86</v>
      </c>
      <c r="B1576" s="130"/>
      <c r="C1576" s="130" t="s">
        <v>772</v>
      </c>
      <c r="D1576" s="130" t="s">
        <v>2303</v>
      </c>
      <c r="E1576" s="130" t="s">
        <v>2375</v>
      </c>
      <c r="F1576" s="130" t="s">
        <v>2376</v>
      </c>
      <c r="G1576" s="130" t="s">
        <v>2377</v>
      </c>
      <c r="H1576" s="130" t="s">
        <v>775</v>
      </c>
    </row>
    <row r="1577" customFormat="false" ht="15" hidden="false" customHeight="false" outlineLevel="0" collapsed="false">
      <c r="A1577" s="11" t="s">
        <v>2365</v>
      </c>
      <c r="C1577" s="30" t="n">
        <v>1.8574</v>
      </c>
      <c r="D1577" s="30" t="n">
        <v>4.0353</v>
      </c>
      <c r="F1577" s="30" t="n">
        <v>0.1774</v>
      </c>
      <c r="H1577" s="30" t="n">
        <v>5.7152</v>
      </c>
    </row>
    <row r="1578" customFormat="false" ht="15" hidden="false" customHeight="false" outlineLevel="0" collapsed="false">
      <c r="A1578" s="11" t="s">
        <v>2366</v>
      </c>
      <c r="C1578" s="30" t="n">
        <v>2.9053</v>
      </c>
      <c r="D1578" s="30" t="n">
        <v>5.9403</v>
      </c>
      <c r="F1578" s="30" t="n">
        <v>0.3437</v>
      </c>
      <c r="H1578" s="30" t="n">
        <v>8.5019</v>
      </c>
    </row>
    <row r="1579" customFormat="false" ht="15" hidden="false" customHeight="false" outlineLevel="0" collapsed="false">
      <c r="A1579" s="11" t="s">
        <v>2367</v>
      </c>
      <c r="C1579" s="30" t="n">
        <v>27.852</v>
      </c>
      <c r="D1579" s="30" t="n">
        <v>1.8711</v>
      </c>
      <c r="F1579" s="30" t="n">
        <v>4.2065</v>
      </c>
      <c r="H1579" s="30" t="n">
        <v>25.5166</v>
      </c>
    </row>
    <row r="1580" customFormat="false" ht="15" hidden="false" customHeight="false" outlineLevel="0" collapsed="false">
      <c r="A1580" s="11" t="s">
        <v>2368</v>
      </c>
      <c r="C1580" s="30" t="n">
        <v>15.6112</v>
      </c>
      <c r="D1580" s="30" t="n">
        <v>7.5902</v>
      </c>
      <c r="F1580" s="30" t="n">
        <v>15.5987</v>
      </c>
      <c r="H1580" s="30" t="n">
        <v>7.6027</v>
      </c>
    </row>
    <row r="1581" customFormat="false" ht="15" hidden="false" customHeight="false" outlineLevel="0" collapsed="false">
      <c r="A1581" s="11" t="s">
        <v>2369</v>
      </c>
      <c r="C1581" s="30" t="n">
        <v>26.1623</v>
      </c>
      <c r="D1581" s="30" t="n">
        <v>0.4312</v>
      </c>
      <c r="F1581" s="30" t="n">
        <v>7.3606</v>
      </c>
      <c r="H1581" s="30" t="n">
        <v>19.2329</v>
      </c>
    </row>
    <row r="1582" customFormat="false" ht="15" hidden="false" customHeight="false" outlineLevel="0" collapsed="false">
      <c r="A1582" s="11" t="s">
        <v>1470</v>
      </c>
      <c r="C1582" s="30" t="n">
        <v>74.3881</v>
      </c>
      <c r="D1582" s="30" t="n">
        <v>19.8681</v>
      </c>
      <c r="F1582" s="30" t="n">
        <v>27.6869</v>
      </c>
      <c r="H1582" s="30" t="n">
        <v>66.5693</v>
      </c>
    </row>
    <row r="1584" customFormat="false" ht="15" hidden="false" customHeight="false" outlineLevel="0" collapsed="false">
      <c r="A1584" s="3" t="s">
        <v>2384</v>
      </c>
    </row>
    <row r="1585" customFormat="false" ht="15" hidden="false" customHeight="false" outlineLevel="0" collapsed="false">
      <c r="A1585" s="2" t="s">
        <v>2385</v>
      </c>
    </row>
    <row r="1586" customFormat="false" ht="15" hidden="false" customHeight="false" outlineLevel="0" collapsed="false">
      <c r="A1586" s="90" t="s">
        <v>86</v>
      </c>
      <c r="B1586" s="130"/>
      <c r="C1586" s="130" t="s">
        <v>772</v>
      </c>
      <c r="D1586" s="130" t="s">
        <v>2303</v>
      </c>
      <c r="E1586" s="130" t="s">
        <v>2375</v>
      </c>
      <c r="F1586" s="130" t="s">
        <v>2376</v>
      </c>
      <c r="G1586" s="130" t="s">
        <v>2377</v>
      </c>
      <c r="H1586" s="130" t="s">
        <v>775</v>
      </c>
    </row>
    <row r="1587" customFormat="false" ht="15" hidden="false" customHeight="false" outlineLevel="0" collapsed="false">
      <c r="A1587" s="11" t="s">
        <v>2365</v>
      </c>
      <c r="C1587" s="30" t="n">
        <v>6.586</v>
      </c>
      <c r="D1587" s="30" t="n">
        <v>2.2854</v>
      </c>
      <c r="F1587" s="30" t="n">
        <v>0.5123</v>
      </c>
      <c r="H1587" s="30" t="n">
        <v>8.3591</v>
      </c>
    </row>
    <row r="1588" customFormat="false" ht="15" hidden="false" customHeight="false" outlineLevel="0" collapsed="false">
      <c r="A1588" s="11" t="s">
        <v>2366</v>
      </c>
      <c r="C1588" s="30" t="n">
        <v>10.1801</v>
      </c>
      <c r="D1588" s="30" t="n">
        <v>12.8559</v>
      </c>
      <c r="H1588" s="30" t="n">
        <v>23.0361</v>
      </c>
    </row>
    <row r="1589" customFormat="false" ht="15" hidden="false" customHeight="false" outlineLevel="0" collapsed="false">
      <c r="A1589" s="11" t="s">
        <v>2367</v>
      </c>
      <c r="C1589" s="30" t="n">
        <v>30.9426</v>
      </c>
      <c r="D1589" s="30" t="n">
        <v>16.4508</v>
      </c>
      <c r="F1589" s="30" t="n">
        <v>3.2005</v>
      </c>
      <c r="H1589" s="30" t="n">
        <v>44.1929</v>
      </c>
    </row>
    <row r="1590" customFormat="false" ht="15" hidden="false" customHeight="false" outlineLevel="0" collapsed="false">
      <c r="A1590" s="11" t="s">
        <v>2368</v>
      </c>
      <c r="C1590" s="30" t="n">
        <v>5.0706</v>
      </c>
      <c r="D1590" s="30" t="n">
        <v>10.3182</v>
      </c>
      <c r="F1590" s="30" t="n">
        <v>6.6702</v>
      </c>
      <c r="H1590" s="30" t="n">
        <v>8.7186</v>
      </c>
    </row>
    <row r="1591" customFormat="false" ht="15" hidden="false" customHeight="false" outlineLevel="0" collapsed="false">
      <c r="A1591" s="11" t="s">
        <v>2369</v>
      </c>
      <c r="C1591" s="30" t="n">
        <v>17.0157</v>
      </c>
      <c r="D1591" s="30" t="n">
        <v>16.7796</v>
      </c>
      <c r="H1591" s="30" t="n">
        <v>33.7953</v>
      </c>
    </row>
    <row r="1592" customFormat="false" ht="15" hidden="false" customHeight="false" outlineLevel="0" collapsed="false">
      <c r="A1592" s="11" t="s">
        <v>1470</v>
      </c>
      <c r="C1592" s="30" t="n">
        <v>69.7949</v>
      </c>
      <c r="D1592" s="30" t="n">
        <v>58.69</v>
      </c>
      <c r="F1592" s="30" t="n">
        <v>10.3831</v>
      </c>
      <c r="H1592" s="30" t="n">
        <v>118.1018</v>
      </c>
    </row>
    <row r="1594" customFormat="false" ht="15" hidden="false" customHeight="false" outlineLevel="0" collapsed="false">
      <c r="A1594" s="3" t="s">
        <v>2386</v>
      </c>
    </row>
    <row r="1595" customFormat="false" ht="15" hidden="false" customHeight="false" outlineLevel="0" collapsed="false">
      <c r="A1595" s="2" t="s">
        <v>2387</v>
      </c>
    </row>
    <row r="1596" customFormat="false" ht="15" hidden="false" customHeight="false" outlineLevel="0" collapsed="false">
      <c r="A1596" s="90" t="s">
        <v>86</v>
      </c>
      <c r="B1596" s="130"/>
      <c r="C1596" s="91" t="s">
        <v>1451</v>
      </c>
      <c r="D1596" s="91" t="s">
        <v>1452</v>
      </c>
      <c r="E1596" s="91" t="s">
        <v>1453</v>
      </c>
      <c r="F1596" s="91" t="s">
        <v>1272</v>
      </c>
      <c r="G1596" s="91" t="s">
        <v>1273</v>
      </c>
    </row>
    <row r="1597" customFormat="false" ht="15" hidden="false" customHeight="false" outlineLevel="0" collapsed="false">
      <c r="A1597" s="11" t="s">
        <v>2388</v>
      </c>
      <c r="D1597" s="30" t="n">
        <v>16.1217</v>
      </c>
      <c r="E1597" s="30" t="n">
        <v>27.3888</v>
      </c>
    </row>
    <row r="1598" customFormat="false" ht="15" hidden="false" customHeight="false" outlineLevel="0" collapsed="false">
      <c r="A1598" s="11" t="s">
        <v>2389</v>
      </c>
      <c r="C1598" s="30" t="n">
        <v>242.5137</v>
      </c>
      <c r="D1598" s="30" t="n">
        <v>505.359</v>
      </c>
      <c r="E1598" s="30" t="n">
        <v>1091.7999</v>
      </c>
      <c r="F1598" s="30" t="n">
        <v>594.3072</v>
      </c>
      <c r="G1598" s="30" t="n">
        <v>1487.9957</v>
      </c>
    </row>
    <row r="1599" customFormat="false" ht="15" hidden="false" customHeight="false" outlineLevel="0" collapsed="false">
      <c r="A1599" s="11" t="s">
        <v>1470</v>
      </c>
      <c r="C1599" s="30" t="n">
        <v>242.5137</v>
      </c>
      <c r="D1599" s="30" t="n">
        <v>521.4807</v>
      </c>
      <c r="E1599" s="30" t="n">
        <v>1119.1886</v>
      </c>
      <c r="F1599" s="30" t="n">
        <v>594.3072</v>
      </c>
      <c r="G1599" s="30" t="n">
        <v>1487.9957</v>
      </c>
    </row>
    <row r="1601" customFormat="false" ht="15" hidden="false" customHeight="false" outlineLevel="0" collapsed="false">
      <c r="A1601" s="3" t="s">
        <v>2390</v>
      </c>
    </row>
    <row r="1602" customFormat="false" ht="15" hidden="false" customHeight="false" outlineLevel="0" collapsed="false">
      <c r="A1602" s="2" t="s">
        <v>2391</v>
      </c>
    </row>
    <row r="1603" customFormat="false" ht="15" hidden="false" customHeight="false" outlineLevel="0" collapsed="false">
      <c r="A1603" s="90" t="s">
        <v>86</v>
      </c>
      <c r="B1603" s="130"/>
      <c r="C1603" s="91" t="s">
        <v>1451</v>
      </c>
      <c r="D1603" s="91" t="s">
        <v>1452</v>
      </c>
      <c r="E1603" s="91" t="s">
        <v>1453</v>
      </c>
      <c r="F1603" s="91" t="s">
        <v>1272</v>
      </c>
      <c r="G1603" s="91" t="s">
        <v>1273</v>
      </c>
    </row>
    <row r="1604" customFormat="false" ht="15" hidden="false" customHeight="false" outlineLevel="0" collapsed="false">
      <c r="A1604" s="4" t="s">
        <v>2342</v>
      </c>
      <c r="C1604" s="30" t="n">
        <v>720.5602</v>
      </c>
      <c r="D1604" s="30" t="n">
        <v>737.4303</v>
      </c>
      <c r="E1604" s="30" t="n">
        <v>708.9359</v>
      </c>
      <c r="F1604" s="30" t="n">
        <v>614.9719</v>
      </c>
      <c r="G1604" s="30" t="n">
        <v>1207.2088</v>
      </c>
    </row>
    <row r="1605" customFormat="false" ht="15" hidden="false" customHeight="false" outlineLevel="0" collapsed="false">
      <c r="A1605" s="4" t="s">
        <v>2392</v>
      </c>
      <c r="C1605" s="30" t="n">
        <v>12.0416</v>
      </c>
      <c r="D1605" s="30" t="n">
        <v>32.0949</v>
      </c>
      <c r="E1605" s="30" t="n">
        <v>75.5589</v>
      </c>
      <c r="F1605" s="30" t="n">
        <v>75.288</v>
      </c>
      <c r="G1605" s="30" t="n">
        <v>20.2078</v>
      </c>
    </row>
    <row r="1606" customFormat="false" ht="15" hidden="false" customHeight="false" outlineLevel="0" collapsed="false">
      <c r="A1606" s="4" t="s">
        <v>2393</v>
      </c>
      <c r="C1606" s="30" t="n">
        <v>3.6497</v>
      </c>
      <c r="D1606" s="30" t="n">
        <v>2.9706</v>
      </c>
      <c r="E1606" s="30" t="n">
        <v>21.193</v>
      </c>
      <c r="F1606" s="30" t="n">
        <v>5.4691</v>
      </c>
      <c r="G1606" s="30" t="n">
        <v>34.7538</v>
      </c>
    </row>
    <row r="1607" customFormat="false" ht="15" hidden="false" customHeight="false" outlineLevel="0" collapsed="false">
      <c r="A1607" s="4" t="s">
        <v>2394</v>
      </c>
      <c r="C1607" s="30" t="n">
        <v>1.9343</v>
      </c>
      <c r="D1607" s="30" t="n">
        <v>0.0078</v>
      </c>
      <c r="E1607" s="30" t="n">
        <v>1.9233</v>
      </c>
      <c r="G1607" s="30" t="n">
        <v>0.9197</v>
      </c>
    </row>
    <row r="1608" customFormat="false" ht="15" hidden="false" customHeight="false" outlineLevel="0" collapsed="false">
      <c r="A1608" s="4" t="s">
        <v>2395</v>
      </c>
      <c r="D1608" s="30" t="n">
        <v>1.3197</v>
      </c>
      <c r="E1608" s="30" t="n">
        <v>0.0059</v>
      </c>
    </row>
    <row r="1609" customFormat="false" ht="15" hidden="false" customHeight="false" outlineLevel="0" collapsed="false">
      <c r="A1609" s="4" t="s">
        <v>2396</v>
      </c>
      <c r="E1609" s="30" t="n">
        <v>1.1795</v>
      </c>
      <c r="G1609" s="30" t="n">
        <v>1.1445</v>
      </c>
    </row>
    <row r="1610" customFormat="false" ht="15" hidden="false" customHeight="false" outlineLevel="0" collapsed="false">
      <c r="A1610" s="11" t="s">
        <v>1470</v>
      </c>
      <c r="C1610" s="30" t="n">
        <v>738.1858</v>
      </c>
      <c r="D1610" s="30" t="n">
        <v>773.8232</v>
      </c>
      <c r="E1610" s="30" t="n">
        <v>808.7966</v>
      </c>
      <c r="F1610" s="30" t="n">
        <v>695.729</v>
      </c>
      <c r="G1610" s="30" t="n">
        <v>1264.2346</v>
      </c>
    </row>
    <row r="1612" customFormat="false" ht="15" hidden="false" customHeight="false" outlineLevel="0" collapsed="false">
      <c r="A1612" s="3" t="s">
        <v>2397</v>
      </c>
    </row>
    <row r="1613" customFormat="false" ht="15" hidden="false" customHeight="false" outlineLevel="0" collapsed="false">
      <c r="A1613" s="2" t="s">
        <v>2398</v>
      </c>
    </row>
    <row r="1614" customFormat="false" ht="15" hidden="false" customHeight="false" outlineLevel="0" collapsed="false">
      <c r="A1614" s="90" t="s">
        <v>86</v>
      </c>
      <c r="B1614" s="130"/>
      <c r="C1614" s="91" t="s">
        <v>1451</v>
      </c>
      <c r="D1614" s="91" t="s">
        <v>1452</v>
      </c>
      <c r="E1614" s="91" t="s">
        <v>1453</v>
      </c>
      <c r="F1614" s="91" t="s">
        <v>1272</v>
      </c>
      <c r="G1614" s="91" t="s">
        <v>1273</v>
      </c>
    </row>
    <row r="1615" customFormat="false" ht="15" hidden="false" customHeight="false" outlineLevel="0" collapsed="false">
      <c r="A1615" s="11" t="s">
        <v>2399</v>
      </c>
      <c r="C1615" s="30" t="n">
        <v>22.6123</v>
      </c>
      <c r="D1615" s="30" t="n">
        <v>30.7816</v>
      </c>
      <c r="E1615" s="30" t="n">
        <v>23.8862</v>
      </c>
      <c r="F1615" s="30" t="n">
        <v>30.0577</v>
      </c>
      <c r="G1615" s="30" t="n">
        <v>78.3734</v>
      </c>
    </row>
    <row r="1617" customFormat="false" ht="15" hidden="false" customHeight="false" outlineLevel="0" collapsed="false">
      <c r="A1617" s="3" t="s">
        <v>2400</v>
      </c>
    </row>
    <row r="1618" customFormat="false" ht="15" hidden="false" customHeight="false" outlineLevel="0" collapsed="false">
      <c r="A1618" s="2" t="s">
        <v>2401</v>
      </c>
    </row>
    <row r="1619" customFormat="false" ht="15" hidden="false" customHeight="false" outlineLevel="0" collapsed="false">
      <c r="A1619" s="90" t="s">
        <v>86</v>
      </c>
      <c r="B1619" s="130"/>
      <c r="C1619" s="91" t="s">
        <v>1451</v>
      </c>
      <c r="D1619" s="91" t="s">
        <v>1452</v>
      </c>
      <c r="E1619" s="91" t="s">
        <v>1453</v>
      </c>
      <c r="F1619" s="91" t="s">
        <v>1272</v>
      </c>
      <c r="G1619" s="91" t="s">
        <v>1273</v>
      </c>
    </row>
    <row r="1620" customFormat="false" ht="15" hidden="false" customHeight="false" outlineLevel="0" collapsed="false">
      <c r="A1620" s="11" t="s">
        <v>2402</v>
      </c>
      <c r="C1620" s="30" t="n">
        <v>267.3</v>
      </c>
      <c r="D1620" s="30" t="n">
        <v>347.6122</v>
      </c>
      <c r="E1620" s="30" t="n">
        <v>394.3865</v>
      </c>
      <c r="F1620" s="30" t="n">
        <v>167.6228</v>
      </c>
      <c r="G1620" s="30" t="n">
        <v>240.5218</v>
      </c>
    </row>
    <row r="1621" customFormat="false" ht="15" hidden="false" customHeight="false" outlineLevel="0" collapsed="false">
      <c r="A1621" s="11" t="s">
        <v>2403</v>
      </c>
      <c r="C1621" s="30" t="n">
        <v>0.0971</v>
      </c>
      <c r="D1621" s="30" t="n">
        <v>0.1184</v>
      </c>
      <c r="E1621" s="30" t="n">
        <v>1.2601</v>
      </c>
      <c r="F1621" s="30" t="n">
        <v>0.1323</v>
      </c>
      <c r="G1621" s="30" t="n">
        <v>0.5728</v>
      </c>
    </row>
    <row r="1622" customFormat="false" ht="15" hidden="false" customHeight="false" outlineLevel="0" collapsed="false">
      <c r="A1622" s="11" t="s">
        <v>1470</v>
      </c>
      <c r="C1622" s="30" t="n">
        <v>267.3971</v>
      </c>
      <c r="D1622" s="30" t="n">
        <v>347.7306</v>
      </c>
      <c r="E1622" s="30" t="n">
        <v>395.6466</v>
      </c>
      <c r="F1622" s="30" t="n">
        <v>167.7551</v>
      </c>
      <c r="G1622" s="30" t="n">
        <v>241.0946</v>
      </c>
    </row>
    <row r="1624" customFormat="false" ht="15" hidden="false" customHeight="false" outlineLevel="0" collapsed="false">
      <c r="A1624" s="3" t="s">
        <v>2404</v>
      </c>
    </row>
    <row r="1625" customFormat="false" ht="15" hidden="false" customHeight="false" outlineLevel="0" collapsed="false">
      <c r="A1625" s="2" t="s">
        <v>2405</v>
      </c>
    </row>
    <row r="1626" customFormat="false" ht="15" hidden="false" customHeight="false" outlineLevel="0" collapsed="false">
      <c r="A1626" s="90" t="s">
        <v>86</v>
      </c>
      <c r="B1626" s="130"/>
      <c r="C1626" s="130" t="s">
        <v>772</v>
      </c>
      <c r="D1626" s="130" t="s">
        <v>2132</v>
      </c>
      <c r="E1626" s="130" t="s">
        <v>2133</v>
      </c>
      <c r="F1626" s="130" t="s">
        <v>775</v>
      </c>
    </row>
    <row r="1627" customFormat="false" ht="15" hidden="false" customHeight="false" outlineLevel="0" collapsed="false">
      <c r="A1627" s="4" t="s">
        <v>2406</v>
      </c>
      <c r="C1627" s="30" t="n">
        <v>242.2267</v>
      </c>
      <c r="D1627" s="30" t="n">
        <v>1340.8478</v>
      </c>
      <c r="E1627" s="30" t="n">
        <v>1315.7745</v>
      </c>
      <c r="F1627" s="30" t="n">
        <v>267.3</v>
      </c>
    </row>
    <row r="1628" customFormat="false" ht="15" hidden="false" customHeight="false" outlineLevel="0" collapsed="false">
      <c r="A1628" s="4" t="s">
        <v>2407</v>
      </c>
      <c r="C1628" s="30" t="n">
        <v>0.0591</v>
      </c>
      <c r="D1628" s="30" t="n">
        <v>87.1172</v>
      </c>
      <c r="E1628" s="30" t="n">
        <v>87.0793</v>
      </c>
      <c r="F1628" s="30" t="n">
        <v>0.0971</v>
      </c>
    </row>
    <row r="1629" customFormat="false" ht="15" hidden="false" customHeight="false" outlineLevel="0" collapsed="false">
      <c r="A1629" s="4" t="s">
        <v>2408</v>
      </c>
      <c r="C1629" s="30" t="n">
        <v>242.2859</v>
      </c>
      <c r="D1629" s="30" t="n">
        <v>1427.965</v>
      </c>
      <c r="E1629" s="30" t="n">
        <v>1402.8538</v>
      </c>
      <c r="F1629" s="30" t="n">
        <v>267.3971</v>
      </c>
    </row>
    <row r="1630" customFormat="false" ht="15" hidden="false" customHeight="false" outlineLevel="0" collapsed="false">
      <c r="A1630" s="4" t="s">
        <v>2409</v>
      </c>
      <c r="C1630" s="30" t="n">
        <v>267.3</v>
      </c>
      <c r="D1630" s="30" t="n">
        <v>1759.6171</v>
      </c>
      <c r="E1630" s="30" t="n">
        <v>1679.3049</v>
      </c>
      <c r="F1630" s="30" t="n">
        <v>347.6122</v>
      </c>
    </row>
    <row r="1631" customFormat="false" ht="15" hidden="false" customHeight="false" outlineLevel="0" collapsed="false">
      <c r="A1631" s="4" t="s">
        <v>2410</v>
      </c>
      <c r="C1631" s="30" t="n">
        <v>0.0971</v>
      </c>
      <c r="D1631" s="30" t="n">
        <v>116.0537</v>
      </c>
      <c r="E1631" s="30" t="n">
        <v>116.0324</v>
      </c>
      <c r="F1631" s="30" t="n">
        <v>0.1184</v>
      </c>
    </row>
    <row r="1632" customFormat="false" ht="15" hidden="false" customHeight="false" outlineLevel="0" collapsed="false">
      <c r="A1632" s="4" t="s">
        <v>2411</v>
      </c>
      <c r="C1632" s="30" t="n">
        <v>267.3971</v>
      </c>
      <c r="D1632" s="30" t="n">
        <v>1875.6708</v>
      </c>
      <c r="E1632" s="30" t="n">
        <v>1795.3373</v>
      </c>
      <c r="F1632" s="30" t="n">
        <v>347.7306</v>
      </c>
    </row>
    <row r="1633" customFormat="false" ht="15" hidden="false" customHeight="false" outlineLevel="0" collapsed="false">
      <c r="A1633" s="4" t="s">
        <v>2412</v>
      </c>
      <c r="C1633" s="30" t="n">
        <v>347.6122</v>
      </c>
      <c r="D1633" s="30" t="n">
        <v>1970.2732</v>
      </c>
      <c r="E1633" s="30" t="n">
        <v>1923.4989</v>
      </c>
      <c r="F1633" s="30" t="n">
        <v>394.3865</v>
      </c>
    </row>
    <row r="1634" customFormat="false" ht="15" hidden="false" customHeight="false" outlineLevel="0" collapsed="false">
      <c r="A1634" s="4" t="s">
        <v>2413</v>
      </c>
      <c r="C1634" s="30" t="n">
        <v>0.1184</v>
      </c>
      <c r="D1634" s="30" t="n">
        <v>132.1071</v>
      </c>
      <c r="E1634" s="30" t="n">
        <v>130.9654</v>
      </c>
      <c r="F1634" s="30" t="n">
        <v>1.2601</v>
      </c>
    </row>
    <row r="1635" customFormat="false" ht="15" hidden="false" customHeight="false" outlineLevel="0" collapsed="false">
      <c r="A1635" s="4" t="s">
        <v>2414</v>
      </c>
      <c r="C1635" s="30" t="n">
        <v>347.7306</v>
      </c>
      <c r="D1635" s="30" t="n">
        <v>2102.3803</v>
      </c>
      <c r="E1635" s="30" t="n">
        <v>2054.4643</v>
      </c>
      <c r="F1635" s="30" t="n">
        <v>395.6466</v>
      </c>
    </row>
    <row r="1636" customFormat="false" ht="15" hidden="false" customHeight="false" outlineLevel="0" collapsed="false">
      <c r="A1636" s="4" t="s">
        <v>2415</v>
      </c>
      <c r="C1636" s="30" t="n">
        <v>347.6122</v>
      </c>
      <c r="D1636" s="30" t="n">
        <v>843.3698</v>
      </c>
      <c r="E1636" s="30" t="n">
        <v>1023.3592</v>
      </c>
      <c r="F1636" s="30" t="n">
        <v>167.6228</v>
      </c>
    </row>
    <row r="1637" customFormat="false" ht="15" hidden="false" customHeight="false" outlineLevel="0" collapsed="false">
      <c r="A1637" s="4" t="s">
        <v>2416</v>
      </c>
      <c r="C1637" s="30" t="n">
        <v>0.1184</v>
      </c>
      <c r="D1637" s="30" t="n">
        <v>64.2383</v>
      </c>
      <c r="E1637" s="30" t="n">
        <v>64.2244</v>
      </c>
      <c r="F1637" s="30" t="n">
        <v>0.1323</v>
      </c>
    </row>
    <row r="1638" customFormat="false" ht="15" hidden="false" customHeight="false" outlineLevel="0" collapsed="false">
      <c r="A1638" s="4" t="s">
        <v>2417</v>
      </c>
      <c r="C1638" s="30" t="n">
        <v>347.7306</v>
      </c>
      <c r="D1638" s="30" t="n">
        <v>907.6081</v>
      </c>
      <c r="E1638" s="30" t="n">
        <v>1087.5836</v>
      </c>
      <c r="F1638" s="30" t="n">
        <v>167.7551</v>
      </c>
    </row>
    <row r="1639" customFormat="false" ht="15" hidden="false" customHeight="false" outlineLevel="0" collapsed="false">
      <c r="A1639" s="4" t="s">
        <v>2418</v>
      </c>
      <c r="C1639" s="30" t="n">
        <v>394.3865</v>
      </c>
      <c r="D1639" s="30" t="n">
        <v>1050.8238</v>
      </c>
      <c r="E1639" s="30" t="n">
        <v>1204.6885</v>
      </c>
      <c r="F1639" s="30" t="n">
        <v>240.5218</v>
      </c>
    </row>
    <row r="1640" customFormat="false" ht="15" hidden="false" customHeight="false" outlineLevel="0" collapsed="false">
      <c r="A1640" s="4" t="s">
        <v>2419</v>
      </c>
      <c r="C1640" s="30" t="n">
        <v>1.2601</v>
      </c>
      <c r="D1640" s="30" t="n">
        <v>73.8744</v>
      </c>
      <c r="E1640" s="30" t="n">
        <v>74.5617</v>
      </c>
      <c r="F1640" s="30" t="n">
        <v>0.5728</v>
      </c>
    </row>
    <row r="1641" customFormat="false" ht="15" hidden="false" customHeight="false" outlineLevel="0" collapsed="false">
      <c r="A1641" s="4" t="s">
        <v>2420</v>
      </c>
      <c r="C1641" s="30" t="n">
        <v>395.6466</v>
      </c>
      <c r="D1641" s="30" t="n">
        <v>1124.6982</v>
      </c>
      <c r="E1641" s="30" t="n">
        <v>1279.2502</v>
      </c>
      <c r="F1641" s="30" t="n">
        <v>241.0946</v>
      </c>
    </row>
    <row r="1643" customFormat="false" ht="15" hidden="false" customHeight="false" outlineLevel="0" collapsed="false">
      <c r="A1643" s="3" t="s">
        <v>2421</v>
      </c>
    </row>
    <row r="1644" customFormat="false" ht="15" hidden="false" customHeight="false" outlineLevel="0" collapsed="false">
      <c r="A1644" s="2" t="s">
        <v>2422</v>
      </c>
    </row>
    <row r="1645" customFormat="false" ht="15" hidden="false" customHeight="false" outlineLevel="0" collapsed="false">
      <c r="A1645" s="90" t="s">
        <v>86</v>
      </c>
      <c r="B1645" s="130"/>
      <c r="C1645" s="91" t="s">
        <v>1451</v>
      </c>
      <c r="D1645" s="91" t="s">
        <v>1452</v>
      </c>
      <c r="E1645" s="91" t="s">
        <v>1453</v>
      </c>
      <c r="F1645" s="91" t="s">
        <v>1272</v>
      </c>
      <c r="G1645" s="91" t="s">
        <v>1273</v>
      </c>
    </row>
    <row r="1646" customFormat="false" ht="15" hidden="false" customHeight="false" outlineLevel="0" collapsed="false">
      <c r="A1646" s="11" t="s">
        <v>2423</v>
      </c>
      <c r="C1646" s="30" t="n">
        <v>1173.7172</v>
      </c>
      <c r="D1646" s="30" t="n">
        <v>1545.0559</v>
      </c>
      <c r="E1646" s="30" t="n">
        <v>1765.3489</v>
      </c>
      <c r="F1646" s="30" t="n">
        <v>742.0561</v>
      </c>
      <c r="G1646" s="30" t="n">
        <v>926.0777</v>
      </c>
    </row>
    <row r="1647" customFormat="false" ht="15" hidden="false" customHeight="false" outlineLevel="0" collapsed="false">
      <c r="A1647" s="11" t="s">
        <v>2424</v>
      </c>
      <c r="C1647" s="30" t="n">
        <v>85.0213</v>
      </c>
      <c r="D1647" s="30" t="n">
        <v>110.6547</v>
      </c>
      <c r="E1647" s="30" t="n">
        <v>88.9179</v>
      </c>
      <c r="F1647" s="30" t="n">
        <v>45.055</v>
      </c>
      <c r="G1647" s="30" t="n">
        <v>58.2887</v>
      </c>
    </row>
    <row r="1648" customFormat="false" ht="15" hidden="false" customHeight="false" outlineLevel="0" collapsed="false">
      <c r="A1648" s="11" t="s">
        <v>2425</v>
      </c>
      <c r="C1648" s="30" t="n">
        <v>49.1817</v>
      </c>
      <c r="D1648" s="30" t="n">
        <v>62.9876</v>
      </c>
      <c r="E1648" s="30" t="n">
        <v>68.2466</v>
      </c>
      <c r="F1648" s="30" t="n">
        <v>33.553</v>
      </c>
      <c r="G1648" s="30" t="n">
        <v>40.619</v>
      </c>
    </row>
    <row r="1649" customFormat="false" ht="15" hidden="false" customHeight="false" outlineLevel="0" collapsed="false">
      <c r="A1649" s="11" t="s">
        <v>2426</v>
      </c>
      <c r="C1649" s="30" t="n">
        <v>30.6347</v>
      </c>
      <c r="D1649" s="30" t="n">
        <v>36.2713</v>
      </c>
      <c r="E1649" s="30" t="n">
        <v>42.2314</v>
      </c>
      <c r="F1649" s="30" t="n">
        <v>19.5573</v>
      </c>
      <c r="G1649" s="30" t="n">
        <v>23.1313</v>
      </c>
    </row>
    <row r="1650" customFormat="false" ht="15" hidden="false" customHeight="false" outlineLevel="0" collapsed="false">
      <c r="A1650" s="11" t="s">
        <v>2427</v>
      </c>
      <c r="C1650" s="30" t="n">
        <v>2.2929</v>
      </c>
      <c r="D1650" s="30" t="n">
        <v>4.6476</v>
      </c>
      <c r="E1650" s="30" t="n">
        <v>5.5285</v>
      </c>
      <c r="F1650" s="30" t="n">
        <v>3.1484</v>
      </c>
      <c r="G1650" s="30" t="n">
        <v>2.7071</v>
      </c>
    </row>
    <row r="1651" customFormat="false" ht="15" hidden="false" customHeight="false" outlineLevel="0" collapsed="false">
      <c r="A1651" s="11" t="s">
        <v>2428</v>
      </c>
      <c r="C1651" s="30" t="n">
        <v>1340.8478</v>
      </c>
      <c r="D1651" s="30" t="n">
        <v>1759.6171</v>
      </c>
      <c r="E1651" s="30" t="n">
        <v>1970.2732</v>
      </c>
      <c r="F1651" s="30" t="n">
        <v>843.3698</v>
      </c>
      <c r="G1651" s="30" t="n">
        <v>1050.8238</v>
      </c>
    </row>
    <row r="1652" customFormat="false" ht="15" hidden="false" customHeight="false" outlineLevel="0" collapsed="false">
      <c r="A1652" s="11" t="s">
        <v>2429</v>
      </c>
      <c r="C1652" s="30" t="n">
        <v>83.8609</v>
      </c>
      <c r="D1652" s="30" t="n">
        <v>110.4626</v>
      </c>
      <c r="E1652" s="30" t="n">
        <v>126.6682</v>
      </c>
      <c r="F1652" s="30" t="n">
        <v>61.5915</v>
      </c>
      <c r="G1652" s="30" t="n">
        <v>70.8596</v>
      </c>
    </row>
    <row r="1653" customFormat="false" ht="15" hidden="false" customHeight="false" outlineLevel="0" collapsed="false">
      <c r="A1653" s="11" t="s">
        <v>2430</v>
      </c>
      <c r="C1653" s="30" t="n">
        <v>3.2563</v>
      </c>
      <c r="D1653" s="30" t="n">
        <v>5.5911</v>
      </c>
      <c r="E1653" s="30" t="n">
        <v>5.4389</v>
      </c>
      <c r="F1653" s="30" t="n">
        <v>2.6468</v>
      </c>
      <c r="G1653" s="30" t="n">
        <v>3.0148</v>
      </c>
    </row>
    <row r="1654" customFormat="false" ht="15" hidden="false" customHeight="false" outlineLevel="0" collapsed="false">
      <c r="A1654" s="11" t="s">
        <v>2431</v>
      </c>
      <c r="C1654" s="30" t="n">
        <v>87.1172</v>
      </c>
      <c r="D1654" s="30" t="n">
        <v>116.0537</v>
      </c>
      <c r="E1654" s="30" t="n">
        <v>132.1071</v>
      </c>
      <c r="F1654" s="30" t="n">
        <v>64.2383</v>
      </c>
      <c r="G1654" s="30" t="n">
        <v>73.8744</v>
      </c>
    </row>
    <row r="1656" customFormat="false" ht="15" hidden="false" customHeight="false" outlineLevel="0" collapsed="false">
      <c r="A1656" s="3" t="s">
        <v>2432</v>
      </c>
    </row>
    <row r="1657" customFormat="false" ht="15" hidden="false" customHeight="false" outlineLevel="0" collapsed="false">
      <c r="A1657" s="2" t="s">
        <v>2433</v>
      </c>
    </row>
    <row r="1658" customFormat="false" ht="15" hidden="false" customHeight="false" outlineLevel="0" collapsed="false">
      <c r="A1658" s="90" t="s">
        <v>86</v>
      </c>
      <c r="B1658" s="130"/>
      <c r="C1658" s="91" t="s">
        <v>1451</v>
      </c>
      <c r="D1658" s="91" t="s">
        <v>1452</v>
      </c>
      <c r="E1658" s="91" t="s">
        <v>1453</v>
      </c>
      <c r="F1658" s="91" t="s">
        <v>1272</v>
      </c>
      <c r="G1658" s="91" t="s">
        <v>1273</v>
      </c>
    </row>
    <row r="1659" customFormat="false" ht="15" hidden="false" customHeight="false" outlineLevel="0" collapsed="false">
      <c r="A1659" s="11" t="s">
        <v>2434</v>
      </c>
      <c r="C1659" s="30" t="n">
        <v>42.7283</v>
      </c>
      <c r="D1659" s="30" t="n">
        <v>26.174</v>
      </c>
      <c r="E1659" s="30" t="n">
        <v>54.11</v>
      </c>
      <c r="F1659" s="30" t="n">
        <v>17.7347</v>
      </c>
      <c r="G1659" s="30" t="n">
        <v>16.9054</v>
      </c>
    </row>
    <row r="1660" customFormat="false" ht="15" hidden="false" customHeight="false" outlineLevel="0" collapsed="false">
      <c r="A1660" s="11" t="s">
        <v>2435</v>
      </c>
      <c r="C1660" s="30" t="n">
        <v>103.2316</v>
      </c>
      <c r="D1660" s="30" t="n">
        <v>109.094</v>
      </c>
      <c r="E1660" s="30" t="n">
        <v>144.2295</v>
      </c>
      <c r="F1660" s="30" t="n">
        <v>89.8868</v>
      </c>
      <c r="G1660" s="30" t="n">
        <v>196.5761</v>
      </c>
    </row>
    <row r="1661" customFormat="false" ht="15" hidden="false" customHeight="false" outlineLevel="0" collapsed="false">
      <c r="A1661" s="11" t="s">
        <v>2436</v>
      </c>
      <c r="C1661" s="30" t="n">
        <v>2.9854</v>
      </c>
      <c r="D1661" s="30" t="n">
        <v>3.8675</v>
      </c>
      <c r="E1661" s="30" t="n">
        <v>4.6189</v>
      </c>
      <c r="F1661" s="30" t="n">
        <v>5.6902</v>
      </c>
      <c r="G1661" s="30" t="n">
        <v>3.5253</v>
      </c>
    </row>
    <row r="1662" customFormat="false" ht="15" hidden="false" customHeight="false" outlineLevel="0" collapsed="false">
      <c r="A1662" s="11" t="s">
        <v>2216</v>
      </c>
      <c r="C1662" s="30" t="n">
        <v>3.4809</v>
      </c>
      <c r="D1662" s="30" t="n">
        <v>2.1038</v>
      </c>
      <c r="E1662" s="30" t="n">
        <v>3.9711</v>
      </c>
      <c r="F1662" s="30" t="n">
        <v>1.6395</v>
      </c>
      <c r="G1662" s="30" t="n">
        <v>2.1672</v>
      </c>
    </row>
    <row r="1663" customFormat="false" ht="15" hidden="false" customHeight="false" outlineLevel="0" collapsed="false">
      <c r="A1663" s="11" t="s">
        <v>2217</v>
      </c>
      <c r="C1663" s="30" t="n">
        <v>2.4864</v>
      </c>
      <c r="D1663" s="30" t="n">
        <v>1.5088</v>
      </c>
      <c r="E1663" s="30" t="n">
        <v>2.8415</v>
      </c>
      <c r="F1663" s="30" t="n">
        <v>1.1762</v>
      </c>
      <c r="G1663" s="30" t="n">
        <v>1.5526</v>
      </c>
    </row>
    <row r="1664" customFormat="false" ht="15" hidden="false" customHeight="false" outlineLevel="0" collapsed="false">
      <c r="A1664" s="11" t="s">
        <v>2222</v>
      </c>
      <c r="C1664" s="30" t="n">
        <v>0.084</v>
      </c>
      <c r="D1664" s="30" t="n">
        <v>0.1403</v>
      </c>
      <c r="E1664" s="30" t="n">
        <v>0.1566</v>
      </c>
      <c r="F1664" s="30" t="n">
        <v>0.2881</v>
      </c>
      <c r="G1664" s="30" t="n">
        <v>0.103</v>
      </c>
    </row>
    <row r="1665" customFormat="false" ht="15" hidden="false" customHeight="false" outlineLevel="0" collapsed="false">
      <c r="A1665" s="11" t="s">
        <v>2437</v>
      </c>
      <c r="C1665" s="30" t="n">
        <v>1.3751</v>
      </c>
      <c r="D1665" s="30" t="n">
        <v>1.3751</v>
      </c>
      <c r="E1665" s="30" t="n">
        <v>1.3751</v>
      </c>
      <c r="F1665" s="30" t="n">
        <v>1.3751</v>
      </c>
    </row>
    <row r="1666" customFormat="false" ht="15" hidden="false" customHeight="false" outlineLevel="0" collapsed="false">
      <c r="A1666" s="11" t="s">
        <v>2221</v>
      </c>
      <c r="C1666" s="30" t="n">
        <v>1.2795</v>
      </c>
      <c r="D1666" s="30" t="n">
        <v>1.9625</v>
      </c>
      <c r="E1666" s="30" t="n">
        <v>2.2857</v>
      </c>
      <c r="F1666" s="30" t="n">
        <v>2.2828</v>
      </c>
      <c r="G1666" s="30" t="n">
        <v>3.9936</v>
      </c>
    </row>
    <row r="1667" customFormat="false" ht="15" hidden="false" customHeight="false" outlineLevel="0" collapsed="false">
      <c r="A1667" s="11" t="s">
        <v>2218</v>
      </c>
      <c r="C1667" s="30" t="n">
        <v>0.0581</v>
      </c>
      <c r="D1667" s="30" t="n">
        <v>0.2034</v>
      </c>
      <c r="E1667" s="30" t="n">
        <v>0.2088</v>
      </c>
      <c r="F1667" s="30" t="n">
        <v>2.5926</v>
      </c>
      <c r="G1667" s="30" t="n">
        <v>3.0028</v>
      </c>
    </row>
    <row r="1668" customFormat="false" ht="15" hidden="false" customHeight="false" outlineLevel="0" collapsed="false">
      <c r="A1668" s="11" t="s">
        <v>2219</v>
      </c>
      <c r="C1668" s="30" t="n">
        <v>0.0012</v>
      </c>
      <c r="D1668" s="30" t="n">
        <v>0.0192</v>
      </c>
      <c r="E1668" s="30" t="n">
        <v>0.0192</v>
      </c>
      <c r="F1668" s="30" t="n">
        <v>0.3817</v>
      </c>
      <c r="G1668" s="30" t="n">
        <v>0.401</v>
      </c>
    </row>
    <row r="1669" customFormat="false" ht="15" hidden="false" customHeight="false" outlineLevel="0" collapsed="false">
      <c r="A1669" s="11" t="s">
        <v>2184</v>
      </c>
      <c r="G1669" s="30" t="n">
        <v>0.1509</v>
      </c>
    </row>
    <row r="1670" customFormat="false" ht="15" hidden="false" customHeight="false" outlineLevel="0" collapsed="false">
      <c r="A1670" s="11" t="s">
        <v>1470</v>
      </c>
      <c r="C1670" s="30" t="n">
        <v>157.7104</v>
      </c>
      <c r="D1670" s="30" t="n">
        <v>146.4485</v>
      </c>
      <c r="E1670" s="30" t="n">
        <v>213.8164</v>
      </c>
      <c r="F1670" s="30" t="n">
        <v>123.0478</v>
      </c>
      <c r="G1670" s="30" t="n">
        <v>228.3778</v>
      </c>
    </row>
    <row r="1672" customFormat="false" ht="15" hidden="false" customHeight="false" outlineLevel="0" collapsed="false">
      <c r="A1672" s="3" t="s">
        <v>2438</v>
      </c>
    </row>
    <row r="1673" customFormat="false" ht="15" hidden="false" customHeight="false" outlineLevel="0" collapsed="false">
      <c r="A1673" s="2" t="s">
        <v>2439</v>
      </c>
    </row>
    <row r="1674" customFormat="false" ht="15" hidden="false" customHeight="false" outlineLevel="0" collapsed="false">
      <c r="A1674" s="90" t="s">
        <v>86</v>
      </c>
      <c r="B1674" s="130"/>
      <c r="C1674" s="91" t="s">
        <v>1451</v>
      </c>
      <c r="D1674" s="91" t="s">
        <v>1452</v>
      </c>
      <c r="E1674" s="91" t="s">
        <v>1453</v>
      </c>
      <c r="F1674" s="91" t="s">
        <v>1272</v>
      </c>
      <c r="G1674" s="91" t="s">
        <v>1273</v>
      </c>
    </row>
    <row r="1675" customFormat="false" ht="15" hidden="false" customHeight="false" outlineLevel="0" collapsed="false">
      <c r="A1675" s="11" t="s">
        <v>2440</v>
      </c>
      <c r="C1675" s="30" t="n">
        <v>47.6891</v>
      </c>
      <c r="D1675" s="30" t="n">
        <v>53.8415</v>
      </c>
      <c r="E1675" s="30" t="n">
        <v>90.5945</v>
      </c>
      <c r="F1675" s="30" t="n">
        <v>68.7203</v>
      </c>
    </row>
    <row r="1676" customFormat="false" ht="15" hidden="false" customHeight="false" outlineLevel="0" collapsed="false">
      <c r="A1676" s="11" t="s">
        <v>2441</v>
      </c>
      <c r="C1676" s="30" t="n">
        <v>2.3581</v>
      </c>
      <c r="D1676" s="30" t="n">
        <v>4.0343</v>
      </c>
      <c r="E1676" s="30" t="n">
        <v>4.3336</v>
      </c>
      <c r="F1676" s="30" t="n">
        <v>3.7874</v>
      </c>
    </row>
    <row r="1677" customFormat="false" ht="15" hidden="false" customHeight="false" outlineLevel="0" collapsed="false">
      <c r="A1677" s="11" t="s">
        <v>2442</v>
      </c>
      <c r="G1677" s="30" t="n">
        <v>146.8534</v>
      </c>
    </row>
    <row r="1678" customFormat="false" ht="15" hidden="false" customHeight="false" outlineLevel="0" collapsed="false">
      <c r="A1678" s="11" t="s">
        <v>2443</v>
      </c>
      <c r="C1678" s="30" t="n">
        <v>0.0059</v>
      </c>
      <c r="D1678" s="30" t="n">
        <v>3.2977</v>
      </c>
      <c r="E1678" s="30" t="n">
        <v>0.2773</v>
      </c>
      <c r="F1678" s="30" t="n">
        <v>0.5058</v>
      </c>
    </row>
    <row r="1679" customFormat="false" ht="15" hidden="false" customHeight="false" outlineLevel="0" collapsed="false">
      <c r="A1679" s="11" t="s">
        <v>2184</v>
      </c>
      <c r="C1679" s="30" t="n">
        <v>8.0716</v>
      </c>
      <c r="D1679" s="30" t="n">
        <v>29.6725</v>
      </c>
      <c r="E1679" s="30" t="n">
        <v>19.1227</v>
      </c>
      <c r="F1679" s="30" t="n">
        <v>24.5424</v>
      </c>
      <c r="G1679" s="30" t="n">
        <v>36.3109</v>
      </c>
    </row>
    <row r="1680" customFormat="false" ht="15" hidden="false" customHeight="false" outlineLevel="0" collapsed="false">
      <c r="A1680" s="11" t="s">
        <v>1470</v>
      </c>
      <c r="C1680" s="30" t="n">
        <v>58.1247</v>
      </c>
      <c r="D1680" s="30" t="n">
        <v>90.8459</v>
      </c>
      <c r="E1680" s="30" t="n">
        <v>114.3282</v>
      </c>
      <c r="F1680" s="30" t="n">
        <v>97.5559</v>
      </c>
      <c r="G1680" s="30" t="n">
        <v>183.1643</v>
      </c>
    </row>
    <row r="1682" customFormat="false" ht="15" hidden="false" customHeight="false" outlineLevel="0" collapsed="false">
      <c r="A1682" s="3" t="s">
        <v>1972</v>
      </c>
    </row>
    <row r="1683" customFormat="false" ht="15" hidden="false" customHeight="false" outlineLevel="0" collapsed="false">
      <c r="A1683" s="2" t="s">
        <v>2444</v>
      </c>
    </row>
    <row r="1684" customFormat="false" ht="15" hidden="false" customHeight="false" outlineLevel="0" collapsed="false">
      <c r="A1684" s="90" t="s">
        <v>86</v>
      </c>
      <c r="B1684" s="130"/>
      <c r="C1684" s="91" t="s">
        <v>1451</v>
      </c>
      <c r="D1684" s="91" t="s">
        <v>1452</v>
      </c>
      <c r="E1684" s="91" t="s">
        <v>1453</v>
      </c>
      <c r="F1684" s="91" t="s">
        <v>1272</v>
      </c>
      <c r="G1684" s="91" t="s">
        <v>1273</v>
      </c>
    </row>
    <row r="1685" customFormat="false" ht="15" hidden="false" customHeight="false" outlineLevel="0" collapsed="false">
      <c r="A1685" s="11" t="s">
        <v>1974</v>
      </c>
      <c r="C1685" s="30" t="n">
        <v>2.8117</v>
      </c>
      <c r="D1685" s="30" t="n">
        <v>2.6717</v>
      </c>
      <c r="E1685" s="30" t="n">
        <v>2.5974</v>
      </c>
      <c r="F1685" s="30" t="n">
        <v>3.6823</v>
      </c>
      <c r="G1685" s="30" t="n">
        <v>9.8816</v>
      </c>
    </row>
    <row r="1686" customFormat="false" ht="15" hidden="false" customHeight="false" outlineLevel="0" collapsed="false">
      <c r="A1686" s="11" t="s">
        <v>1975</v>
      </c>
      <c r="C1686" s="30" t="n">
        <v>160.3877</v>
      </c>
      <c r="D1686" s="30" t="n">
        <v>201.1225</v>
      </c>
      <c r="E1686" s="30" t="n">
        <v>255.485</v>
      </c>
      <c r="F1686" s="30" t="n">
        <v>223.5646</v>
      </c>
      <c r="G1686" s="30" t="n">
        <v>179.4355</v>
      </c>
    </row>
    <row r="1687" customFormat="false" ht="15" hidden="false" customHeight="false" outlineLevel="0" collapsed="false">
      <c r="A1687" s="11" t="s">
        <v>1976</v>
      </c>
      <c r="C1687" s="30" t="n">
        <v>5.5196</v>
      </c>
      <c r="E1687" s="30" t="n">
        <v>2.9427</v>
      </c>
      <c r="G1687" s="30" t="n">
        <v>6.5722</v>
      </c>
    </row>
    <row r="1688" customFormat="false" ht="15" hidden="false" customHeight="false" outlineLevel="0" collapsed="false">
      <c r="A1688" s="11" t="s">
        <v>2445</v>
      </c>
      <c r="E1688" s="30" t="n">
        <v>1.0897</v>
      </c>
      <c r="G1688" s="30" t="n">
        <v>1.33</v>
      </c>
    </row>
    <row r="1689" customFormat="false" ht="15" hidden="false" customHeight="false" outlineLevel="0" collapsed="false">
      <c r="A1689" s="11" t="s">
        <v>1470</v>
      </c>
      <c r="C1689" s="30" t="n">
        <v>168.719</v>
      </c>
      <c r="D1689" s="30" t="n">
        <v>203.7941</v>
      </c>
      <c r="E1689" s="30" t="n">
        <v>262.1147</v>
      </c>
      <c r="F1689" s="30" t="n">
        <v>227.2469</v>
      </c>
      <c r="G1689" s="30" t="n">
        <v>197.2194</v>
      </c>
    </row>
    <row r="1691" customFormat="false" ht="15" hidden="false" customHeight="false" outlineLevel="0" collapsed="false">
      <c r="A1691" s="3" t="s">
        <v>2446</v>
      </c>
    </row>
    <row r="1692" customFormat="false" ht="15" hidden="false" customHeight="false" outlineLevel="0" collapsed="false">
      <c r="A1692" s="2" t="s">
        <v>2447</v>
      </c>
    </row>
    <row r="1693" customFormat="false" ht="15" hidden="false" customHeight="false" outlineLevel="0" collapsed="false">
      <c r="A1693" s="90" t="s">
        <v>86</v>
      </c>
      <c r="B1693" s="130"/>
      <c r="C1693" s="91" t="s">
        <v>1451</v>
      </c>
      <c r="D1693" s="91" t="s">
        <v>1452</v>
      </c>
      <c r="E1693" s="91" t="s">
        <v>1453</v>
      </c>
      <c r="F1693" s="91" t="s">
        <v>1272</v>
      </c>
      <c r="G1693" s="91" t="s">
        <v>1273</v>
      </c>
    </row>
    <row r="1694" customFormat="false" ht="15" hidden="false" customHeight="false" outlineLevel="0" collapsed="false">
      <c r="A1694" s="11" t="s">
        <v>1741</v>
      </c>
      <c r="C1694" s="30" t="n">
        <v>472.2228</v>
      </c>
      <c r="D1694" s="30" t="n">
        <v>521.2308</v>
      </c>
      <c r="E1694" s="30" t="n">
        <v>502.1961</v>
      </c>
      <c r="F1694" s="30" t="n">
        <v>499.6495</v>
      </c>
      <c r="G1694" s="30" t="n">
        <v>454.2613</v>
      </c>
    </row>
    <row r="1695" customFormat="false" ht="15" hidden="false" customHeight="false" outlineLevel="0" collapsed="false">
      <c r="A1695" s="11" t="s">
        <v>1742</v>
      </c>
      <c r="C1695" s="30" t="n">
        <v>15.957</v>
      </c>
      <c r="D1695" s="30" t="n">
        <v>6.6029</v>
      </c>
      <c r="E1695" s="30" t="n">
        <v>7.2425</v>
      </c>
      <c r="F1695" s="30" t="n">
        <v>2.5484</v>
      </c>
      <c r="G1695" s="30" t="n">
        <v>0.055</v>
      </c>
    </row>
    <row r="1696" customFormat="false" ht="15" hidden="false" customHeight="false" outlineLevel="0" collapsed="false">
      <c r="A1696" s="11" t="s">
        <v>2448</v>
      </c>
      <c r="E1696" s="30" t="n">
        <v>10.2011</v>
      </c>
      <c r="G1696" s="30" t="n">
        <v>15.3605</v>
      </c>
    </row>
    <row r="1697" customFormat="false" ht="15" hidden="false" customHeight="false" outlineLevel="0" collapsed="false">
      <c r="A1697" s="11" t="s">
        <v>1470</v>
      </c>
      <c r="C1697" s="30" t="n">
        <v>488.1799</v>
      </c>
      <c r="D1697" s="30" t="n">
        <v>527.8337</v>
      </c>
      <c r="E1697" s="30" t="n">
        <v>519.6397</v>
      </c>
      <c r="F1697" s="30" t="n">
        <v>502.1979</v>
      </c>
      <c r="G1697" s="30" t="n">
        <v>469.6768</v>
      </c>
    </row>
    <row r="1699" customFormat="false" ht="15" hidden="false" customHeight="false" outlineLevel="0" collapsed="false">
      <c r="A1699" s="3" t="s">
        <v>2449</v>
      </c>
    </row>
    <row r="1700" customFormat="false" ht="15" hidden="false" customHeight="false" outlineLevel="0" collapsed="false">
      <c r="A1700" s="2" t="s">
        <v>2450</v>
      </c>
    </row>
    <row r="1701" customFormat="false" ht="15" hidden="false" customHeight="false" outlineLevel="0" collapsed="false">
      <c r="A1701" s="90" t="s">
        <v>86</v>
      </c>
      <c r="B1701" s="130"/>
      <c r="C1701" s="91" t="s">
        <v>1451</v>
      </c>
      <c r="D1701" s="91" t="s">
        <v>1452</v>
      </c>
      <c r="E1701" s="91" t="s">
        <v>1453</v>
      </c>
      <c r="F1701" s="91" t="s">
        <v>1272</v>
      </c>
      <c r="G1701" s="91" t="s">
        <v>1273</v>
      </c>
    </row>
    <row r="1702" customFormat="false" ht="15" hidden="false" customHeight="false" outlineLevel="0" collapsed="false">
      <c r="A1702" s="11" t="s">
        <v>2451</v>
      </c>
      <c r="C1702" s="30" t="n">
        <v>26.9497</v>
      </c>
    </row>
    <row r="1703" customFormat="false" ht="15" hidden="false" customHeight="false" outlineLevel="0" collapsed="false">
      <c r="A1703" s="11" t="s">
        <v>2452</v>
      </c>
    </row>
    <row r="1704" customFormat="false" ht="15" hidden="false" customHeight="false" outlineLevel="0" collapsed="false">
      <c r="A1704" s="11" t="s">
        <v>2453</v>
      </c>
      <c r="C1704" s="30" t="n">
        <v>5.078</v>
      </c>
      <c r="D1704" s="30" t="n">
        <v>10.5034</v>
      </c>
      <c r="E1704" s="30" t="n">
        <v>6.6111</v>
      </c>
      <c r="F1704" s="30" t="n">
        <v>3.9589</v>
      </c>
      <c r="G1704" s="30" t="n">
        <v>5.5933</v>
      </c>
    </row>
    <row r="1705" customFormat="false" ht="15" hidden="false" customHeight="false" outlineLevel="0" collapsed="false">
      <c r="A1705" s="11" t="s">
        <v>2454</v>
      </c>
      <c r="C1705" s="30" t="n">
        <v>0.4342</v>
      </c>
      <c r="D1705" s="30" t="n">
        <v>0.6293</v>
      </c>
      <c r="E1705" s="30" t="n">
        <v>0.4089</v>
      </c>
      <c r="F1705" s="30" t="n">
        <v>0.2945</v>
      </c>
      <c r="G1705" s="30" t="n">
        <v>0.3892</v>
      </c>
    </row>
    <row r="1706" customFormat="false" ht="15" hidden="false" customHeight="false" outlineLevel="0" collapsed="false">
      <c r="A1706" s="11" t="s">
        <v>2455</v>
      </c>
      <c r="C1706" s="30" t="n">
        <v>12.6405</v>
      </c>
      <c r="D1706" s="30" t="n">
        <v>18.7886</v>
      </c>
      <c r="E1706" s="30" t="n">
        <v>12.2373</v>
      </c>
      <c r="F1706" s="30" t="n">
        <v>16.4652</v>
      </c>
      <c r="G1706" s="30" t="n">
        <v>11.9168</v>
      </c>
    </row>
    <row r="1707" customFormat="false" ht="15" hidden="false" customHeight="false" outlineLevel="0" collapsed="false">
      <c r="A1707" s="11" t="s">
        <v>2286</v>
      </c>
      <c r="C1707" s="30" t="n">
        <v>44.6682</v>
      </c>
      <c r="D1707" s="30" t="n">
        <v>29.292</v>
      </c>
      <c r="E1707" s="30" t="n">
        <v>18.8484</v>
      </c>
      <c r="F1707" s="30" t="n">
        <v>20.4241</v>
      </c>
      <c r="G1707" s="30" t="n">
        <v>17.5101</v>
      </c>
    </row>
    <row r="1708" customFormat="false" ht="15" hidden="false" customHeight="false" outlineLevel="0" collapsed="false">
      <c r="A1708" s="11" t="s">
        <v>2287</v>
      </c>
      <c r="C1708" s="30" t="n">
        <v>0.4342</v>
      </c>
      <c r="D1708" s="30" t="n">
        <v>0.6293</v>
      </c>
      <c r="E1708" s="30" t="n">
        <v>0.4089</v>
      </c>
      <c r="F1708" s="30" t="n">
        <v>0.2945</v>
      </c>
      <c r="G1708" s="30" t="n">
        <v>0.3892</v>
      </c>
    </row>
    <row r="1709" customFormat="false" ht="15" hidden="false" customHeight="false" outlineLevel="0" collapsed="false">
      <c r="A1709" s="11" t="s">
        <v>2456</v>
      </c>
      <c r="C1709" s="30" t="n">
        <v>44.234</v>
      </c>
      <c r="D1709" s="30" t="n">
        <v>28.6627</v>
      </c>
      <c r="E1709" s="30" t="n">
        <v>18.4395</v>
      </c>
      <c r="F1709" s="30" t="n">
        <v>20.1296</v>
      </c>
      <c r="G1709" s="30" t="n">
        <v>17.1209</v>
      </c>
    </row>
    <row r="1711" customFormat="false" ht="15" hidden="false" customHeight="false" outlineLevel="0" collapsed="false">
      <c r="A1711" s="3" t="s">
        <v>2457</v>
      </c>
    </row>
    <row r="1712" customFormat="false" ht="15" hidden="false" customHeight="false" outlineLevel="0" collapsed="false">
      <c r="A1712" s="2" t="s">
        <v>2458</v>
      </c>
    </row>
    <row r="1713" customFormat="false" ht="15" hidden="false" customHeight="false" outlineLevel="0" collapsed="false">
      <c r="A1713" s="90" t="s">
        <v>86</v>
      </c>
      <c r="B1713" s="130"/>
      <c r="C1713" s="91" t="s">
        <v>1451</v>
      </c>
      <c r="D1713" s="91" t="s">
        <v>1452</v>
      </c>
      <c r="E1713" s="91" t="s">
        <v>1453</v>
      </c>
      <c r="F1713" s="91" t="s">
        <v>1272</v>
      </c>
      <c r="G1713" s="91" t="s">
        <v>1273</v>
      </c>
    </row>
    <row r="1714" customFormat="false" ht="15" hidden="false" customHeight="false" outlineLevel="0" collapsed="false">
      <c r="A1714" s="4" t="s">
        <v>2459</v>
      </c>
      <c r="C1714" s="30" t="n">
        <v>4.8293</v>
      </c>
      <c r="D1714" s="30" t="n">
        <v>10.216</v>
      </c>
      <c r="E1714" s="30" t="n">
        <v>6.3203</v>
      </c>
      <c r="F1714" s="30" t="n">
        <v>3.567</v>
      </c>
      <c r="G1714" s="30" t="n">
        <v>5.2524</v>
      </c>
    </row>
    <row r="1715" customFormat="false" ht="15" hidden="false" customHeight="false" outlineLevel="0" collapsed="false">
      <c r="A1715" s="4" t="s">
        <v>2292</v>
      </c>
      <c r="C1715" s="30" t="n">
        <v>0.2415</v>
      </c>
      <c r="D1715" s="30" t="n">
        <v>0.5108</v>
      </c>
      <c r="E1715" s="30" t="n">
        <v>0.316</v>
      </c>
      <c r="F1715" s="30" t="n">
        <v>0.1784</v>
      </c>
      <c r="G1715" s="30" t="n">
        <v>0.2626</v>
      </c>
    </row>
    <row r="1716" customFormat="false" ht="15" hidden="false" customHeight="false" outlineLevel="0" collapsed="false">
      <c r="A1716" s="4" t="s">
        <v>2460</v>
      </c>
      <c r="C1716" s="30" t="n">
        <v>0.0054</v>
      </c>
      <c r="D1716" s="30" t="n">
        <v>0.1556</v>
      </c>
      <c r="E1716" s="30" t="n">
        <v>0.1372</v>
      </c>
      <c r="F1716" s="30" t="n">
        <v>0.2435</v>
      </c>
      <c r="G1716" s="30" t="n">
        <v>0.1282</v>
      </c>
    </row>
    <row r="1717" customFormat="false" ht="15" hidden="false" customHeight="false" outlineLevel="0" collapsed="false">
      <c r="A1717" s="4" t="s">
        <v>2294</v>
      </c>
      <c r="C1717" s="30" t="n">
        <v>0.0005</v>
      </c>
      <c r="D1717" s="30" t="n">
        <v>0.0156</v>
      </c>
      <c r="E1717" s="30" t="n">
        <v>0.0137</v>
      </c>
      <c r="F1717" s="30" t="n">
        <v>0.0243</v>
      </c>
      <c r="G1717" s="30" t="n">
        <v>0.0128</v>
      </c>
    </row>
    <row r="1718" customFormat="false" ht="15" hidden="false" customHeight="false" outlineLevel="0" collapsed="false">
      <c r="A1718" s="4" t="s">
        <v>2461</v>
      </c>
      <c r="C1718" s="30" t="n">
        <v>0.005</v>
      </c>
      <c r="D1718" s="30" t="n">
        <v>0.005</v>
      </c>
      <c r="E1718" s="30" t="n">
        <v>0.0873</v>
      </c>
      <c r="F1718" s="30" t="n">
        <v>0.0539</v>
      </c>
      <c r="G1718" s="30" t="n">
        <v>0.1127</v>
      </c>
    </row>
    <row r="1719" customFormat="false" ht="15" hidden="false" customHeight="false" outlineLevel="0" collapsed="false">
      <c r="A1719" s="4" t="s">
        <v>2462</v>
      </c>
      <c r="C1719" s="30" t="n">
        <v>0.0015</v>
      </c>
      <c r="D1719" s="30" t="n">
        <v>0.0015</v>
      </c>
      <c r="E1719" s="30" t="n">
        <v>0.0262</v>
      </c>
      <c r="F1719" s="30" t="n">
        <v>0.0162</v>
      </c>
      <c r="G1719" s="30" t="n">
        <v>0.0338</v>
      </c>
    </row>
    <row r="1720" customFormat="false" ht="15" hidden="false" customHeight="false" outlineLevel="0" collapsed="false">
      <c r="A1720" s="4" t="s">
        <v>2463</v>
      </c>
      <c r="C1720" s="30" t="n">
        <v>0.045</v>
      </c>
      <c r="D1720" s="30" t="n">
        <v>0.0104</v>
      </c>
      <c r="E1720" s="30" t="n">
        <v>0.005</v>
      </c>
      <c r="F1720" s="30" t="n">
        <v>0.005</v>
      </c>
      <c r="G1720" s="30" t="n">
        <v>0.0555</v>
      </c>
    </row>
    <row r="1721" customFormat="false" ht="15" hidden="false" customHeight="false" outlineLevel="0" collapsed="false">
      <c r="A1721" s="4" t="s">
        <v>2464</v>
      </c>
      <c r="C1721" s="30" t="n">
        <v>0.036</v>
      </c>
      <c r="D1721" s="30" t="n">
        <v>0.0083</v>
      </c>
      <c r="E1721" s="30" t="n">
        <v>0.004</v>
      </c>
      <c r="F1721" s="30" t="n">
        <v>0.004</v>
      </c>
      <c r="G1721" s="30" t="n">
        <v>0.0444</v>
      </c>
    </row>
    <row r="1722" customFormat="false" ht="15" hidden="false" customHeight="false" outlineLevel="0" collapsed="false">
      <c r="A1722" s="4" t="s">
        <v>2465</v>
      </c>
      <c r="C1722" s="30" t="n">
        <v>0.1933</v>
      </c>
      <c r="D1722" s="30" t="n">
        <v>0.0216</v>
      </c>
    </row>
    <row r="1723" customFormat="false" ht="15" hidden="false" customHeight="false" outlineLevel="0" collapsed="false">
      <c r="A1723" s="4" t="s">
        <v>2296</v>
      </c>
      <c r="C1723" s="30" t="n">
        <v>0.1547</v>
      </c>
      <c r="D1723" s="30" t="n">
        <v>0.0173</v>
      </c>
    </row>
    <row r="1724" customFormat="false" ht="15" hidden="false" customHeight="false" outlineLevel="0" collapsed="false">
      <c r="A1724" s="4" t="s">
        <v>2466</v>
      </c>
      <c r="D1724" s="30" t="n">
        <v>0.0948</v>
      </c>
      <c r="E1724" s="30" t="n">
        <v>0.0612</v>
      </c>
      <c r="F1724" s="30" t="n">
        <v>0.0896</v>
      </c>
      <c r="G1724" s="30" t="n">
        <v>0.0444</v>
      </c>
    </row>
    <row r="1725" customFormat="false" ht="15" hidden="false" customHeight="false" outlineLevel="0" collapsed="false">
      <c r="A1725" s="4" t="s">
        <v>2298</v>
      </c>
      <c r="D1725" s="30" t="n">
        <v>0.0758</v>
      </c>
      <c r="E1725" s="30" t="n">
        <v>0.049</v>
      </c>
      <c r="F1725" s="30" t="n">
        <v>0.0717</v>
      </c>
      <c r="G1725" s="30" t="n">
        <v>0.0355</v>
      </c>
    </row>
    <row r="1726" customFormat="false" ht="15" hidden="false" customHeight="false" outlineLevel="0" collapsed="false">
      <c r="A1726" s="11" t="s">
        <v>2299</v>
      </c>
      <c r="C1726" s="30" t="n">
        <v>5.078</v>
      </c>
      <c r="D1726" s="30" t="n">
        <v>10.5034</v>
      </c>
      <c r="E1726" s="30" t="n">
        <v>6.6111</v>
      </c>
      <c r="F1726" s="30" t="n">
        <v>3.9589</v>
      </c>
      <c r="G1726" s="30" t="n">
        <v>5.5933</v>
      </c>
    </row>
    <row r="1727" customFormat="false" ht="15" hidden="false" customHeight="false" outlineLevel="0" collapsed="false">
      <c r="A1727" s="11" t="s">
        <v>2300</v>
      </c>
      <c r="C1727" s="30" t="n">
        <v>0.4342</v>
      </c>
      <c r="D1727" s="30" t="n">
        <v>0.6293</v>
      </c>
      <c r="E1727" s="30" t="n">
        <v>0.4089</v>
      </c>
      <c r="F1727" s="30" t="n">
        <v>0.2945</v>
      </c>
      <c r="G1727" s="30" t="n">
        <v>0.3892</v>
      </c>
    </row>
    <row r="1729" customFormat="false" ht="15" hidden="false" customHeight="false" outlineLevel="0" collapsed="false">
      <c r="A1729" s="3" t="s">
        <v>2467</v>
      </c>
    </row>
    <row r="1730" customFormat="false" ht="15" hidden="false" customHeight="false" outlineLevel="0" collapsed="false">
      <c r="A1730" s="2" t="s">
        <v>2468</v>
      </c>
    </row>
    <row r="1731" customFormat="false" ht="15" hidden="false" customHeight="false" outlineLevel="0" collapsed="false">
      <c r="A1731" s="90" t="s">
        <v>86</v>
      </c>
      <c r="B1731" s="130"/>
      <c r="C1731" s="91" t="s">
        <v>1451</v>
      </c>
      <c r="D1731" s="91" t="s">
        <v>1452</v>
      </c>
      <c r="E1731" s="91" t="s">
        <v>1453</v>
      </c>
      <c r="F1731" s="91" t="s">
        <v>1272</v>
      </c>
      <c r="G1731" s="91" t="s">
        <v>1273</v>
      </c>
    </row>
    <row r="1732" customFormat="false" ht="15" hidden="false" customHeight="false" outlineLevel="0" collapsed="false">
      <c r="A1732" s="11" t="s">
        <v>2469</v>
      </c>
      <c r="C1732" s="30" t="n">
        <v>-23.3415</v>
      </c>
      <c r="D1732" s="30" t="n">
        <v>-12.5324</v>
      </c>
      <c r="E1732" s="30" t="n">
        <v>-15.6965</v>
      </c>
      <c r="F1732" s="30" t="n">
        <v>-4.5733</v>
      </c>
      <c r="G1732" s="30" t="n">
        <v>-46.1724</v>
      </c>
    </row>
    <row r="1733" customFormat="false" ht="15" hidden="false" customHeight="false" outlineLevel="0" collapsed="false">
      <c r="A1733" s="11" t="s">
        <v>2470</v>
      </c>
      <c r="C1733" s="30" t="n">
        <v>30.9511</v>
      </c>
      <c r="D1733" s="30" t="n">
        <v>-0.2021</v>
      </c>
      <c r="E1733" s="30" t="n">
        <v>0.2515</v>
      </c>
      <c r="F1733" s="30" t="n">
        <v>0.3657</v>
      </c>
      <c r="G1733" s="30" t="n">
        <v>0.0031</v>
      </c>
    </row>
    <row r="1734" customFormat="false" ht="15" hidden="false" customHeight="false" outlineLevel="0" collapsed="false">
      <c r="A1734" s="11" t="s">
        <v>2471</v>
      </c>
      <c r="G1734" s="30" t="n">
        <v>-9.7758</v>
      </c>
    </row>
    <row r="1735" customFormat="false" ht="15" hidden="false" customHeight="false" outlineLevel="0" collapsed="false">
      <c r="A1735" s="11" t="s">
        <v>2472</v>
      </c>
      <c r="C1735" s="30" t="n">
        <v>7.6096</v>
      </c>
      <c r="D1735" s="30" t="n">
        <v>-12.7345</v>
      </c>
      <c r="E1735" s="30" t="n">
        <v>-15.445</v>
      </c>
      <c r="F1735" s="30" t="n">
        <v>-4.2076</v>
      </c>
      <c r="G1735" s="30" t="n">
        <v>-55.945</v>
      </c>
    </row>
    <row r="1736" customFormat="false" ht="15" hidden="false" customHeight="false" outlineLevel="0" collapsed="false">
      <c r="A1736" s="11" t="s">
        <v>2473</v>
      </c>
      <c r="C1736" s="30" t="n">
        <v>-0.9734</v>
      </c>
      <c r="D1736" s="30" t="n">
        <v>-26.3493</v>
      </c>
      <c r="E1736" s="30" t="n">
        <v>-26.5942</v>
      </c>
      <c r="F1736" s="30" t="n">
        <v>-12.3834</v>
      </c>
      <c r="G1736" s="30" t="n">
        <v>-54.6011</v>
      </c>
    </row>
    <row r="1737" customFormat="false" ht="15" hidden="false" customHeight="false" outlineLevel="0" collapsed="false">
      <c r="A1737" s="4" t="s">
        <v>2474</v>
      </c>
      <c r="C1737" s="30" t="n">
        <v>21.7711</v>
      </c>
      <c r="D1737" s="30" t="n">
        <v>50.5073</v>
      </c>
      <c r="E1737" s="30" t="n">
        <v>34.6922</v>
      </c>
      <c r="F1737" s="30" t="n">
        <v>19.8681</v>
      </c>
      <c r="G1737" s="30" t="n">
        <v>58.69</v>
      </c>
    </row>
    <row r="1738" customFormat="false" ht="15" hidden="false" customHeight="false" outlineLevel="0" collapsed="false">
      <c r="A1738" s="4" t="s">
        <v>2475</v>
      </c>
      <c r="C1738" s="30" t="n">
        <v>20.7977</v>
      </c>
      <c r="D1738" s="30" t="n">
        <v>24.158</v>
      </c>
      <c r="E1738" s="30" t="n">
        <v>8.098</v>
      </c>
      <c r="F1738" s="30" t="n">
        <v>7.4846</v>
      </c>
      <c r="G1738" s="30" t="n">
        <v>4.0889</v>
      </c>
    </row>
    <row r="1739" customFormat="false" ht="15" hidden="false" customHeight="false" outlineLevel="0" collapsed="false">
      <c r="A1739" s="4" t="s">
        <v>2476</v>
      </c>
      <c r="C1739" s="30" t="n">
        <v>49.015</v>
      </c>
      <c r="D1739" s="30" t="n">
        <v>0</v>
      </c>
      <c r="E1739" s="30" t="n">
        <v>31.1874</v>
      </c>
      <c r="F1739" s="30" t="n">
        <v>20.2023</v>
      </c>
      <c r="G1739" s="30" t="n">
        <v>6.2941</v>
      </c>
    </row>
    <row r="1741" customFormat="false" ht="15" hidden="false" customHeight="false" outlineLevel="0" collapsed="false">
      <c r="A1741" s="3" t="s">
        <v>2477</v>
      </c>
    </row>
    <row r="1742" customFormat="false" ht="15" hidden="false" customHeight="false" outlineLevel="0" collapsed="false">
      <c r="A1742" s="2" t="s">
        <v>2478</v>
      </c>
    </row>
    <row r="1743" customFormat="false" ht="15" hidden="false" customHeight="false" outlineLevel="0" collapsed="false">
      <c r="A1743" s="90" t="s">
        <v>86</v>
      </c>
      <c r="B1743" s="130"/>
      <c r="C1743" s="91" t="s">
        <v>1451</v>
      </c>
      <c r="D1743" s="91" t="s">
        <v>1452</v>
      </c>
      <c r="E1743" s="91" t="s">
        <v>1453</v>
      </c>
      <c r="F1743" s="91" t="s">
        <v>1272</v>
      </c>
      <c r="G1743" s="91" t="s">
        <v>1273</v>
      </c>
    </row>
    <row r="1744" customFormat="false" ht="15" hidden="false" customHeight="false" outlineLevel="0" collapsed="false">
      <c r="A1744" s="11" t="s">
        <v>1630</v>
      </c>
      <c r="C1744" s="30" t="n">
        <v>61.3099</v>
      </c>
      <c r="D1744" s="30" t="n">
        <v>29.1001</v>
      </c>
      <c r="E1744" s="30" t="n">
        <v>30.0985</v>
      </c>
      <c r="F1744" s="30" t="n">
        <v>34.6574</v>
      </c>
      <c r="G1744" s="30" t="n">
        <v>147.0219</v>
      </c>
    </row>
    <row r="1745" customFormat="false" ht="15" hidden="false" customHeight="false" outlineLevel="0" collapsed="false">
      <c r="A1745" s="11" t="s">
        <v>1631</v>
      </c>
      <c r="C1745" s="30" t="n">
        <v>60.1141</v>
      </c>
      <c r="D1745" s="30" t="n">
        <v>1.5085</v>
      </c>
      <c r="E1745" s="30" t="n">
        <v>3.0301</v>
      </c>
      <c r="F1745" s="30" t="n">
        <v>0.2218</v>
      </c>
      <c r="G1745" s="30" t="n">
        <v>0.2441</v>
      </c>
    </row>
    <row r="1746" customFormat="false" ht="15" hidden="false" customHeight="false" outlineLevel="0" collapsed="false">
      <c r="A1746" s="11" t="s">
        <v>1632</v>
      </c>
      <c r="G1746" s="30" t="n">
        <v>3.5298</v>
      </c>
    </row>
    <row r="1747" customFormat="false" ht="15" hidden="false" customHeight="false" outlineLevel="0" collapsed="false">
      <c r="A1747" s="11" t="s">
        <v>1738</v>
      </c>
      <c r="C1747" s="30" t="n">
        <v>3590.7033</v>
      </c>
      <c r="D1747" s="30" t="n">
        <v>2930.2505</v>
      </c>
      <c r="E1747" s="30" t="n">
        <v>5850.9937</v>
      </c>
      <c r="F1747" s="30" t="n">
        <v>2925.9402</v>
      </c>
      <c r="G1747" s="30" t="n">
        <v>5693.1376</v>
      </c>
    </row>
    <row r="1748" customFormat="false" ht="15" hidden="false" customHeight="false" outlineLevel="0" collapsed="false">
      <c r="A1748" s="11" t="s">
        <v>1470</v>
      </c>
      <c r="C1748" s="30" t="n">
        <v>3712.1273</v>
      </c>
      <c r="D1748" s="30" t="n">
        <v>2960.8591</v>
      </c>
      <c r="E1748" s="30" t="n">
        <v>5884.1223</v>
      </c>
      <c r="F1748" s="30" t="n">
        <v>2960.8195</v>
      </c>
      <c r="G1748" s="30" t="n">
        <v>5843.9334</v>
      </c>
    </row>
    <row r="1750" customFormat="false" ht="15" hidden="false" customHeight="false" outlineLevel="0" collapsed="false">
      <c r="A1750" s="3" t="s">
        <v>2479</v>
      </c>
    </row>
    <row r="1751" customFormat="false" ht="15" hidden="false" customHeight="false" outlineLevel="0" collapsed="false">
      <c r="A1751" s="2" t="s">
        <v>2480</v>
      </c>
    </row>
    <row r="1752" customFormat="false" ht="15" hidden="false" customHeight="false" outlineLevel="0" collapsed="false">
      <c r="A1752" s="90" t="s">
        <v>86</v>
      </c>
      <c r="B1752" s="130"/>
      <c r="C1752" s="91" t="s">
        <v>1451</v>
      </c>
      <c r="D1752" s="91" t="s">
        <v>1452</v>
      </c>
      <c r="E1752" s="91" t="s">
        <v>1453</v>
      </c>
      <c r="F1752" s="91" t="s">
        <v>1272</v>
      </c>
      <c r="G1752" s="91" t="s">
        <v>1273</v>
      </c>
    </row>
    <row r="1753" customFormat="false" ht="15" hidden="false" customHeight="false" outlineLevel="0" collapsed="false">
      <c r="A1753" s="11" t="s">
        <v>2481</v>
      </c>
      <c r="C1753" s="30" t="n">
        <v>2.5309</v>
      </c>
      <c r="D1753" s="30" t="n">
        <v>1.2631</v>
      </c>
      <c r="F1753" s="30" t="n">
        <v>0.8378</v>
      </c>
    </row>
    <row r="1754" customFormat="false" ht="15" hidden="false" customHeight="false" outlineLevel="0" collapsed="false">
      <c r="A1754" s="11" t="s">
        <v>2482</v>
      </c>
      <c r="E1754" s="30" t="n">
        <v>1.0897</v>
      </c>
      <c r="G1754" s="30" t="n">
        <v>1.33</v>
      </c>
    </row>
    <row r="1756" customFormat="false" ht="15" hidden="false" customHeight="false" outlineLevel="0" collapsed="false">
      <c r="A1756" s="40" t="s">
        <v>2483</v>
      </c>
      <c r="B1756" s="6"/>
      <c r="C1756" s="6"/>
      <c r="D1756" s="6"/>
      <c r="E1756" s="6"/>
      <c r="F1756" s="6"/>
      <c r="G1756" s="6"/>
      <c r="H1756" s="6"/>
      <c r="I1756" s="6"/>
      <c r="J1756" s="6"/>
      <c r="K1756" s="6"/>
      <c r="L1756" s="6"/>
    </row>
    <row r="1757" customFormat="false" ht="15" hidden="false" customHeight="false" outlineLevel="0" collapsed="false">
      <c r="A1757" s="3" t="s">
        <v>2484</v>
      </c>
    </row>
    <row r="1758" customFormat="false" ht="15" hidden="false" customHeight="false" outlineLevel="0" collapsed="false">
      <c r="A1758" s="2" t="s">
        <v>2485</v>
      </c>
    </row>
    <row r="1759" customFormat="false" ht="15" hidden="false" customHeight="false" outlineLevel="0" collapsed="false">
      <c r="A1759" s="90" t="s">
        <v>86</v>
      </c>
      <c r="B1759" s="130"/>
      <c r="C1759" s="91" t="s">
        <v>1451</v>
      </c>
      <c r="D1759" s="91" t="s">
        <v>1452</v>
      </c>
      <c r="E1759" s="91" t="s">
        <v>1453</v>
      </c>
      <c r="F1759" s="91" t="s">
        <v>1273</v>
      </c>
    </row>
    <row r="1760" customFormat="false" ht="15" hidden="false" customHeight="false" outlineLevel="0" collapsed="false">
      <c r="A1760" s="11" t="s">
        <v>2486</v>
      </c>
      <c r="C1760" s="131" t="n">
        <v>15</v>
      </c>
      <c r="D1760" s="131" t="n">
        <v>15</v>
      </c>
      <c r="E1760" s="131" t="n">
        <v>15</v>
      </c>
      <c r="F1760" s="131" t="n">
        <v>15</v>
      </c>
    </row>
    <row r="1761" customFormat="false" ht="15" hidden="false" customHeight="false" outlineLevel="0" collapsed="false">
      <c r="A1761" s="11" t="s">
        <v>2487</v>
      </c>
      <c r="C1761" s="131" t="n">
        <v>15</v>
      </c>
      <c r="D1761" s="131" t="n">
        <v>15</v>
      </c>
      <c r="E1761" s="131" t="n">
        <v>15</v>
      </c>
      <c r="F1761" s="131" t="n">
        <v>15</v>
      </c>
    </row>
    <row r="1762" customFormat="false" ht="15" hidden="false" customHeight="false" outlineLevel="0" collapsed="false">
      <c r="A1762" s="11" t="s">
        <v>2488</v>
      </c>
      <c r="C1762" s="131" t="n">
        <v>15</v>
      </c>
      <c r="D1762" s="131" t="n">
        <v>15</v>
      </c>
      <c r="E1762" s="131" t="n">
        <v>15</v>
      </c>
      <c r="F1762" s="131" t="n">
        <v>15</v>
      </c>
    </row>
    <row r="1763" customFormat="false" ht="15" hidden="false" customHeight="false" outlineLevel="0" collapsed="false">
      <c r="A1763" s="11" t="s">
        <v>2489</v>
      </c>
      <c r="C1763" s="131" t="n">
        <v>15</v>
      </c>
      <c r="D1763" s="131" t="n">
        <v>15</v>
      </c>
      <c r="E1763" s="131" t="n">
        <v>15</v>
      </c>
      <c r="F1763" s="131" t="n">
        <v>15</v>
      </c>
    </row>
    <row r="1764" customFormat="false" ht="15" hidden="false" customHeight="false" outlineLevel="0" collapsed="false">
      <c r="A1764" s="11" t="s">
        <v>2490</v>
      </c>
      <c r="C1764" s="131" t="n">
        <v>25</v>
      </c>
      <c r="D1764" s="131" t="n">
        <v>15</v>
      </c>
      <c r="E1764" s="131" t="n">
        <v>15</v>
      </c>
      <c r="F1764" s="131" t="n">
        <v>15</v>
      </c>
    </row>
    <row r="1765" customFormat="false" ht="15" hidden="false" customHeight="false" outlineLevel="0" collapsed="false">
      <c r="A1765" s="11" t="s">
        <v>2491</v>
      </c>
      <c r="C1765" s="131" t="n">
        <v>15</v>
      </c>
      <c r="D1765" s="131" t="n">
        <v>15</v>
      </c>
      <c r="E1765" s="131" t="n">
        <v>15</v>
      </c>
      <c r="F1765" s="131" t="n">
        <v>15</v>
      </c>
    </row>
    <row r="1766" customFormat="false" ht="15" hidden="false" customHeight="false" outlineLevel="0" collapsed="false">
      <c r="A1766" s="11" t="s">
        <v>2492</v>
      </c>
      <c r="F1766" s="131" t="n">
        <v>15</v>
      </c>
    </row>
    <row r="1767" customFormat="false" ht="15" hidden="false" customHeight="false" outlineLevel="0" collapsed="false">
      <c r="A1767" s="11" t="s">
        <v>2493</v>
      </c>
      <c r="C1767" s="131" t="n">
        <v>20</v>
      </c>
      <c r="D1767" s="131" t="n">
        <v>20</v>
      </c>
      <c r="E1767" s="131" t="n">
        <v>20</v>
      </c>
      <c r="F1767" s="131" t="n">
        <v>20</v>
      </c>
    </row>
    <row r="1768" customFormat="false" ht="15" hidden="false" customHeight="false" outlineLevel="0" collapsed="false">
      <c r="A1768" s="11" t="s">
        <v>2494</v>
      </c>
      <c r="C1768" s="131" t="n">
        <v>20</v>
      </c>
      <c r="D1768" s="131" t="n">
        <v>20</v>
      </c>
      <c r="E1768" s="131" t="n">
        <v>20</v>
      </c>
      <c r="F1768" s="131" t="n">
        <v>20</v>
      </c>
    </row>
    <row r="1769" customFormat="false" ht="15" hidden="false" customHeight="false" outlineLevel="0" collapsed="false">
      <c r="A1769" s="11" t="s">
        <v>2495</v>
      </c>
      <c r="D1769" s="131" t="n">
        <v>20</v>
      </c>
      <c r="E1769" s="131" t="n">
        <v>20</v>
      </c>
      <c r="F1769" s="131" t="n">
        <v>20</v>
      </c>
    </row>
    <row r="1770" customFormat="false" ht="15" hidden="false" customHeight="false" outlineLevel="0" collapsed="false">
      <c r="A1770" s="11" t="s">
        <v>2496</v>
      </c>
      <c r="D1770" s="131" t="n">
        <v>20</v>
      </c>
      <c r="E1770" s="131" t="n">
        <v>20</v>
      </c>
    </row>
    <row r="1771" customFormat="false" ht="15" hidden="false" customHeight="false" outlineLevel="0" collapsed="false">
      <c r="A1771" s="11" t="s">
        <v>2497</v>
      </c>
      <c r="D1771" s="131" t="n">
        <v>20</v>
      </c>
      <c r="E1771" s="131" t="n">
        <v>20</v>
      </c>
      <c r="F1771" s="131" t="n">
        <v>20</v>
      </c>
    </row>
    <row r="1772" customFormat="false" ht="15" hidden="false" customHeight="false" outlineLevel="0" collapsed="false">
      <c r="A1772" s="11" t="s">
        <v>2498</v>
      </c>
      <c r="E1772" s="131" t="n">
        <v>20</v>
      </c>
      <c r="F1772" s="131" t="n">
        <v>20</v>
      </c>
    </row>
    <row r="1773" customFormat="false" ht="15" hidden="false" customHeight="false" outlineLevel="0" collapsed="false">
      <c r="A1773" s="11" t="s">
        <v>2499</v>
      </c>
      <c r="C1773" s="131" t="n">
        <v>25</v>
      </c>
      <c r="D1773" s="131" t="n">
        <v>25</v>
      </c>
      <c r="E1773" s="131" t="n">
        <v>25</v>
      </c>
      <c r="F1773" s="131" t="n">
        <v>20</v>
      </c>
    </row>
    <row r="1774" customFormat="false" ht="15" hidden="false" customHeight="false" outlineLevel="0" collapsed="false">
      <c r="A1774" s="11" t="s">
        <v>2500</v>
      </c>
      <c r="C1774" s="131" t="n">
        <v>25</v>
      </c>
      <c r="D1774" s="131" t="n">
        <v>25</v>
      </c>
      <c r="E1774" s="131" t="n">
        <v>25</v>
      </c>
      <c r="F1774" s="131" t="n">
        <v>25</v>
      </c>
    </row>
    <row r="1775" customFormat="false" ht="15" hidden="false" customHeight="false" outlineLevel="0" collapsed="false">
      <c r="A1775" s="4" t="s">
        <v>2501</v>
      </c>
      <c r="C1775" s="131" t="n">
        <v>19</v>
      </c>
      <c r="D1775" s="131" t="n">
        <v>19</v>
      </c>
      <c r="E1775" s="131" t="n">
        <v>19</v>
      </c>
      <c r="F1775" s="131" t="n">
        <v>19</v>
      </c>
    </row>
    <row r="1776" customFormat="false" ht="15" hidden="false" customHeight="false" outlineLevel="0" collapsed="false">
      <c r="A1776" s="4" t="s">
        <v>2502</v>
      </c>
      <c r="C1776" s="131" t="n">
        <v>26.325</v>
      </c>
      <c r="D1776" s="131" t="n">
        <v>26.325</v>
      </c>
      <c r="E1776" s="131" t="n">
        <v>29.125</v>
      </c>
      <c r="F1776" s="131" t="n">
        <v>29.125</v>
      </c>
    </row>
    <row r="1777" customFormat="false" ht="15" hidden="false" customHeight="false" outlineLevel="0" collapsed="false">
      <c r="A1777" s="4" t="s">
        <v>2503</v>
      </c>
      <c r="C1777" s="131" t="n">
        <v>24</v>
      </c>
      <c r="D1777" s="131" t="n">
        <v>24</v>
      </c>
      <c r="E1777" s="131" t="n">
        <v>24</v>
      </c>
      <c r="F1777" s="131" t="n">
        <v>24</v>
      </c>
    </row>
    <row r="1778" customFormat="false" ht="15" hidden="false" customHeight="false" outlineLevel="0" collapsed="false">
      <c r="A1778" s="4" t="s">
        <v>2504</v>
      </c>
      <c r="C1778" s="131" t="n">
        <v>29.84</v>
      </c>
      <c r="D1778" s="131" t="n">
        <v>21</v>
      </c>
      <c r="E1778" s="131" t="n">
        <v>21</v>
      </c>
      <c r="F1778" s="131" t="n">
        <v>21</v>
      </c>
    </row>
    <row r="1779" customFormat="false" ht="15" hidden="false" customHeight="false" outlineLevel="0" collapsed="false">
      <c r="A1779" s="4" t="s">
        <v>2505</v>
      </c>
      <c r="C1779" s="131" t="n">
        <v>11</v>
      </c>
      <c r="D1779" s="131" t="n">
        <v>11</v>
      </c>
      <c r="E1779" s="131" t="n">
        <v>11</v>
      </c>
      <c r="F1779" s="131" t="n">
        <v>11</v>
      </c>
    </row>
    <row r="1780" customFormat="false" ht="15" hidden="false" customHeight="false" outlineLevel="0" collapsed="false">
      <c r="A1780" s="4" t="s">
        <v>2506</v>
      </c>
      <c r="C1780" s="131" t="n">
        <v>22</v>
      </c>
      <c r="D1780" s="131" t="n">
        <v>22</v>
      </c>
      <c r="E1780" s="131" t="n">
        <v>22</v>
      </c>
      <c r="F1780" s="131" t="n">
        <v>22</v>
      </c>
    </row>
    <row r="1781" customFormat="false" ht="15" hidden="false" customHeight="false" outlineLevel="0" collapsed="false">
      <c r="A1781" s="4" t="s">
        <v>2507</v>
      </c>
      <c r="C1781" s="131" t="n">
        <v>25</v>
      </c>
      <c r="D1781" s="131" t="n">
        <v>25</v>
      </c>
      <c r="E1781" s="131" t="n">
        <v>25</v>
      </c>
      <c r="F1781" s="131" t="n">
        <v>25</v>
      </c>
    </row>
    <row r="1782" customFormat="false" ht="15" hidden="false" customHeight="false" outlineLevel="0" collapsed="false">
      <c r="A1782" s="4" t="s">
        <v>2508</v>
      </c>
      <c r="C1782" s="131" t="n">
        <v>20</v>
      </c>
      <c r="D1782" s="131" t="n">
        <v>20</v>
      </c>
      <c r="E1782" s="131" t="n">
        <v>20</v>
      </c>
      <c r="F1782" s="131" t="n">
        <v>20</v>
      </c>
    </row>
    <row r="1783" customFormat="false" ht="15" hidden="false" customHeight="false" outlineLevel="0" collapsed="false">
      <c r="A1783" s="11" t="s">
        <v>2509</v>
      </c>
      <c r="C1783" s="131" t="n">
        <v>8.25</v>
      </c>
      <c r="D1783" s="131" t="n">
        <v>8.25</v>
      </c>
      <c r="E1783" s="131" t="n">
        <v>8.25</v>
      </c>
      <c r="F1783" s="131" t="n">
        <v>8.25</v>
      </c>
    </row>
    <row r="1784" customFormat="false" ht="15" hidden="false" customHeight="false" outlineLevel="0" collapsed="false">
      <c r="A1784" s="11" t="s">
        <v>2510</v>
      </c>
      <c r="C1784" s="131" t="n">
        <v>16.5</v>
      </c>
      <c r="D1784" s="131" t="n">
        <v>16.5</v>
      </c>
      <c r="E1784" s="131" t="n">
        <v>16.5</v>
      </c>
      <c r="F1784" s="131" t="n">
        <v>16.5</v>
      </c>
    </row>
    <row r="1786" customFormat="false" ht="15" hidden="false" customHeight="false" outlineLevel="0" collapsed="false">
      <c r="A1786" s="38" t="s">
        <v>2511</v>
      </c>
    </row>
    <row r="1787" customFormat="false" ht="15" hidden="false" customHeight="false" outlineLevel="0" collapsed="false">
      <c r="A1787" s="2" t="s">
        <v>2512</v>
      </c>
    </row>
    <row r="1788" customFormat="false" ht="15" hidden="false" customHeight="false" outlineLevel="0" collapsed="false">
      <c r="A1788" s="90" t="s">
        <v>86</v>
      </c>
      <c r="B1788" s="130"/>
      <c r="C1788" s="91" t="s">
        <v>1452</v>
      </c>
      <c r="D1788" s="91" t="s">
        <v>1453</v>
      </c>
      <c r="E1788" s="91" t="s">
        <v>1273</v>
      </c>
    </row>
    <row r="1789" customFormat="false" ht="15" hidden="false" customHeight="false" outlineLevel="0" collapsed="false">
      <c r="A1789" s="4" t="s">
        <v>2513</v>
      </c>
      <c r="C1789" s="131" t="n">
        <v>11823073.5</v>
      </c>
      <c r="D1789" s="131" t="n">
        <v>49080082</v>
      </c>
      <c r="E1789" s="131" t="n">
        <v>73446729.01</v>
      </c>
    </row>
    <row r="1791" customFormat="false" ht="15" hidden="false" customHeight="false" outlineLevel="0" collapsed="false">
      <c r="A1791" s="3" t="s">
        <v>2514</v>
      </c>
    </row>
    <row r="1792" customFormat="false" ht="15" hidden="false" customHeight="false" outlineLevel="0" collapsed="false">
      <c r="A1792" s="2" t="s">
        <v>2515</v>
      </c>
    </row>
    <row r="1793" customFormat="false" ht="15" hidden="false" customHeight="false" outlineLevel="0" collapsed="false">
      <c r="A1793" s="90" t="s">
        <v>86</v>
      </c>
      <c r="B1793" s="130"/>
      <c r="C1793" s="91" t="s">
        <v>1450</v>
      </c>
      <c r="D1793" s="91" t="s">
        <v>1451</v>
      </c>
      <c r="E1793" s="91" t="s">
        <v>1452</v>
      </c>
      <c r="F1793" s="91" t="s">
        <v>1453</v>
      </c>
      <c r="G1793" s="91" t="s">
        <v>1614</v>
      </c>
      <c r="H1793" s="91" t="s">
        <v>1272</v>
      </c>
      <c r="I1793" s="91" t="s">
        <v>1273</v>
      </c>
    </row>
    <row r="1794" customFormat="false" ht="15" hidden="false" customHeight="false" outlineLevel="0" collapsed="false">
      <c r="A1794" s="11" t="s">
        <v>2516</v>
      </c>
      <c r="C1794" s="30" t="n">
        <v>219.299</v>
      </c>
      <c r="D1794" s="30" t="n">
        <v>158.6212</v>
      </c>
      <c r="E1794" s="30" t="n">
        <v>306.6206</v>
      </c>
      <c r="F1794" s="30" t="n">
        <v>386.6734</v>
      </c>
      <c r="G1794" s="30" t="n">
        <v>151.087</v>
      </c>
      <c r="H1794" s="30" t="n">
        <v>175.8645</v>
      </c>
      <c r="I1794" s="30" t="n">
        <v>300.2493</v>
      </c>
    </row>
    <row r="1795" customFormat="false" ht="15" hidden="false" customHeight="false" outlineLevel="0" collapsed="false">
      <c r="A1795" s="11" t="s">
        <v>2517</v>
      </c>
      <c r="C1795" s="30" t="n">
        <v>-59.0844</v>
      </c>
      <c r="D1795" s="30" t="n">
        <v>41.0758</v>
      </c>
      <c r="E1795" s="30" t="n">
        <v>22.0895</v>
      </c>
      <c r="F1795" s="30" t="n">
        <v>4.5229</v>
      </c>
      <c r="G1795" s="30" t="n">
        <v>5.7949</v>
      </c>
      <c r="H1795" s="30" t="n">
        <v>14.169</v>
      </c>
      <c r="I1795" s="30" t="n">
        <v>-8.2989</v>
      </c>
    </row>
    <row r="1796" customFormat="false" ht="15" hidden="false" customHeight="false" outlineLevel="0" collapsed="false">
      <c r="A1796" s="11" t="s">
        <v>2518</v>
      </c>
      <c r="C1796" s="30" t="n">
        <v>160.2146</v>
      </c>
      <c r="D1796" s="30" t="n">
        <v>199.697</v>
      </c>
      <c r="E1796" s="30" t="n">
        <v>328.7101</v>
      </c>
      <c r="F1796" s="30" t="n">
        <v>391.1963</v>
      </c>
      <c r="G1796" s="30" t="n">
        <v>156.8818</v>
      </c>
      <c r="H1796" s="30" t="n">
        <v>190.0335</v>
      </c>
      <c r="I1796" s="30" t="n">
        <v>291.9504</v>
      </c>
    </row>
    <row r="1797" customFormat="false" ht="15" hidden="false" customHeight="false" outlineLevel="0" collapsed="false">
      <c r="A1797" s="11" t="s">
        <v>2519</v>
      </c>
      <c r="C1797" s="30" t="n">
        <v>1666.3178</v>
      </c>
      <c r="D1797" s="30" t="n">
        <v>1782.8476</v>
      </c>
      <c r="E1797" s="30" t="n">
        <v>2518.9439</v>
      </c>
      <c r="F1797" s="30" t="n">
        <v>3008.1764</v>
      </c>
      <c r="G1797" s="30" t="n">
        <v>1183.2933</v>
      </c>
      <c r="H1797" s="30" t="n">
        <v>1427.118</v>
      </c>
      <c r="I1797" s="30" t="n">
        <v>2223.9462</v>
      </c>
    </row>
    <row r="1799" customFormat="false" ht="15" hidden="false" customHeight="false" outlineLevel="0" collapsed="false">
      <c r="A1799" s="3" t="s">
        <v>2520</v>
      </c>
    </row>
    <row r="1800" customFormat="false" ht="15" hidden="false" customHeight="false" outlineLevel="0" collapsed="false">
      <c r="A1800" s="2" t="s">
        <v>2521</v>
      </c>
    </row>
    <row r="1801" customFormat="false" ht="15" hidden="false" customHeight="false" outlineLevel="0" collapsed="false">
      <c r="A1801" s="90" t="s">
        <v>86</v>
      </c>
      <c r="B1801" s="130"/>
      <c r="C1801" s="91" t="s">
        <v>1451</v>
      </c>
      <c r="D1801" s="91" t="s">
        <v>1452</v>
      </c>
      <c r="E1801" s="91" t="s">
        <v>1453</v>
      </c>
      <c r="F1801" s="91" t="s">
        <v>1272</v>
      </c>
      <c r="G1801" s="91" t="s">
        <v>1273</v>
      </c>
    </row>
    <row r="1802" customFormat="false" ht="15" hidden="false" customHeight="false" outlineLevel="0" collapsed="false">
      <c r="A1802" s="11" t="s">
        <v>106</v>
      </c>
      <c r="C1802" s="30" t="n">
        <v>1782.8476</v>
      </c>
      <c r="D1802" s="30" t="n">
        <v>2518.9439</v>
      </c>
      <c r="E1802" s="30" t="n">
        <v>3008.1764</v>
      </c>
      <c r="F1802" s="30" t="n">
        <v>1427.118</v>
      </c>
      <c r="G1802" s="30" t="n">
        <v>2223.9462</v>
      </c>
    </row>
    <row r="1803" customFormat="false" ht="15" hidden="false" customHeight="false" outlineLevel="0" collapsed="false">
      <c r="A1803" s="11" t="s">
        <v>2522</v>
      </c>
      <c r="C1803" s="30" t="n">
        <v>267.4271</v>
      </c>
      <c r="D1803" s="30" t="n">
        <v>377.8416</v>
      </c>
      <c r="E1803" s="30" t="n">
        <v>451.2265</v>
      </c>
      <c r="F1803" s="30" t="n">
        <v>214.0677</v>
      </c>
      <c r="G1803" s="30" t="n">
        <v>333.5919</v>
      </c>
    </row>
    <row r="1804" customFormat="false" ht="15" hidden="false" customHeight="false" outlineLevel="0" collapsed="false">
      <c r="A1804" s="11" t="s">
        <v>927</v>
      </c>
      <c r="C1804" s="30" t="n">
        <v>13.2344</v>
      </c>
      <c r="D1804" s="30" t="n">
        <v>15.3213</v>
      </c>
      <c r="E1804" s="30" t="n">
        <v>20.7777</v>
      </c>
      <c r="F1804" s="30" t="n">
        <v>10.5818</v>
      </c>
      <c r="G1804" s="30" t="n">
        <v>14.967</v>
      </c>
    </row>
    <row r="1805" customFormat="false" ht="15" hidden="false" customHeight="false" outlineLevel="0" collapsed="false">
      <c r="A1805" s="11" t="s">
        <v>2523</v>
      </c>
      <c r="C1805" s="30" t="n">
        <v>-4.1037</v>
      </c>
      <c r="D1805" s="30" t="n">
        <v>8.7056</v>
      </c>
      <c r="E1805" s="30" t="n">
        <v>7.1579</v>
      </c>
      <c r="F1805" s="30" t="n">
        <v>3.3822</v>
      </c>
      <c r="G1805" s="30" t="n">
        <v>5.0526</v>
      </c>
    </row>
    <row r="1806" customFormat="false" ht="15" hidden="false" customHeight="false" outlineLevel="0" collapsed="false">
      <c r="A1806" s="11" t="s">
        <v>2524</v>
      </c>
      <c r="D1806" s="30" t="n">
        <v>-0.2469</v>
      </c>
      <c r="E1806" s="30" t="n">
        <v>-10.8495</v>
      </c>
      <c r="G1806" s="30" t="n">
        <v>-15.6721</v>
      </c>
    </row>
    <row r="1807" customFormat="false" ht="15" hidden="false" customHeight="false" outlineLevel="0" collapsed="false">
      <c r="A1807" s="11" t="s">
        <v>2525</v>
      </c>
      <c r="C1807" s="30" t="n">
        <v>1.1288</v>
      </c>
      <c r="D1807" s="30" t="n">
        <v>1.1701</v>
      </c>
      <c r="E1807" s="30" t="n">
        <v>4.4816</v>
      </c>
      <c r="F1807" s="30" t="n">
        <v>0.8083</v>
      </c>
      <c r="G1807" s="30" t="n">
        <v>0.319</v>
      </c>
    </row>
    <row r="1808" customFormat="false" ht="15" hidden="false" customHeight="false" outlineLevel="0" collapsed="false">
      <c r="A1808" s="11" t="s">
        <v>2526</v>
      </c>
      <c r="C1808" s="30" t="n">
        <v>-0.6878</v>
      </c>
      <c r="D1808" s="30" t="n">
        <v>-0.0077</v>
      </c>
      <c r="E1808" s="30" t="n">
        <v>-0.0069</v>
      </c>
      <c r="F1808" s="30" t="n">
        <v>-0.9811</v>
      </c>
      <c r="G1808" s="30" t="n">
        <v>-0.1372</v>
      </c>
    </row>
    <row r="1809" customFormat="false" ht="15" hidden="false" customHeight="false" outlineLevel="0" collapsed="false">
      <c r="A1809" s="11" t="s">
        <v>2527</v>
      </c>
      <c r="C1809" s="30" t="n">
        <v>3.7128</v>
      </c>
      <c r="D1809" s="30" t="n">
        <v>3.2568</v>
      </c>
      <c r="E1809" s="30" t="n">
        <v>8.0581</v>
      </c>
      <c r="F1809" s="30" t="n">
        <v>0.1686</v>
      </c>
      <c r="G1809" s="30" t="n">
        <v>0.3672</v>
      </c>
    </row>
    <row r="1810" customFormat="false" ht="15" hidden="false" customHeight="false" outlineLevel="0" collapsed="false">
      <c r="A1810" s="11" t="s">
        <v>2528</v>
      </c>
      <c r="D1810" s="30" t="n">
        <v>-1.4468</v>
      </c>
    </row>
    <row r="1811" customFormat="false" ht="15" hidden="false" customHeight="false" outlineLevel="0" collapsed="false">
      <c r="A1811" s="11" t="s">
        <v>2529</v>
      </c>
      <c r="C1811" s="30" t="n">
        <v>-81.0147</v>
      </c>
      <c r="D1811" s="30" t="n">
        <v>-76.1792</v>
      </c>
      <c r="E1811" s="30" t="n">
        <v>-89.649</v>
      </c>
      <c r="F1811" s="30" t="n">
        <v>-37.9939</v>
      </c>
      <c r="G1811" s="30" t="n">
        <v>-47.9203</v>
      </c>
    </row>
    <row r="1812" customFormat="false" ht="15" hidden="false" customHeight="false" outlineLevel="0" collapsed="false">
      <c r="A1812" s="11" t="s">
        <v>2530</v>
      </c>
      <c r="D1812" s="30" t="n">
        <v>0.2954</v>
      </c>
    </row>
    <row r="1813" customFormat="false" ht="15" hidden="false" customHeight="false" outlineLevel="0" collapsed="false">
      <c r="A1813" s="11" t="s">
        <v>2184</v>
      </c>
      <c r="G1813" s="30" t="n">
        <v>1.3821</v>
      </c>
    </row>
    <row r="1814" customFormat="false" ht="15" hidden="false" customHeight="false" outlineLevel="0" collapsed="false">
      <c r="A1814" s="11" t="s">
        <v>930</v>
      </c>
      <c r="C1814" s="30" t="n">
        <v>199.697</v>
      </c>
      <c r="D1814" s="30" t="n">
        <v>328.7101</v>
      </c>
      <c r="E1814" s="30" t="n">
        <v>391.1963</v>
      </c>
      <c r="F1814" s="30" t="n">
        <v>190.0335</v>
      </c>
      <c r="G1814" s="30" t="n">
        <v>291.9504</v>
      </c>
    </row>
    <row r="1816" customFormat="false" ht="15" hidden="false" customHeight="false" outlineLevel="0" collapsed="false">
      <c r="A1816" s="3" t="s">
        <v>2531</v>
      </c>
    </row>
    <row r="1817" customFormat="false" ht="15" hidden="false" customHeight="false" outlineLevel="0" collapsed="false">
      <c r="A1817" s="2" t="s">
        <v>2532</v>
      </c>
    </row>
    <row r="1818" customFormat="false" ht="15" hidden="false" customHeight="false" outlineLevel="0" collapsed="false">
      <c r="A1818" s="90" t="s">
        <v>86</v>
      </c>
      <c r="B1818" s="130"/>
      <c r="C1818" s="91" t="s">
        <v>1450</v>
      </c>
      <c r="D1818" s="91" t="s">
        <v>1451</v>
      </c>
      <c r="E1818" s="91" t="s">
        <v>1452</v>
      </c>
      <c r="F1818" s="91" t="s">
        <v>1453</v>
      </c>
      <c r="G1818" s="91" t="s">
        <v>1614</v>
      </c>
      <c r="H1818" s="91" t="s">
        <v>1272</v>
      </c>
      <c r="I1818" s="91" t="s">
        <v>1273</v>
      </c>
    </row>
    <row r="1819" customFormat="false" ht="15" hidden="false" customHeight="false" outlineLevel="0" collapsed="false">
      <c r="A1819" s="11" t="s">
        <v>2533</v>
      </c>
      <c r="C1819" s="30" t="n">
        <v>212.5878</v>
      </c>
      <c r="D1819" s="30" t="n">
        <v>299.714</v>
      </c>
      <c r="E1819" s="30" t="n">
        <v>240.6079</v>
      </c>
      <c r="F1819" s="30" t="n">
        <v>359.852</v>
      </c>
      <c r="G1819" s="30" t="n">
        <v>105.0399</v>
      </c>
      <c r="H1819" s="30" t="n">
        <v>157.6955</v>
      </c>
      <c r="I1819" s="30" t="n">
        <v>116.691</v>
      </c>
    </row>
    <row r="1820" customFormat="false" ht="15" hidden="false" customHeight="false" outlineLevel="0" collapsed="false">
      <c r="A1820" s="11" t="s">
        <v>2534</v>
      </c>
      <c r="C1820" s="30" t="n">
        <v>108.6707</v>
      </c>
      <c r="D1820" s="30" t="n">
        <v>171.1801</v>
      </c>
      <c r="E1820" s="30" t="n">
        <v>170.4545</v>
      </c>
      <c r="F1820" s="30" t="n">
        <v>152.1733</v>
      </c>
    </row>
    <row r="1821" customFormat="false" ht="15" hidden="false" customHeight="false" outlineLevel="0" collapsed="false">
      <c r="A1821" s="11" t="s">
        <v>2535</v>
      </c>
      <c r="C1821" s="30" t="n">
        <v>72.6088</v>
      </c>
      <c r="D1821" s="30" t="n">
        <v>89.0472</v>
      </c>
      <c r="E1821" s="30" t="n">
        <v>61.2644</v>
      </c>
      <c r="F1821" s="30" t="n">
        <v>164.6083</v>
      </c>
    </row>
    <row r="1822" customFormat="false" ht="15" hidden="false" customHeight="false" outlineLevel="0" collapsed="false">
      <c r="A1822" s="11" t="s">
        <v>2536</v>
      </c>
      <c r="C1822" s="30" t="n">
        <v>31.3083</v>
      </c>
      <c r="D1822" s="30" t="n">
        <v>39.4866</v>
      </c>
      <c r="E1822" s="30" t="n">
        <v>8.889</v>
      </c>
      <c r="F1822" s="30" t="n">
        <v>43.0703</v>
      </c>
    </row>
    <row r="1823" customFormat="false" ht="15" hidden="false" customHeight="false" outlineLevel="0" collapsed="false">
      <c r="A1823" s="11" t="s">
        <v>2537</v>
      </c>
      <c r="C1823" s="30" t="n">
        <v>5.5839</v>
      </c>
      <c r="D1823" s="30" t="n">
        <v>48.9855</v>
      </c>
      <c r="E1823" s="30" t="n">
        <v>64.4888</v>
      </c>
      <c r="F1823" s="30" t="n">
        <v>30.3157</v>
      </c>
      <c r="G1823" s="30" t="n">
        <v>36.7206</v>
      </c>
      <c r="H1823" s="30" t="n">
        <v>20.2537</v>
      </c>
      <c r="I1823" s="30" t="n">
        <v>22.4386</v>
      </c>
    </row>
    <row r="1824" customFormat="false" ht="15" hidden="false" customHeight="false" outlineLevel="0" collapsed="false">
      <c r="A1824" s="11" t="s">
        <v>2538</v>
      </c>
      <c r="D1824" s="30" t="n">
        <v>46.1316</v>
      </c>
      <c r="E1824" s="30" t="n">
        <v>63.0017</v>
      </c>
      <c r="F1824" s="30" t="n">
        <v>27.4688</v>
      </c>
      <c r="H1824" s="30" t="n">
        <v>19.018</v>
      </c>
      <c r="I1824" s="30" t="n">
        <v>21.0239</v>
      </c>
    </row>
    <row r="1825" customFormat="false" ht="15" hidden="false" customHeight="false" outlineLevel="0" collapsed="false">
      <c r="A1825" s="11" t="s">
        <v>2539</v>
      </c>
      <c r="D1825" s="30" t="n">
        <v>2.1178</v>
      </c>
      <c r="E1825" s="30" t="n">
        <v>0.8108</v>
      </c>
      <c r="F1825" s="30" t="n">
        <v>1.8562</v>
      </c>
      <c r="H1825" s="30" t="n">
        <v>0.2449</v>
      </c>
      <c r="I1825" s="30" t="n">
        <v>0.314</v>
      </c>
    </row>
    <row r="1826" customFormat="false" ht="15" hidden="false" customHeight="false" outlineLevel="0" collapsed="false">
      <c r="A1826" s="11" t="s">
        <v>2540</v>
      </c>
      <c r="D1826" s="30" t="n">
        <v>0.6937</v>
      </c>
      <c r="E1826" s="30" t="n">
        <v>0.6763</v>
      </c>
      <c r="F1826" s="30" t="n">
        <v>0.9788</v>
      </c>
      <c r="H1826" s="30" t="n">
        <v>0.9788</v>
      </c>
      <c r="I1826" s="30" t="n">
        <v>1.0983</v>
      </c>
    </row>
    <row r="1827" customFormat="false" ht="15" hidden="false" customHeight="false" outlineLevel="0" collapsed="false">
      <c r="A1827" s="11" t="s">
        <v>2541</v>
      </c>
      <c r="D1827" s="30" t="n">
        <v>0.0425</v>
      </c>
      <c r="F1827" s="30" t="n">
        <v>0.012</v>
      </c>
      <c r="H1827" s="30" t="n">
        <v>0.012</v>
      </c>
      <c r="I1827" s="30" t="n">
        <v>0.0025</v>
      </c>
    </row>
    <row r="1828" customFormat="false" ht="15" hidden="false" customHeight="false" outlineLevel="0" collapsed="false">
      <c r="A1828" s="11" t="s">
        <v>916</v>
      </c>
      <c r="C1828" s="30" t="n">
        <v>218.1716</v>
      </c>
      <c r="D1828" s="30" t="n">
        <v>348.6995</v>
      </c>
      <c r="E1828" s="30" t="n">
        <v>305.0967</v>
      </c>
      <c r="F1828" s="30" t="n">
        <v>390.1677</v>
      </c>
      <c r="G1828" s="30" t="n">
        <v>141.7605</v>
      </c>
      <c r="H1828" s="30" t="n">
        <v>177.9491</v>
      </c>
      <c r="I1828" s="30" t="n">
        <v>139.1296</v>
      </c>
    </row>
    <row r="1830" customFormat="false" ht="15" hidden="false" customHeight="false" outlineLevel="0" collapsed="false">
      <c r="A1830" s="3" t="s">
        <v>2542</v>
      </c>
    </row>
    <row r="1831" customFormat="false" ht="15" hidden="false" customHeight="false" outlineLevel="0" collapsed="false">
      <c r="A1831" s="2" t="s">
        <v>2543</v>
      </c>
    </row>
    <row r="1832" customFormat="false" ht="15" hidden="false" customHeight="false" outlineLevel="0" collapsed="false">
      <c r="A1832" s="90" t="s">
        <v>86</v>
      </c>
      <c r="B1832" s="130"/>
      <c r="C1832" s="91" t="s">
        <v>1450</v>
      </c>
      <c r="D1832" s="91" t="s">
        <v>1451</v>
      </c>
      <c r="E1832" s="91" t="s">
        <v>1452</v>
      </c>
      <c r="F1832" s="91" t="s">
        <v>1453</v>
      </c>
      <c r="G1832" s="91" t="s">
        <v>1614</v>
      </c>
      <c r="H1832" s="91" t="s">
        <v>1272</v>
      </c>
      <c r="I1832" s="91" t="s">
        <v>1273</v>
      </c>
    </row>
    <row r="1833" customFormat="false" ht="15" hidden="false" customHeight="false" outlineLevel="0" collapsed="false">
      <c r="A1833" s="11" t="s">
        <v>2544</v>
      </c>
      <c r="I1833" s="30" t="n">
        <v>-9.7758</v>
      </c>
    </row>
    <row r="1834" customFormat="false" ht="15" hidden="false" customHeight="false" outlineLevel="0" collapsed="false">
      <c r="A1834" s="11" t="s">
        <v>2545</v>
      </c>
      <c r="C1834" s="30" t="n">
        <v>17.5519</v>
      </c>
      <c r="D1834" s="30" t="n">
        <v>-23.3415</v>
      </c>
      <c r="E1834" s="30" t="n">
        <v>-12.5324</v>
      </c>
      <c r="F1834" s="30" t="n">
        <v>-15.6965</v>
      </c>
      <c r="G1834" s="30" t="n">
        <v>-4.0594</v>
      </c>
      <c r="H1834" s="30" t="n">
        <v>-4.5733</v>
      </c>
      <c r="I1834" s="30" t="n">
        <v>-46.1724</v>
      </c>
    </row>
    <row r="1835" customFormat="false" ht="15" hidden="false" customHeight="false" outlineLevel="0" collapsed="false">
      <c r="A1835" s="11" t="s">
        <v>2546</v>
      </c>
      <c r="C1835" s="30" t="n">
        <v>-13.9153</v>
      </c>
      <c r="D1835" s="30" t="n">
        <v>30.9511</v>
      </c>
      <c r="E1835" s="30" t="n">
        <v>-0.2021</v>
      </c>
      <c r="F1835" s="30" t="n">
        <v>0.2515</v>
      </c>
      <c r="G1835" s="30" t="n">
        <v>0.0554</v>
      </c>
      <c r="H1835" s="30" t="n">
        <v>0.3657</v>
      </c>
      <c r="I1835" s="30" t="n">
        <v>0.0031</v>
      </c>
    </row>
    <row r="1836" customFormat="false" ht="15" hidden="false" customHeight="false" outlineLevel="0" collapsed="false">
      <c r="A1836" s="11" t="s">
        <v>2547</v>
      </c>
      <c r="C1836" s="30" t="n">
        <v>3.6367</v>
      </c>
      <c r="D1836" s="30" t="n">
        <v>7.6096</v>
      </c>
      <c r="E1836" s="30" t="n">
        <v>-12.7345</v>
      </c>
      <c r="F1836" s="30" t="n">
        <v>-15.445</v>
      </c>
      <c r="G1836" s="30" t="n">
        <v>-4.0039</v>
      </c>
      <c r="H1836" s="30" t="n">
        <v>-4.2076</v>
      </c>
      <c r="I1836" s="30" t="n">
        <v>-55.945</v>
      </c>
    </row>
    <row r="1838" customFormat="false" ht="15" hidden="false" customHeight="false" outlineLevel="0" collapsed="false">
      <c r="A1838" s="3" t="s">
        <v>2548</v>
      </c>
    </row>
    <row r="1839" customFormat="false" ht="15" hidden="false" customHeight="false" outlineLevel="0" collapsed="false">
      <c r="A1839" s="2" t="s">
        <v>2549</v>
      </c>
    </row>
    <row r="1840" customFormat="false" ht="15" hidden="false" customHeight="false" outlineLevel="0" collapsed="false">
      <c r="A1840" s="90" t="s">
        <v>86</v>
      </c>
      <c r="B1840" s="130"/>
      <c r="C1840" s="91" t="s">
        <v>1450</v>
      </c>
      <c r="D1840" s="91" t="s">
        <v>1451</v>
      </c>
      <c r="E1840" s="91" t="s">
        <v>1452</v>
      </c>
      <c r="F1840" s="91" t="s">
        <v>1453</v>
      </c>
      <c r="G1840" s="91" t="s">
        <v>1614</v>
      </c>
      <c r="H1840" s="91" t="s">
        <v>1272</v>
      </c>
      <c r="I1840" s="91" t="s">
        <v>1273</v>
      </c>
    </row>
    <row r="1841" customFormat="false" ht="15" hidden="false" customHeight="false" outlineLevel="0" collapsed="false">
      <c r="A1841" s="11" t="s">
        <v>2550</v>
      </c>
      <c r="C1841" s="30" t="n">
        <v>-70.0966</v>
      </c>
      <c r="D1841" s="30" t="n">
        <v>-0.9734</v>
      </c>
      <c r="E1841" s="30" t="n">
        <v>-26.3493</v>
      </c>
      <c r="F1841" s="30" t="n">
        <v>-26.5942</v>
      </c>
      <c r="G1841" s="30" t="n">
        <v>-19.3056</v>
      </c>
      <c r="H1841" s="30" t="n">
        <v>-12.3834</v>
      </c>
      <c r="I1841" s="30" t="n">
        <v>-54.6011</v>
      </c>
    </row>
    <row r="1842" customFormat="false" ht="15" hidden="false" customHeight="false" outlineLevel="0" collapsed="false">
      <c r="A1842" s="11" t="s">
        <v>580</v>
      </c>
      <c r="I1842" s="30" t="n">
        <v>-19.4406</v>
      </c>
    </row>
    <row r="1843" customFormat="false" ht="15" hidden="false" customHeight="false" outlineLevel="0" collapsed="false">
      <c r="A1843" s="11" t="s">
        <v>2551</v>
      </c>
      <c r="C1843" s="30" t="n">
        <v>-70.0966</v>
      </c>
      <c r="D1843" s="30" t="n">
        <v>-0.9734</v>
      </c>
      <c r="E1843" s="30" t="n">
        <v>-26.3493</v>
      </c>
      <c r="F1843" s="30" t="n">
        <v>-26.5942</v>
      </c>
      <c r="G1843" s="30" t="n">
        <v>-19.3056</v>
      </c>
      <c r="H1843" s="30" t="n">
        <v>-12.3834</v>
      </c>
      <c r="I1843" s="30" t="n">
        <v>-74.0416</v>
      </c>
    </row>
    <row r="1845" customFormat="false" ht="15" hidden="false" customHeight="false" outlineLevel="0" collapsed="false">
      <c r="A1845" s="3" t="s">
        <v>2552</v>
      </c>
    </row>
    <row r="1846" customFormat="false" ht="15" hidden="false" customHeight="false" outlineLevel="0" collapsed="false">
      <c r="A1846" s="2" t="s">
        <v>2553</v>
      </c>
    </row>
    <row r="1847" customFormat="false" ht="15" hidden="false" customHeight="false" outlineLevel="0" collapsed="false">
      <c r="A1847" s="90" t="s">
        <v>86</v>
      </c>
      <c r="B1847" s="130"/>
      <c r="C1847" s="91" t="s">
        <v>1450</v>
      </c>
      <c r="D1847" s="91" t="s">
        <v>1451</v>
      </c>
      <c r="E1847" s="91" t="s">
        <v>1452</v>
      </c>
      <c r="F1847" s="91" t="s">
        <v>1453</v>
      </c>
      <c r="G1847" s="91" t="s">
        <v>1614</v>
      </c>
      <c r="H1847" s="91" t="s">
        <v>1272</v>
      </c>
      <c r="I1847" s="91" t="s">
        <v>1273</v>
      </c>
    </row>
    <row r="1848" customFormat="false" ht="15" hidden="false" customHeight="false" outlineLevel="0" collapsed="false">
      <c r="A1848" s="11" t="s">
        <v>2554</v>
      </c>
      <c r="C1848" s="30" t="n">
        <v>0.2</v>
      </c>
      <c r="D1848" s="30" t="n">
        <v>0.345</v>
      </c>
    </row>
    <row r="1849" customFormat="false" ht="15" hidden="false" customHeight="false" outlineLevel="0" collapsed="false">
      <c r="A1849" s="11" t="s">
        <v>2555</v>
      </c>
      <c r="C1849" s="30" t="n">
        <v>0.2857</v>
      </c>
    </row>
    <row r="1850" customFormat="false" ht="15" hidden="false" customHeight="false" outlineLevel="0" collapsed="false">
      <c r="A1850" s="11" t="s">
        <v>2556</v>
      </c>
      <c r="F1850" s="30" t="n">
        <v>0.1082</v>
      </c>
    </row>
    <row r="1851" customFormat="false" ht="15" hidden="false" customHeight="false" outlineLevel="0" collapsed="false">
      <c r="A1851" s="11" t="s">
        <v>2557</v>
      </c>
      <c r="E1851" s="30" t="n">
        <v>8.675</v>
      </c>
      <c r="F1851" s="30" t="n">
        <v>13.0606</v>
      </c>
      <c r="H1851" s="30" t="n">
        <v>5.4416</v>
      </c>
      <c r="I1851" s="30" t="n">
        <v>7.9001</v>
      </c>
    </row>
    <row r="1852" customFormat="false" ht="15" hidden="false" customHeight="false" outlineLevel="0" collapsed="false">
      <c r="A1852" s="11" t="s">
        <v>2558</v>
      </c>
      <c r="C1852" s="30" t="n">
        <v>6.7791</v>
      </c>
      <c r="D1852" s="30" t="n">
        <v>-0.1749</v>
      </c>
      <c r="E1852" s="30" t="n">
        <v>3.1443</v>
      </c>
      <c r="F1852" s="30" t="n">
        <v>3.4814</v>
      </c>
      <c r="G1852" s="30" t="n">
        <v>2.1367</v>
      </c>
      <c r="H1852" s="30" t="n">
        <v>1.9611</v>
      </c>
      <c r="I1852" s="30" t="n">
        <v>2.7279</v>
      </c>
    </row>
    <row r="1853" customFormat="false" ht="15" hidden="false" customHeight="false" outlineLevel="0" collapsed="false">
      <c r="A1853" s="11" t="s">
        <v>2559</v>
      </c>
      <c r="C1853" s="30" t="n">
        <v>3.4165</v>
      </c>
      <c r="D1853" s="30" t="n">
        <v>2.5566</v>
      </c>
      <c r="E1853" s="30" t="n">
        <v>2.5566</v>
      </c>
      <c r="F1853" s="30" t="n">
        <v>2.5566</v>
      </c>
      <c r="H1853" s="30" t="n">
        <v>1.2783</v>
      </c>
      <c r="I1853" s="30" t="n">
        <v>1.2783</v>
      </c>
    </row>
    <row r="1854" customFormat="false" ht="15" hidden="false" customHeight="false" outlineLevel="0" collapsed="false">
      <c r="A1854" s="11" t="s">
        <v>2184</v>
      </c>
      <c r="C1854" s="30" t="n">
        <v>6.7378</v>
      </c>
      <c r="D1854" s="30" t="n">
        <v>10.2105</v>
      </c>
      <c r="E1854" s="30" t="n">
        <v>0.2777</v>
      </c>
      <c r="F1854" s="30" t="n">
        <v>0.6963</v>
      </c>
      <c r="G1854" s="30" t="n">
        <v>4.1745</v>
      </c>
      <c r="H1854" s="30" t="n">
        <v>0.5495</v>
      </c>
      <c r="I1854" s="30" t="n">
        <v>0.2876</v>
      </c>
    </row>
    <row r="1855" customFormat="false" ht="15" hidden="false" customHeight="false" outlineLevel="0" collapsed="false">
      <c r="A1855" s="11" t="s">
        <v>2560</v>
      </c>
      <c r="C1855" s="30" t="n">
        <v>17.419</v>
      </c>
      <c r="D1855" s="30" t="n">
        <v>12.9371</v>
      </c>
      <c r="E1855" s="30" t="n">
        <v>14.6536</v>
      </c>
      <c r="F1855" s="30" t="n">
        <v>19.903</v>
      </c>
      <c r="G1855" s="30" t="n">
        <v>6.3112</v>
      </c>
      <c r="H1855" s="30" t="n">
        <v>9.2304</v>
      </c>
      <c r="I1855" s="30" t="n">
        <v>12.1939</v>
      </c>
    </row>
    <row r="1857" customFormat="false" ht="15" hidden="false" customHeight="false" outlineLevel="0" collapsed="false">
      <c r="A1857" s="3" t="s">
        <v>2561</v>
      </c>
    </row>
    <row r="1858" customFormat="false" ht="15" hidden="false" customHeight="false" outlineLevel="0" collapsed="false">
      <c r="A1858" s="2" t="s">
        <v>2562</v>
      </c>
    </row>
    <row r="1859" customFormat="false" ht="15" hidden="false" customHeight="false" outlineLevel="0" collapsed="false">
      <c r="A1859" s="90" t="s">
        <v>86</v>
      </c>
      <c r="B1859" s="130"/>
      <c r="C1859" s="91" t="s">
        <v>1450</v>
      </c>
      <c r="D1859" s="91" t="s">
        <v>1451</v>
      </c>
      <c r="E1859" s="91" t="s">
        <v>1452</v>
      </c>
      <c r="F1859" s="91" t="s">
        <v>1453</v>
      </c>
      <c r="G1859" s="91" t="s">
        <v>1614</v>
      </c>
      <c r="H1859" s="91" t="s">
        <v>1272</v>
      </c>
      <c r="I1859" s="91" t="s">
        <v>1273</v>
      </c>
    </row>
    <row r="1860" customFormat="false" ht="15" hidden="false" customHeight="false" outlineLevel="0" collapsed="false">
      <c r="A1860" s="11" t="s">
        <v>2563</v>
      </c>
      <c r="C1860" s="30" t="n">
        <v>6.8887</v>
      </c>
      <c r="D1860" s="30" t="n">
        <v>3.2992</v>
      </c>
      <c r="E1860" s="30" t="n">
        <v>0.4259</v>
      </c>
      <c r="F1860" s="30" t="n">
        <v>2.7834</v>
      </c>
      <c r="G1860" s="30" t="n">
        <v>0.1194</v>
      </c>
      <c r="H1860" s="30" t="n">
        <v>0.7514</v>
      </c>
      <c r="I1860" s="30" t="n">
        <v>2.1095</v>
      </c>
    </row>
    <row r="1861" customFormat="false" ht="15" hidden="false" customHeight="false" outlineLevel="0" collapsed="false">
      <c r="A1861" s="11" t="s">
        <v>2564</v>
      </c>
      <c r="C1861" s="30" t="n">
        <v>4.3311</v>
      </c>
      <c r="D1861" s="30" t="n">
        <v>3.5321</v>
      </c>
      <c r="E1861" s="30" t="n">
        <v>9.4646</v>
      </c>
      <c r="F1861" s="30" t="n">
        <v>3.049</v>
      </c>
      <c r="G1861" s="30" t="n">
        <v>7.5155</v>
      </c>
      <c r="H1861" s="30" t="n">
        <v>3.0454</v>
      </c>
      <c r="I1861" s="30" t="n">
        <v>11.5026</v>
      </c>
    </row>
    <row r="1862" customFormat="false" ht="15" hidden="false" customHeight="false" outlineLevel="0" collapsed="false">
      <c r="A1862" s="11" t="s">
        <v>2565</v>
      </c>
      <c r="C1862" s="30" t="n">
        <v>1.2808</v>
      </c>
      <c r="D1862" s="30" t="n">
        <v>0.4141</v>
      </c>
      <c r="E1862" s="30" t="n">
        <v>6.9402</v>
      </c>
      <c r="F1862" s="30" t="n">
        <v>6.1619</v>
      </c>
      <c r="G1862" s="30" t="n">
        <v>0.0308</v>
      </c>
      <c r="H1862" s="30" t="n">
        <v>1.1555</v>
      </c>
      <c r="I1862" s="30" t="n">
        <v>1.2633</v>
      </c>
    </row>
    <row r="1863" customFormat="false" ht="15" hidden="false" customHeight="false" outlineLevel="0" collapsed="false">
      <c r="A1863" s="11" t="s">
        <v>2566</v>
      </c>
      <c r="F1863" s="30" t="n">
        <v>7.9376</v>
      </c>
    </row>
    <row r="1864" customFormat="false" ht="15" hidden="false" customHeight="false" outlineLevel="0" collapsed="false">
      <c r="A1864" s="11" t="s">
        <v>2184</v>
      </c>
      <c r="C1864" s="30" t="n">
        <v>0.0277</v>
      </c>
      <c r="D1864" s="30" t="n">
        <v>0.4906</v>
      </c>
      <c r="E1864" s="30" t="n">
        <v>1.5844</v>
      </c>
      <c r="F1864" s="30" t="n">
        <v>0.2604</v>
      </c>
      <c r="G1864" s="30" t="n">
        <v>0.9799</v>
      </c>
      <c r="H1864" s="30" t="n">
        <v>4.1155</v>
      </c>
      <c r="I1864" s="30" t="n">
        <v>0.1446</v>
      </c>
    </row>
    <row r="1865" customFormat="false" ht="15" hidden="false" customHeight="false" outlineLevel="0" collapsed="false">
      <c r="A1865" s="11" t="s">
        <v>2567</v>
      </c>
      <c r="C1865" s="30" t="n">
        <v>12.5283</v>
      </c>
      <c r="D1865" s="30" t="n">
        <v>7.7361</v>
      </c>
      <c r="E1865" s="30" t="n">
        <v>18.4151</v>
      </c>
      <c r="F1865" s="30" t="n">
        <v>20.1922</v>
      </c>
      <c r="G1865" s="30" t="n">
        <v>8.6457</v>
      </c>
      <c r="H1865" s="30" t="n">
        <v>9.0679</v>
      </c>
      <c r="I1865" s="30" t="n">
        <v>15.0199</v>
      </c>
    </row>
    <row r="1867" customFormat="false" ht="15" hidden="false" customHeight="false" outlineLevel="0" collapsed="false">
      <c r="A1867" s="3" t="s">
        <v>2568</v>
      </c>
    </row>
    <row r="1868" customFormat="false" ht="15" hidden="false" customHeight="false" outlineLevel="0" collapsed="false">
      <c r="A1868" s="2" t="s">
        <v>2569</v>
      </c>
    </row>
    <row r="1869" customFormat="false" ht="15" hidden="false" customHeight="false" outlineLevel="0" collapsed="false">
      <c r="A1869" s="90" t="s">
        <v>86</v>
      </c>
      <c r="B1869" s="130"/>
      <c r="C1869" s="130" t="s">
        <v>772</v>
      </c>
      <c r="D1869" s="130" t="s">
        <v>2570</v>
      </c>
      <c r="E1869" s="130" t="s">
        <v>2571</v>
      </c>
      <c r="F1869" s="130" t="s">
        <v>2572</v>
      </c>
      <c r="G1869" s="130" t="s">
        <v>2573</v>
      </c>
      <c r="H1869" s="130" t="s">
        <v>2574</v>
      </c>
      <c r="I1869" s="130" t="s">
        <v>775</v>
      </c>
    </row>
    <row r="1870" customFormat="false" ht="15" hidden="false" customHeight="false" outlineLevel="0" collapsed="false">
      <c r="A1870" s="11" t="s">
        <v>2575</v>
      </c>
      <c r="C1870" s="30" t="n">
        <v>918.8356</v>
      </c>
      <c r="D1870" s="30" t="n">
        <v>102.787</v>
      </c>
      <c r="F1870" s="30" t="n">
        <v>152.1733</v>
      </c>
      <c r="I1870" s="30" t="n">
        <v>869.4493</v>
      </c>
    </row>
    <row r="1871" customFormat="false" ht="15" hidden="false" customHeight="false" outlineLevel="0" collapsed="false">
      <c r="A1871" s="11" t="s">
        <v>2576</v>
      </c>
      <c r="C1871" s="30" t="n">
        <v>2.7376</v>
      </c>
      <c r="D1871" s="30" t="n">
        <v>13.5</v>
      </c>
      <c r="F1871" s="30" t="n">
        <v>11.1938</v>
      </c>
      <c r="I1871" s="30" t="n">
        <v>5.0438</v>
      </c>
    </row>
    <row r="1872" customFormat="false" ht="15" hidden="false" customHeight="false" outlineLevel="0" collapsed="false">
      <c r="A1872" s="11" t="s">
        <v>2577</v>
      </c>
      <c r="C1872" s="30" t="n">
        <v>138.9987</v>
      </c>
      <c r="D1872" s="30" t="n">
        <v>64.2989</v>
      </c>
      <c r="F1872" s="30" t="n">
        <v>43.0703</v>
      </c>
      <c r="H1872" s="30" t="n">
        <v>2.75</v>
      </c>
      <c r="I1872" s="30" t="n">
        <v>157.4773</v>
      </c>
    </row>
    <row r="1873" customFormat="false" ht="15" hidden="false" customHeight="false" outlineLevel="0" collapsed="false">
      <c r="A1873" s="11" t="s">
        <v>1470</v>
      </c>
      <c r="C1873" s="30" t="n">
        <v>1060.572</v>
      </c>
      <c r="D1873" s="30" t="n">
        <v>180.5859</v>
      </c>
      <c r="F1873" s="30" t="n">
        <v>206.4374</v>
      </c>
      <c r="H1873" s="30" t="n">
        <v>2.75</v>
      </c>
      <c r="I1873" s="30" t="n">
        <v>1031.9704</v>
      </c>
    </row>
    <row r="1875" customFormat="false" ht="15" hidden="false" customHeight="false" outlineLevel="0" collapsed="false">
      <c r="A1875" s="3" t="s">
        <v>2578</v>
      </c>
    </row>
    <row r="1876" customFormat="false" ht="15" hidden="false" customHeight="false" outlineLevel="0" collapsed="false">
      <c r="A1876" s="2" t="s">
        <v>2579</v>
      </c>
    </row>
    <row r="1877" customFormat="false" ht="15" hidden="false" customHeight="false" outlineLevel="0" collapsed="false">
      <c r="A1877" s="90" t="s">
        <v>86</v>
      </c>
      <c r="B1877" s="130"/>
      <c r="C1877" s="130" t="s">
        <v>772</v>
      </c>
      <c r="D1877" s="130" t="s">
        <v>2570</v>
      </c>
      <c r="E1877" s="130" t="s">
        <v>2571</v>
      </c>
      <c r="F1877" s="130" t="s">
        <v>2572</v>
      </c>
      <c r="G1877" s="130" t="s">
        <v>2573</v>
      </c>
      <c r="H1877" s="130" t="s">
        <v>2574</v>
      </c>
      <c r="I1877" s="130" t="s">
        <v>775</v>
      </c>
    </row>
    <row r="1878" customFormat="false" ht="15" hidden="false" customHeight="false" outlineLevel="0" collapsed="false">
      <c r="A1878" s="11" t="s">
        <v>2575</v>
      </c>
      <c r="C1878" s="30" t="n">
        <v>869.4493</v>
      </c>
      <c r="D1878" s="30" t="n">
        <v>88.4983</v>
      </c>
      <c r="F1878" s="30" t="n">
        <v>97.0095</v>
      </c>
      <c r="I1878" s="30" t="n">
        <v>860.9382</v>
      </c>
    </row>
    <row r="1879" customFormat="false" ht="15" hidden="false" customHeight="false" outlineLevel="0" collapsed="false">
      <c r="A1879" s="11" t="s">
        <v>2576</v>
      </c>
      <c r="C1879" s="30" t="n">
        <v>5.0438</v>
      </c>
      <c r="D1879" s="30" t="n">
        <v>5.66</v>
      </c>
      <c r="F1879" s="30" t="n">
        <v>0.6824</v>
      </c>
      <c r="I1879" s="30" t="n">
        <v>10.0214</v>
      </c>
    </row>
    <row r="1880" customFormat="false" ht="15" hidden="false" customHeight="false" outlineLevel="0" collapsed="false">
      <c r="A1880" s="11" t="s">
        <v>2577</v>
      </c>
      <c r="C1880" s="30" t="n">
        <v>157.4773</v>
      </c>
      <c r="D1880" s="30" t="n">
        <v>3.1524</v>
      </c>
      <c r="F1880" s="30" t="n">
        <v>9.3588</v>
      </c>
      <c r="I1880" s="30" t="n">
        <v>151.2709</v>
      </c>
    </row>
    <row r="1881" customFormat="false" ht="15" hidden="false" customHeight="false" outlineLevel="0" collapsed="false">
      <c r="A1881" s="11" t="s">
        <v>1470</v>
      </c>
      <c r="C1881" s="30" t="n">
        <v>1031.9704</v>
      </c>
      <c r="D1881" s="30" t="n">
        <v>97.3107</v>
      </c>
      <c r="F1881" s="30" t="n">
        <v>107.0507</v>
      </c>
      <c r="I1881" s="30" t="n">
        <v>1022.2304</v>
      </c>
    </row>
    <row r="1883" customFormat="false" ht="15" hidden="false" customHeight="false" outlineLevel="0" collapsed="false">
      <c r="A1883" s="3" t="s">
        <v>2580</v>
      </c>
    </row>
    <row r="1884" customFormat="false" ht="15" hidden="false" customHeight="false" outlineLevel="0" collapsed="false">
      <c r="A1884" s="2" t="s">
        <v>2581</v>
      </c>
    </row>
    <row r="1885" customFormat="false" ht="15" hidden="false" customHeight="false" outlineLevel="0" collapsed="false">
      <c r="A1885" s="90" t="s">
        <v>86</v>
      </c>
      <c r="B1885" s="130"/>
      <c r="C1885" s="130" t="s">
        <v>772</v>
      </c>
      <c r="D1885" s="130" t="s">
        <v>2570</v>
      </c>
      <c r="E1885" s="130" t="s">
        <v>2571</v>
      </c>
      <c r="F1885" s="130" t="s">
        <v>2572</v>
      </c>
      <c r="G1885" s="130" t="s">
        <v>2573</v>
      </c>
      <c r="H1885" s="130" t="s">
        <v>2574</v>
      </c>
      <c r="I1885" s="130" t="s">
        <v>775</v>
      </c>
    </row>
    <row r="1886" customFormat="false" ht="15" hidden="false" customHeight="false" outlineLevel="0" collapsed="false">
      <c r="A1886" s="11" t="s">
        <v>2575</v>
      </c>
      <c r="C1886" s="30" t="n">
        <v>918.8356</v>
      </c>
      <c r="D1886" s="30" t="n">
        <v>24.21</v>
      </c>
      <c r="F1886" s="30" t="n">
        <v>66.3616</v>
      </c>
      <c r="I1886" s="30" t="n">
        <v>876.6841</v>
      </c>
    </row>
    <row r="1887" customFormat="false" ht="15" hidden="false" customHeight="false" outlineLevel="0" collapsed="false">
      <c r="A1887" s="11" t="s">
        <v>2576</v>
      </c>
      <c r="C1887" s="30" t="n">
        <v>2.7376</v>
      </c>
      <c r="D1887" s="30" t="n">
        <v>1.25</v>
      </c>
      <c r="F1887" s="30" t="n">
        <v>1.2031</v>
      </c>
      <c r="I1887" s="30" t="n">
        <v>2.7845</v>
      </c>
    </row>
    <row r="1888" customFormat="false" ht="15" hidden="false" customHeight="false" outlineLevel="0" collapsed="false">
      <c r="A1888" s="11" t="s">
        <v>2577</v>
      </c>
      <c r="C1888" s="30" t="n">
        <v>138.9987</v>
      </c>
      <c r="D1888" s="30" t="n">
        <v>14.6969</v>
      </c>
      <c r="F1888" s="30" t="n">
        <v>10.4378</v>
      </c>
      <c r="H1888" s="30" t="n">
        <v>-1.39</v>
      </c>
      <c r="I1888" s="30" t="n">
        <v>141.8679</v>
      </c>
    </row>
    <row r="1889" customFormat="false" ht="15" hidden="false" customHeight="false" outlineLevel="0" collapsed="false">
      <c r="A1889" s="11" t="s">
        <v>1470</v>
      </c>
      <c r="C1889" s="30" t="n">
        <v>1060.572</v>
      </c>
      <c r="D1889" s="30" t="n">
        <v>40.1569</v>
      </c>
      <c r="F1889" s="30" t="n">
        <v>78.0025</v>
      </c>
      <c r="H1889" s="30" t="n">
        <v>-1.39</v>
      </c>
      <c r="I1889" s="30" t="n">
        <v>1021.3364</v>
      </c>
    </row>
    <row r="1891" customFormat="false" ht="15" hidden="false" customHeight="false" outlineLevel="0" collapsed="false">
      <c r="A1891" s="3" t="s">
        <v>2582</v>
      </c>
    </row>
    <row r="1892" customFormat="false" ht="15" hidden="false" customHeight="false" outlineLevel="0" collapsed="false">
      <c r="A1892" s="2" t="s">
        <v>2583</v>
      </c>
    </row>
    <row r="1893" customFormat="false" ht="15" hidden="false" customHeight="false" outlineLevel="0" collapsed="false">
      <c r="A1893" s="90" t="s">
        <v>86</v>
      </c>
      <c r="B1893" s="130"/>
      <c r="C1893" s="130" t="s">
        <v>772</v>
      </c>
      <c r="D1893" s="130" t="s">
        <v>2570</v>
      </c>
      <c r="E1893" s="130" t="s">
        <v>2571</v>
      </c>
      <c r="F1893" s="130" t="s">
        <v>2572</v>
      </c>
      <c r="G1893" s="130" t="s">
        <v>2573</v>
      </c>
      <c r="H1893" s="130" t="s">
        <v>2574</v>
      </c>
      <c r="I1893" s="130" t="s">
        <v>775</v>
      </c>
    </row>
    <row r="1894" customFormat="false" ht="15" hidden="false" customHeight="false" outlineLevel="0" collapsed="false">
      <c r="A1894" s="11" t="s">
        <v>2575</v>
      </c>
      <c r="C1894" s="30" t="n">
        <v>823.5598</v>
      </c>
      <c r="D1894" s="30" t="n">
        <v>265.7304</v>
      </c>
      <c r="F1894" s="30" t="n">
        <v>170.4545</v>
      </c>
      <c r="I1894" s="30" t="n">
        <v>918.8356</v>
      </c>
    </row>
    <row r="1895" customFormat="false" ht="15" hidden="false" customHeight="false" outlineLevel="0" collapsed="false">
      <c r="A1895" s="11" t="s">
        <v>2576</v>
      </c>
      <c r="C1895" s="30" t="n">
        <v>5.3382</v>
      </c>
      <c r="D1895" s="30" t="n">
        <v>0.3</v>
      </c>
      <c r="F1895" s="30" t="n">
        <v>2.9006</v>
      </c>
      <c r="I1895" s="30" t="n">
        <v>2.7376</v>
      </c>
    </row>
    <row r="1896" customFormat="false" ht="15" hidden="false" customHeight="false" outlineLevel="0" collapsed="false">
      <c r="A1896" s="11" t="s">
        <v>2577</v>
      </c>
      <c r="C1896" s="30" t="n">
        <v>50.7501</v>
      </c>
      <c r="D1896" s="30" t="n">
        <v>95.1131</v>
      </c>
      <c r="F1896" s="30" t="n">
        <v>6.8645</v>
      </c>
      <c r="I1896" s="30" t="n">
        <v>138.9987</v>
      </c>
    </row>
    <row r="1897" customFormat="false" ht="15" hidden="false" customHeight="false" outlineLevel="0" collapsed="false">
      <c r="A1897" s="11" t="s">
        <v>1470</v>
      </c>
      <c r="C1897" s="30" t="n">
        <v>879.648</v>
      </c>
      <c r="D1897" s="30" t="n">
        <v>361.1435</v>
      </c>
      <c r="F1897" s="30" t="n">
        <v>180.2195</v>
      </c>
      <c r="I1897" s="30" t="n">
        <v>1060.572</v>
      </c>
    </row>
    <row r="1899" customFormat="false" ht="15" hidden="false" customHeight="false" outlineLevel="0" collapsed="false">
      <c r="A1899" s="3" t="s">
        <v>2584</v>
      </c>
    </row>
    <row r="1900" customFormat="false" ht="15" hidden="false" customHeight="false" outlineLevel="0" collapsed="false">
      <c r="A1900" s="2" t="s">
        <v>2585</v>
      </c>
    </row>
    <row r="1901" customFormat="false" ht="15" hidden="false" customHeight="false" outlineLevel="0" collapsed="false">
      <c r="A1901" s="90" t="s">
        <v>86</v>
      </c>
      <c r="B1901" s="130"/>
      <c r="C1901" s="130" t="s">
        <v>772</v>
      </c>
      <c r="D1901" s="130" t="s">
        <v>2570</v>
      </c>
      <c r="E1901" s="130" t="s">
        <v>2571</v>
      </c>
      <c r="F1901" s="130" t="s">
        <v>2572</v>
      </c>
      <c r="G1901" s="130" t="s">
        <v>2573</v>
      </c>
      <c r="H1901" s="130" t="s">
        <v>2574</v>
      </c>
      <c r="I1901" s="130" t="s">
        <v>775</v>
      </c>
    </row>
    <row r="1902" customFormat="false" ht="15" hidden="false" customHeight="false" outlineLevel="0" collapsed="false">
      <c r="A1902" s="11" t="s">
        <v>2575</v>
      </c>
      <c r="C1902" s="30" t="n">
        <v>668.2898</v>
      </c>
      <c r="D1902" s="30" t="n">
        <v>325.633</v>
      </c>
      <c r="F1902" s="30" t="n">
        <v>170.3631</v>
      </c>
      <c r="I1902" s="30" t="n">
        <v>823.5598</v>
      </c>
    </row>
    <row r="1903" customFormat="false" ht="15" hidden="false" customHeight="false" outlineLevel="0" collapsed="false">
      <c r="A1903" s="11" t="s">
        <v>2576</v>
      </c>
      <c r="C1903" s="30" t="n">
        <v>3.7809</v>
      </c>
      <c r="D1903" s="30" t="n">
        <v>8.3819</v>
      </c>
      <c r="F1903" s="30" t="n">
        <v>6.8246</v>
      </c>
      <c r="I1903" s="30" t="n">
        <v>5.3382</v>
      </c>
    </row>
    <row r="1904" customFormat="false" ht="15" hidden="false" customHeight="false" outlineLevel="0" collapsed="false">
      <c r="A1904" s="11" t="s">
        <v>2577</v>
      </c>
      <c r="C1904" s="30" t="n">
        <v>60.1474</v>
      </c>
      <c r="D1904" s="30" t="n">
        <v>27.9601</v>
      </c>
      <c r="F1904" s="30" t="n">
        <v>37.3574</v>
      </c>
      <c r="I1904" s="30" t="n">
        <v>50.7501</v>
      </c>
    </row>
    <row r="1905" customFormat="false" ht="15" hidden="false" customHeight="false" outlineLevel="0" collapsed="false">
      <c r="A1905" s="11" t="s">
        <v>1470</v>
      </c>
      <c r="C1905" s="30" t="n">
        <v>732.2181</v>
      </c>
      <c r="D1905" s="30" t="n">
        <v>361.975</v>
      </c>
      <c r="F1905" s="30" t="n">
        <v>214.5451</v>
      </c>
      <c r="I1905" s="30" t="n">
        <v>879.648</v>
      </c>
    </row>
    <row r="1907" customFormat="false" ht="15" hidden="false" customHeight="false" outlineLevel="0" collapsed="false">
      <c r="A1907" s="3" t="s">
        <v>2586</v>
      </c>
    </row>
    <row r="1908" customFormat="false" ht="15" hidden="false" customHeight="false" outlineLevel="0" collapsed="false">
      <c r="A1908" s="2" t="s">
        <v>2587</v>
      </c>
    </row>
    <row r="1909" customFormat="false" ht="15" hidden="false" customHeight="false" outlineLevel="0" collapsed="false">
      <c r="A1909" s="90" t="s">
        <v>86</v>
      </c>
      <c r="B1909" s="130"/>
      <c r="C1909" s="91" t="s">
        <v>2588</v>
      </c>
      <c r="D1909" s="91" t="s">
        <v>2589</v>
      </c>
      <c r="E1909" s="91" t="s">
        <v>2590</v>
      </c>
      <c r="F1909" s="91" t="s">
        <v>2591</v>
      </c>
      <c r="G1909" s="91" t="s">
        <v>2592</v>
      </c>
      <c r="H1909" s="91" t="s">
        <v>2593</v>
      </c>
    </row>
    <row r="1910" customFormat="false" ht="15" hidden="false" customHeight="false" outlineLevel="0" collapsed="false">
      <c r="A1910" s="11" t="s">
        <v>2594</v>
      </c>
      <c r="C1910" s="30" t="n">
        <v>193.2215</v>
      </c>
      <c r="D1910" s="30" t="n">
        <v>29.7504</v>
      </c>
      <c r="E1910" s="30" t="n">
        <v>204.9127</v>
      </c>
      <c r="F1910" s="30" t="n">
        <v>31.952</v>
      </c>
      <c r="G1910" s="30" t="n">
        <v>388.8892</v>
      </c>
      <c r="H1910" s="30" t="n">
        <v>59.7616</v>
      </c>
    </row>
    <row r="1911" customFormat="false" ht="15" hidden="false" customHeight="false" outlineLevel="0" collapsed="false">
      <c r="A1911" s="11" t="s">
        <v>2595</v>
      </c>
      <c r="C1911" s="30" t="n">
        <v>1005.4521</v>
      </c>
      <c r="D1911" s="30" t="n">
        <v>153.48</v>
      </c>
      <c r="E1911" s="30" t="n">
        <v>1014.6884</v>
      </c>
      <c r="F1911" s="30" t="n">
        <v>156.4956</v>
      </c>
      <c r="G1911" s="30" t="n">
        <v>1039.0088</v>
      </c>
      <c r="H1911" s="30" t="n">
        <v>160.5055</v>
      </c>
    </row>
    <row r="1912" customFormat="false" ht="15" hidden="false" customHeight="false" outlineLevel="0" collapsed="false">
      <c r="A1912" s="11" t="s">
        <v>2596</v>
      </c>
      <c r="C1912" s="30" t="n">
        <v>255.307</v>
      </c>
      <c r="D1912" s="30" t="n">
        <v>37.7527</v>
      </c>
      <c r="E1912" s="30" t="n">
        <v>82.0672</v>
      </c>
      <c r="F1912" s="30" t="n">
        <v>9.8586</v>
      </c>
      <c r="G1912" s="30" t="n">
        <v>54.0635</v>
      </c>
      <c r="H1912" s="30" t="n">
        <v>5.416</v>
      </c>
    </row>
    <row r="1913" customFormat="false" ht="15" hidden="false" customHeight="false" outlineLevel="0" collapsed="false">
      <c r="A1913" s="11" t="s">
        <v>2597</v>
      </c>
      <c r="C1913" s="30" t="n">
        <v>150.5989</v>
      </c>
      <c r="D1913" s="30" t="n">
        <v>22.5898</v>
      </c>
      <c r="E1913" s="30" t="n">
        <v>377.979</v>
      </c>
      <c r="F1913" s="30" t="n">
        <v>56.6969</v>
      </c>
      <c r="G1913" s="30" t="n">
        <v>372.8021</v>
      </c>
      <c r="H1913" s="30" t="n">
        <v>55.9203</v>
      </c>
    </row>
    <row r="1914" customFormat="false" ht="15" hidden="false" customHeight="false" outlineLevel="0" collapsed="false">
      <c r="A1914" s="11" t="s">
        <v>2598</v>
      </c>
      <c r="C1914" s="30" t="n">
        <v>2.4041</v>
      </c>
      <c r="D1914" s="30" t="n">
        <v>0.3621</v>
      </c>
      <c r="E1914" s="30" t="n">
        <v>21.987</v>
      </c>
      <c r="F1914" s="30" t="n">
        <v>3.3016</v>
      </c>
      <c r="G1914" s="30" t="n">
        <v>23.6149</v>
      </c>
      <c r="H1914" s="30" t="n">
        <v>3.5458</v>
      </c>
    </row>
    <row r="1915" customFormat="false" ht="15" hidden="false" customHeight="false" outlineLevel="0" collapsed="false">
      <c r="A1915" s="11" t="s">
        <v>2193</v>
      </c>
      <c r="C1915" s="30" t="n">
        <v>21.8215</v>
      </c>
      <c r="D1915" s="30" t="n">
        <v>3.2732</v>
      </c>
      <c r="E1915" s="30" t="n">
        <v>24.7993</v>
      </c>
      <c r="F1915" s="30" t="n">
        <v>3.7199</v>
      </c>
      <c r="G1915" s="30" t="n">
        <v>24.7993</v>
      </c>
      <c r="H1915" s="30" t="n">
        <v>3.7199</v>
      </c>
    </row>
    <row r="1916" customFormat="false" ht="15" hidden="false" customHeight="false" outlineLevel="0" collapsed="false">
      <c r="A1916" s="11" t="s">
        <v>1470</v>
      </c>
      <c r="C1916" s="30" t="n">
        <v>1628.8052</v>
      </c>
      <c r="D1916" s="30" t="n">
        <v>247.2083</v>
      </c>
      <c r="E1916" s="30" t="n">
        <v>1726.4336</v>
      </c>
      <c r="F1916" s="30" t="n">
        <v>262.0245</v>
      </c>
      <c r="G1916" s="30" t="n">
        <v>1903.1777</v>
      </c>
      <c r="H1916" s="30" t="n">
        <v>288.8691</v>
      </c>
    </row>
    <row r="1918" customFormat="false" ht="15" hidden="false" customHeight="false" outlineLevel="0" collapsed="false">
      <c r="A1918" s="3" t="s">
        <v>2599</v>
      </c>
    </row>
    <row r="1919" customFormat="false" ht="15" hidden="false" customHeight="false" outlineLevel="0" collapsed="false">
      <c r="A1919" s="2" t="s">
        <v>2600</v>
      </c>
    </row>
    <row r="1920" customFormat="false" ht="15" hidden="false" customHeight="false" outlineLevel="0" collapsed="false">
      <c r="A1920" s="90" t="s">
        <v>86</v>
      </c>
      <c r="B1920" s="130"/>
      <c r="C1920" s="91" t="s">
        <v>2601</v>
      </c>
      <c r="D1920" s="91" t="s">
        <v>2602</v>
      </c>
      <c r="E1920" s="91" t="s">
        <v>2603</v>
      </c>
      <c r="F1920" s="91" t="s">
        <v>2604</v>
      </c>
      <c r="G1920" s="91" t="s">
        <v>2605</v>
      </c>
      <c r="H1920" s="91" t="s">
        <v>2606</v>
      </c>
    </row>
    <row r="1921" customFormat="false" ht="15" hidden="false" customHeight="false" outlineLevel="0" collapsed="false">
      <c r="A1921" s="11" t="s">
        <v>2193</v>
      </c>
      <c r="C1921" s="30" t="n">
        <v>1530.8927</v>
      </c>
      <c r="D1921" s="30" t="n">
        <v>229.4769</v>
      </c>
      <c r="E1921" s="30" t="n">
        <v>2418.2228</v>
      </c>
      <c r="F1921" s="30" t="n">
        <v>361.7368</v>
      </c>
      <c r="G1921" s="30" t="n">
        <v>2508.8386</v>
      </c>
      <c r="H1921" s="30" t="n">
        <v>375.3863</v>
      </c>
    </row>
    <row r="1922" customFormat="false" ht="15" hidden="false" customHeight="false" outlineLevel="0" collapsed="false">
      <c r="A1922" s="11" t="s">
        <v>1783</v>
      </c>
      <c r="C1922" s="30" t="n">
        <v>908.1662</v>
      </c>
      <c r="D1922" s="30" t="n">
        <v>136.2249</v>
      </c>
      <c r="E1922" s="30" t="n">
        <v>134.6163</v>
      </c>
      <c r="F1922" s="30" t="n">
        <v>20.1924</v>
      </c>
      <c r="G1922" s="30" t="n">
        <v>164.2111</v>
      </c>
      <c r="H1922" s="30" t="n">
        <v>24.6317</v>
      </c>
    </row>
    <row r="1923" customFormat="false" ht="15" hidden="false" customHeight="false" outlineLevel="0" collapsed="false">
      <c r="A1923" s="11" t="s">
        <v>499</v>
      </c>
      <c r="E1923" s="30" t="n">
        <v>20.1346</v>
      </c>
      <c r="F1923" s="30" t="n">
        <v>3.0212</v>
      </c>
      <c r="G1923" s="30" t="n">
        <v>21.5852</v>
      </c>
      <c r="H1923" s="30" t="n">
        <v>3.2388</v>
      </c>
    </row>
    <row r="1924" customFormat="false" ht="15" hidden="false" customHeight="false" outlineLevel="0" collapsed="false">
      <c r="A1924" s="11" t="s">
        <v>1470</v>
      </c>
      <c r="C1924" s="30" t="n">
        <v>2439.0588</v>
      </c>
      <c r="D1924" s="30" t="n">
        <v>365.7018</v>
      </c>
      <c r="E1924" s="30" t="n">
        <v>2572.9737</v>
      </c>
      <c r="F1924" s="30" t="n">
        <v>384.9505</v>
      </c>
      <c r="G1924" s="30" t="n">
        <v>2694.635</v>
      </c>
      <c r="H1924" s="30" t="n">
        <v>403.2568</v>
      </c>
    </row>
    <row r="1926" customFormat="false" ht="15" hidden="false" customHeight="false" outlineLevel="0" collapsed="false">
      <c r="A1926" s="3" t="s">
        <v>2607</v>
      </c>
    </row>
    <row r="1927" customFormat="false" ht="15" hidden="false" customHeight="false" outlineLevel="0" collapsed="false">
      <c r="A1927" s="2" t="s">
        <v>2608</v>
      </c>
    </row>
    <row r="1928" customFormat="false" ht="15" hidden="false" customHeight="false" outlineLevel="0" collapsed="false">
      <c r="A1928" s="90" t="s">
        <v>86</v>
      </c>
      <c r="B1928" s="130"/>
      <c r="C1928" s="91" t="s">
        <v>2609</v>
      </c>
      <c r="D1928" s="91" t="s">
        <v>2610</v>
      </c>
      <c r="E1928" s="91" t="s">
        <v>2611</v>
      </c>
    </row>
    <row r="1929" customFormat="false" ht="15" hidden="false" customHeight="false" outlineLevel="0" collapsed="false">
      <c r="A1929" s="11" t="s">
        <v>2612</v>
      </c>
      <c r="D1929" s="30" t="n">
        <v>98.09</v>
      </c>
      <c r="E1929" s="30" t="n">
        <v>107.2762</v>
      </c>
    </row>
    <row r="1930" customFormat="false" ht="15" hidden="false" customHeight="false" outlineLevel="0" collapsed="false">
      <c r="A1930" s="11" t="s">
        <v>2613</v>
      </c>
      <c r="C1930" s="30" t="n">
        <v>247.2083</v>
      </c>
      <c r="D1930" s="30" t="n">
        <v>163.9345</v>
      </c>
      <c r="E1930" s="30" t="n">
        <v>181.5929</v>
      </c>
    </row>
    <row r="1931" customFormat="false" ht="15" hidden="false" customHeight="false" outlineLevel="0" collapsed="false">
      <c r="A1931" s="11" t="s">
        <v>2614</v>
      </c>
      <c r="C1931" s="30" t="n">
        <v>365.7018</v>
      </c>
      <c r="D1931" s="30" t="n">
        <v>286.8605</v>
      </c>
      <c r="E1931" s="30" t="n">
        <v>295.9806</v>
      </c>
    </row>
    <row r="1933" customFormat="false" ht="15" hidden="false" customHeight="false" outlineLevel="0" collapsed="false">
      <c r="A1933" s="3" t="s">
        <v>2615</v>
      </c>
    </row>
    <row r="1934" customFormat="false" ht="15" hidden="false" customHeight="false" outlineLevel="0" collapsed="false">
      <c r="A1934" s="2" t="s">
        <v>2616</v>
      </c>
    </row>
    <row r="1935" customFormat="false" ht="15" hidden="false" customHeight="false" outlineLevel="0" collapsed="false">
      <c r="A1935" s="90" t="s">
        <v>86</v>
      </c>
      <c r="B1935" s="130"/>
      <c r="C1935" s="91" t="s">
        <v>2617</v>
      </c>
      <c r="D1935" s="91" t="s">
        <v>2609</v>
      </c>
      <c r="E1935" s="91" t="s">
        <v>2618</v>
      </c>
      <c r="F1935" s="91" t="s">
        <v>2610</v>
      </c>
      <c r="G1935" s="91" t="s">
        <v>2611</v>
      </c>
    </row>
    <row r="1936" customFormat="false" ht="15" hidden="false" customHeight="false" outlineLevel="0" collapsed="false">
      <c r="A1936" s="4" t="s">
        <v>2619</v>
      </c>
      <c r="C1936" s="30" t="n">
        <v>10.1282</v>
      </c>
      <c r="D1936" s="30" t="n">
        <v>7.5497</v>
      </c>
      <c r="E1936" s="30" t="n">
        <v>7.5497</v>
      </c>
      <c r="F1936" s="30" t="n">
        <v>7.5497</v>
      </c>
      <c r="G1936" s="30" t="n">
        <v>7.5497</v>
      </c>
    </row>
    <row r="1937" customFormat="false" ht="15" hidden="false" customHeight="false" outlineLevel="0" collapsed="false">
      <c r="A1937" s="4" t="s">
        <v>2620</v>
      </c>
      <c r="C1937" s="30" t="n">
        <v>20.1459</v>
      </c>
      <c r="D1937" s="30" t="n">
        <v>17.7417</v>
      </c>
      <c r="E1937" s="30" t="n">
        <v>17.7417</v>
      </c>
      <c r="F1937" s="30" t="n">
        <v>17.7417</v>
      </c>
      <c r="G1937" s="30" t="n">
        <v>12.4018</v>
      </c>
    </row>
    <row r="1938" customFormat="false" ht="15" hidden="false" customHeight="false" outlineLevel="0" collapsed="false">
      <c r="A1938" s="4" t="s">
        <v>2621</v>
      </c>
      <c r="C1938" s="30" t="n">
        <v>14.9814</v>
      </c>
      <c r="D1938" s="30" t="n">
        <v>14.7993</v>
      </c>
      <c r="E1938" s="30" t="n">
        <v>14.7993</v>
      </c>
      <c r="F1938" s="30" t="n">
        <v>14.7993</v>
      </c>
    </row>
    <row r="1939" customFormat="false" ht="15" hidden="false" customHeight="false" outlineLevel="0" collapsed="false">
      <c r="A1939" s="4" t="s">
        <v>2622</v>
      </c>
      <c r="D1939" s="30" t="n">
        <v>16.9056</v>
      </c>
      <c r="E1939" s="30" t="n">
        <v>16.8944</v>
      </c>
      <c r="F1939" s="30" t="n">
        <v>16.8944</v>
      </c>
      <c r="G1939" s="30" t="n">
        <v>11.148</v>
      </c>
    </row>
    <row r="1940" customFormat="false" ht="15" hidden="false" customHeight="false" outlineLevel="0" collapsed="false">
      <c r="A1940" s="4" t="s">
        <v>2623</v>
      </c>
      <c r="F1940" s="30" t="n">
        <v>31.4372</v>
      </c>
      <c r="G1940" s="30" t="n">
        <v>23.3096</v>
      </c>
    </row>
    <row r="1941" customFormat="false" ht="15" hidden="false" customHeight="false" outlineLevel="0" collapsed="false">
      <c r="A1941" s="4" t="s">
        <v>2624</v>
      </c>
      <c r="G1941" s="30" t="n">
        <v>0.8919</v>
      </c>
    </row>
    <row r="1942" customFormat="false" ht="15" hidden="false" customHeight="false" outlineLevel="0" collapsed="false">
      <c r="A1942" s="4" t="s">
        <v>2625</v>
      </c>
      <c r="G1942" s="30" t="n">
        <v>4.7082</v>
      </c>
    </row>
    <row r="1943" customFormat="false" ht="15" hidden="false" customHeight="false" outlineLevel="0" collapsed="false">
      <c r="A1943" s="4" t="s">
        <v>2626</v>
      </c>
      <c r="G1943" s="30" t="n">
        <v>14.7993</v>
      </c>
    </row>
    <row r="1944" customFormat="false" ht="15" hidden="false" customHeight="false" outlineLevel="0" collapsed="false">
      <c r="A1944" s="4" t="s">
        <v>2627</v>
      </c>
      <c r="G1944" s="30" t="n">
        <v>5.7464</v>
      </c>
    </row>
    <row r="1945" customFormat="false" ht="15" hidden="false" customHeight="false" outlineLevel="0" collapsed="false">
      <c r="A1945" s="4" t="s">
        <v>2628</v>
      </c>
      <c r="G1945" s="30" t="n">
        <v>8.1307</v>
      </c>
    </row>
    <row r="1946" customFormat="false" ht="15" hidden="false" customHeight="false" outlineLevel="0" collapsed="false">
      <c r="A1946" s="11" t="s">
        <v>2629</v>
      </c>
      <c r="C1946" s="30" t="n">
        <v>65.6042</v>
      </c>
      <c r="D1946" s="30" t="n">
        <v>67.4652</v>
      </c>
      <c r="E1946" s="30" t="n">
        <v>75.3245</v>
      </c>
      <c r="F1946" s="30" t="n">
        <v>88.8561</v>
      </c>
      <c r="G1946" s="30" t="n">
        <v>83.8755</v>
      </c>
    </row>
    <row r="1947" customFormat="false" ht="15" hidden="false" customHeight="false" outlineLevel="0" collapsed="false">
      <c r="A1947" s="11" t="s">
        <v>2630</v>
      </c>
      <c r="C1947" s="30" t="n">
        <v>110.8597</v>
      </c>
      <c r="D1947" s="30" t="n">
        <v>124.4616</v>
      </c>
      <c r="E1947" s="30" t="n">
        <v>132.3097</v>
      </c>
      <c r="F1947" s="30" t="n">
        <v>177.2785</v>
      </c>
      <c r="G1947" s="30" t="n">
        <v>172.5611</v>
      </c>
    </row>
    <row r="1948" customFormat="false" ht="15" hidden="false" customHeight="false" outlineLevel="0" collapsed="false">
      <c r="A1948" s="11" t="s">
        <v>2631</v>
      </c>
      <c r="C1948" s="30" t="n">
        <v>0.007</v>
      </c>
    </row>
    <row r="1949" customFormat="false" ht="15" hidden="false" customHeight="false" outlineLevel="0" collapsed="false">
      <c r="A1949" s="11" t="s">
        <v>2632</v>
      </c>
      <c r="C1949" s="30" t="n">
        <v>110.8667</v>
      </c>
      <c r="D1949" s="30" t="n">
        <v>124.4616</v>
      </c>
      <c r="E1949" s="30" t="n">
        <v>132.3097</v>
      </c>
      <c r="F1949" s="30" t="n">
        <v>177.2785</v>
      </c>
      <c r="G1949" s="30" t="n">
        <v>172.5611</v>
      </c>
    </row>
    <row r="1951" customFormat="false" ht="15" hidden="false" customHeight="false" outlineLevel="0" collapsed="false">
      <c r="A1951" s="3" t="s">
        <v>2633</v>
      </c>
    </row>
    <row r="1952" customFormat="false" ht="15" hidden="false" customHeight="false" outlineLevel="0" collapsed="false">
      <c r="A1952" s="2" t="s">
        <v>2634</v>
      </c>
    </row>
    <row r="1953" customFormat="false" ht="15" hidden="false" customHeight="false" outlineLevel="0" collapsed="false">
      <c r="A1953" s="90" t="s">
        <v>86</v>
      </c>
      <c r="B1953" s="130"/>
      <c r="C1953" s="91" t="s">
        <v>1450</v>
      </c>
      <c r="D1953" s="91" t="s">
        <v>1451</v>
      </c>
      <c r="E1953" s="91" t="s">
        <v>1452</v>
      </c>
      <c r="F1953" s="91" t="s">
        <v>1453</v>
      </c>
      <c r="G1953" s="91" t="s">
        <v>1614</v>
      </c>
      <c r="H1953" s="91" t="s">
        <v>1272</v>
      </c>
      <c r="I1953" s="91" t="s">
        <v>1273</v>
      </c>
    </row>
    <row r="1954" customFormat="false" ht="15" hidden="false" customHeight="false" outlineLevel="0" collapsed="false">
      <c r="A1954" s="11" t="s">
        <v>2635</v>
      </c>
      <c r="C1954" s="30" t="n">
        <v>-5.312</v>
      </c>
      <c r="D1954" s="30" t="n">
        <v>-1.601</v>
      </c>
      <c r="E1954" s="30" t="n">
        <v>-10.8066</v>
      </c>
      <c r="F1954" s="30" t="n">
        <v>-2.5709</v>
      </c>
      <c r="H1954" s="30" t="n">
        <v>-1.8936</v>
      </c>
      <c r="I1954" s="30" t="n">
        <v>-14.6557</v>
      </c>
    </row>
    <row r="1955" customFormat="false" ht="15" hidden="false" customHeight="false" outlineLevel="0" collapsed="false">
      <c r="A1955" s="11" t="s">
        <v>2636</v>
      </c>
      <c r="C1955" s="30" t="n">
        <v>212.7878</v>
      </c>
      <c r="D1955" s="30" t="n">
        <v>300.059</v>
      </c>
      <c r="E1955" s="30" t="n">
        <v>240.6079</v>
      </c>
      <c r="F1955" s="30" t="n">
        <v>359.852</v>
      </c>
      <c r="H1955" s="30" t="n">
        <v>157.6955</v>
      </c>
      <c r="I1955" s="30" t="n">
        <v>116.691</v>
      </c>
    </row>
    <row r="1956" customFormat="false" ht="15" hidden="false" customHeight="false" outlineLevel="0" collapsed="false">
      <c r="A1956" s="11" t="s">
        <v>2637</v>
      </c>
      <c r="C1956" s="30" t="n">
        <v>117.7011</v>
      </c>
      <c r="D1956" s="30" t="n">
        <v>111.5381</v>
      </c>
      <c r="E1956" s="30" t="n">
        <v>66.87</v>
      </c>
      <c r="F1956" s="30" t="n">
        <v>72.1538</v>
      </c>
      <c r="H1956" s="30" t="n">
        <v>40.6764</v>
      </c>
      <c r="I1956" s="30" t="n">
        <v>32.2763</v>
      </c>
    </row>
    <row r="1957" customFormat="false" ht="15" hidden="false" customHeight="false" outlineLevel="0" collapsed="false">
      <c r="A1957" s="11" t="s">
        <v>2638</v>
      </c>
      <c r="C1957" s="30" t="n">
        <v>0.5634</v>
      </c>
      <c r="I1957" s="30" t="n">
        <v>0.24</v>
      </c>
    </row>
    <row r="1958" customFormat="false" ht="15" hidden="false" customHeight="false" outlineLevel="0" collapsed="false">
      <c r="A1958" s="11" t="s">
        <v>2639</v>
      </c>
      <c r="C1958" s="30" t="n">
        <v>8.7361</v>
      </c>
      <c r="D1958" s="30" t="n">
        <v>8.3882</v>
      </c>
      <c r="E1958" s="30" t="n">
        <v>5.7031</v>
      </c>
      <c r="F1958" s="30" t="n">
        <v>2.6516</v>
      </c>
      <c r="H1958" s="30" t="n">
        <v>3.208</v>
      </c>
      <c r="I1958" s="30" t="n">
        <v>8.6765</v>
      </c>
    </row>
    <row r="1959" customFormat="false" ht="15" hidden="false" customHeight="false" outlineLevel="0" collapsed="false">
      <c r="A1959" s="11" t="s">
        <v>2640</v>
      </c>
      <c r="D1959" s="30" t="n">
        <v>2.854</v>
      </c>
      <c r="E1959" s="30" t="n">
        <v>1.4871</v>
      </c>
      <c r="F1959" s="30" t="n">
        <v>2.847</v>
      </c>
      <c r="H1959" s="30" t="n">
        <v>1.2356</v>
      </c>
      <c r="I1959" s="30" t="n">
        <v>1.4148</v>
      </c>
    </row>
    <row r="1960" customFormat="false" ht="15" hidden="false" customHeight="false" outlineLevel="0" collapsed="false">
      <c r="A1960" s="11" t="s">
        <v>2641</v>
      </c>
      <c r="C1960" s="30" t="n">
        <v>49.9396</v>
      </c>
      <c r="D1960" s="30" t="n">
        <v>61.2817</v>
      </c>
      <c r="E1960" s="30" t="n">
        <v>45.4433</v>
      </c>
      <c r="F1960" s="30" t="n">
        <v>65.2949</v>
      </c>
      <c r="H1960" s="30" t="n">
        <v>30.1869</v>
      </c>
      <c r="I1960" s="30" t="n">
        <v>21.8145</v>
      </c>
    </row>
    <row r="1961" customFormat="false" ht="15" hidden="false" customHeight="false" outlineLevel="0" collapsed="false">
      <c r="A1961" s="11" t="s">
        <v>2642</v>
      </c>
      <c r="C1961" s="30" t="n">
        <v>0.3918</v>
      </c>
      <c r="D1961" s="30" t="n">
        <v>0.174</v>
      </c>
      <c r="E1961" s="30" t="n">
        <v>0.176</v>
      </c>
      <c r="F1961" s="30" t="n">
        <v>0.1966</v>
      </c>
      <c r="H1961" s="30" t="n">
        <v>0.1012</v>
      </c>
      <c r="I1961" s="30" t="n">
        <v>0.0949</v>
      </c>
    </row>
    <row r="1962" customFormat="false" ht="15" hidden="false" customHeight="false" outlineLevel="0" collapsed="false">
      <c r="A1962" s="11" t="s">
        <v>2643</v>
      </c>
      <c r="C1962" s="30" t="n">
        <v>284.145</v>
      </c>
      <c r="D1962" s="30" t="n">
        <v>359.7825</v>
      </c>
      <c r="E1962" s="30" t="n">
        <v>258.2421</v>
      </c>
      <c r="F1962" s="30" t="n">
        <v>369.4419</v>
      </c>
      <c r="H1962" s="30" t="n">
        <v>170.6337</v>
      </c>
      <c r="I1962" s="30" t="n">
        <v>122.7335</v>
      </c>
    </row>
    <row r="1963" customFormat="false" ht="15" hidden="false" customHeight="false" outlineLevel="0" collapsed="false">
      <c r="A1963" s="11" t="s">
        <v>2644</v>
      </c>
      <c r="D1963" s="30" t="n">
        <v>2.1178</v>
      </c>
      <c r="E1963" s="30" t="n">
        <v>0.8108</v>
      </c>
      <c r="F1963" s="30" t="n">
        <v>1.8562</v>
      </c>
      <c r="H1963" s="30" t="n">
        <v>0.2449</v>
      </c>
      <c r="I1963" s="30" t="n">
        <v>0.314</v>
      </c>
    </row>
    <row r="1964" customFormat="false" ht="15" hidden="false" customHeight="false" outlineLevel="0" collapsed="false">
      <c r="A1964" s="11" t="s">
        <v>2645</v>
      </c>
      <c r="D1964" s="30" t="n">
        <v>0.6937</v>
      </c>
      <c r="E1964" s="30" t="n">
        <v>0.6763</v>
      </c>
      <c r="F1964" s="30" t="n">
        <v>0.9788</v>
      </c>
      <c r="H1964" s="30" t="n">
        <v>0.9788</v>
      </c>
      <c r="I1964" s="30" t="n">
        <v>1.0983</v>
      </c>
    </row>
    <row r="1965" customFormat="false" ht="15" hidden="false" customHeight="false" outlineLevel="0" collapsed="false">
      <c r="A1965" s="11" t="s">
        <v>2646</v>
      </c>
      <c r="D1965" s="30" t="n">
        <v>0.0425</v>
      </c>
      <c r="F1965" s="30" t="n">
        <v>0.012</v>
      </c>
      <c r="H1965" s="30" t="n">
        <v>0.012</v>
      </c>
      <c r="I1965" s="30" t="n">
        <v>0.0025</v>
      </c>
    </row>
    <row r="1966" customFormat="false" ht="15" hidden="false" customHeight="false" outlineLevel="0" collapsed="false">
      <c r="A1966" s="11" t="s">
        <v>2647</v>
      </c>
      <c r="D1966" s="30" t="n">
        <v>46.1316</v>
      </c>
      <c r="E1966" s="30" t="n">
        <v>63.0017</v>
      </c>
      <c r="F1966" s="30" t="n">
        <v>27.4688</v>
      </c>
      <c r="H1966" s="30" t="n">
        <v>19.018</v>
      </c>
      <c r="I1966" s="30" t="n">
        <v>21.0239</v>
      </c>
    </row>
    <row r="1967" customFormat="false" ht="15" hidden="false" customHeight="false" outlineLevel="0" collapsed="false">
      <c r="A1967" s="11" t="s">
        <v>2648</v>
      </c>
      <c r="C1967" s="30" t="n">
        <v>1504.706</v>
      </c>
      <c r="D1967" s="30" t="n">
        <v>1580.986</v>
      </c>
      <c r="E1967" s="30" t="n">
        <v>2190.4494</v>
      </c>
      <c r="F1967" s="30" t="n">
        <v>2618.3843</v>
      </c>
      <c r="G1967" s="30" t="n">
        <v>1025.5462</v>
      </c>
      <c r="H1967" s="30" t="n">
        <v>1237.1379</v>
      </c>
      <c r="I1967" s="30" t="n">
        <v>1932.1182</v>
      </c>
    </row>
    <row r="1968" customFormat="false" ht="15" hidden="false" customHeight="false" outlineLevel="0" collapsed="false">
      <c r="A1968" s="11" t="s">
        <v>2649</v>
      </c>
      <c r="C1968" s="30" t="n">
        <v>1220.561</v>
      </c>
      <c r="D1968" s="30" t="n">
        <v>1221.2035</v>
      </c>
      <c r="E1968" s="30" t="n">
        <v>1932.2072</v>
      </c>
      <c r="F1968" s="30" t="n">
        <v>2248.9424</v>
      </c>
      <c r="G1968" s="30" t="n">
        <v>913.5192</v>
      </c>
      <c r="H1968" s="30" t="n">
        <v>1066.5042</v>
      </c>
      <c r="I1968" s="30" t="n">
        <v>1809.3847</v>
      </c>
    </row>
    <row r="1970" customFormat="false" ht="15" hidden="false" customHeight="false" outlineLevel="0" collapsed="false">
      <c r="A1970" s="3" t="s">
        <v>2650</v>
      </c>
    </row>
    <row r="1971" customFormat="false" ht="15" hidden="false" customHeight="false" outlineLevel="0" collapsed="false">
      <c r="A1971" s="2" t="s">
        <v>2651</v>
      </c>
    </row>
    <row r="1972" customFormat="false" ht="15" hidden="false" customHeight="false" outlineLevel="0" collapsed="false">
      <c r="A1972" s="90" t="s">
        <v>86</v>
      </c>
      <c r="B1972" s="130"/>
      <c r="C1972" s="91" t="s">
        <v>2652</v>
      </c>
      <c r="D1972" s="91" t="s">
        <v>2653</v>
      </c>
      <c r="E1972" s="91" t="s">
        <v>2654</v>
      </c>
      <c r="F1972" s="91" t="s">
        <v>2655</v>
      </c>
      <c r="G1972" s="91" t="s">
        <v>1246</v>
      </c>
      <c r="H1972" s="91" t="s">
        <v>1247</v>
      </c>
      <c r="I1972" s="91" t="s">
        <v>1248</v>
      </c>
      <c r="J1972" s="91" t="s">
        <v>1249</v>
      </c>
      <c r="K1972" s="91" t="s">
        <v>89</v>
      </c>
      <c r="L1972" s="91" t="s">
        <v>90</v>
      </c>
      <c r="M1972" s="91" t="s">
        <v>91</v>
      </c>
      <c r="N1972" s="91" t="s">
        <v>92</v>
      </c>
    </row>
    <row r="1973" customFormat="false" ht="15" hidden="false" customHeight="false" outlineLevel="0" collapsed="false">
      <c r="A1973" s="11" t="s">
        <v>2648</v>
      </c>
      <c r="C1973" s="30" t="n">
        <v>319.9924</v>
      </c>
      <c r="D1973" s="30" t="n">
        <v>411.1624</v>
      </c>
      <c r="E1973" s="30" t="n">
        <v>410.9481</v>
      </c>
      <c r="F1973" s="30" t="n">
        <v>438.8831</v>
      </c>
      <c r="G1973" s="30" t="n">
        <v>432.979</v>
      </c>
      <c r="H1973" s="30" t="n">
        <v>592.5672</v>
      </c>
      <c r="I1973" s="30" t="n">
        <v>577.7415</v>
      </c>
      <c r="J1973" s="30" t="n">
        <v>587.1617</v>
      </c>
      <c r="K1973" s="30" t="n">
        <v>532.6514</v>
      </c>
      <c r="L1973" s="30" t="n">
        <v>704.4865</v>
      </c>
      <c r="M1973" s="30" t="n">
        <v>721.3812</v>
      </c>
      <c r="N1973" s="30" t="n">
        <v>659.8652</v>
      </c>
    </row>
    <row r="1974" customFormat="false" ht="15" hidden="false" customHeight="false" outlineLevel="0" collapsed="false">
      <c r="A1974" s="11" t="s">
        <v>2649</v>
      </c>
      <c r="C1974" s="30" t="n">
        <v>240.203</v>
      </c>
      <c r="D1974" s="30" t="n">
        <v>329.1208</v>
      </c>
      <c r="E1974" s="30" t="n">
        <v>308.7753</v>
      </c>
      <c r="F1974" s="30" t="n">
        <v>343.1044</v>
      </c>
      <c r="G1974" s="30" t="n">
        <v>378.0675</v>
      </c>
      <c r="H1974" s="30" t="n">
        <v>535.4517</v>
      </c>
      <c r="I1974" s="30" t="n">
        <v>523.551</v>
      </c>
      <c r="J1974" s="30" t="n">
        <v>495.137</v>
      </c>
      <c r="K1974" s="30" t="n">
        <v>448.8089</v>
      </c>
      <c r="L1974" s="30" t="n">
        <v>617.6953</v>
      </c>
      <c r="M1974" s="30" t="n">
        <v>639.9167</v>
      </c>
      <c r="N1974" s="30" t="n">
        <v>542.5215</v>
      </c>
    </row>
    <row r="1976" customFormat="false" ht="15" hidden="false" customHeight="false" outlineLevel="0" collapsed="false">
      <c r="A1976" s="3" t="s">
        <v>2656</v>
      </c>
    </row>
    <row r="1977" customFormat="false" ht="15" hidden="false" customHeight="false" outlineLevel="0" collapsed="false">
      <c r="A1977" s="2" t="s">
        <v>2657</v>
      </c>
    </row>
    <row r="1978" customFormat="false" ht="15" hidden="false" customHeight="false" outlineLevel="0" collapsed="false">
      <c r="A1978" s="90" t="s">
        <v>86</v>
      </c>
      <c r="B1978" s="130"/>
      <c r="C1978" s="91" t="s">
        <v>1450</v>
      </c>
      <c r="D1978" s="91" t="s">
        <v>1451</v>
      </c>
      <c r="E1978" s="91" t="s">
        <v>1452</v>
      </c>
      <c r="F1978" s="91" t="s">
        <v>1453</v>
      </c>
      <c r="G1978" s="91" t="s">
        <v>1614</v>
      </c>
      <c r="H1978" s="91" t="s">
        <v>1272</v>
      </c>
      <c r="I1978" s="91" t="s">
        <v>1273</v>
      </c>
    </row>
    <row r="1979" customFormat="false" ht="15" hidden="false" customHeight="false" outlineLevel="0" collapsed="false">
      <c r="A1979" s="11" t="s">
        <v>2216</v>
      </c>
      <c r="C1979" s="30" t="n">
        <v>23.0847</v>
      </c>
      <c r="D1979" s="30" t="n">
        <v>29.3055</v>
      </c>
      <c r="E1979" s="30" t="n">
        <v>25.4405</v>
      </c>
      <c r="F1979" s="30" t="n">
        <v>37.9406</v>
      </c>
      <c r="G1979" s="30" t="n">
        <v>12.5864</v>
      </c>
      <c r="H1979" s="30" t="n">
        <v>20.4796</v>
      </c>
      <c r="I1979" s="30" t="n">
        <v>21.0892</v>
      </c>
    </row>
    <row r="1980" customFormat="false" ht="15" hidden="false" customHeight="false" outlineLevel="0" collapsed="false">
      <c r="A1980" s="11" t="s">
        <v>2217</v>
      </c>
      <c r="C1980" s="30" t="n">
        <v>16.4973</v>
      </c>
      <c r="D1980" s="30" t="n">
        <v>20.9213</v>
      </c>
      <c r="E1980" s="30" t="n">
        <v>18.2538</v>
      </c>
      <c r="F1980" s="30" t="n">
        <v>27.1673</v>
      </c>
      <c r="G1980" s="30" t="n">
        <v>9.027</v>
      </c>
      <c r="H1980" s="30" t="n">
        <v>14.6739</v>
      </c>
      <c r="I1980" s="30" t="n">
        <v>15.0928</v>
      </c>
    </row>
    <row r="1981" customFormat="false" ht="15" hidden="false" customHeight="false" outlineLevel="0" collapsed="false">
      <c r="A1981" s="11" t="s">
        <v>2218</v>
      </c>
      <c r="C1981" s="30" t="n">
        <v>11.6673</v>
      </c>
      <c r="D1981" s="30" t="n">
        <v>16.4532</v>
      </c>
      <c r="E1981" s="30" t="n">
        <v>18.7085</v>
      </c>
      <c r="F1981" s="30" t="n">
        <v>21.7503</v>
      </c>
      <c r="G1981" s="30" t="n">
        <v>6.1073</v>
      </c>
      <c r="H1981" s="30" t="n">
        <v>10.4064</v>
      </c>
      <c r="I1981" s="30" t="n">
        <v>12.0998</v>
      </c>
    </row>
    <row r="1982" customFormat="false" ht="15" hidden="false" customHeight="false" outlineLevel="0" collapsed="false">
      <c r="A1982" s="11" t="s">
        <v>2219</v>
      </c>
      <c r="C1982" s="30" t="n">
        <v>6.9842</v>
      </c>
      <c r="D1982" s="30" t="n">
        <v>7.739</v>
      </c>
      <c r="E1982" s="30" t="n">
        <v>8.4317</v>
      </c>
      <c r="F1982" s="30" t="n">
        <v>8.9412</v>
      </c>
      <c r="G1982" s="30" t="n">
        <v>3.5809</v>
      </c>
      <c r="H1982" s="30" t="n">
        <v>4.5006</v>
      </c>
      <c r="I1982" s="30" t="n">
        <v>4.6443</v>
      </c>
    </row>
    <row r="1983" customFormat="false" ht="15" hidden="false" customHeight="false" outlineLevel="0" collapsed="false">
      <c r="A1983" s="11" t="s">
        <v>2220</v>
      </c>
      <c r="C1983" s="30" t="n">
        <v>0.0529</v>
      </c>
      <c r="D1983" s="30" t="n">
        <v>0.0403</v>
      </c>
      <c r="E1983" s="30" t="n">
        <v>0.0318</v>
      </c>
      <c r="F1983" s="30" t="n">
        <v>0.0412</v>
      </c>
      <c r="G1983" s="30" t="n">
        <v>0.0164</v>
      </c>
      <c r="H1983" s="30" t="n">
        <v>0.0225</v>
      </c>
      <c r="I1983" s="30" t="n">
        <v>0.0096</v>
      </c>
    </row>
    <row r="1984" customFormat="false" ht="15" hidden="false" customHeight="false" outlineLevel="0" collapsed="false">
      <c r="A1984" s="11" t="s">
        <v>2221</v>
      </c>
      <c r="C1984" s="30" t="n">
        <v>4.6845</v>
      </c>
      <c r="D1984" s="30" t="n">
        <v>8.5865</v>
      </c>
      <c r="E1984" s="30" t="n">
        <v>7.8548</v>
      </c>
      <c r="F1984" s="30" t="n">
        <v>8.725</v>
      </c>
      <c r="G1984" s="30" t="n">
        <v>3.8461</v>
      </c>
      <c r="H1984" s="30" t="n">
        <v>4.138</v>
      </c>
      <c r="I1984" s="30" t="n">
        <v>6.5366</v>
      </c>
    </row>
    <row r="1985" customFormat="false" ht="15" hidden="false" customHeight="false" outlineLevel="0" collapsed="false">
      <c r="A1985" s="11" t="s">
        <v>2222</v>
      </c>
      <c r="C1985" s="30" t="n">
        <v>0.2899</v>
      </c>
      <c r="D1985" s="30" t="n">
        <v>0.3368</v>
      </c>
      <c r="E1985" s="30" t="n">
        <v>0.3877</v>
      </c>
      <c r="F1985" s="30" t="n">
        <v>0.95</v>
      </c>
      <c r="G1985" s="30" t="n">
        <v>0.1603</v>
      </c>
      <c r="H1985" s="30" t="n">
        <v>0.5339</v>
      </c>
      <c r="I1985" s="30" t="n">
        <v>0.1858</v>
      </c>
    </row>
    <row r="1986" customFormat="false" ht="15" hidden="false" customHeight="false" outlineLevel="0" collapsed="false">
      <c r="A1986" s="11" t="s">
        <v>2224</v>
      </c>
      <c r="D1986" s="30" t="n">
        <v>0.401</v>
      </c>
    </row>
    <row r="1987" customFormat="false" ht="15" hidden="false" customHeight="false" outlineLevel="0" collapsed="false">
      <c r="A1987" s="11" t="s">
        <v>2223</v>
      </c>
      <c r="E1987" s="30" t="n">
        <v>0.0503</v>
      </c>
    </row>
    <row r="1988" customFormat="false" ht="15" hidden="false" customHeight="false" outlineLevel="0" collapsed="false">
      <c r="A1988" s="11" t="s">
        <v>2184</v>
      </c>
      <c r="C1988" s="30" t="n">
        <v>0.0069</v>
      </c>
      <c r="D1988" s="30" t="n">
        <v>0.4996</v>
      </c>
      <c r="E1988" s="30" t="n">
        <v>0.0152</v>
      </c>
      <c r="F1988" s="30" t="n">
        <v>2.2671</v>
      </c>
      <c r="G1988" s="30" t="n">
        <v>0.0503</v>
      </c>
      <c r="H1988" s="30" t="n">
        <v>0.0034</v>
      </c>
      <c r="I1988" s="30" t="n">
        <v>0.5413</v>
      </c>
    </row>
    <row r="1989" customFormat="false" ht="15" hidden="false" customHeight="false" outlineLevel="0" collapsed="false">
      <c r="A1989" s="11" t="s">
        <v>2658</v>
      </c>
      <c r="C1989" s="30" t="n">
        <v>63.2677</v>
      </c>
      <c r="D1989" s="30" t="n">
        <v>84.2832</v>
      </c>
      <c r="E1989" s="30" t="n">
        <v>79.1745</v>
      </c>
      <c r="F1989" s="30" t="n">
        <v>107.7827</v>
      </c>
      <c r="G1989" s="30" t="n">
        <v>35.3748</v>
      </c>
      <c r="H1989" s="30" t="n">
        <v>54.7584</v>
      </c>
      <c r="I1989" s="30" t="n">
        <v>60.1994</v>
      </c>
    </row>
    <row r="1991" customFormat="false" ht="15" hidden="false" customHeight="false" outlineLevel="0" collapsed="false">
      <c r="A1991" s="3" t="s">
        <v>2659</v>
      </c>
    </row>
    <row r="1992" customFormat="false" ht="15" hidden="false" customHeight="false" outlineLevel="0" collapsed="false">
      <c r="A1992" s="2" t="s">
        <v>2660</v>
      </c>
    </row>
    <row r="1993" customFormat="false" ht="15" hidden="false" customHeight="false" outlineLevel="0" collapsed="false">
      <c r="A1993" s="90" t="s">
        <v>86</v>
      </c>
      <c r="B1993" s="130"/>
      <c r="C1993" s="91" t="s">
        <v>2617</v>
      </c>
      <c r="D1993" s="91" t="s">
        <v>2609</v>
      </c>
      <c r="E1993" s="91" t="s">
        <v>2610</v>
      </c>
      <c r="F1993" s="91" t="s">
        <v>2618</v>
      </c>
      <c r="G1993" s="91" t="s">
        <v>2611</v>
      </c>
    </row>
    <row r="1994" customFormat="false" ht="15" hidden="false" customHeight="false" outlineLevel="0" collapsed="false">
      <c r="A1994" s="11" t="s">
        <v>2434</v>
      </c>
      <c r="C1994" s="30" t="n">
        <v>42.7283</v>
      </c>
      <c r="D1994" s="30" t="n">
        <v>26.174</v>
      </c>
      <c r="E1994" s="30" t="n">
        <v>54.11</v>
      </c>
      <c r="F1994" s="30" t="n">
        <v>17.7347</v>
      </c>
      <c r="G1994" s="30" t="n">
        <v>16.9054</v>
      </c>
    </row>
    <row r="1995" customFormat="false" ht="15" hidden="false" customHeight="false" outlineLevel="0" collapsed="false">
      <c r="A1995" s="11" t="s">
        <v>2435</v>
      </c>
      <c r="C1995" s="30" t="n">
        <v>103.2316</v>
      </c>
      <c r="D1995" s="30" t="n">
        <v>109.094</v>
      </c>
      <c r="E1995" s="30" t="n">
        <v>144.2295</v>
      </c>
      <c r="F1995" s="30" t="n">
        <v>89.8868</v>
      </c>
      <c r="G1995" s="30" t="n">
        <v>196.5761</v>
      </c>
    </row>
    <row r="1996" customFormat="false" ht="15" hidden="false" customHeight="false" outlineLevel="0" collapsed="false">
      <c r="A1996" s="11" t="s">
        <v>2436</v>
      </c>
      <c r="C1996" s="30" t="n">
        <v>2.9854</v>
      </c>
      <c r="D1996" s="30" t="n">
        <v>3.8675</v>
      </c>
      <c r="E1996" s="30" t="n">
        <v>4.6189</v>
      </c>
      <c r="F1996" s="30" t="n">
        <v>5.6902</v>
      </c>
      <c r="G1996" s="30" t="n">
        <v>3.5253</v>
      </c>
    </row>
    <row r="1997" customFormat="false" ht="15" hidden="false" customHeight="false" outlineLevel="0" collapsed="false">
      <c r="A1997" s="11" t="s">
        <v>2216</v>
      </c>
      <c r="C1997" s="30" t="n">
        <v>3.4809</v>
      </c>
      <c r="D1997" s="30" t="n">
        <v>2.1038</v>
      </c>
      <c r="E1997" s="30" t="n">
        <v>3.9711</v>
      </c>
      <c r="F1997" s="30" t="n">
        <v>1.6395</v>
      </c>
      <c r="G1997" s="30" t="n">
        <v>2.1672</v>
      </c>
    </row>
    <row r="1998" customFormat="false" ht="15" hidden="false" customHeight="false" outlineLevel="0" collapsed="false">
      <c r="A1998" s="11" t="s">
        <v>2217</v>
      </c>
      <c r="C1998" s="30" t="n">
        <v>2.4864</v>
      </c>
      <c r="D1998" s="30" t="n">
        <v>1.5088</v>
      </c>
      <c r="E1998" s="30" t="n">
        <v>2.8415</v>
      </c>
      <c r="F1998" s="30" t="n">
        <v>1.1762</v>
      </c>
      <c r="G1998" s="30" t="n">
        <v>1.5526</v>
      </c>
    </row>
    <row r="1999" customFormat="false" ht="15" hidden="false" customHeight="false" outlineLevel="0" collapsed="false">
      <c r="A1999" s="11" t="s">
        <v>2222</v>
      </c>
      <c r="C1999" s="30" t="n">
        <v>0.084</v>
      </c>
      <c r="D1999" s="30" t="n">
        <v>0.1403</v>
      </c>
      <c r="E1999" s="30" t="n">
        <v>0.1566</v>
      </c>
      <c r="F1999" s="30" t="n">
        <v>0.2881</v>
      </c>
      <c r="G1999" s="30" t="n">
        <v>0.103</v>
      </c>
    </row>
    <row r="2000" customFormat="false" ht="15" hidden="false" customHeight="false" outlineLevel="0" collapsed="false">
      <c r="A2000" s="11" t="s">
        <v>2437</v>
      </c>
      <c r="C2000" s="30" t="n">
        <v>1.3751</v>
      </c>
      <c r="D2000" s="30" t="n">
        <v>1.3751</v>
      </c>
      <c r="E2000" s="30" t="n">
        <v>1.3751</v>
      </c>
      <c r="F2000" s="30" t="n">
        <v>1.3751</v>
      </c>
    </row>
    <row r="2001" customFormat="false" ht="15" hidden="false" customHeight="false" outlineLevel="0" collapsed="false">
      <c r="A2001" s="11" t="s">
        <v>2221</v>
      </c>
      <c r="C2001" s="30" t="n">
        <v>1.2795</v>
      </c>
      <c r="D2001" s="30" t="n">
        <v>1.9625</v>
      </c>
      <c r="E2001" s="30" t="n">
        <v>2.2857</v>
      </c>
      <c r="F2001" s="30" t="n">
        <v>2.2828</v>
      </c>
      <c r="G2001" s="30" t="n">
        <v>3.9936</v>
      </c>
    </row>
    <row r="2002" customFormat="false" ht="15" hidden="false" customHeight="false" outlineLevel="0" collapsed="false">
      <c r="A2002" s="11" t="s">
        <v>2218</v>
      </c>
      <c r="C2002" s="30" t="n">
        <v>0.0581</v>
      </c>
      <c r="D2002" s="30" t="n">
        <v>0.2034</v>
      </c>
      <c r="E2002" s="30" t="n">
        <v>0.2088</v>
      </c>
      <c r="F2002" s="30" t="n">
        <v>2.5926</v>
      </c>
      <c r="G2002" s="30" t="n">
        <v>3.0028</v>
      </c>
    </row>
    <row r="2003" customFormat="false" ht="15" hidden="false" customHeight="false" outlineLevel="0" collapsed="false">
      <c r="A2003" s="11" t="s">
        <v>2219</v>
      </c>
      <c r="C2003" s="30" t="n">
        <v>0.0012</v>
      </c>
      <c r="D2003" s="30" t="n">
        <v>0.0192</v>
      </c>
      <c r="E2003" s="30" t="n">
        <v>0.0192</v>
      </c>
      <c r="F2003" s="30" t="n">
        <v>0.3817</v>
      </c>
      <c r="G2003" s="30" t="n">
        <v>0.401</v>
      </c>
    </row>
    <row r="2004" customFormat="false" ht="15" hidden="false" customHeight="false" outlineLevel="0" collapsed="false">
      <c r="A2004" s="11" t="s">
        <v>2184</v>
      </c>
      <c r="G2004" s="30" t="n">
        <v>0.1509</v>
      </c>
    </row>
    <row r="2005" customFormat="false" ht="15" hidden="false" customHeight="false" outlineLevel="0" collapsed="false">
      <c r="A2005" s="11" t="s">
        <v>2661</v>
      </c>
      <c r="C2005" s="30" t="n">
        <v>157.7104</v>
      </c>
      <c r="D2005" s="30" t="n">
        <v>146.4485</v>
      </c>
      <c r="E2005" s="30" t="n">
        <v>213.8164</v>
      </c>
      <c r="F2005" s="30" t="n">
        <v>123.0478</v>
      </c>
      <c r="G2005" s="30" t="n">
        <v>228.3778</v>
      </c>
    </row>
    <row r="2007" customFormat="false" ht="15" hidden="false" customHeight="false" outlineLevel="0" collapsed="false">
      <c r="A2007" s="3" t="s">
        <v>2662</v>
      </c>
    </row>
    <row r="2008" customFormat="false" ht="15" hidden="false" customHeight="false" outlineLevel="0" collapsed="false">
      <c r="A2008" s="2" t="s">
        <v>2663</v>
      </c>
    </row>
    <row r="2009" customFormat="false" ht="15" hidden="false" customHeight="false" outlineLevel="0" collapsed="false">
      <c r="A2009" s="90" t="s">
        <v>86</v>
      </c>
      <c r="B2009" s="130"/>
      <c r="C2009" s="91" t="s">
        <v>2664</v>
      </c>
      <c r="D2009" s="91" t="s">
        <v>2665</v>
      </c>
      <c r="E2009" s="91" t="s">
        <v>2666</v>
      </c>
      <c r="F2009" s="91" t="s">
        <v>2667</v>
      </c>
      <c r="G2009" s="91" t="s">
        <v>2668</v>
      </c>
      <c r="H2009" s="91" t="s">
        <v>2669</v>
      </c>
    </row>
    <row r="2010" customFormat="false" ht="15" hidden="false" customHeight="false" outlineLevel="0" collapsed="false">
      <c r="A2010" s="11" t="s">
        <v>2594</v>
      </c>
      <c r="C2010" s="30" t="n">
        <v>211.2959</v>
      </c>
      <c r="D2010" s="30" t="n">
        <v>32.8993</v>
      </c>
      <c r="E2010" s="30" t="n">
        <v>155.0412</v>
      </c>
      <c r="F2010" s="30" t="n">
        <v>25.3374</v>
      </c>
      <c r="G2010" s="30" t="n">
        <v>192.4622</v>
      </c>
      <c r="H2010" s="30" t="n">
        <v>29.6024</v>
      </c>
    </row>
    <row r="2011" customFormat="false" ht="15" hidden="false" customHeight="false" outlineLevel="0" collapsed="false">
      <c r="A2011" s="11" t="s">
        <v>2595</v>
      </c>
      <c r="C2011" s="30" t="n">
        <v>855.9762</v>
      </c>
      <c r="D2011" s="30" t="n">
        <v>129.4611</v>
      </c>
      <c r="E2011" s="30" t="n">
        <v>929.1091</v>
      </c>
      <c r="F2011" s="30" t="n">
        <v>140.8297</v>
      </c>
      <c r="G2011" s="30" t="n">
        <v>944.7964</v>
      </c>
      <c r="H2011" s="30" t="n">
        <v>144.8525</v>
      </c>
    </row>
    <row r="2012" customFormat="false" ht="15" hidden="false" customHeight="false" outlineLevel="0" collapsed="false">
      <c r="A2012" s="11" t="s">
        <v>2596</v>
      </c>
      <c r="C2012" s="30" t="n">
        <v>116.2726</v>
      </c>
      <c r="D2012" s="30" t="n">
        <v>17.4409</v>
      </c>
      <c r="E2012" s="30" t="n">
        <v>70.7276</v>
      </c>
      <c r="F2012" s="30" t="n">
        <v>10.6091</v>
      </c>
      <c r="G2012" s="30" t="n">
        <v>24.5342</v>
      </c>
      <c r="H2012" s="30" t="n">
        <v>2.7942</v>
      </c>
    </row>
    <row r="2013" customFormat="false" ht="15" hidden="false" customHeight="false" outlineLevel="0" collapsed="false">
      <c r="A2013" s="11" t="s">
        <v>2597</v>
      </c>
      <c r="C2013" s="30" t="n">
        <v>50.1477</v>
      </c>
      <c r="D2013" s="30" t="n">
        <v>7.5221</v>
      </c>
      <c r="E2013" s="30" t="n">
        <v>34.502</v>
      </c>
      <c r="F2013" s="30" t="n">
        <v>5.1753</v>
      </c>
      <c r="G2013" s="30" t="n">
        <v>274.8692</v>
      </c>
      <c r="H2013" s="30" t="n">
        <v>41.2304</v>
      </c>
    </row>
    <row r="2014" customFormat="false" ht="15" hidden="false" customHeight="false" outlineLevel="0" collapsed="false">
      <c r="A2014" s="11" t="s">
        <v>2670</v>
      </c>
      <c r="C2014" s="30" t="n">
        <v>0.5184</v>
      </c>
      <c r="D2014" s="30" t="n">
        <v>0.0788</v>
      </c>
      <c r="E2014" s="30" t="n">
        <v>1.3757</v>
      </c>
      <c r="F2014" s="30" t="n">
        <v>0.2125</v>
      </c>
      <c r="G2014" s="30" t="n">
        <v>2.1572</v>
      </c>
      <c r="H2014" s="30" t="n">
        <v>0.3248</v>
      </c>
    </row>
    <row r="2015" customFormat="false" ht="15" hidden="false" customHeight="false" outlineLevel="0" collapsed="false">
      <c r="A2015" s="11" t="s">
        <v>2193</v>
      </c>
      <c r="G2015" s="30" t="n">
        <v>21.8215</v>
      </c>
      <c r="H2015" s="30" t="n">
        <v>3.2732</v>
      </c>
    </row>
    <row r="2016" customFormat="false" ht="15" hidden="false" customHeight="false" outlineLevel="0" collapsed="false">
      <c r="A2016" s="11" t="s">
        <v>1470</v>
      </c>
      <c r="C2016" s="30" t="n">
        <v>1234.2108</v>
      </c>
      <c r="D2016" s="30" t="n">
        <v>187.4023</v>
      </c>
      <c r="E2016" s="30" t="n">
        <v>1190.7555</v>
      </c>
      <c r="F2016" s="30" t="n">
        <v>182.164</v>
      </c>
      <c r="G2016" s="30" t="n">
        <v>1460.6407</v>
      </c>
      <c r="H2016" s="30" t="n">
        <v>222.0775</v>
      </c>
    </row>
    <row r="2018" customFormat="false" ht="15" hidden="false" customHeight="false" outlineLevel="0" collapsed="false">
      <c r="A2018" s="3" t="s">
        <v>2671</v>
      </c>
    </row>
    <row r="2019" customFormat="false" ht="15" hidden="false" customHeight="false" outlineLevel="0" collapsed="false">
      <c r="A2019" s="2" t="s">
        <v>2672</v>
      </c>
    </row>
    <row r="2020" customFormat="false" ht="15" hidden="false" customHeight="false" outlineLevel="0" collapsed="false">
      <c r="A2020" s="90" t="s">
        <v>86</v>
      </c>
      <c r="B2020" s="130"/>
      <c r="C2020" s="91" t="s">
        <v>2673</v>
      </c>
      <c r="D2020" s="91" t="s">
        <v>2674</v>
      </c>
      <c r="E2020" s="91" t="s">
        <v>2675</v>
      </c>
      <c r="F2020" s="91" t="s">
        <v>2676</v>
      </c>
      <c r="G2020" s="91" t="s">
        <v>2677</v>
      </c>
      <c r="H2020" s="91" t="s">
        <v>2678</v>
      </c>
    </row>
    <row r="2021" customFormat="false" ht="15" hidden="false" customHeight="false" outlineLevel="0" collapsed="false">
      <c r="A2021" s="11" t="s">
        <v>2193</v>
      </c>
      <c r="C2021" s="30" t="n">
        <v>1599.403</v>
      </c>
      <c r="D2021" s="30" t="n">
        <v>239.9274</v>
      </c>
      <c r="E2021" s="30" t="n">
        <v>1743.5087</v>
      </c>
      <c r="F2021" s="30" t="n">
        <v>261.5568</v>
      </c>
      <c r="G2021" s="30" t="n">
        <v>2196.4371</v>
      </c>
      <c r="H2021" s="30" t="n">
        <v>329.3195</v>
      </c>
    </row>
    <row r="2022" customFormat="false" ht="15" hidden="false" customHeight="false" outlineLevel="0" collapsed="false">
      <c r="A2022" s="11" t="s">
        <v>1783</v>
      </c>
      <c r="C2022" s="30" t="n">
        <v>20.0144</v>
      </c>
      <c r="D2022" s="30" t="n">
        <v>3.0022</v>
      </c>
      <c r="E2022" s="30" t="n">
        <v>113.419</v>
      </c>
      <c r="F2022" s="30" t="n">
        <v>17.0129</v>
      </c>
      <c r="G2022" s="30" t="n">
        <v>169.0919</v>
      </c>
      <c r="H2022" s="30" t="n">
        <v>25.3638</v>
      </c>
    </row>
    <row r="2023" customFormat="false" ht="15" hidden="false" customHeight="false" outlineLevel="0" collapsed="false">
      <c r="A2023" s="11" t="s">
        <v>1470</v>
      </c>
      <c r="C2023" s="30" t="n">
        <v>1619.4174</v>
      </c>
      <c r="D2023" s="30" t="n">
        <v>242.9296</v>
      </c>
      <c r="E2023" s="30" t="n">
        <v>1856.9277</v>
      </c>
      <c r="F2023" s="30" t="n">
        <v>278.5697</v>
      </c>
      <c r="G2023" s="30" t="n">
        <v>2365.529</v>
      </c>
      <c r="H2023" s="30" t="n">
        <v>354.6833</v>
      </c>
    </row>
    <row r="2025" customFormat="false" ht="15" hidden="false" customHeight="false" outlineLevel="0" collapsed="false">
      <c r="A2025" s="3" t="s">
        <v>2679</v>
      </c>
    </row>
    <row r="2026" customFormat="false" ht="15" hidden="false" customHeight="false" outlineLevel="0" collapsed="false">
      <c r="A2026" s="2" t="s">
        <v>2680</v>
      </c>
    </row>
    <row r="2027" customFormat="false" ht="15" hidden="false" customHeight="false" outlineLevel="0" collapsed="false">
      <c r="A2027" s="90" t="s">
        <v>86</v>
      </c>
      <c r="B2027" s="130"/>
      <c r="C2027" s="91" t="s">
        <v>1451</v>
      </c>
      <c r="D2027" s="91" t="s">
        <v>1452</v>
      </c>
      <c r="E2027" s="91" t="s">
        <v>1453</v>
      </c>
      <c r="F2027" s="91" t="s">
        <v>1272</v>
      </c>
      <c r="G2027" s="91" t="s">
        <v>1273</v>
      </c>
    </row>
    <row r="2028" customFormat="false" ht="15" hidden="false" customHeight="false" outlineLevel="0" collapsed="false">
      <c r="A2028" s="11" t="s">
        <v>2681</v>
      </c>
      <c r="C2028" s="30" t="n">
        <v>187.4023</v>
      </c>
      <c r="D2028" s="30" t="n">
        <v>182.164</v>
      </c>
      <c r="E2028" s="30" t="n">
        <v>247.2083</v>
      </c>
      <c r="F2028" s="30" t="n">
        <v>247.2083</v>
      </c>
      <c r="G2028" s="30" t="n">
        <v>262.0245</v>
      </c>
    </row>
    <row r="2029" customFormat="false" ht="15" hidden="false" customHeight="false" outlineLevel="0" collapsed="false">
      <c r="A2029" s="11" t="s">
        <v>2682</v>
      </c>
      <c r="C2029" s="30" t="n">
        <v>242.9296</v>
      </c>
      <c r="D2029" s="30" t="n">
        <v>278.5697</v>
      </c>
      <c r="E2029" s="30" t="n">
        <v>365.7018</v>
      </c>
      <c r="F2029" s="30" t="n">
        <v>365.7018</v>
      </c>
      <c r="G2029" s="30" t="n">
        <v>384.9505</v>
      </c>
    </row>
    <row r="2030" customFormat="false" ht="15" hidden="false" customHeight="false" outlineLevel="0" collapsed="false">
      <c r="A2030" s="11" t="s">
        <v>2683</v>
      </c>
      <c r="C2030" s="30" t="n">
        <v>55.5273</v>
      </c>
      <c r="D2030" s="30" t="n">
        <v>96.4057</v>
      </c>
      <c r="E2030" s="30" t="n">
        <v>118.4935</v>
      </c>
      <c r="F2030" s="30" t="n">
        <v>118.4935</v>
      </c>
      <c r="G2030" s="30" t="n">
        <v>122.9259</v>
      </c>
    </row>
    <row r="2031" customFormat="false" ht="15" hidden="false" customHeight="false" outlineLevel="0" collapsed="false">
      <c r="A2031" s="11" t="s">
        <v>2684</v>
      </c>
      <c r="C2031" s="30" t="n">
        <v>182.164</v>
      </c>
      <c r="D2031" s="30" t="n">
        <v>247.2083</v>
      </c>
      <c r="E2031" s="30" t="n">
        <v>262.0245</v>
      </c>
      <c r="F2031" s="30" t="n">
        <v>222.0775</v>
      </c>
      <c r="G2031" s="30" t="n">
        <v>288.8691</v>
      </c>
    </row>
    <row r="2032" customFormat="false" ht="15" hidden="false" customHeight="false" outlineLevel="0" collapsed="false">
      <c r="A2032" s="11" t="s">
        <v>2685</v>
      </c>
      <c r="C2032" s="30" t="n">
        <v>278.5697</v>
      </c>
      <c r="D2032" s="30" t="n">
        <v>365.7018</v>
      </c>
      <c r="E2032" s="30" t="n">
        <v>384.9505</v>
      </c>
      <c r="F2032" s="30" t="n">
        <v>354.6833</v>
      </c>
      <c r="G2032" s="30" t="n">
        <v>403.2568</v>
      </c>
    </row>
    <row r="2033" customFormat="false" ht="15" hidden="false" customHeight="false" outlineLevel="0" collapsed="false">
      <c r="A2033" s="11" t="s">
        <v>2686</v>
      </c>
      <c r="C2033" s="30" t="n">
        <v>96.4057</v>
      </c>
      <c r="D2033" s="30" t="n">
        <v>118.4935</v>
      </c>
      <c r="E2033" s="30" t="n">
        <v>122.9259</v>
      </c>
      <c r="F2033" s="30" t="n">
        <v>132.6059</v>
      </c>
      <c r="G2033" s="30" t="n">
        <v>114.3877</v>
      </c>
    </row>
    <row r="2034" customFormat="false" ht="15" hidden="false" customHeight="false" outlineLevel="0" collapsed="false">
      <c r="A2034" s="11" t="s">
        <v>2687</v>
      </c>
      <c r="C2034" s="30" t="n">
        <v>40.8784</v>
      </c>
      <c r="D2034" s="30" t="n">
        <v>22.0878</v>
      </c>
      <c r="E2034" s="30" t="n">
        <v>4.4324</v>
      </c>
      <c r="F2034" s="30" t="n">
        <v>14.1123</v>
      </c>
      <c r="G2034" s="30" t="n">
        <v>-8.5383</v>
      </c>
    </row>
    <row r="2035" customFormat="false" ht="15" hidden="false" customHeight="false" outlineLevel="0" collapsed="false">
      <c r="A2035" s="11" t="s">
        <v>2688</v>
      </c>
      <c r="C2035" s="30" t="n">
        <v>41.0758</v>
      </c>
      <c r="D2035" s="30" t="n">
        <v>22.0895</v>
      </c>
      <c r="E2035" s="30" t="n">
        <v>4.5229</v>
      </c>
      <c r="F2035" s="30" t="n">
        <v>14.169</v>
      </c>
      <c r="G2035" s="30" t="n">
        <v>-8.2989</v>
      </c>
    </row>
    <row r="2036" customFormat="false" ht="15" hidden="false" customHeight="false" outlineLevel="0" collapsed="false">
      <c r="A2036" s="11" t="s">
        <v>2689</v>
      </c>
      <c r="C2036" s="30" t="n">
        <v>0.1974</v>
      </c>
      <c r="D2036" s="30" t="n">
        <v>0.0016</v>
      </c>
      <c r="E2036" s="30" t="n">
        <v>0.0905</v>
      </c>
      <c r="F2036" s="30" t="n">
        <v>0.0567</v>
      </c>
      <c r="G2036" s="30" t="n">
        <v>0.2394</v>
      </c>
    </row>
    <row r="2038" customFormat="false" ht="15" hidden="false" customHeight="false" outlineLevel="0" collapsed="false">
      <c r="A2038" s="3" t="s">
        <v>2690</v>
      </c>
    </row>
    <row r="2039" customFormat="false" ht="15" hidden="false" customHeight="false" outlineLevel="0" collapsed="false">
      <c r="A2039" s="2" t="s">
        <v>2691</v>
      </c>
    </row>
    <row r="2040" customFormat="false" ht="15" hidden="false" customHeight="false" outlineLevel="0" collapsed="false">
      <c r="A2040" s="90" t="s">
        <v>86</v>
      </c>
      <c r="B2040" s="130"/>
      <c r="C2040" s="91" t="s">
        <v>1450</v>
      </c>
      <c r="D2040" s="91" t="s">
        <v>1451</v>
      </c>
      <c r="E2040" s="91" t="s">
        <v>1452</v>
      </c>
      <c r="F2040" s="91" t="s">
        <v>1453</v>
      </c>
      <c r="G2040" s="91" t="s">
        <v>1614</v>
      </c>
      <c r="H2040" s="91" t="s">
        <v>1272</v>
      </c>
      <c r="I2040" s="91" t="s">
        <v>1273</v>
      </c>
    </row>
    <row r="2041" customFormat="false" ht="15" hidden="false" customHeight="false" outlineLevel="0" collapsed="false">
      <c r="A2041" s="11" t="s">
        <v>2692</v>
      </c>
      <c r="C2041" s="30" t="n">
        <v>-1.2683</v>
      </c>
      <c r="D2041" s="30" t="n">
        <v>1.9312</v>
      </c>
      <c r="E2041" s="30" t="n">
        <v>-1.3755</v>
      </c>
      <c r="F2041" s="30" t="n">
        <v>0.3699</v>
      </c>
      <c r="G2041" s="30" t="n">
        <v>1.5493</v>
      </c>
      <c r="H2041" s="30" t="n">
        <v>1.1518</v>
      </c>
      <c r="I2041" s="30" t="n">
        <v>-3.1531</v>
      </c>
    </row>
    <row r="2042" customFormat="false" ht="15" hidden="false" customHeight="false" outlineLevel="0" collapsed="false">
      <c r="A2042" s="11" t="s">
        <v>2693</v>
      </c>
      <c r="C2042" s="30" t="n">
        <v>0.0017</v>
      </c>
      <c r="E2042" s="30" t="n">
        <v>0.0335</v>
      </c>
      <c r="G2042" s="30" t="n">
        <v>0.0335</v>
      </c>
    </row>
    <row r="2043" customFormat="false" ht="15" hidden="false" customHeight="false" outlineLevel="0" collapsed="false">
      <c r="A2043" s="11" t="s">
        <v>2694</v>
      </c>
      <c r="C2043" s="30" t="n">
        <v>-1.2666</v>
      </c>
      <c r="D2043" s="30" t="n">
        <v>1.9312</v>
      </c>
      <c r="E2043" s="30" t="n">
        <v>-1.3421</v>
      </c>
      <c r="F2043" s="30" t="n">
        <v>0.3699</v>
      </c>
      <c r="G2043" s="30" t="n">
        <v>1.5827</v>
      </c>
      <c r="H2043" s="30" t="n">
        <v>1.1518</v>
      </c>
      <c r="I2043" s="30" t="n">
        <v>-3.1531</v>
      </c>
    </row>
    <row r="2045" customFormat="false" ht="15" hidden="false" customHeight="false" outlineLevel="0" collapsed="false">
      <c r="A2045" s="3" t="s">
        <v>2695</v>
      </c>
    </row>
    <row r="2046" customFormat="false" ht="15" hidden="false" customHeight="false" outlineLevel="0" collapsed="false">
      <c r="A2046" s="2" t="s">
        <v>2696</v>
      </c>
    </row>
    <row r="2047" customFormat="false" ht="15" hidden="false" customHeight="false" outlineLevel="0" collapsed="false">
      <c r="A2047" s="90" t="s">
        <v>86</v>
      </c>
      <c r="B2047" s="130"/>
      <c r="C2047" s="91" t="s">
        <v>89</v>
      </c>
      <c r="D2047" s="91" t="s">
        <v>2697</v>
      </c>
      <c r="E2047" s="91" t="s">
        <v>93</v>
      </c>
      <c r="F2047" s="91" t="s">
        <v>2698</v>
      </c>
    </row>
    <row r="2048" customFormat="false" ht="15" hidden="false" customHeight="false" outlineLevel="0" collapsed="false">
      <c r="A2048" s="11" t="s">
        <v>106</v>
      </c>
      <c r="C2048" s="30" t="n">
        <v>618.439</v>
      </c>
      <c r="D2048" s="30" t="n">
        <v>808.6791</v>
      </c>
      <c r="E2048" s="30" t="n">
        <v>907.7421</v>
      </c>
      <c r="F2048" s="30" t="n">
        <v>1316.2041</v>
      </c>
    </row>
    <row r="2049" customFormat="false" ht="15" hidden="false" customHeight="false" outlineLevel="0" collapsed="false">
      <c r="A2049" s="11" t="s">
        <v>930</v>
      </c>
      <c r="C2049" s="30" t="n">
        <v>85.5439</v>
      </c>
      <c r="D2049" s="30" t="n">
        <v>104.4896</v>
      </c>
      <c r="E2049" s="30" t="n">
        <v>116.937</v>
      </c>
      <c r="F2049" s="30" t="n">
        <v>175.0134</v>
      </c>
    </row>
    <row r="2050" customFormat="false" ht="15" hidden="false" customHeight="false" outlineLevel="0" collapsed="false">
      <c r="A2050" s="11" t="s">
        <v>103</v>
      </c>
      <c r="C2050" s="30" t="n">
        <v>87.1963</v>
      </c>
      <c r="D2050" s="30" t="n">
        <v>90.7529</v>
      </c>
      <c r="E2050" s="30" t="n">
        <v>85.4097</v>
      </c>
      <c r="F2050" s="30" t="n">
        <v>53.7199</v>
      </c>
    </row>
    <row r="2051" customFormat="false" ht="15" hidden="false" customHeight="false" outlineLevel="0" collapsed="false">
      <c r="A2051" s="11" t="s">
        <v>2699</v>
      </c>
      <c r="C2051" s="30" t="n">
        <v>72.5837</v>
      </c>
      <c r="D2051" s="30" t="n">
        <v>85.1118</v>
      </c>
      <c r="E2051" s="30" t="n">
        <v>69.8312</v>
      </c>
      <c r="F2051" s="30" t="n">
        <v>46.8598</v>
      </c>
    </row>
    <row r="2052" customFormat="false" ht="15" hidden="false" customHeight="false" outlineLevel="0" collapsed="false">
      <c r="A2052" s="11" t="s">
        <v>2700</v>
      </c>
      <c r="C2052" s="30" t="n">
        <v>13.69</v>
      </c>
      <c r="D2052" s="30" t="n">
        <v>5.3281</v>
      </c>
      <c r="E2052" s="30" t="n">
        <v>14.4998</v>
      </c>
      <c r="F2052" s="30" t="n">
        <v>6.5241</v>
      </c>
    </row>
    <row r="2053" customFormat="false" ht="15" hidden="false" customHeight="false" outlineLevel="0" collapsed="false">
      <c r="A2053" s="11" t="s">
        <v>2701</v>
      </c>
      <c r="C2053" s="30" t="n">
        <v>4.2774</v>
      </c>
      <c r="D2053" s="30" t="n">
        <v>-8.485</v>
      </c>
      <c r="E2053" s="30" t="n">
        <v>-16.5873</v>
      </c>
      <c r="F2053" s="30" t="n">
        <v>-39.3578</v>
      </c>
    </row>
    <row r="2054" customFormat="false" ht="15" hidden="false" customHeight="false" outlineLevel="0" collapsed="false">
      <c r="A2054" s="11" t="s">
        <v>2702</v>
      </c>
      <c r="D2054" s="30" t="n">
        <v>-12.3834</v>
      </c>
      <c r="E2054" s="30" t="n">
        <v>-37.3897</v>
      </c>
      <c r="F2054" s="30" t="n">
        <v>-36.652</v>
      </c>
    </row>
    <row r="2055" customFormat="false" ht="15" hidden="false" customHeight="false" outlineLevel="0" collapsed="false">
      <c r="A2055" s="11" t="s">
        <v>2643</v>
      </c>
      <c r="C2055" s="30" t="n">
        <v>83.8425</v>
      </c>
      <c r="D2055" s="30" t="n">
        <v>86.7912</v>
      </c>
      <c r="E2055" s="30" t="n">
        <v>69.1153</v>
      </c>
      <c r="F2055" s="30" t="n">
        <v>53.6183</v>
      </c>
    </row>
    <row r="2056" customFormat="false" ht="15" hidden="false" customHeight="false" outlineLevel="0" collapsed="false">
      <c r="A2056" s="11" t="s">
        <v>2648</v>
      </c>
      <c r="C2056" s="30" t="n">
        <v>532.6514</v>
      </c>
      <c r="D2056" s="30" t="n">
        <v>704.4865</v>
      </c>
      <c r="E2056" s="30" t="n">
        <v>790.8996</v>
      </c>
      <c r="F2056" s="30" t="n">
        <v>1141.2187</v>
      </c>
    </row>
    <row r="2057" customFormat="false" ht="15" hidden="false" customHeight="false" outlineLevel="0" collapsed="false">
      <c r="A2057" s="11" t="s">
        <v>2649</v>
      </c>
      <c r="C2057" s="30" t="n">
        <v>448.8089</v>
      </c>
      <c r="D2057" s="30" t="n">
        <v>617.6953</v>
      </c>
      <c r="E2057" s="30" t="n">
        <v>721.7843</v>
      </c>
      <c r="F2057" s="30" t="n">
        <v>1087.6004</v>
      </c>
    </row>
    <row r="2059" customFormat="false" ht="15" hidden="false" customHeight="false" outlineLevel="0" collapsed="false">
      <c r="A2059" s="40" t="s">
        <v>2703</v>
      </c>
      <c r="B2059" s="6"/>
      <c r="C2059" s="6"/>
      <c r="D2059" s="6"/>
      <c r="E2059" s="6"/>
      <c r="F2059" s="6"/>
      <c r="G2059" s="6"/>
      <c r="H2059" s="6"/>
      <c r="I2059" s="6"/>
      <c r="J2059" s="6"/>
      <c r="K2059" s="6"/>
      <c r="L2059" s="6"/>
    </row>
    <row r="2060" customFormat="false" ht="15" hidden="false" customHeight="false" outlineLevel="0" collapsed="false">
      <c r="A2060" s="3" t="s">
        <v>2704</v>
      </c>
    </row>
    <row r="2061" customFormat="false" ht="15" hidden="false" customHeight="false" outlineLevel="0" collapsed="false">
      <c r="A2061" s="2" t="s">
        <v>2705</v>
      </c>
    </row>
    <row r="2062" customFormat="false" ht="15" hidden="false" customHeight="false" outlineLevel="0" collapsed="false">
      <c r="A2062" s="90" t="s">
        <v>86</v>
      </c>
      <c r="B2062" s="130"/>
      <c r="C2062" s="91" t="s">
        <v>1450</v>
      </c>
      <c r="D2062" s="91" t="s">
        <v>1451</v>
      </c>
      <c r="E2062" s="91" t="s">
        <v>1452</v>
      </c>
      <c r="F2062" s="91" t="s">
        <v>1453</v>
      </c>
      <c r="G2062" s="91" t="s">
        <v>1614</v>
      </c>
      <c r="H2062" s="91" t="s">
        <v>1272</v>
      </c>
      <c r="I2062" s="91" t="s">
        <v>93</v>
      </c>
      <c r="J2062" s="91" t="s">
        <v>1273</v>
      </c>
    </row>
    <row r="2063" customFormat="false" ht="15" hidden="false" customHeight="false" outlineLevel="0" collapsed="false">
      <c r="A2063" s="11" t="s">
        <v>17</v>
      </c>
      <c r="C2063" s="30" t="n">
        <v>5149.3869</v>
      </c>
      <c r="D2063" s="30" t="n">
        <v>5726.6885</v>
      </c>
      <c r="E2063" s="30" t="n">
        <v>7374.9908</v>
      </c>
      <c r="F2063" s="30" t="n">
        <v>9007.1539</v>
      </c>
      <c r="G2063" s="30" t="n">
        <v>3427.4058</v>
      </c>
      <c r="H2063" s="30" t="n">
        <v>4148.7951</v>
      </c>
      <c r="I2063" s="30" t="n">
        <v>2680.9934</v>
      </c>
      <c r="J2063" s="30" t="n">
        <v>6423.3318</v>
      </c>
    </row>
    <row r="2064" customFormat="false" ht="15" hidden="false" customHeight="false" outlineLevel="0" collapsed="false">
      <c r="A2064" s="11" t="s">
        <v>2648</v>
      </c>
      <c r="C2064" s="30" t="n">
        <v>1504.706</v>
      </c>
      <c r="D2064" s="30" t="n">
        <v>1580.986</v>
      </c>
      <c r="E2064" s="30" t="n">
        <v>2190.4494</v>
      </c>
      <c r="F2064" s="30" t="n">
        <v>2618.3843</v>
      </c>
      <c r="G2064" s="30" t="n">
        <v>1025.5462</v>
      </c>
      <c r="H2064" s="30" t="n">
        <v>1237.1379</v>
      </c>
      <c r="I2064" s="30" t="n">
        <v>790.8996</v>
      </c>
      <c r="J2064" s="30" t="n">
        <v>1932.1182</v>
      </c>
    </row>
    <row r="2065" customFormat="false" ht="15" hidden="false" customHeight="false" outlineLevel="0" collapsed="false">
      <c r="A2065" s="11" t="s">
        <v>2649</v>
      </c>
      <c r="C2065" s="30" t="n">
        <v>1220.561</v>
      </c>
      <c r="D2065" s="30" t="n">
        <v>1221.2035</v>
      </c>
      <c r="E2065" s="30" t="n">
        <v>1932.2072</v>
      </c>
      <c r="F2065" s="30" t="n">
        <v>2248.9424</v>
      </c>
      <c r="G2065" s="30" t="n">
        <v>913.5192</v>
      </c>
      <c r="H2065" s="30" t="n">
        <v>1066.5042</v>
      </c>
      <c r="I2065" s="30" t="n">
        <v>721.7843</v>
      </c>
      <c r="J2065" s="30" t="n">
        <v>1809.3847</v>
      </c>
    </row>
    <row r="2066" customFormat="false" ht="15" hidden="false" customHeight="false" outlineLevel="0" collapsed="false">
      <c r="A2066" s="11" t="s">
        <v>1798</v>
      </c>
      <c r="C2066" s="30" t="n">
        <v>2073.8736</v>
      </c>
      <c r="D2066" s="30" t="n">
        <v>1718.968</v>
      </c>
      <c r="E2066" s="30" t="n">
        <v>2403.1223</v>
      </c>
      <c r="F2066" s="30" t="n">
        <v>2877.6091</v>
      </c>
      <c r="G2066" s="30" t="n">
        <v>771.8513</v>
      </c>
      <c r="H2066" s="30" t="n">
        <v>1127.7094</v>
      </c>
      <c r="I2066" s="30" t="n">
        <v>156.6853</v>
      </c>
      <c r="J2066" s="30" t="n">
        <v>1297.3196</v>
      </c>
    </row>
    <row r="2067" customFormat="false" ht="15" hidden="false" customHeight="false" outlineLevel="0" collapsed="false">
      <c r="A2067" s="11" t="s">
        <v>2706</v>
      </c>
      <c r="C2067" s="30" t="n">
        <v>19593.3766</v>
      </c>
      <c r="D2067" s="30" t="n">
        <v>21826.9649</v>
      </c>
      <c r="E2067" s="30" t="n">
        <v>23915.8031</v>
      </c>
      <c r="F2067" s="30" t="n">
        <v>26506.0879</v>
      </c>
      <c r="H2067" s="30" t="n">
        <v>24097.8723</v>
      </c>
      <c r="I2067" s="30" t="n">
        <v>27033.4735</v>
      </c>
      <c r="J2067" s="30" t="n">
        <v>28438.0811</v>
      </c>
    </row>
    <row r="2068" customFormat="false" ht="15" hidden="false" customHeight="false" outlineLevel="0" collapsed="false">
      <c r="A2068" s="11" t="s">
        <v>2707</v>
      </c>
      <c r="C2068" s="30" t="n">
        <v>17099.6736</v>
      </c>
      <c r="D2068" s="30" t="n">
        <v>18233.1976</v>
      </c>
      <c r="E2068" s="30" t="n">
        <v>19866.0811</v>
      </c>
      <c r="F2068" s="30" t="n">
        <v>21658.7593</v>
      </c>
      <c r="H2068" s="30" t="n">
        <v>20281.8364</v>
      </c>
      <c r="I2068" s="30" t="n">
        <v>22396.7895</v>
      </c>
      <c r="J2068" s="30" t="n">
        <v>22644.4153</v>
      </c>
    </row>
    <row r="2070" customFormat="false" ht="15" hidden="false" customHeight="false" outlineLevel="0" collapsed="false">
      <c r="A2070" s="3" t="s">
        <v>2708</v>
      </c>
    </row>
    <row r="2071" customFormat="false" ht="15" hidden="false" customHeight="false" outlineLevel="0" collapsed="false">
      <c r="A2071" s="2" t="s">
        <v>2709</v>
      </c>
    </row>
    <row r="2072" customFormat="false" ht="15" hidden="false" customHeight="false" outlineLevel="0" collapsed="false">
      <c r="A2072" s="90" t="s">
        <v>86</v>
      </c>
      <c r="B2072" s="130"/>
      <c r="C2072" s="91" t="s">
        <v>1450</v>
      </c>
      <c r="D2072" s="91" t="s">
        <v>1451</v>
      </c>
      <c r="E2072" s="91" t="s">
        <v>1452</v>
      </c>
      <c r="F2072" s="91" t="s">
        <v>1453</v>
      </c>
      <c r="G2072" s="91" t="s">
        <v>1614</v>
      </c>
      <c r="H2072" s="91" t="s">
        <v>1272</v>
      </c>
      <c r="I2072" s="91" t="s">
        <v>93</v>
      </c>
      <c r="J2072" s="91" t="s">
        <v>1273</v>
      </c>
    </row>
    <row r="2073" customFormat="false" ht="15" hidden="false" customHeight="false" outlineLevel="0" collapsed="false">
      <c r="A2073" s="11" t="s">
        <v>2710</v>
      </c>
      <c r="C2073" s="131" t="n">
        <v>0.79</v>
      </c>
      <c r="D2073" s="131" t="n">
        <v>0.82</v>
      </c>
      <c r="E2073" s="131" t="n">
        <v>1.14</v>
      </c>
      <c r="F2073" s="131" t="n">
        <v>1.37</v>
      </c>
      <c r="G2073" s="131" t="n">
        <v>0.54</v>
      </c>
      <c r="H2073" s="131" t="n">
        <v>0.65</v>
      </c>
      <c r="I2073" s="131" t="n">
        <v>0.41</v>
      </c>
      <c r="J2073" s="131" t="n">
        <v>1.01</v>
      </c>
    </row>
    <row r="2074" customFormat="false" ht="15" hidden="false" customHeight="false" outlineLevel="0" collapsed="false">
      <c r="A2074" s="11" t="s">
        <v>2711</v>
      </c>
      <c r="C2074" s="131" t="n">
        <v>0.79</v>
      </c>
      <c r="D2074" s="131" t="n">
        <v>0.82</v>
      </c>
      <c r="E2074" s="131" t="n">
        <v>1.14</v>
      </c>
      <c r="F2074" s="131" t="n">
        <v>1.37</v>
      </c>
      <c r="G2074" s="131" t="n">
        <v>0.54</v>
      </c>
      <c r="H2074" s="131" t="n">
        <v>0.65</v>
      </c>
      <c r="I2074" s="131" t="n">
        <v>0.41</v>
      </c>
      <c r="J2074" s="131" t="n">
        <v>1.01</v>
      </c>
    </row>
    <row r="2075" customFormat="false" ht="15" hidden="false" customHeight="false" outlineLevel="0" collapsed="false">
      <c r="A2075" s="11" t="s">
        <v>2712</v>
      </c>
      <c r="C2075" s="131" t="n">
        <v>9.04</v>
      </c>
      <c r="D2075" s="131" t="n">
        <v>8.95</v>
      </c>
      <c r="E2075" s="131" t="n">
        <v>11.5</v>
      </c>
      <c r="F2075" s="131" t="n">
        <v>12.62</v>
      </c>
      <c r="G2075" s="131" t="n">
        <v>5.83</v>
      </c>
      <c r="H2075" s="131" t="n">
        <v>6.04</v>
      </c>
      <c r="I2075" s="131" t="n">
        <v>3.59</v>
      </c>
      <c r="J2075" s="131" t="n">
        <v>8.61</v>
      </c>
    </row>
    <row r="2076" customFormat="false" ht="15" hidden="false" customHeight="false" outlineLevel="0" collapsed="false">
      <c r="A2076" s="11" t="s">
        <v>2713</v>
      </c>
      <c r="J2076" s="131" t="n">
        <v>0.9676</v>
      </c>
    </row>
    <row r="2078" customFormat="false" ht="15" hidden="false" customHeight="false" outlineLevel="0" collapsed="false">
      <c r="A2078" s="3" t="s">
        <v>2714</v>
      </c>
    </row>
    <row r="2079" customFormat="false" ht="15" hidden="false" customHeight="false" outlineLevel="0" collapsed="false">
      <c r="A2079" s="2" t="s">
        <v>2715</v>
      </c>
    </row>
    <row r="2080" customFormat="false" ht="15" hidden="false" customHeight="false" outlineLevel="0" collapsed="false">
      <c r="A2080" s="90" t="s">
        <v>86</v>
      </c>
      <c r="B2080" s="130"/>
      <c r="C2080" s="91" t="s">
        <v>2652</v>
      </c>
      <c r="D2080" s="91" t="s">
        <v>2653</v>
      </c>
      <c r="E2080" s="91" t="s">
        <v>2654</v>
      </c>
      <c r="F2080" s="91" t="s">
        <v>2655</v>
      </c>
      <c r="G2080" s="91" t="s">
        <v>1246</v>
      </c>
      <c r="H2080" s="91" t="s">
        <v>1247</v>
      </c>
      <c r="I2080" s="91" t="s">
        <v>1248</v>
      </c>
      <c r="J2080" s="91" t="s">
        <v>1249</v>
      </c>
      <c r="K2080" s="91" t="s">
        <v>89</v>
      </c>
      <c r="L2080" s="91" t="s">
        <v>90</v>
      </c>
      <c r="M2080" s="91" t="s">
        <v>91</v>
      </c>
      <c r="N2080" s="91" t="s">
        <v>92</v>
      </c>
      <c r="O2080" s="91" t="s">
        <v>93</v>
      </c>
      <c r="P2080" s="91" t="s">
        <v>2716</v>
      </c>
    </row>
    <row r="2081" customFormat="false" ht="15" hidden="false" customHeight="false" outlineLevel="0" collapsed="false">
      <c r="A2081" s="11" t="s">
        <v>17</v>
      </c>
      <c r="C2081" s="30" t="n">
        <v>1189.1112</v>
      </c>
      <c r="D2081" s="30" t="n">
        <v>1440.0782</v>
      </c>
      <c r="E2081" s="30" t="n">
        <v>1476.6204</v>
      </c>
      <c r="F2081" s="30" t="n">
        <v>1620.8787</v>
      </c>
      <c r="G2081" s="30" t="n">
        <v>1563.6153</v>
      </c>
      <c r="H2081" s="30" t="n">
        <v>1863.7904</v>
      </c>
      <c r="I2081" s="30" t="n">
        <v>1953.374</v>
      </c>
      <c r="J2081" s="30" t="n">
        <v>1994.2111</v>
      </c>
      <c r="K2081" s="30" t="n">
        <v>1833.141</v>
      </c>
      <c r="L2081" s="30" t="n">
        <v>2315.6541</v>
      </c>
      <c r="M2081" s="30" t="n">
        <v>2359.5738</v>
      </c>
      <c r="N2081" s="30" t="n">
        <v>2498.785</v>
      </c>
      <c r="O2081" s="30" t="n">
        <v>2680.9934</v>
      </c>
      <c r="P2081" s="30" t="n">
        <v>3742.3384</v>
      </c>
    </row>
    <row r="2082" customFormat="false" ht="15" hidden="false" customHeight="false" outlineLevel="0" collapsed="false">
      <c r="A2082" s="11" t="s">
        <v>2648</v>
      </c>
      <c r="C2082" s="30" t="n">
        <v>319.9924</v>
      </c>
      <c r="D2082" s="30" t="n">
        <v>411.1624</v>
      </c>
      <c r="E2082" s="30" t="n">
        <v>410.9481</v>
      </c>
      <c r="F2082" s="30" t="n">
        <v>438.8831</v>
      </c>
      <c r="G2082" s="30" t="n">
        <v>432.979</v>
      </c>
      <c r="H2082" s="30" t="n">
        <v>592.5672</v>
      </c>
      <c r="I2082" s="30" t="n">
        <v>577.7415</v>
      </c>
      <c r="J2082" s="30" t="n">
        <v>587.1617</v>
      </c>
      <c r="K2082" s="30" t="n">
        <v>532.6514</v>
      </c>
      <c r="L2082" s="30" t="n">
        <v>704.4865</v>
      </c>
      <c r="M2082" s="30" t="n">
        <v>721.3812</v>
      </c>
      <c r="N2082" s="30" t="n">
        <v>659.8652</v>
      </c>
      <c r="O2082" s="30" t="n">
        <v>790.8996</v>
      </c>
      <c r="P2082" s="30" t="n">
        <v>1141.2187</v>
      </c>
    </row>
    <row r="2083" customFormat="false" ht="15" hidden="false" customHeight="false" outlineLevel="0" collapsed="false">
      <c r="A2083" s="11" t="s">
        <v>2649</v>
      </c>
      <c r="C2083" s="30" t="n">
        <v>240.203</v>
      </c>
      <c r="D2083" s="30" t="n">
        <v>329.1208</v>
      </c>
      <c r="E2083" s="30" t="n">
        <v>308.7753</v>
      </c>
      <c r="F2083" s="30" t="n">
        <v>343.1044</v>
      </c>
      <c r="G2083" s="30" t="n">
        <v>378.0675</v>
      </c>
      <c r="H2083" s="30" t="n">
        <v>535.4517</v>
      </c>
      <c r="I2083" s="30" t="n">
        <v>523.551</v>
      </c>
      <c r="J2083" s="30" t="n">
        <v>495.137</v>
      </c>
      <c r="K2083" s="30" t="n">
        <v>448.8089</v>
      </c>
      <c r="L2083" s="30" t="n">
        <v>617.6953</v>
      </c>
      <c r="M2083" s="30" t="n">
        <v>639.9167</v>
      </c>
      <c r="N2083" s="30" t="n">
        <v>542.5215</v>
      </c>
      <c r="O2083" s="30" t="n">
        <v>721.7843</v>
      </c>
      <c r="P2083" s="30" t="n">
        <v>1087.6004</v>
      </c>
    </row>
    <row r="2084" customFormat="false" ht="15" hidden="false" customHeight="false" outlineLevel="0" collapsed="false">
      <c r="A2084" s="11" t="s">
        <v>1798</v>
      </c>
      <c r="C2084" s="30" t="n">
        <v>317.5195</v>
      </c>
      <c r="D2084" s="30" t="n">
        <v>558.3505</v>
      </c>
      <c r="E2084" s="30" t="n">
        <v>253.851</v>
      </c>
      <c r="F2084" s="30" t="n">
        <v>589.2469</v>
      </c>
      <c r="G2084" s="30" t="n">
        <v>185.462</v>
      </c>
      <c r="H2084" s="30" t="n">
        <v>586.3893</v>
      </c>
      <c r="I2084" s="30" t="n">
        <v>734.6378</v>
      </c>
      <c r="J2084" s="30" t="n">
        <v>896.6333</v>
      </c>
      <c r="K2084" s="30" t="n">
        <v>242.589</v>
      </c>
      <c r="L2084" s="30" t="n">
        <v>885.1204</v>
      </c>
      <c r="M2084" s="30" t="n">
        <v>862.7469</v>
      </c>
      <c r="N2084" s="30" t="n">
        <v>887.1527</v>
      </c>
      <c r="O2084" s="30" t="n">
        <v>156.6853</v>
      </c>
      <c r="P2084" s="30" t="n">
        <v>1140.6343</v>
      </c>
    </row>
    <row r="2086" customFormat="false" ht="15" hidden="false" customHeight="false" outlineLevel="0" collapsed="false">
      <c r="A2086" s="3" t="s">
        <v>2717</v>
      </c>
    </row>
    <row r="2087" customFormat="false" ht="15" hidden="false" customHeight="false" outlineLevel="0" collapsed="false">
      <c r="A2087" s="2" t="s">
        <v>2718</v>
      </c>
    </row>
    <row r="2088" customFormat="false" ht="15" hidden="false" customHeight="false" outlineLevel="0" collapsed="false">
      <c r="A2088" s="90" t="s">
        <v>86</v>
      </c>
      <c r="B2088" s="130"/>
      <c r="C2088" s="91" t="s">
        <v>1246</v>
      </c>
      <c r="D2088" s="91" t="s">
        <v>89</v>
      </c>
      <c r="E2088" s="91" t="s">
        <v>2719</v>
      </c>
      <c r="F2088" s="91" t="s">
        <v>2720</v>
      </c>
      <c r="G2088" s="91" t="s">
        <v>93</v>
      </c>
    </row>
    <row r="2089" customFormat="false" ht="15" hidden="false" customHeight="false" outlineLevel="0" collapsed="false">
      <c r="A2089" s="11" t="s">
        <v>17</v>
      </c>
      <c r="C2089" s="30" t="n">
        <v>1563.6153</v>
      </c>
      <c r="D2089" s="30" t="n">
        <v>1833.141</v>
      </c>
      <c r="E2089" s="30" t="n">
        <v>2359.5738</v>
      </c>
      <c r="F2089" s="30" t="n">
        <v>6508.3689</v>
      </c>
      <c r="G2089" s="30" t="n">
        <v>2680.9934</v>
      </c>
    </row>
    <row r="2090" customFormat="false" ht="15" hidden="false" customHeight="false" outlineLevel="0" collapsed="false">
      <c r="A2090" s="11" t="s">
        <v>2648</v>
      </c>
      <c r="C2090" s="30" t="n">
        <v>432.979</v>
      </c>
      <c r="D2090" s="30" t="n">
        <v>532.6514</v>
      </c>
      <c r="E2090" s="30" t="n">
        <v>721.3812</v>
      </c>
      <c r="F2090" s="30" t="n">
        <v>1958.5191</v>
      </c>
      <c r="G2090" s="30" t="n">
        <v>790.8996</v>
      </c>
    </row>
    <row r="2091" customFormat="false" ht="15" hidden="false" customHeight="false" outlineLevel="0" collapsed="false">
      <c r="A2091" s="11" t="s">
        <v>2649</v>
      </c>
      <c r="C2091" s="30" t="n">
        <v>378.0675</v>
      </c>
      <c r="D2091" s="30" t="n">
        <v>448.8089</v>
      </c>
      <c r="E2091" s="30" t="n">
        <v>639.9167</v>
      </c>
      <c r="F2091" s="30" t="n">
        <v>1706.4208</v>
      </c>
      <c r="G2091" s="30" t="n">
        <v>721.7843</v>
      </c>
    </row>
    <row r="2092" customFormat="false" ht="15" hidden="false" customHeight="false" outlineLevel="0" collapsed="false">
      <c r="A2092" s="11" t="s">
        <v>1798</v>
      </c>
      <c r="C2092" s="30" t="n">
        <v>185.462</v>
      </c>
      <c r="D2092" s="30" t="n">
        <v>242.589</v>
      </c>
      <c r="F2092" s="30" t="n">
        <v>1990.4563</v>
      </c>
      <c r="G2092" s="30" t="n">
        <v>156.6853</v>
      </c>
    </row>
    <row r="2093" customFormat="false" ht="15" hidden="false" customHeight="false" outlineLevel="0" collapsed="false">
      <c r="A2093" s="11" t="s">
        <v>2710</v>
      </c>
      <c r="C2093" s="131" t="n">
        <v>0.23</v>
      </c>
      <c r="D2093" s="131" t="n">
        <v>0.28</v>
      </c>
      <c r="E2093" s="131" t="n">
        <v>0.37</v>
      </c>
      <c r="F2093" s="131" t="n">
        <v>1.02</v>
      </c>
      <c r="G2093" s="131" t="n">
        <v>0.41</v>
      </c>
    </row>
    <row r="2094" customFormat="false" ht="15" hidden="false" customHeight="false" outlineLevel="0" collapsed="false">
      <c r="A2094" s="11" t="s">
        <v>2721</v>
      </c>
      <c r="C2094" s="131" t="n">
        <v>2.5</v>
      </c>
      <c r="D2094" s="131" t="n">
        <v>2.64</v>
      </c>
      <c r="E2094" s="131" t="n">
        <v>3.49</v>
      </c>
      <c r="F2094" s="131" t="n">
        <v>9.53</v>
      </c>
      <c r="G2094" s="131" t="n">
        <v>3.59</v>
      </c>
    </row>
    <row r="2095" customFormat="false" ht="15" hidden="false" customHeight="false" outlineLevel="0" collapsed="false">
      <c r="A2095" s="11" t="s">
        <v>2722</v>
      </c>
      <c r="D2095" s="30" t="n">
        <v>24034.5501</v>
      </c>
      <c r="F2095" s="30" t="n">
        <v>25380.8301</v>
      </c>
      <c r="G2095" s="30" t="n">
        <v>27033.4735</v>
      </c>
    </row>
    <row r="2096" customFormat="false" ht="15" hidden="false" customHeight="false" outlineLevel="0" collapsed="false">
      <c r="A2096" s="11" t="s">
        <v>2723</v>
      </c>
      <c r="D2096" s="30" t="n">
        <v>20414.3777</v>
      </c>
      <c r="F2096" s="30" t="n">
        <v>21000.9828</v>
      </c>
      <c r="G2096" s="30" t="n">
        <v>22396.7895</v>
      </c>
    </row>
    <row r="2097" customFormat="false" ht="15" hidden="false" customHeight="false" outlineLevel="0" collapsed="false">
      <c r="A2097" s="11" t="s">
        <v>2713</v>
      </c>
      <c r="D2097" s="131" t="n">
        <v>0.2779</v>
      </c>
    </row>
    <row r="2099" customFormat="false" ht="15" hidden="false" customHeight="false" outlineLevel="0" collapsed="false">
      <c r="A2099" s="3" t="s">
        <v>2724</v>
      </c>
    </row>
    <row r="2100" customFormat="false" ht="15" hidden="false" customHeight="false" outlineLevel="0" collapsed="false">
      <c r="A2100" s="2" t="s">
        <v>2725</v>
      </c>
    </row>
    <row r="2101" customFormat="false" ht="15" hidden="false" customHeight="false" outlineLevel="0" collapsed="false">
      <c r="A2101" s="90" t="s">
        <v>86</v>
      </c>
      <c r="B2101" s="130"/>
      <c r="C2101" s="91" t="s">
        <v>1452</v>
      </c>
      <c r="D2101" s="91" t="s">
        <v>1453</v>
      </c>
      <c r="E2101" s="91" t="s">
        <v>2726</v>
      </c>
      <c r="F2101" s="91" t="s">
        <v>2727</v>
      </c>
      <c r="G2101" s="91" t="s">
        <v>2728</v>
      </c>
    </row>
    <row r="2102" customFormat="false" ht="15" hidden="false" customHeight="false" outlineLevel="0" collapsed="false">
      <c r="A2102" s="11" t="s">
        <v>2729</v>
      </c>
      <c r="C2102" s="30" t="n">
        <v>2298.159</v>
      </c>
      <c r="D2102" s="30" t="n">
        <v>3308.0896</v>
      </c>
      <c r="E2102" s="131" t="n">
        <v>43.95</v>
      </c>
      <c r="F2102" s="131" t="n">
        <v>31.16</v>
      </c>
      <c r="G2102" s="131" t="n">
        <v>36.73</v>
      </c>
    </row>
    <row r="2103" customFormat="false" ht="15" hidden="false" customHeight="false" outlineLevel="0" collapsed="false">
      <c r="A2103" s="11" t="s">
        <v>2730</v>
      </c>
      <c r="C2103" s="30" t="n">
        <v>1677.2328</v>
      </c>
      <c r="D2103" s="30" t="n">
        <v>1959.378</v>
      </c>
      <c r="E2103" s="131" t="n">
        <v>16.82</v>
      </c>
      <c r="F2103" s="131" t="n">
        <v>22.74</v>
      </c>
      <c r="G2103" s="131" t="n">
        <v>21.75</v>
      </c>
    </row>
    <row r="2104" customFormat="false" ht="15" hidden="false" customHeight="false" outlineLevel="0" collapsed="false">
      <c r="A2104" s="11" t="s">
        <v>2731</v>
      </c>
      <c r="C2104" s="30" t="n">
        <v>2305.9847</v>
      </c>
      <c r="D2104" s="30" t="n">
        <v>2594.3099</v>
      </c>
      <c r="E2104" s="131" t="n">
        <v>12.5</v>
      </c>
      <c r="F2104" s="131" t="n">
        <v>31.27</v>
      </c>
      <c r="G2104" s="131" t="n">
        <v>28.8</v>
      </c>
    </row>
    <row r="2105" customFormat="false" ht="15" hidden="false" customHeight="false" outlineLevel="0" collapsed="false">
      <c r="A2105" s="11" t="s">
        <v>2732</v>
      </c>
      <c r="C2105" s="30" t="n">
        <v>536.8247</v>
      </c>
      <c r="D2105" s="30" t="n">
        <v>601.7534</v>
      </c>
      <c r="E2105" s="131" t="n">
        <v>12.09</v>
      </c>
      <c r="F2105" s="131" t="n">
        <v>7.28</v>
      </c>
      <c r="G2105" s="131" t="n">
        <v>6.68</v>
      </c>
    </row>
    <row r="2106" customFormat="false" ht="15" hidden="false" customHeight="false" outlineLevel="0" collapsed="false">
      <c r="A2106" s="11" t="s">
        <v>2733</v>
      </c>
      <c r="C2106" s="30" t="n">
        <v>447.9315</v>
      </c>
      <c r="D2106" s="30" t="n">
        <v>404.9964</v>
      </c>
      <c r="E2106" s="131" t="n">
        <v>-9.59</v>
      </c>
      <c r="F2106" s="131" t="n">
        <v>6.07</v>
      </c>
      <c r="G2106" s="131" t="n">
        <v>4.5</v>
      </c>
    </row>
    <row r="2107" customFormat="false" ht="15" hidden="false" customHeight="false" outlineLevel="0" collapsed="false">
      <c r="A2107" s="11" t="s">
        <v>2734</v>
      </c>
      <c r="C2107" s="30" t="n">
        <v>108.8582</v>
      </c>
      <c r="D2107" s="30" t="n">
        <v>138.6266</v>
      </c>
      <c r="E2107" s="131" t="n">
        <v>27.35</v>
      </c>
      <c r="F2107" s="131" t="n">
        <v>1.48</v>
      </c>
      <c r="G2107" s="131" t="n">
        <v>1.54</v>
      </c>
    </row>
    <row r="2108" customFormat="false" ht="15" hidden="false" customHeight="false" outlineLevel="0" collapsed="false">
      <c r="A2108" s="11" t="s">
        <v>2735</v>
      </c>
      <c r="C2108" s="30" t="n">
        <v>7374.9908</v>
      </c>
      <c r="D2108" s="30" t="n">
        <v>9007.1539</v>
      </c>
      <c r="E2108" s="131" t="n">
        <v>22.13</v>
      </c>
      <c r="F2108" s="131" t="n">
        <v>100</v>
      </c>
      <c r="G2108" s="131" t="n">
        <v>100</v>
      </c>
    </row>
    <row r="2110" customFormat="false" ht="15" hidden="false" customHeight="false" outlineLevel="0" collapsed="false">
      <c r="A2110" s="3" t="s">
        <v>2736</v>
      </c>
    </row>
    <row r="2111" customFormat="false" ht="15" hidden="false" customHeight="false" outlineLevel="0" collapsed="false">
      <c r="A2111" s="2" t="s">
        <v>2737</v>
      </c>
    </row>
    <row r="2112" customFormat="false" ht="15" hidden="false" customHeight="false" outlineLevel="0" collapsed="false">
      <c r="A2112" s="90" t="s">
        <v>86</v>
      </c>
      <c r="B2112" s="130"/>
      <c r="C2112" s="130" t="s">
        <v>17</v>
      </c>
      <c r="D2112" s="130" t="s">
        <v>951</v>
      </c>
      <c r="E2112" s="130" t="s">
        <v>2738</v>
      </c>
      <c r="F2112" s="130" t="s">
        <v>2739</v>
      </c>
      <c r="G2112" s="130" t="s">
        <v>2740</v>
      </c>
      <c r="H2112" s="130" t="s">
        <v>2741</v>
      </c>
    </row>
    <row r="2113" customFormat="false" ht="15" hidden="false" customHeight="false" outlineLevel="0" collapsed="false">
      <c r="A2113" s="11" t="s">
        <v>2742</v>
      </c>
      <c r="C2113" s="30" t="n">
        <v>9007.1539</v>
      </c>
      <c r="D2113" s="30" t="n">
        <v>5211.7617</v>
      </c>
      <c r="E2113" s="131" t="n">
        <v>42.14</v>
      </c>
      <c r="F2113" s="131" t="n">
        <v>22.13</v>
      </c>
      <c r="G2113" s="131" t="n">
        <v>23.95</v>
      </c>
      <c r="H2113" s="30" t="n">
        <v>0</v>
      </c>
    </row>
    <row r="2114" customFormat="false" ht="15" hidden="false" customHeight="false" outlineLevel="0" collapsed="false">
      <c r="A2114" s="11" t="s">
        <v>2729</v>
      </c>
      <c r="C2114" s="30" t="n">
        <v>3308.0896</v>
      </c>
      <c r="D2114" s="30" t="n">
        <v>1908.6416</v>
      </c>
      <c r="E2114" s="131" t="n">
        <v>42.3</v>
      </c>
      <c r="F2114" s="131" t="n">
        <v>43.95</v>
      </c>
      <c r="G2114" s="131" t="n">
        <v>49.29</v>
      </c>
      <c r="H2114" s="30" t="n">
        <v>0</v>
      </c>
    </row>
    <row r="2115" customFormat="false" ht="15" hidden="false" customHeight="false" outlineLevel="0" collapsed="false">
      <c r="A2115" s="11" t="s">
        <v>2730</v>
      </c>
      <c r="C2115" s="30" t="n">
        <v>1959.378</v>
      </c>
      <c r="D2115" s="30" t="n">
        <v>1213.1183</v>
      </c>
      <c r="E2115" s="131" t="n">
        <v>38.09</v>
      </c>
      <c r="F2115" s="131" t="n">
        <v>16.82</v>
      </c>
      <c r="G2115" s="131" t="n">
        <v>21.7</v>
      </c>
      <c r="H2115" s="30" t="n">
        <v>0</v>
      </c>
    </row>
    <row r="2116" customFormat="false" ht="15" hidden="false" customHeight="false" outlineLevel="0" collapsed="false">
      <c r="A2116" s="11" t="s">
        <v>2731</v>
      </c>
      <c r="C2116" s="30" t="n">
        <v>2594.3099</v>
      </c>
      <c r="D2116" s="30" t="n">
        <v>1443.6034</v>
      </c>
      <c r="E2116" s="131" t="n">
        <v>44.36</v>
      </c>
      <c r="F2116" s="131" t="n">
        <v>12.5</v>
      </c>
      <c r="G2116" s="131" t="n">
        <v>11.65</v>
      </c>
      <c r="H2116" s="30" t="n">
        <v>0</v>
      </c>
    </row>
    <row r="2118" customFormat="false" ht="15" hidden="false" customHeight="false" outlineLevel="0" collapsed="false">
      <c r="A2118" s="3" t="s">
        <v>2743</v>
      </c>
    </row>
    <row r="2119" customFormat="false" ht="15" hidden="false" customHeight="false" outlineLevel="0" collapsed="false">
      <c r="A2119" s="2" t="s">
        <v>2744</v>
      </c>
    </row>
    <row r="2120" customFormat="false" ht="15" hidden="false" customHeight="false" outlineLevel="0" collapsed="false">
      <c r="A2120" s="90" t="s">
        <v>86</v>
      </c>
      <c r="B2120" s="130"/>
      <c r="C2120" s="91" t="s">
        <v>2745</v>
      </c>
      <c r="D2120" s="91" t="s">
        <v>2746</v>
      </c>
      <c r="E2120" s="91" t="s">
        <v>2747</v>
      </c>
      <c r="F2120" s="91" t="s">
        <v>2748</v>
      </c>
      <c r="G2120" s="91" t="s">
        <v>2749</v>
      </c>
      <c r="H2120" s="91" t="s">
        <v>2750</v>
      </c>
      <c r="I2120" s="91" t="s">
        <v>2751</v>
      </c>
      <c r="J2120" s="91" t="s">
        <v>2752</v>
      </c>
      <c r="K2120" s="91" t="s">
        <v>2753</v>
      </c>
      <c r="L2120" s="91" t="s">
        <v>2754</v>
      </c>
      <c r="M2120" s="91" t="s">
        <v>2755</v>
      </c>
      <c r="N2120" s="91" t="s">
        <v>2756</v>
      </c>
      <c r="O2120" s="91" t="s">
        <v>2757</v>
      </c>
    </row>
    <row r="2121" customFormat="false" ht="15" hidden="false" customHeight="false" outlineLevel="0" collapsed="false">
      <c r="A2121" s="11" t="s">
        <v>2758</v>
      </c>
      <c r="C2121" s="30" t="n">
        <v>5149.3869</v>
      </c>
      <c r="D2121" s="30" t="n">
        <v>5726.6885</v>
      </c>
      <c r="E2121" s="30" t="n">
        <v>3445.5299</v>
      </c>
      <c r="F2121" s="131" t="n">
        <v>39.83</v>
      </c>
      <c r="G2121" s="30" t="n">
        <v>7374.9908</v>
      </c>
      <c r="H2121" s="30" t="n">
        <v>4204.8637</v>
      </c>
      <c r="I2121" s="131" t="n">
        <v>42.98</v>
      </c>
      <c r="J2121" s="30" t="n">
        <v>4148.7951</v>
      </c>
      <c r="K2121" s="30" t="n">
        <v>2407.3798</v>
      </c>
      <c r="L2121" s="131" t="n">
        <v>41.97</v>
      </c>
      <c r="M2121" s="30" t="n">
        <v>6423.3318</v>
      </c>
      <c r="N2121" s="30" t="n">
        <v>3576.5329</v>
      </c>
      <c r="O2121" s="131" t="n">
        <v>44.32</v>
      </c>
    </row>
    <row r="2122" customFormat="false" ht="15" hidden="false" customHeight="false" outlineLevel="0" collapsed="false">
      <c r="A2122" s="11" t="s">
        <v>2759</v>
      </c>
      <c r="C2122" s="30" t="n">
        <v>1461.1536</v>
      </c>
      <c r="D2122" s="30" t="n">
        <v>2196.3991</v>
      </c>
      <c r="E2122" s="30" t="n">
        <v>1484.1501</v>
      </c>
      <c r="F2122" s="131" t="n">
        <v>32.43</v>
      </c>
    </row>
    <row r="2123" customFormat="false" ht="15" hidden="false" customHeight="false" outlineLevel="0" collapsed="false">
      <c r="A2123" s="11" t="s">
        <v>2760</v>
      </c>
      <c r="C2123" s="30" t="n">
        <v>2458.6047</v>
      </c>
      <c r="D2123" s="30" t="n">
        <v>1987.0488</v>
      </c>
      <c r="E2123" s="30" t="n">
        <v>1184.2438</v>
      </c>
      <c r="F2123" s="131" t="n">
        <v>40.4</v>
      </c>
    </row>
    <row r="2124" customFormat="false" ht="15" hidden="false" customHeight="false" outlineLevel="0" collapsed="false">
      <c r="A2124" s="11" t="s">
        <v>2761</v>
      </c>
      <c r="C2124" s="30" t="n">
        <v>113.504</v>
      </c>
      <c r="D2124" s="30" t="n">
        <v>109.1019</v>
      </c>
    </row>
    <row r="2125" customFormat="false" ht="15" hidden="false" customHeight="false" outlineLevel="0" collapsed="false">
      <c r="A2125" s="11" t="s">
        <v>2762</v>
      </c>
      <c r="C2125" s="30" t="n">
        <v>1116.1247</v>
      </c>
      <c r="D2125" s="30" t="n">
        <v>1434.1388</v>
      </c>
    </row>
    <row r="2126" customFormat="false" ht="15" hidden="false" customHeight="false" outlineLevel="0" collapsed="false">
      <c r="A2126" s="11" t="s">
        <v>2763</v>
      </c>
      <c r="D2126" s="30" t="n">
        <v>4630.0012</v>
      </c>
      <c r="G2126" s="30" t="n">
        <v>6196.8947</v>
      </c>
      <c r="H2126" s="30" t="n">
        <v>3597.8407</v>
      </c>
      <c r="I2126" s="131" t="n">
        <v>41.94</v>
      </c>
      <c r="J2126" s="30" t="n">
        <v>3506.8685</v>
      </c>
      <c r="K2126" s="30" t="n">
        <v>2104.1511</v>
      </c>
      <c r="L2126" s="131" t="n">
        <v>40</v>
      </c>
      <c r="M2126" s="30" t="n">
        <v>6080.7434</v>
      </c>
      <c r="N2126" s="30" t="n">
        <v>3391.4235</v>
      </c>
      <c r="O2126" s="131" t="n">
        <v>44.23</v>
      </c>
    </row>
    <row r="2127" customFormat="false" ht="15" hidden="false" customHeight="false" outlineLevel="0" collapsed="false">
      <c r="A2127" s="11" t="s">
        <v>2764</v>
      </c>
      <c r="D2127" s="30" t="n">
        <v>1096.6874</v>
      </c>
      <c r="G2127" s="30" t="n">
        <v>1178.0961</v>
      </c>
    </row>
    <row r="2128" customFormat="false" ht="15" hidden="false" customHeight="false" outlineLevel="0" collapsed="false">
      <c r="A2128" s="11" t="s">
        <v>2765</v>
      </c>
      <c r="C2128" s="30" t="n">
        <v>4061.8659</v>
      </c>
      <c r="D2128" s="30" t="n">
        <v>4575.2063</v>
      </c>
      <c r="E2128" s="30" t="n">
        <v>2817.0454</v>
      </c>
      <c r="F2128" s="131" t="n">
        <v>38.43</v>
      </c>
    </row>
    <row r="2129" customFormat="false" ht="15" hidden="false" customHeight="false" outlineLevel="0" collapsed="false">
      <c r="A2129" s="11" t="s">
        <v>2766</v>
      </c>
      <c r="C2129" s="30" t="n">
        <v>1087.521</v>
      </c>
      <c r="D2129" s="30" t="n">
        <v>1151.4822</v>
      </c>
      <c r="E2129" s="30" t="n">
        <v>628.4844</v>
      </c>
      <c r="F2129" s="131" t="n">
        <v>45.42</v>
      </c>
    </row>
    <row r="2130" customFormat="false" ht="15" hidden="false" customHeight="false" outlineLevel="0" collapsed="false">
      <c r="A2130" s="11" t="s">
        <v>2767</v>
      </c>
      <c r="C2130" s="30" t="n">
        <v>4604.8798</v>
      </c>
      <c r="D2130" s="30" t="n">
        <v>4735.6298</v>
      </c>
      <c r="E2130" s="30" t="n">
        <v>2747.0103</v>
      </c>
      <c r="F2130" s="131" t="n">
        <v>41.99</v>
      </c>
    </row>
    <row r="2131" customFormat="false" ht="15" hidden="false" customHeight="false" outlineLevel="0" collapsed="false">
      <c r="A2131" s="11" t="s">
        <v>2768</v>
      </c>
      <c r="C2131" s="30" t="n">
        <v>544.5072</v>
      </c>
      <c r="D2131" s="30" t="n">
        <v>991.0587</v>
      </c>
      <c r="E2131" s="30" t="n">
        <v>698.5196</v>
      </c>
      <c r="F2131" s="131" t="n">
        <v>29.52</v>
      </c>
    </row>
    <row r="2132" customFormat="false" ht="15" hidden="false" customHeight="false" outlineLevel="0" collapsed="false">
      <c r="A2132" s="11" t="s">
        <v>2769</v>
      </c>
      <c r="J2132" s="30" t="n">
        <v>641.9265</v>
      </c>
      <c r="M2132" s="30" t="n">
        <v>342.5884</v>
      </c>
    </row>
    <row r="2134" customFormat="false" ht="15" hidden="false" customHeight="false" outlineLevel="0" collapsed="false">
      <c r="A2134" s="3" t="s">
        <v>2770</v>
      </c>
    </row>
    <row r="2135" customFormat="false" ht="15" hidden="false" customHeight="false" outlineLevel="0" collapsed="false">
      <c r="A2135" s="2" t="s">
        <v>2771</v>
      </c>
    </row>
    <row r="2136" customFormat="false" ht="15" hidden="false" customHeight="false" outlineLevel="0" collapsed="false">
      <c r="A2136" s="90" t="s">
        <v>86</v>
      </c>
      <c r="B2136" s="130"/>
      <c r="C2136" s="91" t="s">
        <v>2772</v>
      </c>
      <c r="D2136" s="91" t="s">
        <v>2773</v>
      </c>
      <c r="E2136" s="91" t="s">
        <v>2774</v>
      </c>
    </row>
    <row r="2137" customFormat="false" ht="15" hidden="false" customHeight="false" outlineLevel="0" collapsed="false">
      <c r="A2137" s="11" t="s">
        <v>2775</v>
      </c>
      <c r="C2137" s="131" t="n">
        <v>33.84</v>
      </c>
      <c r="D2137" s="131" t="n">
        <v>21.46</v>
      </c>
      <c r="E2137" s="131" t="n">
        <v>54.97</v>
      </c>
    </row>
    <row r="2138" customFormat="false" ht="15" hidden="false" customHeight="false" outlineLevel="0" collapsed="false">
      <c r="A2138" s="11" t="s">
        <v>2776</v>
      </c>
      <c r="C2138" s="131" t="n">
        <v>20.09</v>
      </c>
      <c r="D2138" s="131" t="n">
        <v>22.1</v>
      </c>
      <c r="E2138" s="131" t="n">
        <v>48.27</v>
      </c>
    </row>
    <row r="2139" customFormat="false" ht="15" hidden="false" customHeight="false" outlineLevel="0" collapsed="false">
      <c r="A2139" s="11" t="s">
        <v>2777</v>
      </c>
      <c r="C2139" s="131" t="n">
        <v>6.65</v>
      </c>
      <c r="D2139" s="131" t="n">
        <v>-0.32</v>
      </c>
      <c r="E2139" s="131" t="n">
        <v>2.52</v>
      </c>
    </row>
    <row r="2140" customFormat="false" ht="15" hidden="false" customHeight="false" outlineLevel="0" collapsed="false">
      <c r="A2140" s="11" t="s">
        <v>2778</v>
      </c>
      <c r="C2140" s="131" t="n">
        <v>4630076712.7</v>
      </c>
      <c r="D2140" s="131" t="n">
        <v>2887262088.23</v>
      </c>
      <c r="E2140" s="131" t="n">
        <v>3923819680.56</v>
      </c>
    </row>
    <row r="2141" customFormat="false" ht="15" hidden="false" customHeight="false" outlineLevel="0" collapsed="false">
      <c r="A2141" s="11" t="s">
        <v>2779</v>
      </c>
      <c r="C2141" s="131" t="n">
        <v>2995953645.66</v>
      </c>
      <c r="D2141" s="131" t="n">
        <v>1723301494.84</v>
      </c>
      <c r="E2141" s="131" t="n">
        <v>2287329523.5</v>
      </c>
    </row>
    <row r="2142" customFormat="false" ht="15" hidden="false" customHeight="false" outlineLevel="0" collapsed="false">
      <c r="A2142" s="11" t="s">
        <v>2780</v>
      </c>
      <c r="C2142" s="131" t="n">
        <v>35.29</v>
      </c>
      <c r="D2142" s="131" t="n">
        <v>40.32</v>
      </c>
      <c r="E2142" s="131" t="n">
        <v>41.71</v>
      </c>
    </row>
    <row r="2144" customFormat="false" ht="15" hidden="false" customHeight="false" outlineLevel="0" collapsed="false">
      <c r="A2144" s="3" t="s">
        <v>2781</v>
      </c>
    </row>
    <row r="2145" customFormat="false" ht="15" hidden="false" customHeight="false" outlineLevel="0" collapsed="false">
      <c r="A2145" s="2" t="s">
        <v>2782</v>
      </c>
    </row>
    <row r="2146" customFormat="false" ht="15" hidden="false" customHeight="false" outlineLevel="0" collapsed="false">
      <c r="A2146" s="90" t="s">
        <v>86</v>
      </c>
      <c r="B2146" s="130"/>
      <c r="C2146" s="91" t="s">
        <v>1450</v>
      </c>
      <c r="D2146" s="91" t="s">
        <v>1451</v>
      </c>
      <c r="E2146" s="91" t="s">
        <v>1452</v>
      </c>
      <c r="F2146" s="91" t="s">
        <v>1453</v>
      </c>
    </row>
    <row r="2147" customFormat="false" ht="15" hidden="false" customHeight="false" outlineLevel="0" collapsed="false">
      <c r="A2147" s="11" t="s">
        <v>592</v>
      </c>
      <c r="C2147" s="131" t="n">
        <v>15932021.8</v>
      </c>
      <c r="D2147" s="131" t="n">
        <v>28725608.91</v>
      </c>
      <c r="E2147" s="131" t="n">
        <v>38161069.07</v>
      </c>
      <c r="F2147" s="131" t="n">
        <v>53299092.48</v>
      </c>
    </row>
    <row r="2148" customFormat="false" ht="15" hidden="false" customHeight="false" outlineLevel="0" collapsed="false">
      <c r="A2148" s="11" t="s">
        <v>595</v>
      </c>
      <c r="C2148" s="131" t="n">
        <v>18484198.14</v>
      </c>
      <c r="D2148" s="131" t="n">
        <v>28272912.26</v>
      </c>
      <c r="E2148" s="131" t="n">
        <v>40786015.18</v>
      </c>
      <c r="F2148" s="131" t="n">
        <v>56232789.54</v>
      </c>
    </row>
    <row r="2149" customFormat="false" ht="15" hidden="false" customHeight="false" outlineLevel="0" collapsed="false">
      <c r="A2149" s="11" t="s">
        <v>2783</v>
      </c>
      <c r="C2149" s="131" t="n">
        <v>8083933.77</v>
      </c>
      <c r="D2149" s="131" t="n">
        <v>7631237.12</v>
      </c>
      <c r="E2149" s="131" t="n">
        <v>10256183.23</v>
      </c>
      <c r="F2149" s="131" t="n">
        <v>13189880.29</v>
      </c>
    </row>
    <row r="2151" customFormat="false" ht="15" hidden="false" customHeight="false" outlineLevel="0" collapsed="false">
      <c r="A2151" s="3" t="s">
        <v>2784</v>
      </c>
    </row>
    <row r="2152" customFormat="false" ht="15" hidden="false" customHeight="false" outlineLevel="0" collapsed="false">
      <c r="A2152" s="2" t="s">
        <v>2785</v>
      </c>
    </row>
    <row r="2153" customFormat="false" ht="15" hidden="false" customHeight="false" outlineLevel="0" collapsed="false">
      <c r="A2153" s="90" t="s">
        <v>86</v>
      </c>
      <c r="B2153" s="130"/>
      <c r="C2153" s="130" t="s">
        <v>1522</v>
      </c>
      <c r="D2153" s="130" t="s">
        <v>772</v>
      </c>
      <c r="E2153" s="130" t="s">
        <v>2132</v>
      </c>
      <c r="F2153" s="130" t="s">
        <v>2786</v>
      </c>
      <c r="G2153" s="130" t="s">
        <v>2787</v>
      </c>
      <c r="H2153" s="130" t="s">
        <v>775</v>
      </c>
      <c r="I2153" s="130" t="s">
        <v>2788</v>
      </c>
      <c r="J2153" s="130" t="s">
        <v>2789</v>
      </c>
    </row>
    <row r="2154" customFormat="false" ht="15" hidden="false" customHeight="false" outlineLevel="0" collapsed="false">
      <c r="A2154" s="11" t="s">
        <v>2790</v>
      </c>
      <c r="C2154" s="30" t="n">
        <v>160</v>
      </c>
      <c r="D2154" s="30" t="n">
        <v>92.2823</v>
      </c>
      <c r="E2154" s="30" t="n">
        <v>59.3625</v>
      </c>
      <c r="F2154" s="30" t="n">
        <v>151.009</v>
      </c>
      <c r="H2154" s="30" t="n">
        <v>0.6359</v>
      </c>
      <c r="I2154" s="131" t="n">
        <v>94.78</v>
      </c>
      <c r="J2154" s="131" t="n">
        <v>94.78</v>
      </c>
    </row>
    <row r="2155" customFormat="false" ht="15" hidden="false" customHeight="false" outlineLevel="0" collapsed="false">
      <c r="A2155" s="11" t="s">
        <v>2791</v>
      </c>
      <c r="C2155" s="30" t="n">
        <v>221.3145</v>
      </c>
      <c r="D2155" s="30" t="n">
        <v>60.5364</v>
      </c>
      <c r="E2155" s="30" t="n">
        <v>80.5741</v>
      </c>
      <c r="F2155" s="30" t="n">
        <v>127.3076</v>
      </c>
      <c r="H2155" s="30" t="n">
        <v>13.8029</v>
      </c>
      <c r="I2155" s="131" t="n">
        <v>73.15</v>
      </c>
      <c r="J2155" s="131" t="n">
        <v>73.15</v>
      </c>
    </row>
    <row r="2156" customFormat="false" ht="15" hidden="false" customHeight="false" outlineLevel="0" collapsed="false">
      <c r="A2156" s="4" t="s">
        <v>2792</v>
      </c>
      <c r="C2156" s="30" t="n">
        <v>91</v>
      </c>
      <c r="D2156" s="30" t="n">
        <v>23.0019</v>
      </c>
      <c r="E2156" s="30" t="n">
        <v>0.7494</v>
      </c>
      <c r="F2156" s="30" t="n">
        <v>0.1394</v>
      </c>
      <c r="H2156" s="30" t="n">
        <v>23.6119</v>
      </c>
      <c r="I2156" s="131" t="n">
        <v>100.8</v>
      </c>
      <c r="J2156" s="131" t="n">
        <v>100</v>
      </c>
    </row>
    <row r="2157" customFormat="false" ht="15" hidden="false" customHeight="false" outlineLevel="0" collapsed="false">
      <c r="A2157" s="11" t="s">
        <v>1470</v>
      </c>
      <c r="C2157" s="30" t="n">
        <v>472.3145</v>
      </c>
      <c r="D2157" s="30" t="n">
        <v>175.8206</v>
      </c>
      <c r="E2157" s="30" t="n">
        <v>140.6861</v>
      </c>
      <c r="F2157" s="30" t="n">
        <v>278.456</v>
      </c>
      <c r="H2157" s="30" t="n">
        <v>38.0507</v>
      </c>
    </row>
    <row r="2159" customFormat="false" ht="15" hidden="false" customHeight="false" outlineLevel="0" collapsed="false">
      <c r="A2159" s="3" t="s">
        <v>2793</v>
      </c>
    </row>
    <row r="2160" customFormat="false" ht="15" hidden="false" customHeight="false" outlineLevel="0" collapsed="false">
      <c r="A2160" s="2" t="s">
        <v>2794</v>
      </c>
    </row>
    <row r="2161" customFormat="false" ht="15" hidden="false" customHeight="false" outlineLevel="0" collapsed="false">
      <c r="A2161" s="90" t="s">
        <v>86</v>
      </c>
      <c r="B2161" s="130"/>
      <c r="C2161" s="130" t="s">
        <v>1522</v>
      </c>
      <c r="D2161" s="130" t="s">
        <v>772</v>
      </c>
      <c r="E2161" s="130" t="s">
        <v>2132</v>
      </c>
      <c r="F2161" s="130" t="s">
        <v>2786</v>
      </c>
      <c r="G2161" s="130" t="s">
        <v>2787</v>
      </c>
      <c r="H2161" s="130" t="s">
        <v>775</v>
      </c>
      <c r="I2161" s="130" t="s">
        <v>2788</v>
      </c>
      <c r="J2161" s="130" t="s">
        <v>2789</v>
      </c>
    </row>
    <row r="2162" customFormat="false" ht="15" hidden="false" customHeight="false" outlineLevel="0" collapsed="false">
      <c r="A2162" s="11" t="s">
        <v>2790</v>
      </c>
      <c r="C2162" s="30" t="n">
        <v>130</v>
      </c>
      <c r="D2162" s="30" t="n">
        <v>13.6379</v>
      </c>
      <c r="E2162" s="30" t="n">
        <v>78.6444</v>
      </c>
      <c r="H2162" s="30" t="n">
        <v>92.2823</v>
      </c>
      <c r="I2162" s="131" t="n">
        <v>70.99</v>
      </c>
      <c r="J2162" s="131" t="n">
        <v>70.99</v>
      </c>
    </row>
    <row r="2163" customFormat="false" ht="15" hidden="false" customHeight="false" outlineLevel="0" collapsed="false">
      <c r="A2163" s="11" t="s">
        <v>2795</v>
      </c>
      <c r="C2163" s="30" t="n">
        <v>200</v>
      </c>
      <c r="D2163" s="30" t="n">
        <v>100.2978</v>
      </c>
      <c r="E2163" s="30" t="n">
        <v>80.7586</v>
      </c>
      <c r="F2163" s="30" t="n">
        <v>138.0325</v>
      </c>
      <c r="G2163" s="30" t="n">
        <v>42.4892</v>
      </c>
      <c r="H2163" s="30" t="n">
        <v>0.5346</v>
      </c>
      <c r="I2163" s="131" t="n">
        <v>90.53</v>
      </c>
      <c r="J2163" s="131" t="n">
        <v>90.53</v>
      </c>
    </row>
    <row r="2164" customFormat="false" ht="15" hidden="false" customHeight="false" outlineLevel="0" collapsed="false">
      <c r="A2164" s="11" t="s">
        <v>2796</v>
      </c>
      <c r="C2164" s="30" t="n">
        <v>888.9828</v>
      </c>
      <c r="D2164" s="30" t="n">
        <v>60.6473</v>
      </c>
      <c r="E2164" s="30" t="n">
        <v>86.3943</v>
      </c>
      <c r="F2164" s="30" t="n">
        <v>146.5421</v>
      </c>
      <c r="H2164" s="30" t="n">
        <v>0.4995</v>
      </c>
      <c r="I2164" s="131" t="n">
        <v>99.94</v>
      </c>
      <c r="J2164" s="131" t="n">
        <v>99.94</v>
      </c>
    </row>
    <row r="2165" customFormat="false" ht="15" hidden="false" customHeight="false" outlineLevel="0" collapsed="false">
      <c r="A2165" s="11" t="s">
        <v>2797</v>
      </c>
      <c r="C2165" s="30" t="n">
        <v>180</v>
      </c>
      <c r="E2165" s="30" t="n">
        <v>81.3277</v>
      </c>
      <c r="F2165" s="30" t="n">
        <v>20.7914</v>
      </c>
      <c r="H2165" s="30" t="n">
        <v>60.5364</v>
      </c>
      <c r="I2165" s="131" t="n">
        <v>45.18</v>
      </c>
      <c r="J2165" s="131" t="n">
        <v>45.18</v>
      </c>
    </row>
    <row r="2166" customFormat="false" ht="15" hidden="false" customHeight="false" outlineLevel="0" collapsed="false">
      <c r="A2166" s="4" t="s">
        <v>2792</v>
      </c>
      <c r="C2166" s="30" t="n">
        <v>91</v>
      </c>
      <c r="D2166" s="30" t="n">
        <v>67.9976</v>
      </c>
      <c r="E2166" s="30" t="n">
        <v>22.9801</v>
      </c>
      <c r="F2166" s="30" t="n">
        <v>67.9758</v>
      </c>
      <c r="H2166" s="30" t="n">
        <v>23.0019</v>
      </c>
      <c r="I2166" s="131" t="n">
        <v>99.98</v>
      </c>
      <c r="J2166" s="131" t="n">
        <v>99.98</v>
      </c>
    </row>
    <row r="2167" customFormat="false" ht="15" hidden="false" customHeight="false" outlineLevel="0" collapsed="false">
      <c r="A2167" s="11" t="s">
        <v>1470</v>
      </c>
      <c r="C2167" s="30" t="n">
        <v>1489.9829</v>
      </c>
      <c r="D2167" s="30" t="n">
        <v>242.5806</v>
      </c>
      <c r="E2167" s="30" t="n">
        <v>350.1051</v>
      </c>
      <c r="F2167" s="30" t="n">
        <v>373.3417</v>
      </c>
      <c r="G2167" s="30" t="n">
        <v>42.4892</v>
      </c>
      <c r="H2167" s="30" t="n">
        <v>176.8547</v>
      </c>
    </row>
    <row r="2169" customFormat="false" ht="15" hidden="false" customHeight="false" outlineLevel="0" collapsed="false">
      <c r="A2169" s="3" t="s">
        <v>2798</v>
      </c>
    </row>
    <row r="2170" customFormat="false" ht="15" hidden="false" customHeight="false" outlineLevel="0" collapsed="false">
      <c r="A2170" s="2" t="s">
        <v>2799</v>
      </c>
    </row>
    <row r="2171" customFormat="false" ht="15" hidden="false" customHeight="false" outlineLevel="0" collapsed="false">
      <c r="A2171" s="90" t="s">
        <v>86</v>
      </c>
      <c r="B2171" s="130"/>
      <c r="C2171" s="130" t="s">
        <v>1522</v>
      </c>
      <c r="D2171" s="130" t="s">
        <v>772</v>
      </c>
      <c r="E2171" s="130" t="s">
        <v>2132</v>
      </c>
      <c r="F2171" s="130" t="s">
        <v>2786</v>
      </c>
      <c r="G2171" s="130" t="s">
        <v>2787</v>
      </c>
      <c r="H2171" s="130" t="s">
        <v>775</v>
      </c>
      <c r="I2171" s="130" t="s">
        <v>2788</v>
      </c>
      <c r="J2171" s="130" t="s">
        <v>2789</v>
      </c>
    </row>
    <row r="2172" customFormat="false" ht="15" hidden="false" customHeight="false" outlineLevel="0" collapsed="false">
      <c r="A2172" s="11" t="s">
        <v>2790</v>
      </c>
      <c r="C2172" s="30" t="n">
        <v>130</v>
      </c>
      <c r="D2172" s="30" t="n">
        <v>92.2823</v>
      </c>
      <c r="E2172" s="30" t="n">
        <v>13.2094</v>
      </c>
      <c r="H2172" s="30" t="n">
        <v>105.4918</v>
      </c>
      <c r="I2172" s="131" t="n">
        <v>81.15</v>
      </c>
      <c r="J2172" s="131" t="n">
        <v>81.15</v>
      </c>
    </row>
    <row r="2173" customFormat="false" ht="15" hidden="false" customHeight="false" outlineLevel="0" collapsed="false">
      <c r="A2173" s="11" t="s">
        <v>2797</v>
      </c>
      <c r="C2173" s="30" t="n">
        <v>180</v>
      </c>
      <c r="D2173" s="30" t="n">
        <v>60.5364</v>
      </c>
      <c r="E2173" s="30" t="n">
        <v>54.8799</v>
      </c>
      <c r="F2173" s="30" t="n">
        <v>113.8295</v>
      </c>
      <c r="H2173" s="30" t="n">
        <v>1.5868</v>
      </c>
      <c r="I2173" s="131" t="n">
        <v>75.67</v>
      </c>
      <c r="J2173" s="131" t="n">
        <v>75.67</v>
      </c>
    </row>
    <row r="2174" customFormat="false" ht="15" hidden="false" customHeight="false" outlineLevel="0" collapsed="false">
      <c r="A2174" s="4" t="s">
        <v>2792</v>
      </c>
      <c r="C2174" s="30" t="n">
        <v>91</v>
      </c>
      <c r="D2174" s="30" t="n">
        <v>23.0019</v>
      </c>
      <c r="F2174" s="30" t="n">
        <v>6.2964</v>
      </c>
      <c r="H2174" s="30" t="n">
        <v>16.7055</v>
      </c>
      <c r="I2174" s="131" t="n">
        <v>99.98</v>
      </c>
      <c r="J2174" s="131" t="n">
        <v>99.98</v>
      </c>
    </row>
    <row r="2175" customFormat="false" ht="15" hidden="false" customHeight="false" outlineLevel="0" collapsed="false">
      <c r="A2175" s="11" t="s">
        <v>1470</v>
      </c>
      <c r="C2175" s="30" t="n">
        <v>401</v>
      </c>
      <c r="D2175" s="30" t="n">
        <v>175.8206</v>
      </c>
      <c r="E2175" s="30" t="n">
        <v>68.0894</v>
      </c>
      <c r="F2175" s="30" t="n">
        <v>120.1259</v>
      </c>
      <c r="H2175" s="30" t="n">
        <v>123.7841</v>
      </c>
    </row>
    <row r="2177" customFormat="false" ht="15" hidden="false" customHeight="false" outlineLevel="0" collapsed="false">
      <c r="A2177" s="3" t="s">
        <v>2800</v>
      </c>
    </row>
    <row r="2178" customFormat="false" ht="15" hidden="false" customHeight="false" outlineLevel="0" collapsed="false">
      <c r="A2178" s="2" t="s">
        <v>2801</v>
      </c>
    </row>
    <row r="2179" customFormat="false" ht="15" hidden="false" customHeight="false" outlineLevel="0" collapsed="false">
      <c r="A2179" s="90" t="s">
        <v>86</v>
      </c>
      <c r="B2179" s="130"/>
      <c r="C2179" s="130" t="s">
        <v>1522</v>
      </c>
      <c r="D2179" s="130" t="s">
        <v>772</v>
      </c>
      <c r="E2179" s="130" t="s">
        <v>2132</v>
      </c>
      <c r="F2179" s="130" t="s">
        <v>2786</v>
      </c>
      <c r="G2179" s="130" t="s">
        <v>2787</v>
      </c>
      <c r="H2179" s="130" t="s">
        <v>775</v>
      </c>
      <c r="I2179" s="130" t="s">
        <v>2788</v>
      </c>
      <c r="J2179" s="130" t="s">
        <v>2789</v>
      </c>
    </row>
    <row r="2180" customFormat="false" ht="15" hidden="false" customHeight="false" outlineLevel="0" collapsed="false">
      <c r="A2180" s="11" t="s">
        <v>2802</v>
      </c>
      <c r="C2180" s="30" t="n">
        <v>365</v>
      </c>
      <c r="D2180" s="30" t="n">
        <v>14.8139</v>
      </c>
      <c r="E2180" s="30" t="n">
        <v>81.8346</v>
      </c>
      <c r="F2180" s="30" t="n">
        <v>40.9514</v>
      </c>
      <c r="H2180" s="30" t="n">
        <v>55.6971</v>
      </c>
      <c r="I2180" s="131" t="n">
        <v>67.05</v>
      </c>
      <c r="J2180" s="131" t="n">
        <v>67.05</v>
      </c>
    </row>
    <row r="2181" customFormat="false" ht="15" hidden="false" customHeight="false" outlineLevel="0" collapsed="false">
      <c r="A2181" s="11" t="s">
        <v>1470</v>
      </c>
      <c r="C2181" s="30" t="n">
        <v>365</v>
      </c>
      <c r="D2181" s="30" t="n">
        <v>14.8139</v>
      </c>
      <c r="E2181" s="30" t="n">
        <v>81.8346</v>
      </c>
      <c r="F2181" s="30" t="n">
        <v>40.9514</v>
      </c>
      <c r="H2181" s="30" t="n">
        <v>55.6971</v>
      </c>
    </row>
    <row r="2183" customFormat="false" ht="15" hidden="false" customHeight="false" outlineLevel="0" collapsed="false">
      <c r="A2183" s="3" t="s">
        <v>2803</v>
      </c>
    </row>
    <row r="2184" customFormat="false" ht="15" hidden="false" customHeight="false" outlineLevel="0" collapsed="false">
      <c r="A2184" s="2" t="s">
        <v>2804</v>
      </c>
    </row>
    <row r="2185" customFormat="false" ht="15" hidden="false" customHeight="false" outlineLevel="0" collapsed="false">
      <c r="A2185" s="90" t="s">
        <v>86</v>
      </c>
      <c r="B2185" s="130"/>
      <c r="C2185" s="91" t="s">
        <v>2609</v>
      </c>
      <c r="D2185" s="91" t="s">
        <v>2610</v>
      </c>
      <c r="E2185" s="91" t="s">
        <v>2611</v>
      </c>
    </row>
    <row r="2186" customFormat="false" ht="15" hidden="false" customHeight="false" outlineLevel="0" collapsed="false">
      <c r="A2186" s="11" t="s">
        <v>1510</v>
      </c>
      <c r="C2186" s="30" t="n">
        <v>399.543</v>
      </c>
      <c r="D2186" s="30" t="n">
        <v>354.5874</v>
      </c>
      <c r="E2186" s="30" t="n">
        <v>769.5485</v>
      </c>
    </row>
    <row r="2187" customFormat="false" ht="15" hidden="false" customHeight="false" outlineLevel="0" collapsed="false">
      <c r="A2187" s="11" t="s">
        <v>1519</v>
      </c>
      <c r="C2187" s="30" t="n">
        <v>194.1218</v>
      </c>
      <c r="D2187" s="30" t="n">
        <v>45.5872</v>
      </c>
      <c r="E2187" s="30" t="n">
        <v>78.8253</v>
      </c>
    </row>
    <row r="2188" customFormat="false" ht="15" hidden="false" customHeight="false" outlineLevel="0" collapsed="false">
      <c r="A2188" s="11" t="s">
        <v>1470</v>
      </c>
      <c r="C2188" s="30" t="n">
        <v>593.6648</v>
      </c>
      <c r="D2188" s="30" t="n">
        <v>400.1746</v>
      </c>
      <c r="E2188" s="30" t="n">
        <v>848.3738</v>
      </c>
    </row>
    <row r="2190" customFormat="false" ht="15" hidden="false" customHeight="false" outlineLevel="0" collapsed="false">
      <c r="A2190" s="38" t="s">
        <v>2805</v>
      </c>
    </row>
    <row r="2191" customFormat="false" ht="15" hidden="false" customHeight="false" outlineLevel="0" collapsed="false">
      <c r="A2191" s="2" t="s">
        <v>2806</v>
      </c>
    </row>
    <row r="2192" customFormat="false" ht="15" hidden="false" customHeight="false" outlineLevel="0" collapsed="false">
      <c r="A2192" s="90" t="s">
        <v>86</v>
      </c>
      <c r="B2192" s="130"/>
      <c r="C2192" s="91" t="s">
        <v>1272</v>
      </c>
      <c r="D2192" s="91" t="s">
        <v>1453</v>
      </c>
      <c r="E2192" s="91" t="s">
        <v>1273</v>
      </c>
    </row>
    <row r="2193" customFormat="false" ht="15" hidden="false" customHeight="false" outlineLevel="0" collapsed="false">
      <c r="A2193" s="11" t="s">
        <v>1881</v>
      </c>
      <c r="C2193" s="30" t="n">
        <v>3900</v>
      </c>
      <c r="D2193" s="30" t="n">
        <v>3900</v>
      </c>
      <c r="E2193" s="30" t="n">
        <v>3900</v>
      </c>
    </row>
    <row r="2194" customFormat="false" ht="15" hidden="false" customHeight="false" outlineLevel="0" collapsed="false">
      <c r="A2194" s="11" t="s">
        <v>1882</v>
      </c>
      <c r="C2194" s="30" t="n">
        <v>3879.8117</v>
      </c>
      <c r="D2194" s="30" t="n">
        <v>3879.8117</v>
      </c>
      <c r="E2194" s="30" t="n">
        <v>3879.8117</v>
      </c>
    </row>
    <row r="2195" customFormat="false" ht="15" hidden="false" customHeight="false" outlineLevel="0" collapsed="false">
      <c r="A2195" s="11" t="s">
        <v>2807</v>
      </c>
      <c r="C2195" s="30" t="n">
        <v>282.0062</v>
      </c>
      <c r="D2195" s="30" t="n">
        <v>491.3611</v>
      </c>
      <c r="E2195" s="30" t="n">
        <v>560.339</v>
      </c>
    </row>
    <row r="2196" customFormat="false" ht="15" hidden="false" customHeight="false" outlineLevel="0" collapsed="false">
      <c r="A2196" s="11" t="s">
        <v>2808</v>
      </c>
      <c r="C2196" s="30" t="n">
        <v>1237.4727</v>
      </c>
      <c r="D2196" s="30" t="n">
        <v>1446.8276</v>
      </c>
      <c r="E2196" s="30" t="n">
        <v>2007.1666</v>
      </c>
    </row>
    <row r="2197" customFormat="false" ht="15" hidden="false" customHeight="false" outlineLevel="0" collapsed="false">
      <c r="A2197" s="11" t="s">
        <v>2809</v>
      </c>
      <c r="C2197" s="131" t="n">
        <v>31.9</v>
      </c>
      <c r="D2197" s="131" t="n">
        <v>37.29</v>
      </c>
      <c r="E2197" s="131" t="n">
        <v>51.73</v>
      </c>
    </row>
    <row r="2198" customFormat="false" ht="15" hidden="false" customHeight="false" outlineLevel="0" collapsed="false">
      <c r="A2198" s="11" t="s">
        <v>1888</v>
      </c>
      <c r="C2198" s="30" t="n">
        <v>2642.339</v>
      </c>
      <c r="D2198" s="30" t="n">
        <v>2432.9841</v>
      </c>
      <c r="E2198" s="30" t="n">
        <v>1872.6451</v>
      </c>
    </row>
    <row r="2199" customFormat="false" ht="15" hidden="false" customHeight="false" outlineLevel="0" collapsed="false">
      <c r="A2199" s="11" t="s">
        <v>2810</v>
      </c>
      <c r="C2199" s="30" t="n">
        <v>3750</v>
      </c>
      <c r="D2199" s="30" t="n">
        <v>3750</v>
      </c>
      <c r="E2199" s="30" t="n">
        <v>3750</v>
      </c>
    </row>
    <row r="2200" customFormat="false" ht="15" hidden="false" customHeight="false" outlineLevel="0" collapsed="false">
      <c r="A2200" s="11" t="s">
        <v>2811</v>
      </c>
      <c r="C2200" s="30" t="n">
        <v>3729.8117</v>
      </c>
      <c r="D2200" s="30" t="n">
        <v>3729.8117</v>
      </c>
      <c r="E2200" s="30" t="n">
        <v>3729.8117</v>
      </c>
    </row>
    <row r="2201" customFormat="false" ht="15" hidden="false" customHeight="false" outlineLevel="0" collapsed="false">
      <c r="A2201" s="11" t="s">
        <v>2812</v>
      </c>
      <c r="C2201" s="30" t="n">
        <v>282.0062</v>
      </c>
      <c r="D2201" s="30" t="n">
        <v>491.3611</v>
      </c>
      <c r="E2201" s="30" t="n">
        <v>560.339</v>
      </c>
    </row>
    <row r="2202" customFormat="false" ht="15" hidden="false" customHeight="false" outlineLevel="0" collapsed="false">
      <c r="A2202" s="11" t="s">
        <v>2813</v>
      </c>
      <c r="C2202" s="30" t="n">
        <v>1091.7983</v>
      </c>
      <c r="D2202" s="30" t="n">
        <v>1301.1532</v>
      </c>
      <c r="E2202" s="30" t="n">
        <v>1861.4922</v>
      </c>
    </row>
    <row r="2203" customFormat="false" ht="15" hidden="false" customHeight="false" outlineLevel="0" collapsed="false">
      <c r="A2203" s="11" t="s">
        <v>2814</v>
      </c>
      <c r="C2203" s="131" t="n">
        <v>29.27</v>
      </c>
      <c r="D2203" s="131" t="n">
        <v>34.89</v>
      </c>
      <c r="E2203" s="131" t="n">
        <v>49.91</v>
      </c>
    </row>
    <row r="2204" customFormat="false" ht="15" hidden="false" customHeight="false" outlineLevel="0" collapsed="false">
      <c r="A2204" s="11" t="s">
        <v>2815</v>
      </c>
      <c r="C2204" s="30" t="n">
        <v>150</v>
      </c>
      <c r="D2204" s="30" t="n">
        <v>150</v>
      </c>
      <c r="E2204" s="30" t="n">
        <v>150</v>
      </c>
    </row>
    <row r="2205" customFormat="false" ht="15" hidden="false" customHeight="false" outlineLevel="0" collapsed="false">
      <c r="A2205" s="11" t="s">
        <v>2816</v>
      </c>
      <c r="C2205" s="30" t="n">
        <v>145.6744</v>
      </c>
      <c r="D2205" s="30" t="n">
        <v>145.6744</v>
      </c>
      <c r="E2205" s="30" t="n">
        <v>145.6744</v>
      </c>
    </row>
    <row r="2206" customFormat="false" ht="15" hidden="false" customHeight="false" outlineLevel="0" collapsed="false">
      <c r="A2206" s="11" t="s">
        <v>2817</v>
      </c>
      <c r="C2206" s="131" t="n">
        <v>97.12</v>
      </c>
      <c r="D2206" s="131" t="n">
        <v>97.12</v>
      </c>
      <c r="E2206" s="131" t="n">
        <v>97.12</v>
      </c>
    </row>
    <row r="2208" customFormat="false" ht="15" hidden="false" customHeight="false" outlineLevel="0" collapsed="false">
      <c r="A2208" s="3" t="s">
        <v>2818</v>
      </c>
    </row>
    <row r="2209" customFormat="false" ht="15" hidden="false" customHeight="false" outlineLevel="0" collapsed="false">
      <c r="A2209" s="2" t="s">
        <v>2819</v>
      </c>
    </row>
    <row r="2210" customFormat="false" ht="15" hidden="false" customHeight="false" outlineLevel="0" collapsed="false">
      <c r="A2210" s="90" t="s">
        <v>86</v>
      </c>
      <c r="B2210" s="130"/>
      <c r="C2210" s="130" t="s">
        <v>2820</v>
      </c>
      <c r="D2210" s="130" t="s">
        <v>2821</v>
      </c>
      <c r="E2210" s="130" t="s">
        <v>2822</v>
      </c>
      <c r="F2210" s="130" t="s">
        <v>2823</v>
      </c>
      <c r="G2210" s="130" t="s">
        <v>2824</v>
      </c>
      <c r="H2210" s="130" t="s">
        <v>2825</v>
      </c>
    </row>
    <row r="2211" customFormat="false" ht="15" hidden="false" customHeight="false" outlineLevel="0" collapsed="false">
      <c r="A2211" s="11" t="s">
        <v>2826</v>
      </c>
      <c r="C2211" s="30" t="n">
        <v>58.1753</v>
      </c>
      <c r="D2211" s="131" t="n">
        <v>100</v>
      </c>
      <c r="F2211" s="30" t="n">
        <v>59.13</v>
      </c>
      <c r="G2211" s="30" t="n">
        <v>59.13</v>
      </c>
      <c r="H2211" s="30" t="n">
        <v>59.13</v>
      </c>
    </row>
    <row r="2212" customFormat="false" ht="15" hidden="false" customHeight="false" outlineLevel="0" collapsed="false">
      <c r="A2212" s="11" t="s">
        <v>2827</v>
      </c>
      <c r="C2212" s="30" t="n">
        <v>488.1588</v>
      </c>
      <c r="D2212" s="131" t="n">
        <v>100</v>
      </c>
      <c r="F2212" s="30" t="n">
        <v>487.9223</v>
      </c>
      <c r="G2212" s="30" t="n">
        <v>487.9223</v>
      </c>
      <c r="H2212" s="30" t="n">
        <v>487.9223</v>
      </c>
    </row>
    <row r="2213" customFormat="false" ht="15" hidden="false" customHeight="false" outlineLevel="0" collapsed="false">
      <c r="A2213" s="11" t="s">
        <v>2828</v>
      </c>
      <c r="C2213" s="30" t="n">
        <v>60</v>
      </c>
      <c r="D2213" s="131" t="n">
        <v>100</v>
      </c>
      <c r="F2213" s="30" t="n">
        <v>60</v>
      </c>
      <c r="G2213" s="30" t="n">
        <v>60</v>
      </c>
      <c r="H2213" s="30" t="n">
        <v>60</v>
      </c>
    </row>
    <row r="2214" customFormat="false" ht="15" hidden="false" customHeight="false" outlineLevel="0" collapsed="false">
      <c r="A2214" s="4" t="s">
        <v>2829</v>
      </c>
      <c r="C2214" s="30" t="n">
        <v>27.6406</v>
      </c>
      <c r="E2214" s="131" t="n">
        <v>100</v>
      </c>
    </row>
    <row r="2215" customFormat="false" ht="15" hidden="false" customHeight="false" outlineLevel="0" collapsed="false">
      <c r="A2215" s="4" t="s">
        <v>2830</v>
      </c>
      <c r="C2215" s="30" t="n">
        <v>0.1937</v>
      </c>
      <c r="E2215" s="131" t="n">
        <v>100</v>
      </c>
    </row>
    <row r="2216" customFormat="false" ht="15" hidden="false" customHeight="false" outlineLevel="0" collapsed="false">
      <c r="A2216" s="4" t="s">
        <v>2831</v>
      </c>
      <c r="C2216" s="30" t="n">
        <v>25.774</v>
      </c>
      <c r="E2216" s="131" t="n">
        <v>100</v>
      </c>
    </row>
    <row r="2217" customFormat="false" ht="15" hidden="false" customHeight="false" outlineLevel="0" collapsed="false">
      <c r="A2217" s="4" t="s">
        <v>2832</v>
      </c>
      <c r="C2217" s="30" t="n">
        <v>0.1976</v>
      </c>
      <c r="E2217" s="131" t="n">
        <v>100</v>
      </c>
    </row>
    <row r="2218" customFormat="false" ht="15" hidden="false" customHeight="false" outlineLevel="0" collapsed="false">
      <c r="A2218" s="11" t="s">
        <v>2833</v>
      </c>
      <c r="C2218" s="30" t="n">
        <v>0.6253</v>
      </c>
      <c r="E2218" s="131" t="n">
        <v>100</v>
      </c>
    </row>
    <row r="2219" customFormat="false" ht="15" hidden="false" customHeight="false" outlineLevel="0" collapsed="false">
      <c r="A2219" s="4" t="s">
        <v>2834</v>
      </c>
      <c r="C2219" s="30" t="n">
        <v>1.0029</v>
      </c>
      <c r="E2219" s="131" t="n">
        <v>100</v>
      </c>
    </row>
    <row r="2220" customFormat="false" ht="15" hidden="false" customHeight="false" outlineLevel="0" collapsed="false">
      <c r="A2220" s="4" t="s">
        <v>2835</v>
      </c>
      <c r="C2220" s="30" t="n">
        <v>0.6243</v>
      </c>
      <c r="E2220" s="131" t="n">
        <v>100</v>
      </c>
    </row>
    <row r="2221" customFormat="false" ht="15" hidden="false" customHeight="false" outlineLevel="0" collapsed="false">
      <c r="A2221" s="4" t="s">
        <v>2836</v>
      </c>
      <c r="C2221" s="30" t="n">
        <v>0.5922</v>
      </c>
      <c r="E2221" s="131" t="n">
        <v>100</v>
      </c>
    </row>
    <row r="2222" customFormat="false" ht="15" hidden="false" customHeight="false" outlineLevel="0" collapsed="false">
      <c r="A2222" s="4" t="s">
        <v>2837</v>
      </c>
      <c r="C2222" s="30" t="n">
        <v>0.8685</v>
      </c>
      <c r="E2222" s="131" t="n">
        <v>99.99</v>
      </c>
    </row>
    <row r="2223" customFormat="false" ht="15" hidden="false" customHeight="false" outlineLevel="0" collapsed="false">
      <c r="A2223" s="4" t="s">
        <v>2838</v>
      </c>
      <c r="C2223" s="30" t="n">
        <v>45.8537</v>
      </c>
      <c r="E2223" s="131" t="n">
        <v>100</v>
      </c>
    </row>
    <row r="2224" customFormat="false" ht="15" hidden="false" customHeight="false" outlineLevel="0" collapsed="false">
      <c r="A2224" s="11" t="s">
        <v>2839</v>
      </c>
      <c r="C2224" s="30" t="n">
        <v>2.0125</v>
      </c>
      <c r="E2224" s="131" t="n">
        <v>100</v>
      </c>
    </row>
    <row r="2225" customFormat="false" ht="15" hidden="false" customHeight="false" outlineLevel="0" collapsed="false">
      <c r="A2225" s="11" t="s">
        <v>2840</v>
      </c>
      <c r="C2225" s="30" t="n">
        <v>33.4</v>
      </c>
      <c r="D2225" s="131" t="n">
        <v>80.84</v>
      </c>
      <c r="E2225" s="131" t="n">
        <v>5.39</v>
      </c>
      <c r="F2225" s="30" t="n">
        <v>27</v>
      </c>
      <c r="G2225" s="30" t="n">
        <v>27</v>
      </c>
      <c r="H2225" s="30" t="n">
        <v>27</v>
      </c>
    </row>
    <row r="2226" customFormat="false" ht="15" hidden="false" customHeight="false" outlineLevel="0" collapsed="false">
      <c r="A2226" s="11" t="s">
        <v>2841</v>
      </c>
      <c r="C2226" s="30" t="n">
        <v>200</v>
      </c>
      <c r="D2226" s="131" t="n">
        <v>100</v>
      </c>
      <c r="F2226" s="30" t="n">
        <v>200</v>
      </c>
      <c r="G2226" s="30" t="n">
        <v>200</v>
      </c>
      <c r="H2226" s="30" t="n">
        <v>200</v>
      </c>
    </row>
    <row r="2227" customFormat="false" ht="15" hidden="false" customHeight="false" outlineLevel="0" collapsed="false">
      <c r="A2227" s="11" t="s">
        <v>2842</v>
      </c>
      <c r="C2227" s="30" t="n">
        <v>0.5</v>
      </c>
      <c r="D2227" s="131" t="n">
        <v>100</v>
      </c>
      <c r="F2227" s="30" t="n">
        <v>0.25</v>
      </c>
      <c r="G2227" s="30" t="n">
        <v>0.25</v>
      </c>
      <c r="H2227" s="30" t="n">
        <v>0.25</v>
      </c>
    </row>
    <row r="2228" customFormat="false" ht="15" hidden="false" customHeight="false" outlineLevel="0" collapsed="false">
      <c r="A2228" s="11" t="s">
        <v>2843</v>
      </c>
      <c r="C2228" s="30" t="n">
        <v>100</v>
      </c>
      <c r="D2228" s="131" t="n">
        <v>100</v>
      </c>
      <c r="F2228" s="30" t="n">
        <v>100</v>
      </c>
      <c r="G2228" s="30" t="n">
        <v>100</v>
      </c>
      <c r="H2228" s="30" t="n">
        <v>100</v>
      </c>
    </row>
    <row r="2229" customFormat="false" ht="15" hidden="false" customHeight="false" outlineLevel="0" collapsed="false">
      <c r="A2229" s="11" t="s">
        <v>2844</v>
      </c>
      <c r="C2229" s="30" t="n">
        <v>100</v>
      </c>
      <c r="D2229" s="131" t="n">
        <v>100</v>
      </c>
      <c r="F2229" s="30" t="n">
        <v>100</v>
      </c>
      <c r="G2229" s="30" t="n">
        <v>100</v>
      </c>
      <c r="H2229" s="30" t="n">
        <v>100</v>
      </c>
    </row>
    <row r="2230" customFormat="false" ht="15" hidden="false" customHeight="false" outlineLevel="0" collapsed="false">
      <c r="A2230" s="11" t="s">
        <v>2845</v>
      </c>
      <c r="C2230" s="30" t="n">
        <v>10</v>
      </c>
      <c r="D2230" s="131" t="n">
        <v>100</v>
      </c>
      <c r="F2230" s="30" t="n">
        <v>10</v>
      </c>
      <c r="G2230" s="30" t="n">
        <v>10</v>
      </c>
      <c r="H2230" s="30" t="n">
        <v>10</v>
      </c>
    </row>
    <row r="2231" customFormat="false" ht="15" hidden="false" customHeight="false" outlineLevel="0" collapsed="false">
      <c r="A2231" s="11" t="s">
        <v>2846</v>
      </c>
      <c r="C2231" s="30" t="n">
        <v>1</v>
      </c>
      <c r="D2231" s="131" t="n">
        <v>100</v>
      </c>
      <c r="F2231" s="30" t="n">
        <v>0.1</v>
      </c>
      <c r="G2231" s="30" t="n">
        <v>0.5</v>
      </c>
      <c r="H2231" s="30" t="n">
        <v>0.7</v>
      </c>
    </row>
    <row r="2232" customFormat="false" ht="15" hidden="false" customHeight="false" outlineLevel="0" collapsed="false">
      <c r="A2232" s="11" t="s">
        <v>2847</v>
      </c>
      <c r="C2232" s="30" t="n">
        <v>1</v>
      </c>
      <c r="D2232" s="131" t="n">
        <v>100</v>
      </c>
      <c r="H2232" s="30" t="n">
        <v>0.2</v>
      </c>
    </row>
    <row r="2233" customFormat="false" ht="15" hidden="false" customHeight="false" outlineLevel="0" collapsed="false">
      <c r="A2233" s="11" t="s">
        <v>2848</v>
      </c>
      <c r="C2233" s="30" t="n">
        <v>100</v>
      </c>
      <c r="D2233" s="131" t="n">
        <v>100</v>
      </c>
      <c r="H2233" s="30" t="n">
        <v>3</v>
      </c>
    </row>
    <row r="2234" customFormat="false" ht="15" hidden="false" customHeight="false" outlineLevel="0" collapsed="false">
      <c r="A2234" s="11" t="s">
        <v>2849</v>
      </c>
      <c r="F2234" s="30" t="n">
        <v>1</v>
      </c>
    </row>
    <row r="2235" customFormat="false" ht="15" hidden="false" customHeight="false" outlineLevel="0" collapsed="false">
      <c r="A2235" s="11" t="s">
        <v>2850</v>
      </c>
      <c r="F2235" s="30" t="n">
        <v>1045.4023</v>
      </c>
      <c r="G2235" s="30" t="n">
        <v>1044.8023</v>
      </c>
      <c r="H2235" s="30" t="n">
        <v>1048.2023</v>
      </c>
    </row>
    <row r="2237" customFormat="false" ht="15" hidden="false" customHeight="false" outlineLevel="0" collapsed="false">
      <c r="A2237" s="3" t="s">
        <v>2851</v>
      </c>
    </row>
    <row r="2238" customFormat="false" ht="15" hidden="false" customHeight="false" outlineLevel="0" collapsed="false">
      <c r="A2238" s="2" t="s">
        <v>2852</v>
      </c>
    </row>
    <row r="2239" customFormat="false" ht="15" hidden="false" customHeight="false" outlineLevel="0" collapsed="false">
      <c r="A2239" s="90" t="s">
        <v>86</v>
      </c>
      <c r="B2239" s="130"/>
      <c r="C2239" s="91" t="s">
        <v>1452</v>
      </c>
      <c r="D2239" s="91" t="s">
        <v>1453</v>
      </c>
      <c r="E2239" s="91" t="s">
        <v>1614</v>
      </c>
      <c r="F2239" s="91" t="s">
        <v>1272</v>
      </c>
      <c r="G2239" s="91" t="s">
        <v>1273</v>
      </c>
    </row>
    <row r="2240" customFormat="false" ht="15" hidden="false" customHeight="false" outlineLevel="0" collapsed="false">
      <c r="A2240" s="11" t="s">
        <v>2853</v>
      </c>
      <c r="C2240" s="30" t="n">
        <v>4529.0799</v>
      </c>
      <c r="D2240" s="30" t="n">
        <v>5478.8505</v>
      </c>
      <c r="E2240" s="30" t="n">
        <v>2157.0327</v>
      </c>
      <c r="F2240" s="30" t="n">
        <v>2348.2961</v>
      </c>
      <c r="G2240" s="30" t="n">
        <v>4464.6562</v>
      </c>
    </row>
    <row r="2241" customFormat="false" ht="15" hidden="false" customHeight="false" outlineLevel="0" collapsed="false">
      <c r="A2241" s="11" t="s">
        <v>2854</v>
      </c>
      <c r="C2241" s="30" t="n">
        <v>4047.8864</v>
      </c>
      <c r="D2241" s="30" t="n">
        <v>4838.2791</v>
      </c>
      <c r="E2241" s="30" t="n">
        <v>1962.8501</v>
      </c>
      <c r="F2241" s="30" t="n">
        <v>2102.8882</v>
      </c>
      <c r="G2241" s="30" t="n">
        <v>3776.8899</v>
      </c>
    </row>
    <row r="2242" customFormat="false" ht="15" hidden="false" customHeight="false" outlineLevel="0" collapsed="false">
      <c r="A2242" s="11" t="s">
        <v>2855</v>
      </c>
      <c r="C2242" s="30" t="n">
        <v>481.1934</v>
      </c>
      <c r="D2242" s="30" t="n">
        <v>640.5714</v>
      </c>
      <c r="E2242" s="30" t="n">
        <v>194.1826</v>
      </c>
      <c r="F2242" s="30" t="n">
        <v>245.4078</v>
      </c>
      <c r="G2242" s="30" t="n">
        <v>687.7663</v>
      </c>
    </row>
    <row r="2243" customFormat="false" ht="15" hidden="false" customHeight="false" outlineLevel="0" collapsed="false">
      <c r="A2243" s="11" t="s">
        <v>2856</v>
      </c>
      <c r="C2243" s="30" t="n">
        <v>3514.8412</v>
      </c>
      <c r="D2243" s="30" t="n">
        <v>3977.0684</v>
      </c>
      <c r="E2243" s="30" t="n">
        <v>1646.5103</v>
      </c>
      <c r="F2243" s="30" t="n">
        <v>1769.8807</v>
      </c>
      <c r="G2243" s="30" t="n">
        <v>3066.2907</v>
      </c>
    </row>
    <row r="2244" customFormat="false" ht="15" hidden="false" customHeight="false" outlineLevel="0" collapsed="false">
      <c r="A2244" s="11" t="s">
        <v>2857</v>
      </c>
      <c r="C2244" s="30" t="n">
        <v>3144.0912</v>
      </c>
      <c r="D2244" s="30" t="n">
        <v>3535.7242</v>
      </c>
      <c r="E2244" s="30" t="n">
        <v>1494.2516</v>
      </c>
      <c r="F2244" s="30" t="n">
        <v>1585.5381</v>
      </c>
      <c r="G2244" s="30" t="n">
        <v>2611.4892</v>
      </c>
    </row>
    <row r="2245" customFormat="false" ht="15" hidden="false" customHeight="false" outlineLevel="0" collapsed="false">
      <c r="A2245" s="11" t="s">
        <v>2858</v>
      </c>
      <c r="C2245" s="30" t="n">
        <v>370.75</v>
      </c>
      <c r="D2245" s="30" t="n">
        <v>441.3443</v>
      </c>
      <c r="E2245" s="30" t="n">
        <v>152.2586</v>
      </c>
      <c r="F2245" s="30" t="n">
        <v>184.3426</v>
      </c>
      <c r="G2245" s="30" t="n">
        <v>454.8015</v>
      </c>
    </row>
    <row r="2246" customFormat="false" ht="15" hidden="false" customHeight="false" outlineLevel="0" collapsed="false">
      <c r="A2246" s="11" t="s">
        <v>2859</v>
      </c>
      <c r="C2246" s="30" t="n">
        <v>171.9451</v>
      </c>
      <c r="D2246" s="30" t="n">
        <v>224.7275</v>
      </c>
      <c r="E2246" s="30" t="n">
        <v>68.5381</v>
      </c>
      <c r="F2246" s="30" t="n">
        <v>83.8969</v>
      </c>
      <c r="G2246" s="30" t="n">
        <v>122.9648</v>
      </c>
    </row>
    <row r="2247" customFormat="false" ht="15" hidden="false" customHeight="false" outlineLevel="0" collapsed="false">
      <c r="A2247" s="11" t="s">
        <v>2860</v>
      </c>
      <c r="C2247" s="30" t="n">
        <v>934.9302</v>
      </c>
      <c r="D2247" s="30" t="n">
        <v>1242.2445</v>
      </c>
      <c r="E2247" s="30" t="n">
        <v>487.8673</v>
      </c>
      <c r="F2247" s="30" t="n">
        <v>514.7195</v>
      </c>
      <c r="G2247" s="30" t="n">
        <v>1035.2574</v>
      </c>
    </row>
    <row r="2248" customFormat="false" ht="15" hidden="false" customHeight="false" outlineLevel="0" collapsed="false">
      <c r="A2248" s="11" t="s">
        <v>2861</v>
      </c>
      <c r="C2248" s="30" t="n">
        <v>930.5498</v>
      </c>
      <c r="D2248" s="30" t="n">
        <v>1236.8162</v>
      </c>
      <c r="E2248" s="30" t="n">
        <v>483.531</v>
      </c>
      <c r="F2248" s="30" t="n">
        <v>513.2663</v>
      </c>
      <c r="G2248" s="30" t="n">
        <v>1029.1582</v>
      </c>
    </row>
    <row r="2249" customFormat="false" ht="15" hidden="false" customHeight="false" outlineLevel="0" collapsed="false">
      <c r="A2249" s="11" t="s">
        <v>2862</v>
      </c>
      <c r="C2249" s="30" t="n">
        <v>112.994</v>
      </c>
      <c r="D2249" s="30" t="n">
        <v>157.8479</v>
      </c>
      <c r="E2249" s="30" t="n">
        <v>61.5349</v>
      </c>
      <c r="F2249" s="30" t="n">
        <v>66.5508</v>
      </c>
      <c r="G2249" s="30" t="n">
        <v>140.0273</v>
      </c>
    </row>
    <row r="2250" customFormat="false" ht="15" hidden="false" customHeight="false" outlineLevel="0" collapsed="false">
      <c r="A2250" s="11" t="s">
        <v>2863</v>
      </c>
      <c r="C2250" s="30" t="n">
        <v>817.5558</v>
      </c>
      <c r="D2250" s="30" t="n">
        <v>1078.9683</v>
      </c>
      <c r="E2250" s="30" t="n">
        <v>421.9962</v>
      </c>
      <c r="F2250" s="30" t="n">
        <v>446.7155</v>
      </c>
      <c r="G2250" s="30" t="n">
        <v>889.1309</v>
      </c>
    </row>
    <row r="2251" customFormat="false" ht="15" hidden="false" customHeight="false" outlineLevel="0" collapsed="false">
      <c r="A2251" s="11" t="s">
        <v>2864</v>
      </c>
      <c r="C2251" s="30" t="n">
        <v>17367.34</v>
      </c>
      <c r="D2251" s="30" t="n">
        <v>17943.9182</v>
      </c>
      <c r="F2251" s="30" t="n">
        <v>16881.8641</v>
      </c>
      <c r="G2251" s="30" t="n">
        <v>19007.6521</v>
      </c>
    </row>
    <row r="2252" customFormat="false" ht="15" hidden="false" customHeight="false" outlineLevel="0" collapsed="false">
      <c r="A2252" s="11" t="s">
        <v>2865</v>
      </c>
      <c r="C2252" s="30" t="n">
        <v>15650.7685</v>
      </c>
      <c r="D2252" s="30" t="n">
        <v>15828.2131</v>
      </c>
      <c r="F2252" s="30" t="n">
        <v>15195.7251</v>
      </c>
      <c r="G2252" s="30" t="n">
        <v>15857.2305</v>
      </c>
    </row>
    <row r="2253" customFormat="false" ht="15" hidden="false" customHeight="false" outlineLevel="0" collapsed="false">
      <c r="A2253" s="11" t="s">
        <v>2866</v>
      </c>
      <c r="C2253" s="30" t="n">
        <v>1045.4023</v>
      </c>
      <c r="D2253" s="30" t="n">
        <v>1044.8023</v>
      </c>
      <c r="F2253" s="30" t="n">
        <v>1045.6023</v>
      </c>
      <c r="G2253" s="30" t="n">
        <v>1048.2023</v>
      </c>
    </row>
    <row r="2254" customFormat="false" ht="15" hidden="false" customHeight="false" outlineLevel="0" collapsed="false">
      <c r="A2254" s="11" t="s">
        <v>2867</v>
      </c>
      <c r="C2254" s="30" t="n">
        <v>2845.911</v>
      </c>
      <c r="D2254" s="30" t="n">
        <v>3528.3034</v>
      </c>
      <c r="E2254" s="30" t="n">
        <v>1270.373</v>
      </c>
      <c r="F2254" s="30" t="n">
        <v>1800.499</v>
      </c>
      <c r="G2254" s="30" t="n">
        <v>1958.6756</v>
      </c>
    </row>
    <row r="2255" customFormat="false" ht="15" hidden="false" customHeight="false" outlineLevel="0" collapsed="false">
      <c r="A2255" s="11" t="s">
        <v>2868</v>
      </c>
      <c r="C2255" s="30" t="n">
        <v>1372.8936</v>
      </c>
      <c r="D2255" s="30" t="n">
        <v>1539.416</v>
      </c>
      <c r="E2255" s="30" t="n">
        <v>603.55</v>
      </c>
      <c r="F2255" s="30" t="n">
        <v>790.4224</v>
      </c>
      <c r="G2255" s="30" t="n">
        <v>1042.9873</v>
      </c>
    </row>
    <row r="2257" customFormat="false" ht="15" hidden="false" customHeight="false" outlineLevel="0" collapsed="false">
      <c r="A2257" s="3" t="s">
        <v>2869</v>
      </c>
    </row>
    <row r="2258" customFormat="false" ht="15" hidden="false" customHeight="false" outlineLevel="0" collapsed="false">
      <c r="A2258" s="2" t="s">
        <v>2870</v>
      </c>
    </row>
    <row r="2259" customFormat="false" ht="15" hidden="false" customHeight="false" outlineLevel="0" collapsed="false">
      <c r="A2259" s="90" t="s">
        <v>86</v>
      </c>
      <c r="B2259" s="130"/>
      <c r="C2259" s="91" t="s">
        <v>2609</v>
      </c>
      <c r="D2259" s="91" t="s">
        <v>2618</v>
      </c>
      <c r="E2259" s="91" t="s">
        <v>2610</v>
      </c>
      <c r="F2259" s="91" t="s">
        <v>2611</v>
      </c>
      <c r="G2259" s="91" t="s">
        <v>2871</v>
      </c>
    </row>
    <row r="2260" customFormat="false" ht="15" hidden="false" customHeight="false" outlineLevel="0" collapsed="false">
      <c r="A2260" s="11" t="s">
        <v>2872</v>
      </c>
      <c r="C2260" s="131" t="n">
        <v>46689354</v>
      </c>
      <c r="D2260" s="131" t="n">
        <v>46689354</v>
      </c>
      <c r="E2260" s="131" t="n">
        <v>46693429</v>
      </c>
      <c r="F2260" s="131" t="n">
        <v>46691154</v>
      </c>
    </row>
    <row r="2261" customFormat="false" ht="15" hidden="false" customHeight="false" outlineLevel="0" collapsed="false">
      <c r="A2261" s="11" t="s">
        <v>2873</v>
      </c>
      <c r="C2261" s="131" t="n">
        <v>1869808017</v>
      </c>
      <c r="D2261" s="131" t="n">
        <v>1869808017</v>
      </c>
      <c r="E2261" s="131" t="n">
        <v>1869803942</v>
      </c>
      <c r="F2261" s="131" t="n">
        <v>1869806217</v>
      </c>
    </row>
    <row r="2262" customFormat="false" ht="15" hidden="false" customHeight="false" outlineLevel="0" collapsed="false">
      <c r="A2262" s="11" t="s">
        <v>2874</v>
      </c>
      <c r="C2262" s="131" t="n">
        <v>1916497371</v>
      </c>
      <c r="D2262" s="131" t="n">
        <v>1916497371</v>
      </c>
      <c r="E2262" s="131" t="n">
        <v>1916497371</v>
      </c>
      <c r="F2262" s="131" t="n">
        <v>1916497371</v>
      </c>
      <c r="G2262" s="131" t="n">
        <v>1996718571</v>
      </c>
    </row>
    <row r="2263" customFormat="false" ht="15" hidden="false" customHeight="false" outlineLevel="0" collapsed="false">
      <c r="A2263" s="11" t="s">
        <v>2875</v>
      </c>
      <c r="C2263" s="131" t="n">
        <v>0</v>
      </c>
      <c r="D2263" s="131" t="n">
        <v>5133800</v>
      </c>
      <c r="E2263" s="131" t="n">
        <v>5133800</v>
      </c>
      <c r="F2263" s="131" t="n">
        <v>5133800</v>
      </c>
      <c r="G2263" s="131" t="n">
        <v>13681100</v>
      </c>
    </row>
    <row r="2264" customFormat="false" ht="15" hidden="false" customHeight="false" outlineLevel="0" collapsed="false">
      <c r="A2264" s="11" t="s">
        <v>2876</v>
      </c>
      <c r="C2264" s="131" t="n">
        <v>26593</v>
      </c>
      <c r="D2264" s="131" t="n">
        <v>29853</v>
      </c>
      <c r="E2264" s="131" t="n">
        <v>34351</v>
      </c>
      <c r="F2264" s="131" t="n">
        <v>127113</v>
      </c>
    </row>
    <row r="2265" customFormat="false" ht="15" hidden="false" customHeight="false" outlineLevel="0" collapsed="false">
      <c r="A2265" s="11" t="s">
        <v>2877</v>
      </c>
      <c r="C2265" s="131" t="n">
        <v>24260</v>
      </c>
      <c r="E2265" s="131" t="n">
        <v>36476</v>
      </c>
    </row>
    <row r="2266" customFormat="false" ht="15" hidden="false" customHeight="false" outlineLevel="0" collapsed="false">
      <c r="A2266" s="11" t="s">
        <v>2878</v>
      </c>
      <c r="C2266" s="131" t="n">
        <v>0</v>
      </c>
      <c r="D2266" s="131" t="n">
        <v>0</v>
      </c>
      <c r="E2266" s="131" t="n">
        <v>0</v>
      </c>
      <c r="F2266" s="131" t="n">
        <v>0</v>
      </c>
      <c r="G2266" s="131" t="n">
        <v>80221200</v>
      </c>
    </row>
    <row r="2268" customFormat="false" ht="15" hidden="false" customHeight="false" outlineLevel="0" collapsed="false">
      <c r="A2268" s="3" t="s">
        <v>2879</v>
      </c>
    </row>
    <row r="2269" customFormat="false" ht="15" hidden="false" customHeight="false" outlineLevel="0" collapsed="false">
      <c r="A2269" s="2" t="s">
        <v>2880</v>
      </c>
    </row>
    <row r="2270" customFormat="false" ht="15" hidden="false" customHeight="false" outlineLevel="0" collapsed="false">
      <c r="A2270" s="90" t="s">
        <v>86</v>
      </c>
      <c r="B2270" s="130"/>
      <c r="C2270" s="91" t="s">
        <v>2881</v>
      </c>
      <c r="D2270" s="91" t="s">
        <v>2882</v>
      </c>
      <c r="E2270" s="91" t="s">
        <v>2883</v>
      </c>
      <c r="F2270" s="91" t="s">
        <v>2884</v>
      </c>
      <c r="G2270" s="91" t="s">
        <v>2885</v>
      </c>
      <c r="H2270" s="91" t="s">
        <v>2886</v>
      </c>
    </row>
    <row r="2271" customFormat="false" ht="15" hidden="false" customHeight="false" outlineLevel="0" collapsed="false">
      <c r="A2271" s="11" t="s">
        <v>2887</v>
      </c>
      <c r="C2271" s="131" t="n">
        <v>645357856</v>
      </c>
      <c r="D2271" s="131" t="n">
        <v>33.67</v>
      </c>
      <c r="E2271" s="131" t="n">
        <v>0</v>
      </c>
      <c r="F2271" s="131" t="n">
        <v>645357856</v>
      </c>
      <c r="G2271" s="131" t="n">
        <v>33.67</v>
      </c>
      <c r="H2271" s="131" t="n">
        <v>0</v>
      </c>
    </row>
    <row r="2272" customFormat="false" ht="15" hidden="false" customHeight="false" outlineLevel="0" collapsed="false">
      <c r="A2272" s="11" t="s">
        <v>2888</v>
      </c>
      <c r="C2272" s="131" t="n">
        <v>121690964</v>
      </c>
      <c r="D2272" s="131" t="n">
        <v>6.35</v>
      </c>
      <c r="E2272" s="131" t="n">
        <v>-17179685</v>
      </c>
      <c r="F2272" s="131" t="n">
        <v>90448798</v>
      </c>
      <c r="G2272" s="131" t="n">
        <v>4.72</v>
      </c>
      <c r="H2272" s="131" t="n">
        <v>-31242166</v>
      </c>
    </row>
    <row r="2273" customFormat="false" ht="15" hidden="false" customHeight="false" outlineLevel="0" collapsed="false">
      <c r="A2273" s="11" t="s">
        <v>2889</v>
      </c>
      <c r="C2273" s="131" t="n">
        <v>53592000</v>
      </c>
      <c r="D2273" s="131" t="n">
        <v>2.8</v>
      </c>
      <c r="E2273" s="131" t="n">
        <v>0</v>
      </c>
      <c r="F2273" s="131" t="n">
        <v>53592000</v>
      </c>
      <c r="G2273" s="131" t="n">
        <v>2.8</v>
      </c>
      <c r="H2273" s="131" t="n">
        <v>0</v>
      </c>
    </row>
    <row r="2274" customFormat="false" ht="15" hidden="false" customHeight="false" outlineLevel="0" collapsed="false">
      <c r="A2274" s="11" t="s">
        <v>2890</v>
      </c>
      <c r="C2274" s="131" t="n">
        <v>27502680</v>
      </c>
      <c r="D2274" s="131" t="n">
        <v>1.44</v>
      </c>
      <c r="E2274" s="131" t="n">
        <v>0</v>
      </c>
    </row>
    <row r="2275" customFormat="false" ht="15" hidden="false" customHeight="false" outlineLevel="0" collapsed="false">
      <c r="A2275" s="11" t="s">
        <v>2891</v>
      </c>
      <c r="C2275" s="131" t="n">
        <v>23899191</v>
      </c>
      <c r="D2275" s="131" t="n">
        <v>1.25</v>
      </c>
      <c r="E2275" s="131" t="n">
        <v>-10740591</v>
      </c>
    </row>
    <row r="2276" customFormat="false" ht="15" hidden="false" customHeight="false" outlineLevel="0" collapsed="false">
      <c r="A2276" s="11" t="s">
        <v>2892</v>
      </c>
      <c r="C2276" s="131" t="n">
        <v>22161130</v>
      </c>
      <c r="D2276" s="131" t="n">
        <v>1.16</v>
      </c>
      <c r="E2276" s="131" t="n">
        <v>-1056600</v>
      </c>
    </row>
    <row r="2277" customFormat="false" ht="15" hidden="false" customHeight="false" outlineLevel="0" collapsed="false">
      <c r="A2277" s="11" t="s">
        <v>2893</v>
      </c>
      <c r="C2277" s="131" t="n">
        <v>19676480</v>
      </c>
      <c r="D2277" s="131" t="n">
        <v>1.03</v>
      </c>
      <c r="E2277" s="131" t="n">
        <v>0</v>
      </c>
      <c r="F2277" s="131" t="n">
        <v>19676480</v>
      </c>
      <c r="G2277" s="131" t="n">
        <v>1.03</v>
      </c>
      <c r="H2277" s="131" t="n">
        <v>0</v>
      </c>
    </row>
    <row r="2278" customFormat="false" ht="15" hidden="false" customHeight="false" outlineLevel="0" collapsed="false">
      <c r="A2278" s="11" t="s">
        <v>2894</v>
      </c>
      <c r="C2278" s="131" t="n">
        <v>15815541</v>
      </c>
      <c r="D2278" s="131" t="n">
        <v>0.83</v>
      </c>
      <c r="E2278" s="131" t="n">
        <v>-169600</v>
      </c>
    </row>
    <row r="2279" customFormat="false" ht="15" hidden="false" customHeight="false" outlineLevel="0" collapsed="false">
      <c r="A2279" s="4" t="s">
        <v>2895</v>
      </c>
      <c r="C2279" s="131" t="n">
        <v>14521176</v>
      </c>
      <c r="D2279" s="131" t="n">
        <v>0.76</v>
      </c>
      <c r="E2279" s="131" t="n">
        <v>10658979</v>
      </c>
    </row>
    <row r="2280" customFormat="false" ht="15" hidden="false" customHeight="false" outlineLevel="0" collapsed="false">
      <c r="A2280" s="11" t="s">
        <v>2896</v>
      </c>
      <c r="C2280" s="131" t="n">
        <v>12061592</v>
      </c>
      <c r="D2280" s="131" t="n">
        <v>0.63</v>
      </c>
      <c r="E2280" s="131" t="n">
        <v>1446400</v>
      </c>
    </row>
    <row r="2281" customFormat="false" ht="15" hidden="false" customHeight="false" outlineLevel="0" collapsed="false">
      <c r="A2281" s="11" t="s">
        <v>2897</v>
      </c>
      <c r="F2281" s="131" t="n">
        <v>11515600</v>
      </c>
      <c r="G2281" s="131" t="n">
        <v>0.6</v>
      </c>
      <c r="H2281" s="131" t="n">
        <v>-40000</v>
      </c>
    </row>
    <row r="2282" customFormat="false" ht="15" hidden="false" customHeight="false" outlineLevel="0" collapsed="false">
      <c r="A2282" s="11" t="s">
        <v>2898</v>
      </c>
      <c r="F2282" s="131" t="n">
        <v>9906266</v>
      </c>
      <c r="G2282" s="131" t="n">
        <v>0.52</v>
      </c>
      <c r="H2282" s="131" t="n">
        <v>9906266</v>
      </c>
    </row>
    <row r="2283" customFormat="false" ht="15" hidden="false" customHeight="false" outlineLevel="0" collapsed="false">
      <c r="A2283" s="11" t="s">
        <v>2899</v>
      </c>
      <c r="F2283" s="131" t="n">
        <v>9334476</v>
      </c>
      <c r="G2283" s="131" t="n">
        <v>0.49</v>
      </c>
      <c r="H2283" s="131" t="n">
        <v>416476</v>
      </c>
    </row>
    <row r="2284" customFormat="false" ht="15" hidden="false" customHeight="false" outlineLevel="0" collapsed="false">
      <c r="A2284" s="11" t="s">
        <v>2900</v>
      </c>
      <c r="F2284" s="131" t="n">
        <v>8807000</v>
      </c>
      <c r="G2284" s="131" t="n">
        <v>0.46</v>
      </c>
      <c r="H2284" s="131" t="n">
        <v>0</v>
      </c>
    </row>
    <row r="2285" customFormat="false" ht="15" hidden="false" customHeight="false" outlineLevel="0" collapsed="false">
      <c r="A2285" s="11" t="s">
        <v>2901</v>
      </c>
      <c r="F2285" s="131" t="n">
        <v>8582020</v>
      </c>
      <c r="G2285" s="131" t="n">
        <v>0.45</v>
      </c>
      <c r="H2285" s="131" t="n">
        <v>0</v>
      </c>
    </row>
    <row r="2286" customFormat="false" ht="15" hidden="false" customHeight="false" outlineLevel="0" collapsed="false">
      <c r="A2286" s="11" t="s">
        <v>2902</v>
      </c>
      <c r="F2286" s="131" t="n">
        <v>8332694</v>
      </c>
      <c r="G2286" s="131" t="n">
        <v>0.43</v>
      </c>
      <c r="H2286" s="131" t="n">
        <v>8332694</v>
      </c>
    </row>
    <row r="2288" customFormat="false" ht="15" hidden="false" customHeight="false" outlineLevel="0" collapsed="false">
      <c r="A2288" s="3" t="s">
        <v>2903</v>
      </c>
    </row>
    <row r="2289" customFormat="false" ht="15" hidden="false" customHeight="false" outlineLevel="0" collapsed="false">
      <c r="A2289" s="2" t="s">
        <v>2904</v>
      </c>
    </row>
    <row r="2290" customFormat="false" ht="15" hidden="false" customHeight="false" outlineLevel="0" collapsed="false">
      <c r="A2290" s="90" t="s">
        <v>86</v>
      </c>
      <c r="B2290" s="130"/>
      <c r="C2290" s="91" t="s">
        <v>2905</v>
      </c>
      <c r="D2290" s="91" t="s">
        <v>2906</v>
      </c>
      <c r="E2290" s="91" t="s">
        <v>2907</v>
      </c>
      <c r="F2290" s="91" t="s">
        <v>2908</v>
      </c>
    </row>
    <row r="2291" customFormat="false" ht="15" hidden="false" customHeight="false" outlineLevel="0" collapsed="false">
      <c r="A2291" s="11" t="s">
        <v>2909</v>
      </c>
      <c r="C2291" s="131" t="n">
        <v>2.8</v>
      </c>
      <c r="D2291" s="131" t="n">
        <v>3.8</v>
      </c>
      <c r="E2291" s="131" t="n">
        <v>3.8</v>
      </c>
      <c r="F2291" s="131" t="n">
        <v>4.5</v>
      </c>
    </row>
    <row r="2292" customFormat="false" ht="15" hidden="false" customHeight="false" outlineLevel="0" collapsed="false">
      <c r="A2292" s="11" t="s">
        <v>2910</v>
      </c>
      <c r="C2292" s="131" t="n">
        <v>1916497371</v>
      </c>
      <c r="D2292" s="131" t="n">
        <v>1916497371</v>
      </c>
      <c r="E2292" s="131" t="n">
        <v>1911363571</v>
      </c>
      <c r="F2292" s="131" t="n">
        <v>1911363571</v>
      </c>
    </row>
    <row r="2293" customFormat="false" ht="15" hidden="false" customHeight="false" outlineLevel="0" collapsed="false">
      <c r="A2293" s="11" t="s">
        <v>2911</v>
      </c>
      <c r="C2293" s="30" t="n">
        <v>536.6193</v>
      </c>
      <c r="D2293" s="30" t="n">
        <v>728.269</v>
      </c>
      <c r="E2293" s="30" t="n">
        <v>726.3182</v>
      </c>
      <c r="F2293" s="30" t="n">
        <v>860.1136</v>
      </c>
    </row>
    <row r="2294" customFormat="false" ht="15" hidden="false" customHeight="false" outlineLevel="0" collapsed="false">
      <c r="A2294" s="11" t="s">
        <v>2912</v>
      </c>
      <c r="C2294" s="30" t="n">
        <v>0</v>
      </c>
      <c r="D2294" s="30" t="n">
        <v>0</v>
      </c>
      <c r="F2294" s="30" t="n">
        <v>175.4231</v>
      </c>
    </row>
    <row r="2295" customFormat="false" ht="15" hidden="false" customHeight="false" outlineLevel="0" collapsed="false">
      <c r="A2295" s="11" t="s">
        <v>2913</v>
      </c>
      <c r="C2295" s="30" t="n">
        <v>536.6193</v>
      </c>
      <c r="D2295" s="30" t="n">
        <v>728.269</v>
      </c>
      <c r="F2295" s="30" t="n">
        <v>1035.5367</v>
      </c>
    </row>
    <row r="2296" customFormat="false" ht="15" hidden="false" customHeight="false" outlineLevel="0" collapsed="false">
      <c r="A2296" s="11" t="s">
        <v>2914</v>
      </c>
      <c r="C2296" s="30" t="n">
        <v>6101.4269</v>
      </c>
      <c r="D2296" s="30" t="n">
        <v>6382.3634</v>
      </c>
      <c r="F2296" s="30" t="n">
        <v>6735.0135</v>
      </c>
    </row>
    <row r="2297" customFormat="false" ht="15" hidden="false" customHeight="false" outlineLevel="0" collapsed="false">
      <c r="A2297" s="11" t="s">
        <v>2915</v>
      </c>
      <c r="D2297" s="131" t="n">
        <v>40.77</v>
      </c>
      <c r="F2297" s="131" t="n">
        <v>48.03</v>
      </c>
    </row>
    <row r="2299" customFormat="false" ht="15" hidden="false" customHeight="false" outlineLevel="0" collapsed="false">
      <c r="A2299" s="3" t="s">
        <v>2916</v>
      </c>
    </row>
    <row r="2300" customFormat="false" ht="15" hidden="false" customHeight="false" outlineLevel="0" collapsed="false">
      <c r="A2300" s="2" t="s">
        <v>2917</v>
      </c>
    </row>
    <row r="2301" customFormat="false" ht="15" hidden="false" customHeight="false" outlineLevel="0" collapsed="false">
      <c r="A2301" s="90" t="s">
        <v>86</v>
      </c>
      <c r="B2301" s="130"/>
      <c r="C2301" s="91" t="s">
        <v>1451</v>
      </c>
      <c r="D2301" s="91" t="s">
        <v>1452</v>
      </c>
      <c r="E2301" s="91" t="s">
        <v>1453</v>
      </c>
    </row>
    <row r="2302" customFormat="false" ht="15" hidden="false" customHeight="false" outlineLevel="0" collapsed="false">
      <c r="A2302" s="11" t="s">
        <v>2118</v>
      </c>
      <c r="C2302" s="131" t="n">
        <v>4722</v>
      </c>
      <c r="D2302" s="131" t="n">
        <v>4503</v>
      </c>
      <c r="E2302" s="131" t="n">
        <v>4527</v>
      </c>
    </row>
    <row r="2303" customFormat="false" ht="15" hidden="false" customHeight="false" outlineLevel="0" collapsed="false">
      <c r="A2303" s="11" t="s">
        <v>2119</v>
      </c>
      <c r="C2303" s="131" t="n">
        <v>8779</v>
      </c>
      <c r="D2303" s="131" t="n">
        <v>11012</v>
      </c>
      <c r="E2303" s="131" t="n">
        <v>12825</v>
      </c>
    </row>
    <row r="2304" customFormat="false" ht="15" hidden="false" customHeight="false" outlineLevel="0" collapsed="false">
      <c r="A2304" s="11" t="s">
        <v>2120</v>
      </c>
      <c r="C2304" s="131" t="n">
        <v>13501</v>
      </c>
      <c r="D2304" s="131" t="n">
        <v>15515</v>
      </c>
      <c r="E2304" s="131" t="n">
        <v>17352</v>
      </c>
    </row>
    <row r="2305" customFormat="false" ht="15" hidden="false" customHeight="false" outlineLevel="0" collapsed="false">
      <c r="A2305" s="11" t="s">
        <v>714</v>
      </c>
      <c r="C2305" s="131" t="n">
        <v>9657</v>
      </c>
      <c r="D2305" s="131" t="n">
        <v>10438</v>
      </c>
      <c r="E2305" s="131" t="n">
        <v>13906</v>
      </c>
    </row>
    <row r="2306" customFormat="false" ht="15" hidden="false" customHeight="false" outlineLevel="0" collapsed="false">
      <c r="A2306" s="11" t="s">
        <v>716</v>
      </c>
      <c r="C2306" s="131" t="n">
        <v>211</v>
      </c>
      <c r="D2306" s="131" t="n">
        <v>188</v>
      </c>
      <c r="E2306" s="131" t="n">
        <v>208</v>
      </c>
    </row>
    <row r="2307" customFormat="false" ht="15" hidden="false" customHeight="false" outlineLevel="0" collapsed="false">
      <c r="A2307" s="11" t="s">
        <v>717</v>
      </c>
      <c r="C2307" s="131" t="n">
        <v>2675</v>
      </c>
      <c r="D2307" s="131" t="n">
        <v>3918</v>
      </c>
      <c r="E2307" s="131" t="n">
        <v>1975</v>
      </c>
    </row>
    <row r="2308" customFormat="false" ht="15" hidden="false" customHeight="false" outlineLevel="0" collapsed="false">
      <c r="A2308" s="11" t="s">
        <v>718</v>
      </c>
      <c r="C2308" s="131" t="n">
        <v>50</v>
      </c>
      <c r="D2308" s="131" t="n">
        <v>44</v>
      </c>
      <c r="E2308" s="131" t="n">
        <v>52</v>
      </c>
    </row>
    <row r="2309" customFormat="false" ht="15" hidden="false" customHeight="false" outlineLevel="0" collapsed="false">
      <c r="A2309" s="11" t="s">
        <v>719</v>
      </c>
      <c r="C2309" s="131" t="n">
        <v>908</v>
      </c>
      <c r="D2309" s="131" t="n">
        <v>927</v>
      </c>
      <c r="E2309" s="131" t="n">
        <v>1211</v>
      </c>
    </row>
    <row r="2310" customFormat="false" ht="15" hidden="false" customHeight="false" outlineLevel="0" collapsed="false">
      <c r="A2310" s="11" t="s">
        <v>2918</v>
      </c>
      <c r="C2310" s="131" t="n">
        <v>2374</v>
      </c>
      <c r="D2310" s="131" t="n">
        <v>2693</v>
      </c>
      <c r="E2310" s="131" t="n">
        <v>3017</v>
      </c>
    </row>
    <row r="2311" customFormat="false" ht="15" hidden="false" customHeight="false" outlineLevel="0" collapsed="false">
      <c r="A2311" s="11" t="s">
        <v>2919</v>
      </c>
      <c r="C2311" s="131" t="n">
        <v>11127</v>
      </c>
      <c r="D2311" s="131" t="n">
        <v>12822</v>
      </c>
      <c r="E2311" s="131" t="n">
        <v>14335</v>
      </c>
    </row>
    <row r="2312" customFormat="false" ht="15" hidden="false" customHeight="false" outlineLevel="0" collapsed="false">
      <c r="A2312" s="11" t="s">
        <v>2920</v>
      </c>
      <c r="C2312" s="131" t="n">
        <v>2034</v>
      </c>
      <c r="D2312" s="131" t="n">
        <v>1877</v>
      </c>
      <c r="E2312" s="131" t="n">
        <v>1975</v>
      </c>
    </row>
    <row r="2313" customFormat="false" ht="15" hidden="false" customHeight="false" outlineLevel="0" collapsed="false">
      <c r="A2313" s="11" t="s">
        <v>2921</v>
      </c>
      <c r="C2313" s="131" t="n">
        <v>15.07</v>
      </c>
      <c r="D2313" s="131" t="n">
        <v>12.1</v>
      </c>
      <c r="E2313" s="131" t="n">
        <v>11.38</v>
      </c>
    </row>
    <row r="2315" customFormat="false" ht="15" hidden="false" customHeight="false" outlineLevel="0" collapsed="false">
      <c r="A2315" s="3" t="s">
        <v>2922</v>
      </c>
    </row>
    <row r="2316" customFormat="false" ht="15" hidden="false" customHeight="false" outlineLevel="0" collapsed="false">
      <c r="A2316" s="2" t="s">
        <v>2923</v>
      </c>
    </row>
    <row r="2317" customFormat="false" ht="15" hidden="false" customHeight="false" outlineLevel="0" collapsed="false">
      <c r="A2317" s="90" t="s">
        <v>86</v>
      </c>
      <c r="B2317" s="130"/>
      <c r="C2317" s="91" t="s">
        <v>1450</v>
      </c>
      <c r="D2317" s="91" t="s">
        <v>1451</v>
      </c>
      <c r="E2317" s="91" t="s">
        <v>1452</v>
      </c>
      <c r="F2317" s="91" t="s">
        <v>1453</v>
      </c>
      <c r="G2317" s="91" t="s">
        <v>1614</v>
      </c>
      <c r="H2317" s="91" t="s">
        <v>1272</v>
      </c>
      <c r="I2317" s="91" t="s">
        <v>1273</v>
      </c>
    </row>
    <row r="2318" customFormat="false" ht="15" hidden="false" customHeight="false" outlineLevel="0" collapsed="false">
      <c r="A2318" s="11" t="s">
        <v>2160</v>
      </c>
      <c r="C2318" s="30" t="n">
        <v>452.1724</v>
      </c>
      <c r="D2318" s="30" t="n">
        <v>545.8062</v>
      </c>
      <c r="E2318" s="30" t="n">
        <v>583.0724</v>
      </c>
      <c r="F2318" s="30" t="n">
        <v>653.4367</v>
      </c>
      <c r="G2318" s="30" t="n">
        <v>259.6462</v>
      </c>
      <c r="H2318" s="30" t="n">
        <v>292.6364</v>
      </c>
      <c r="I2318" s="30" t="n">
        <v>340.2655</v>
      </c>
    </row>
    <row r="2319" customFormat="false" ht="15" hidden="false" customHeight="false" outlineLevel="0" collapsed="false">
      <c r="A2319" s="11" t="s">
        <v>2924</v>
      </c>
      <c r="C2319" s="131" t="n">
        <v>8.78</v>
      </c>
      <c r="D2319" s="131" t="n">
        <v>9.53</v>
      </c>
      <c r="E2319" s="131" t="n">
        <v>7.91</v>
      </c>
      <c r="F2319" s="131" t="n">
        <v>7.25</v>
      </c>
      <c r="G2319" s="131" t="n">
        <v>7.58</v>
      </c>
      <c r="H2319" s="131" t="n">
        <v>7.05</v>
      </c>
      <c r="I2319" s="131" t="n">
        <v>5.3</v>
      </c>
    </row>
    <row r="2320" customFormat="false" ht="15" hidden="false" customHeight="false" outlineLevel="0" collapsed="false">
      <c r="A2320" s="11" t="s">
        <v>2162</v>
      </c>
      <c r="C2320" s="30" t="n">
        <v>0</v>
      </c>
      <c r="D2320" s="30" t="n">
        <v>0</v>
      </c>
      <c r="E2320" s="30" t="n">
        <v>0</v>
      </c>
      <c r="F2320" s="30" t="n">
        <v>0</v>
      </c>
      <c r="G2320" s="30" t="n">
        <v>0</v>
      </c>
      <c r="H2320" s="30" t="n">
        <v>0</v>
      </c>
      <c r="I2320" s="30" t="n">
        <v>0</v>
      </c>
    </row>
    <row r="2321" customFormat="false" ht="15" hidden="false" customHeight="false" outlineLevel="0" collapsed="false">
      <c r="A2321" s="11" t="s">
        <v>2925</v>
      </c>
      <c r="C2321" s="30" t="n">
        <v>291.7834</v>
      </c>
      <c r="D2321" s="30" t="n">
        <v>365.2851</v>
      </c>
      <c r="E2321" s="30" t="n">
        <v>451.1387</v>
      </c>
      <c r="F2321" s="30" t="n">
        <v>474.3049</v>
      </c>
      <c r="G2321" s="30" t="n">
        <v>191.9319</v>
      </c>
      <c r="H2321" s="30" t="n">
        <v>192.8509</v>
      </c>
      <c r="I2321" s="30" t="n">
        <v>234.4548</v>
      </c>
    </row>
    <row r="2322" customFormat="false" ht="15" hidden="false" customHeight="false" outlineLevel="0" collapsed="false">
      <c r="A2322" s="11" t="s">
        <v>2926</v>
      </c>
      <c r="C2322" s="30" t="n">
        <v>134.8229</v>
      </c>
      <c r="D2322" s="30" t="n">
        <v>138.1746</v>
      </c>
      <c r="E2322" s="30" t="n">
        <v>77.6279</v>
      </c>
      <c r="F2322" s="30" t="n">
        <v>116.9357</v>
      </c>
      <c r="G2322" s="30" t="n">
        <v>42.4215</v>
      </c>
      <c r="H2322" s="30" t="n">
        <v>68.6542</v>
      </c>
      <c r="I2322" s="30" t="n">
        <v>82.1536</v>
      </c>
    </row>
    <row r="2323" customFormat="false" ht="15" hidden="false" customHeight="false" outlineLevel="0" collapsed="false">
      <c r="A2323" s="11" t="s">
        <v>2927</v>
      </c>
      <c r="C2323" s="30" t="n">
        <v>21.0552</v>
      </c>
      <c r="D2323" s="30" t="n">
        <v>35.1406</v>
      </c>
      <c r="E2323" s="30" t="n">
        <v>40.1534</v>
      </c>
      <c r="F2323" s="30" t="n">
        <v>37.2577</v>
      </c>
      <c r="G2323" s="30" t="n">
        <v>18.0491</v>
      </c>
      <c r="H2323" s="30" t="n">
        <v>18.3489</v>
      </c>
      <c r="I2323" s="30" t="n">
        <v>18.9922</v>
      </c>
    </row>
    <row r="2324" customFormat="false" ht="15" hidden="false" customHeight="false" outlineLevel="0" collapsed="false">
      <c r="A2324" s="11" t="s">
        <v>2928</v>
      </c>
      <c r="C2324" s="30" t="n">
        <v>4.5109</v>
      </c>
      <c r="D2324" s="30" t="n">
        <v>7.2059</v>
      </c>
      <c r="E2324" s="30" t="n">
        <v>14.1524</v>
      </c>
      <c r="F2324" s="30" t="n">
        <v>24.9385</v>
      </c>
      <c r="G2324" s="30" t="n">
        <v>7.2437</v>
      </c>
      <c r="H2324" s="30" t="n">
        <v>12.7824</v>
      </c>
      <c r="I2324" s="30" t="n">
        <v>4.6649</v>
      </c>
    </row>
    <row r="2325" customFormat="false" ht="15" hidden="false" customHeight="false" outlineLevel="0" collapsed="false">
      <c r="A2325" s="11" t="s">
        <v>2166</v>
      </c>
      <c r="C2325" s="131" t="n">
        <v>1817</v>
      </c>
      <c r="D2325" s="131" t="n">
        <v>2034</v>
      </c>
      <c r="E2325" s="131" t="n">
        <v>1877</v>
      </c>
      <c r="F2325" s="131" t="n">
        <v>1975</v>
      </c>
    </row>
    <row r="2327" customFormat="false" ht="15" hidden="false" customHeight="false" outlineLevel="0" collapsed="false">
      <c r="A2327" s="3" t="s">
        <v>2929</v>
      </c>
    </row>
    <row r="2328" customFormat="false" ht="15" hidden="false" customHeight="false" outlineLevel="0" collapsed="false">
      <c r="A2328" s="2" t="s">
        <v>2930</v>
      </c>
    </row>
    <row r="2329" customFormat="false" ht="15" hidden="false" customHeight="false" outlineLevel="0" collapsed="false">
      <c r="A2329" s="90" t="s">
        <v>86</v>
      </c>
      <c r="B2329" s="130"/>
      <c r="C2329" s="91" t="s">
        <v>1451</v>
      </c>
      <c r="D2329" s="91" t="s">
        <v>1452</v>
      </c>
      <c r="E2329" s="91" t="s">
        <v>1453</v>
      </c>
    </row>
    <row r="2330" customFormat="false" ht="15" hidden="false" customHeight="false" outlineLevel="0" collapsed="false">
      <c r="A2330" s="11" t="s">
        <v>2931</v>
      </c>
      <c r="C2330" s="30" t="n">
        <v>1005.0653</v>
      </c>
      <c r="D2330" s="30" t="n">
        <v>1016.886</v>
      </c>
      <c r="E2330" s="30" t="n">
        <v>1345.3463</v>
      </c>
    </row>
    <row r="2331" customFormat="false" ht="15" hidden="false" customHeight="false" outlineLevel="0" collapsed="false">
      <c r="A2331" s="11" t="s">
        <v>2932</v>
      </c>
      <c r="C2331" s="131" t="n">
        <v>17.55</v>
      </c>
      <c r="D2331" s="131" t="n">
        <v>13.79</v>
      </c>
      <c r="E2331" s="131" t="n">
        <v>14.94</v>
      </c>
    </row>
    <row r="2332" customFormat="false" ht="15" hidden="false" customHeight="false" outlineLevel="0" collapsed="false">
      <c r="A2332" s="11" t="s">
        <v>2933</v>
      </c>
      <c r="C2332" s="30" t="n">
        <v>505.7911</v>
      </c>
      <c r="D2332" s="30" t="n">
        <v>829.737</v>
      </c>
      <c r="E2332" s="30" t="n">
        <v>1005.825</v>
      </c>
    </row>
    <row r="2333" customFormat="false" ht="15" hidden="false" customHeight="false" outlineLevel="0" collapsed="false">
      <c r="A2333" s="11" t="s">
        <v>2934</v>
      </c>
      <c r="C2333" s="131" t="n">
        <v>22.17</v>
      </c>
      <c r="D2333" s="131" t="n">
        <v>25.97</v>
      </c>
      <c r="E2333" s="131" t="n">
        <v>26.86</v>
      </c>
    </row>
    <row r="2335" customFormat="false" ht="15" hidden="false" customHeight="false" outlineLevel="0" collapsed="false">
      <c r="A2335" s="3" t="s">
        <v>2935</v>
      </c>
    </row>
    <row r="2336" customFormat="false" ht="15" hidden="false" customHeight="false" outlineLevel="0" collapsed="false">
      <c r="A2336" s="2" t="s">
        <v>2936</v>
      </c>
    </row>
    <row r="2337" customFormat="false" ht="15" hidden="false" customHeight="false" outlineLevel="0" collapsed="false">
      <c r="A2337" s="90" t="s">
        <v>86</v>
      </c>
      <c r="B2337" s="130"/>
      <c r="C2337" s="91" t="s">
        <v>2610</v>
      </c>
      <c r="D2337" s="91" t="s">
        <v>2611</v>
      </c>
    </row>
    <row r="2338" customFormat="false" ht="15" hidden="false" customHeight="false" outlineLevel="0" collapsed="false">
      <c r="A2338" s="11" t="s">
        <v>2937</v>
      </c>
      <c r="C2338" s="30" t="n">
        <v>84.2957</v>
      </c>
    </row>
    <row r="2339" customFormat="false" ht="15" hidden="false" customHeight="false" outlineLevel="0" collapsed="false">
      <c r="A2339" s="11" t="s">
        <v>2938</v>
      </c>
      <c r="C2339" s="30" t="n">
        <v>34.1103</v>
      </c>
    </row>
    <row r="2340" customFormat="false" ht="15" hidden="false" customHeight="false" outlineLevel="0" collapsed="false">
      <c r="A2340" s="11" t="s">
        <v>2939</v>
      </c>
      <c r="C2340" s="30" t="n">
        <v>0.3645</v>
      </c>
    </row>
    <row r="2341" customFormat="false" ht="15" hidden="false" customHeight="false" outlineLevel="0" collapsed="false">
      <c r="A2341" s="11" t="s">
        <v>2940</v>
      </c>
      <c r="C2341" s="30" t="n">
        <v>0.5727</v>
      </c>
    </row>
    <row r="2342" customFormat="false" ht="15" hidden="false" customHeight="false" outlineLevel="0" collapsed="false">
      <c r="A2342" s="11" t="s">
        <v>2941</v>
      </c>
      <c r="D2342" s="30" t="n">
        <v>105.9212</v>
      </c>
    </row>
    <row r="2343" customFormat="false" ht="15" hidden="false" customHeight="false" outlineLevel="0" collapsed="false">
      <c r="A2343" s="11" t="s">
        <v>2942</v>
      </c>
      <c r="C2343" s="30" t="n">
        <v>122.2611</v>
      </c>
    </row>
    <row r="2344" customFormat="false" ht="15" hidden="false" customHeight="false" outlineLevel="0" collapsed="false">
      <c r="A2344" s="4" t="s">
        <v>2943</v>
      </c>
      <c r="C2344" s="30" t="n">
        <v>43.1316</v>
      </c>
    </row>
    <row r="2345" customFormat="false" ht="15" hidden="false" customHeight="false" outlineLevel="0" collapsed="false">
      <c r="A2345" s="11" t="s">
        <v>2944</v>
      </c>
      <c r="C2345" s="30" t="n">
        <v>134.2742</v>
      </c>
    </row>
    <row r="2346" customFormat="false" ht="15" hidden="false" customHeight="false" outlineLevel="0" collapsed="false">
      <c r="A2346" s="11" t="s">
        <v>2945</v>
      </c>
      <c r="C2346" s="30" t="n">
        <v>119.1895</v>
      </c>
    </row>
    <row r="2347" customFormat="false" ht="15" hidden="false" customHeight="false" outlineLevel="0" collapsed="false">
      <c r="A2347" s="11" t="s">
        <v>2946</v>
      </c>
      <c r="C2347" s="30" t="n">
        <v>28.4798</v>
      </c>
    </row>
    <row r="2348" customFormat="false" ht="15" hidden="false" customHeight="false" outlineLevel="0" collapsed="false">
      <c r="A2348" s="11" t="s">
        <v>2947</v>
      </c>
      <c r="C2348" s="30" t="n">
        <v>82.9813</v>
      </c>
    </row>
    <row r="2349" customFormat="false" ht="15" hidden="false" customHeight="false" outlineLevel="0" collapsed="false">
      <c r="A2349" s="4" t="s">
        <v>2948</v>
      </c>
      <c r="C2349" s="30" t="n">
        <v>41.3296</v>
      </c>
    </row>
    <row r="2350" customFormat="false" ht="15" hidden="false" customHeight="false" outlineLevel="0" collapsed="false">
      <c r="A2350" s="11" t="s">
        <v>2949</v>
      </c>
      <c r="D2350" s="30" t="n">
        <v>303.82</v>
      </c>
    </row>
    <row r="2351" customFormat="false" ht="15" hidden="false" customHeight="false" outlineLevel="0" collapsed="false">
      <c r="A2351" s="11" t="s">
        <v>2950</v>
      </c>
      <c r="C2351" s="30" t="n">
        <v>25.7464</v>
      </c>
      <c r="D2351" s="30" t="n">
        <v>25.9983</v>
      </c>
    </row>
    <row r="2352" customFormat="false" ht="15" hidden="false" customHeight="false" outlineLevel="0" collapsed="false">
      <c r="A2352" s="11" t="s">
        <v>1470</v>
      </c>
      <c r="C2352" s="30" t="n">
        <v>716.7367</v>
      </c>
      <c r="D2352" s="30" t="n">
        <v>435.7395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90"/>
    <col collapsed="false" customWidth="true" hidden="false" outlineLevel="0" max="4" min="4" style="0" width="34"/>
  </cols>
  <sheetData>
    <row r="1" customFormat="false" ht="21.6" hidden="false" customHeight="false" outlineLevel="0" collapsed="false">
      <c r="A1" s="1" t="s">
        <v>2951</v>
      </c>
    </row>
    <row r="2" customFormat="false" ht="15" hidden="false" customHeight="false" outlineLevel="0" collapsed="false">
      <c r="A2" s="2" t="s">
        <v>2952</v>
      </c>
    </row>
    <row r="4" customFormat="false" ht="15" hidden="false" customHeight="false" outlineLevel="0" collapsed="false">
      <c r="A4" s="7" t="s">
        <v>2953</v>
      </c>
      <c r="B4" s="54" t="s">
        <v>2954</v>
      </c>
      <c r="C4" s="54" t="s">
        <v>2955</v>
      </c>
      <c r="D4" s="54" t="s">
        <v>2956</v>
      </c>
    </row>
    <row r="5" customFormat="false" ht="42" hidden="false" customHeight="true" outlineLevel="0" collapsed="false">
      <c r="A5" s="4" t="s">
        <v>2957</v>
      </c>
      <c r="B5" s="4" t="s">
        <v>2958</v>
      </c>
      <c r="C5" s="132" t="s">
        <v>2959</v>
      </c>
      <c r="D5" s="133" t="s">
        <v>2960</v>
      </c>
    </row>
    <row r="6" customFormat="false" ht="42" hidden="false" customHeight="true" outlineLevel="0" collapsed="false">
      <c r="A6" s="4" t="s">
        <v>2957</v>
      </c>
      <c r="B6" s="4" t="s">
        <v>2958</v>
      </c>
      <c r="C6" s="132" t="s">
        <v>2961</v>
      </c>
      <c r="D6" s="132" t="s">
        <v>2962</v>
      </c>
    </row>
    <row r="7" customFormat="false" ht="42" hidden="false" customHeight="true" outlineLevel="0" collapsed="false">
      <c r="A7" s="4" t="s">
        <v>2957</v>
      </c>
      <c r="B7" s="4" t="s">
        <v>2958</v>
      </c>
      <c r="C7" s="133" t="s">
        <v>2963</v>
      </c>
      <c r="D7" s="133" t="s">
        <v>2964</v>
      </c>
    </row>
    <row r="8" customFormat="false" ht="42" hidden="false" customHeight="true" outlineLevel="0" collapsed="false">
      <c r="A8" s="4" t="s">
        <v>2957</v>
      </c>
      <c r="B8" s="4" t="s">
        <v>2958</v>
      </c>
      <c r="C8" s="133" t="s">
        <v>2965</v>
      </c>
      <c r="D8" s="133" t="s">
        <v>2966</v>
      </c>
    </row>
    <row r="9" customFormat="false" ht="42" hidden="false" customHeight="true" outlineLevel="0" collapsed="false">
      <c r="A9" s="4" t="s">
        <v>2967</v>
      </c>
      <c r="B9" s="11" t="s">
        <v>2968</v>
      </c>
      <c r="C9" s="133" t="s">
        <v>2969</v>
      </c>
      <c r="D9" s="133" t="s">
        <v>2970</v>
      </c>
    </row>
    <row r="10" customFormat="false" ht="42" hidden="false" customHeight="true" outlineLevel="0" collapsed="false">
      <c r="A10" s="4" t="s">
        <v>2967</v>
      </c>
      <c r="B10" s="11" t="s">
        <v>2968</v>
      </c>
      <c r="C10" s="133" t="s">
        <v>2971</v>
      </c>
      <c r="D10" s="132" t="s">
        <v>2972</v>
      </c>
    </row>
    <row r="11" customFormat="false" ht="42" hidden="false" customHeight="true" outlineLevel="0" collapsed="false">
      <c r="A11" s="4" t="s">
        <v>2967</v>
      </c>
      <c r="B11" s="11" t="s">
        <v>2968</v>
      </c>
      <c r="C11" s="133" t="s">
        <v>2973</v>
      </c>
      <c r="D11" s="133" t="s">
        <v>2974</v>
      </c>
    </row>
    <row r="12" customFormat="false" ht="42" hidden="false" customHeight="true" outlineLevel="0" collapsed="false">
      <c r="A12" s="4" t="s">
        <v>2975</v>
      </c>
      <c r="B12" s="4" t="s">
        <v>2976</v>
      </c>
      <c r="C12" s="132" t="s">
        <v>2977</v>
      </c>
      <c r="D12" s="133" t="s">
        <v>2978</v>
      </c>
    </row>
    <row r="13" customFormat="false" ht="42" hidden="false" customHeight="true" outlineLevel="0" collapsed="false">
      <c r="A13" s="4" t="s">
        <v>2975</v>
      </c>
      <c r="B13" s="4" t="s">
        <v>2976</v>
      </c>
      <c r="C13" s="132" t="s">
        <v>2979</v>
      </c>
      <c r="D13" s="132" t="s">
        <v>2980</v>
      </c>
    </row>
    <row r="14" customFormat="false" ht="42" hidden="false" customHeight="true" outlineLevel="0" collapsed="false">
      <c r="A14" s="4" t="s">
        <v>2981</v>
      </c>
      <c r="B14" s="4" t="s">
        <v>2982</v>
      </c>
      <c r="C14" s="133" t="s">
        <v>2983</v>
      </c>
      <c r="D14" s="132" t="s">
        <v>2984</v>
      </c>
    </row>
    <row r="15" customFormat="false" ht="42" hidden="false" customHeight="true" outlineLevel="0" collapsed="false">
      <c r="A15" s="4" t="s">
        <v>2985</v>
      </c>
      <c r="B15" s="11" t="s">
        <v>2986</v>
      </c>
      <c r="C15" s="132" t="s">
        <v>2987</v>
      </c>
      <c r="D15" s="133" t="s">
        <v>2988</v>
      </c>
    </row>
    <row r="16" customFormat="false" ht="42" hidden="false" customHeight="true" outlineLevel="0" collapsed="false">
      <c r="A16" s="4" t="s">
        <v>2989</v>
      </c>
      <c r="B16" s="11" t="s">
        <v>2990</v>
      </c>
      <c r="C16" s="133" t="s">
        <v>2991</v>
      </c>
      <c r="D16" s="132" t="s">
        <v>2992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2" min="3" style="0" width="11"/>
  </cols>
  <sheetData>
    <row r="1" customFormat="false" ht="21.6" hidden="false" customHeight="false" outlineLevel="0" collapsed="false">
      <c r="A1" s="1" t="s">
        <v>2993</v>
      </c>
    </row>
    <row r="2" customFormat="false" ht="15" hidden="false" customHeight="false" outlineLevel="0" collapsed="false">
      <c r="A2" s="2" t="s">
        <v>2994</v>
      </c>
    </row>
    <row r="4" customFormat="false" ht="15" hidden="false" customHeight="false" outlineLevel="0" collapsed="false">
      <c r="A4" s="7" t="s">
        <v>2995</v>
      </c>
      <c r="B4" s="54" t="s">
        <v>2996</v>
      </c>
      <c r="C4" s="8" t="s">
        <v>312</v>
      </c>
      <c r="D4" s="8" t="s">
        <v>313</v>
      </c>
      <c r="E4" s="8" t="s">
        <v>87</v>
      </c>
      <c r="F4" s="8" t="s">
        <v>88</v>
      </c>
      <c r="G4" s="8" t="s">
        <v>11</v>
      </c>
      <c r="H4" s="8" t="s">
        <v>12</v>
      </c>
      <c r="I4" s="8" t="s">
        <v>13</v>
      </c>
      <c r="J4" s="8" t="s">
        <v>14</v>
      </c>
      <c r="K4" s="8" t="s">
        <v>15</v>
      </c>
      <c r="L4" s="8" t="s">
        <v>16</v>
      </c>
    </row>
    <row r="5" customFormat="false" ht="15" hidden="false" customHeight="false" outlineLevel="0" collapsed="false">
      <c r="A5" s="11" t="s">
        <v>2997</v>
      </c>
      <c r="B5" s="55" t="s">
        <v>69</v>
      </c>
      <c r="C5" s="10" t="n">
        <f aca="false">ROUND(N(三表预测!C71),2)</f>
        <v>0</v>
      </c>
      <c r="D5" s="10" t="n">
        <f aca="false">ROUND(N(三表预测!D71),2)</f>
        <v>-0</v>
      </c>
      <c r="E5" s="10" t="n">
        <f aca="false">ROUND(N(三表预测!E71),2)</f>
        <v>-0</v>
      </c>
      <c r="F5" s="10" t="n">
        <f aca="false">ROUND(N(三表预测!F71),2)</f>
        <v>0</v>
      </c>
      <c r="G5" s="10" t="n">
        <f aca="false">ROUND(N(三表预测!G71),2)</f>
        <v>-0</v>
      </c>
      <c r="H5" s="10" t="n">
        <f aca="false">ROUND(N(三表预测!H71),2)</f>
        <v>-0</v>
      </c>
      <c r="I5" s="10" t="n">
        <f aca="false">ROUND(N(三表预测!I71),2)</f>
        <v>-0</v>
      </c>
      <c r="J5" s="10" t="n">
        <f aca="false">ROUND(N(三表预测!J71),2)</f>
        <v>-0</v>
      </c>
      <c r="K5" s="10" t="n">
        <f aca="false">ROUND(N(三表预测!K71),2)</f>
        <v>-0</v>
      </c>
      <c r="L5" s="10" t="n">
        <f aca="false">ROUND(N(三表预测!L71),2)</f>
        <v>-0</v>
      </c>
    </row>
    <row r="6" customFormat="false" ht="15" hidden="false" customHeight="false" outlineLevel="0" collapsed="false">
      <c r="A6" s="11" t="s">
        <v>2998</v>
      </c>
      <c r="B6" s="55" t="s">
        <v>69</v>
      </c>
      <c r="C6" s="10" t="n">
        <f aca="false">ROUND(N(三表预测!C72),2)</f>
        <v>0</v>
      </c>
      <c r="D6" s="10" t="n">
        <f aca="false">ROUND(N(三表预测!D72),2)</f>
        <v>0</v>
      </c>
      <c r="E6" s="10" t="n">
        <f aca="false">ROUND(N(三表预测!E72),2)</f>
        <v>-0</v>
      </c>
      <c r="F6" s="10" t="n">
        <f aca="false">ROUND(N(三表预测!F72),2)</f>
        <v>-0</v>
      </c>
      <c r="G6" s="10" t="n">
        <f aca="false">ROUND(N(三表预测!G72),2)</f>
        <v>-0</v>
      </c>
    </row>
    <row r="7" customFormat="false" ht="15" hidden="false" customHeight="false" outlineLevel="0" collapsed="false">
      <c r="A7" s="11" t="s">
        <v>2999</v>
      </c>
      <c r="B7" s="55" t="s">
        <v>69</v>
      </c>
      <c r="C7" s="10" t="n">
        <f aca="false">ROUND(N(三表预测!C73),2)</f>
        <v>0</v>
      </c>
      <c r="D7" s="10" t="n">
        <f aca="false">ROUND(N(三表预测!D73),2)</f>
        <v>0</v>
      </c>
      <c r="E7" s="10" t="n">
        <f aca="false">ROUND(N(三表预测!E73),2)</f>
        <v>-0</v>
      </c>
      <c r="F7" s="10" t="n">
        <f aca="false">ROUND(N(三表预测!F73),2)</f>
        <v>-0</v>
      </c>
      <c r="G7" s="10" t="n">
        <f aca="false">ROUND(N(三表预测!G73),2)</f>
        <v>-0</v>
      </c>
    </row>
    <row r="8" customFormat="false" ht="15" hidden="false" customHeight="false" outlineLevel="0" collapsed="false">
      <c r="A8" s="11" t="s">
        <v>3000</v>
      </c>
      <c r="B8" s="55" t="s">
        <v>69</v>
      </c>
      <c r="C8" s="10" t="n">
        <f aca="false">ROUND(N(三表预测!C35),2)</f>
        <v>0</v>
      </c>
      <c r="D8" s="10" t="n">
        <f aca="false">ROUND(N(三表预测!D35),2)</f>
        <v>0</v>
      </c>
      <c r="E8" s="10" t="n">
        <f aca="false">ROUND(N(三表预测!E35),2)</f>
        <v>-0</v>
      </c>
      <c r="F8" s="10" t="n">
        <f aca="false">ROUND(N(三表预测!F35),2)</f>
        <v>-0</v>
      </c>
      <c r="G8" s="10" t="n">
        <f aca="false">ROUND(N(三表预测!G35),2)</f>
        <v>-0</v>
      </c>
    </row>
    <row r="9" customFormat="false" ht="15" hidden="false" customHeight="false" outlineLevel="0" collapsed="false">
      <c r="A9" s="11" t="s">
        <v>3001</v>
      </c>
      <c r="B9" s="55" t="s">
        <v>69</v>
      </c>
      <c r="C9" s="10" t="n">
        <f aca="false">ROUND(N(三表预测!C94),2)</f>
        <v>0</v>
      </c>
      <c r="D9" s="10" t="n">
        <f aca="false">ROUND(N(三表预测!D94),2)</f>
        <v>0</v>
      </c>
      <c r="E9" s="10" t="n">
        <f aca="false">ROUND(N(三表预测!E94),2)</f>
        <v>0</v>
      </c>
      <c r="F9" s="10" t="n">
        <f aca="false">ROUND(N(三表预测!F94),2)</f>
        <v>0</v>
      </c>
      <c r="G9" s="10" t="n">
        <f aca="false">ROUND(N(三表预测!G94),2)</f>
        <v>0</v>
      </c>
    </row>
    <row r="10" customFormat="false" ht="15" hidden="false" customHeight="false" outlineLevel="0" collapsed="false">
      <c r="A10" s="11" t="s">
        <v>3002</v>
      </c>
      <c r="B10" s="55" t="s">
        <v>69</v>
      </c>
      <c r="H10" s="10" t="n">
        <f aca="false">ROUND(N(三表预测!H95),2)</f>
        <v>0</v>
      </c>
      <c r="I10" s="10" t="n">
        <f aca="false">ROUND(N(三表预测!I95),2)</f>
        <v>0</v>
      </c>
      <c r="J10" s="10" t="n">
        <f aca="false">ROUND(N(三表预测!J95),2)</f>
        <v>0</v>
      </c>
      <c r="K10" s="10" t="n">
        <f aca="false">ROUND(N(三表预测!K95),2)</f>
        <v>0</v>
      </c>
      <c r="L10" s="10" t="n">
        <f aca="false">ROUND(N(三表预测!L95),2)</f>
        <v>0</v>
      </c>
    </row>
    <row r="11" customFormat="false" ht="15" hidden="false" customHeight="false" outlineLevel="0" collapsed="false">
      <c r="A11" s="11" t="s">
        <v>3003</v>
      </c>
      <c r="B11" s="55" t="s">
        <v>59</v>
      </c>
      <c r="D11" s="10" t="n">
        <f aca="false">ROUND(N(资本开支与折旧!D77),2)</f>
        <v>0</v>
      </c>
      <c r="E11" s="10" t="n">
        <f aca="false">ROUND(N(资本开支与折旧!E77),2)</f>
        <v>-0</v>
      </c>
      <c r="F11" s="10" t="n">
        <f aca="false">ROUND(N(资本开支与折旧!F77),2)</f>
        <v>-0</v>
      </c>
      <c r="G11" s="10" t="n">
        <f aca="false">ROUND(N(资本开支与折旧!G77),2)</f>
        <v>0</v>
      </c>
    </row>
    <row r="12" customFormat="false" ht="15" hidden="false" customHeight="false" outlineLevel="0" collapsed="false">
      <c r="A12" s="11" t="s">
        <v>3004</v>
      </c>
      <c r="B12" s="55" t="s">
        <v>61</v>
      </c>
      <c r="E12" s="10" t="n">
        <f aca="false">ROUND(N(营运资金!E17),2)</f>
        <v>0</v>
      </c>
      <c r="F12" s="10" t="n">
        <f aca="false">ROUND(N(营运资金!F17),2)</f>
        <v>-0</v>
      </c>
      <c r="G12" s="10" t="n">
        <f aca="false">ROUND(N(营运资金!G17),2)</f>
        <v>-0</v>
      </c>
    </row>
    <row r="13" customFormat="false" ht="15" hidden="false" customHeight="false" outlineLevel="0" collapsed="false">
      <c r="A13" s="11" t="s">
        <v>3005</v>
      </c>
      <c r="B13" s="55" t="s">
        <v>63</v>
      </c>
      <c r="C13" s="10" t="n">
        <f aca="false">ROUND(N(融资与资金!C37),2)</f>
        <v>0</v>
      </c>
      <c r="D13" s="10" t="n">
        <f aca="false">ROUND(N(融资与资金!D37),2)</f>
        <v>0</v>
      </c>
      <c r="E13" s="10" t="n">
        <f aca="false">ROUND(N(融资与资金!E37),2)</f>
        <v>0</v>
      </c>
      <c r="F13" s="10" t="n">
        <f aca="false">ROUND(N(融资与资金!F37),2)</f>
        <v>0</v>
      </c>
      <c r="G13" s="10" t="n">
        <f aca="false">ROUND(N(融资与资金!G37),2)</f>
        <v>0</v>
      </c>
    </row>
    <row r="14" customFormat="false" ht="15" hidden="false" customHeight="false" outlineLevel="0" collapsed="false">
      <c r="A14" s="11" t="s">
        <v>3006</v>
      </c>
      <c r="B14" s="55" t="s">
        <v>55</v>
      </c>
      <c r="E14" s="10" t="n">
        <f aca="false">ROUND(N(成本拆解!E37),2)</f>
        <v>-0</v>
      </c>
      <c r="F14" s="10" t="n">
        <f aca="false">ROUND(N(成本拆解!F37),2)</f>
        <v>0</v>
      </c>
      <c r="G14" s="10" t="n">
        <f aca="false">ROUND(N(成本拆解!G37),2)</f>
        <v>-0</v>
      </c>
      <c r="H14" s="10" t="n">
        <f aca="false">ROUND(N(成本拆解!H37),2)</f>
        <v>0</v>
      </c>
      <c r="I14" s="10" t="n">
        <f aca="false">ROUND(N(成本拆解!I37),2)</f>
        <v>0</v>
      </c>
      <c r="J14" s="10" t="n">
        <f aca="false">ROUND(N(成本拆解!J37),2)</f>
        <v>0</v>
      </c>
      <c r="K14" s="10" t="n">
        <f aca="false">ROUND(N(成本拆解!K37),2)</f>
        <v>0</v>
      </c>
      <c r="L14" s="10" t="n">
        <f aca="false">ROUND(N(成本拆解!L37),2)</f>
        <v>0</v>
      </c>
    </row>
    <row r="15" customFormat="false" ht="15" hidden="false" customHeight="false" outlineLevel="0" collapsed="false">
      <c r="A15" s="11" t="s">
        <v>3007</v>
      </c>
      <c r="B15" s="55" t="s">
        <v>53</v>
      </c>
      <c r="F15" s="10" t="n">
        <f aca="false">ROUND(收入拆解!F47-三表预测!F6,2)</f>
        <v>0</v>
      </c>
      <c r="G15" s="10" t="n">
        <f aca="false">ROUND(收入拆解!G47-三表预测!G6,2)</f>
        <v>-0</v>
      </c>
      <c r="H15" s="10" t="n">
        <f aca="false">ROUND(收入拆解!H47-三表预测!H6,2)</f>
        <v>0</v>
      </c>
      <c r="I15" s="10" t="n">
        <f aca="false">ROUND(收入拆解!I47-三表预测!I6,2)</f>
        <v>0</v>
      </c>
      <c r="J15" s="10" t="n">
        <f aca="false">ROUND(收入拆解!J47-三表预测!J6,2)</f>
        <v>0</v>
      </c>
      <c r="K15" s="10" t="n">
        <f aca="false">ROUND(收入拆解!K47-三表预测!K6,2)</f>
        <v>0</v>
      </c>
      <c r="L15" s="10" t="n">
        <f aca="false">ROUND(收入拆解!L47-三表预测!L6,2)</f>
        <v>0</v>
      </c>
    </row>
    <row r="16" customFormat="false" ht="15" hidden="false" customHeight="false" outlineLevel="0" collapsed="false">
      <c r="A16" s="11" t="s">
        <v>3008</v>
      </c>
      <c r="B16" s="55" t="s">
        <v>55</v>
      </c>
      <c r="H16" s="10" t="n">
        <f aca="false">ROUND(成本拆解!H26-三表预测!H8,2)</f>
        <v>0</v>
      </c>
      <c r="I16" s="10" t="n">
        <f aca="false">ROUND(成本拆解!I26-三表预测!I8,2)</f>
        <v>0</v>
      </c>
      <c r="J16" s="10" t="n">
        <f aca="false">ROUND(成本拆解!J26-三表预测!J8,2)</f>
        <v>0</v>
      </c>
      <c r="K16" s="10" t="n">
        <f aca="false">ROUND(成本拆解!K26-三表预测!K8,2)</f>
        <v>0</v>
      </c>
      <c r="L16" s="10" t="n">
        <f aca="false">ROUND(成本拆解!L26-三表预测!L8,2)</f>
        <v>0</v>
      </c>
    </row>
    <row r="17" customFormat="false" ht="15" hidden="false" customHeight="false" outlineLevel="0" collapsed="false">
      <c r="A17" s="4" t="s">
        <v>3009</v>
      </c>
      <c r="B17" s="55" t="s">
        <v>55</v>
      </c>
      <c r="G17" s="10" t="n">
        <f aca="false">ROUND(成本拆解!G15+成本拆解!G16+成本拆解!G22+成本拆解!G19+成本拆解!G20+成本拆解!G21-三表预测!G8,2)</f>
        <v>-0</v>
      </c>
    </row>
    <row r="18" customFormat="false" ht="15" hidden="false" customHeight="false" outlineLevel="0" collapsed="false">
      <c r="A18" s="11" t="s">
        <v>3010</v>
      </c>
      <c r="B18" s="55" t="s">
        <v>51</v>
      </c>
      <c r="H18" s="10" t="n">
        <f aca="false">ROUND(假设!H173+假设!H174+假设!H175+假设!H176-1,6)</f>
        <v>0</v>
      </c>
      <c r="I18" s="10" t="n">
        <f aca="false">ROUND(假设!I173+假设!I174+假设!I175+假设!I176-1,6)</f>
        <v>0</v>
      </c>
      <c r="J18" s="10" t="n">
        <f aca="false">ROUND(假设!J173+假设!J174+假设!J175+假设!J176-1,6)</f>
        <v>0</v>
      </c>
      <c r="K18" s="10" t="n">
        <f aca="false">ROUND(假设!K173+假设!K174+假设!K175+假设!K176-1,6)</f>
        <v>0</v>
      </c>
      <c r="L18" s="10" t="n">
        <f aca="false">ROUND(假设!L173+假设!L174+假设!L175+假设!L176-1,6)</f>
        <v>0</v>
      </c>
    </row>
    <row r="19" customFormat="false" ht="15" hidden="false" customHeight="false" outlineLevel="0" collapsed="false">
      <c r="A19" s="11" t="s">
        <v>3011</v>
      </c>
      <c r="B19" s="55" t="s">
        <v>69</v>
      </c>
      <c r="H19" s="134" t="n">
        <f aca="false">IF(三表预测!H37&lt;0,1,0)</f>
        <v>0</v>
      </c>
      <c r="I19" s="134" t="n">
        <f aca="false">IF(三表预测!I37&lt;0,1,0)</f>
        <v>0</v>
      </c>
      <c r="J19" s="134" t="n">
        <f aca="false">IF(三表预测!J37&lt;0,1,0)</f>
        <v>0</v>
      </c>
      <c r="K19" s="134" t="n">
        <f aca="false">IF(三表预测!K37&lt;0,1,0)</f>
        <v>0</v>
      </c>
      <c r="L19" s="134" t="n">
        <f aca="false">IF(三表预测!L37&lt;0,1,0)</f>
        <v>0</v>
      </c>
    </row>
    <row r="21" customFormat="false" ht="15" hidden="false" customHeight="false" outlineLevel="0" collapsed="false">
      <c r="A21" s="9" t="s">
        <v>3012</v>
      </c>
      <c r="C21" s="59" t="n">
        <f aca="false">SUMPRODUCT(ABS(C5:L19))</f>
        <v>0</v>
      </c>
    </row>
    <row r="23" customFormat="false" ht="15" hidden="false" customHeight="false" outlineLevel="0" collapsed="false">
      <c r="A23" s="11" t="s">
        <v>3013</v>
      </c>
      <c r="B23" s="55" t="s">
        <v>51</v>
      </c>
      <c r="C23" s="134" t="n">
        <f aca="false">IF(ABS(假设!$C$43)+ABS(假设!$C$44)+ABS(假设!$C$45)+ABS(假设!$C$46)+ABS(假设!$C$47)+ABS(假设!$C$48)+ABS(假设!$C$49)+ABS(假设!$C$50)+ABS(假设!$C$51)+ABS(假设!$C$52)+ABS(假设!$C$53)+ABS(假设!$C$54)+ABS(假设!$C$55)+ABS(假设!$C$56)+ABS(假设!$C$57)+ABS(假设!$C$58)+ABS(假设!$C$59)+ABS(假设!$C$60)&gt;0,1,0)</f>
        <v>0</v>
      </c>
    </row>
    <row r="24" customFormat="false" ht="15" hidden="false" customHeight="false" outlineLevel="0" collapsed="false">
      <c r="A24" s="11" t="s">
        <v>3014</v>
      </c>
      <c r="B24" s="55" t="s">
        <v>75</v>
      </c>
      <c r="C24" s="134" t="n">
        <f aca="false">IF(OR(假设!$C$5&lt;&gt;1,C23=1),0,IF(ABS(敏感性分析!C9-DCF估值!$C$41)&gt;0.01,1,0))</f>
        <v>0</v>
      </c>
      <c r="D24" s="2" t="s">
        <v>3015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2026-10-01T10:07:57Z</dcterms:created>
  <dc:creator>openpyxl</dc:creator>
  <dc:description/>
  <dc:language>en-US</dc:language>
  <cp:lastModifiedBy/>
  <dcterms:modified xsi:type="dcterms:W3CDTF">2026-10-01T10:08:03Z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