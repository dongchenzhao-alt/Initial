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假设" sheetId="2" state="visible" r:id="rId4"/>
    <sheet name="业务拆分" sheetId="3" state="visible" r:id="rId5"/>
    <sheet name="资本开支" sheetId="4" state="visible" r:id="rId6"/>
    <sheet name="营运资本" sheetId="5" state="visible" r:id="rId7"/>
    <sheet name="费用税率" sheetId="6" state="visible" r:id="rId8"/>
    <sheet name="融资" sheetId="7" state="visible" r:id="rId9"/>
    <sheet name="利润表" sheetId="8" state="visible" r:id="rId10"/>
    <sheet name="资产负债表" sheetId="9" state="visible" r:id="rId11"/>
    <sheet name="现金流量表" sheetId="10" state="visible" r:id="rId12"/>
    <sheet name="季度" sheetId="11" state="visible" r:id="rId13"/>
    <sheet name="DCF" sheetId="12" state="visible" r:id="rId14"/>
    <sheet name="相对估值" sheetId="13" state="visible" r:id="rId15"/>
    <sheet name="一致预期" sheetId="14" state="visible" r:id="rId16"/>
    <sheet name="历史数据" sheetId="15" state="visible" r:id="rId17"/>
    <sheet name="底稿" sheetId="16" state="visible" r:id="rId18"/>
    <sheet name="检查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<sst xmlns="http://schemas.openxmlformats.org/spreadsheetml/2006/main" count="2402" uniqueCount="1367">
  <si>
    <r>
      <rPr>
        <b val="true"/>
        <sz val="18"/>
        <color rgb="FF1F3864"/>
        <rFont val="Noto Sans CJK SC"/>
        <family val="2"/>
        <charset val="1"/>
      </rPr>
      <t xml:space="preserve">菲利华（</t>
    </r>
    <r>
      <rPr>
        <b val="true"/>
        <sz val="18"/>
        <color rgb="FF1F3864"/>
        <rFont val="Arial"/>
        <family val="0"/>
        <charset val="1"/>
      </rPr>
      <t xml:space="preserve">300395.SZ</t>
    </r>
    <r>
      <rPr>
        <b val="true"/>
        <sz val="18"/>
        <color rgb="FF1F3864"/>
        <rFont val="Noto Sans CJK SC"/>
        <family val="2"/>
        <charset val="1"/>
      </rPr>
      <t xml:space="preserve">）财务与估值模型</t>
    </r>
  </si>
  <si>
    <r>
      <rPr>
        <i val="true"/>
        <sz val="10"/>
        <color rgb="FF808080"/>
        <rFont val="Noto Sans CJK SC"/>
        <family val="2"/>
        <charset val="1"/>
      </rPr>
      <t xml:space="preserve">笃研究　</t>
    </r>
    <r>
      <rPr>
        <i val="true"/>
        <sz val="10"/>
        <color rgb="FF808080"/>
        <rFont val="Arial"/>
        <family val="0"/>
        <charset val="1"/>
      </rPr>
      <t xml:space="preserve">|</t>
    </r>
    <r>
      <rPr>
        <i val="true"/>
        <sz val="10"/>
        <color rgb="FF808080"/>
        <rFont val="Noto Sans CJK SC"/>
        <family val="2"/>
        <charset val="1"/>
      </rPr>
      <t xml:space="preserve">　</t>
    </r>
    <r>
      <rPr>
        <i val="true"/>
        <sz val="10"/>
        <color rgb="FF808080"/>
        <rFont val="Arial"/>
        <family val="0"/>
        <charset val="1"/>
      </rPr>
      <t xml:space="preserve">2026</t>
    </r>
    <r>
      <rPr>
        <i val="true"/>
        <sz val="10"/>
        <color rgb="FF808080"/>
        <rFont val="Noto Sans CJK SC"/>
        <family val="2"/>
        <charset val="1"/>
      </rPr>
      <t xml:space="preserve">年</t>
    </r>
    <r>
      <rPr>
        <i val="true"/>
        <sz val="10"/>
        <color rgb="FF808080"/>
        <rFont val="Arial"/>
        <family val="0"/>
        <charset val="1"/>
      </rPr>
      <t xml:space="preserve">10</t>
    </r>
    <r>
      <rPr>
        <i val="true"/>
        <sz val="10"/>
        <color rgb="FF808080"/>
        <rFont val="Noto Sans CJK SC"/>
        <family val="2"/>
        <charset val="1"/>
      </rPr>
      <t xml:space="preserve">月</t>
    </r>
    <r>
      <rPr>
        <i val="true"/>
        <sz val="10"/>
        <color rgb="FF808080"/>
        <rFont val="Arial"/>
        <family val="0"/>
        <charset val="1"/>
      </rPr>
      <t xml:space="preserve">6</t>
    </r>
    <r>
      <rPr>
        <i val="true"/>
        <sz val="10"/>
        <color rgb="FF808080"/>
        <rFont val="Noto Sans CJK SC"/>
        <family val="2"/>
        <charset val="1"/>
      </rPr>
      <t xml:space="preserve">日　</t>
    </r>
    <r>
      <rPr>
        <i val="true"/>
        <sz val="10"/>
        <color rgb="FF808080"/>
        <rFont val="Arial"/>
        <family val="0"/>
        <charset val="1"/>
      </rPr>
      <t xml:space="preserve">|</t>
    </r>
    <r>
      <rPr>
        <i val="true"/>
        <sz val="10"/>
        <color rgb="FF808080"/>
        <rFont val="Noto Sans CJK SC"/>
        <family val="2"/>
        <charset val="1"/>
      </rPr>
      <t xml:space="preserve">　新材料</t>
    </r>
    <r>
      <rPr>
        <i val="true"/>
        <sz val="10"/>
        <color rgb="FF808080"/>
        <rFont val="Arial"/>
        <family val="0"/>
        <charset val="1"/>
      </rPr>
      <t xml:space="preserve">·</t>
    </r>
    <r>
      <rPr>
        <i val="true"/>
        <sz val="10"/>
        <color rgb="FF808080"/>
        <rFont val="Noto Sans CJK SC"/>
        <family val="2"/>
        <charset val="1"/>
      </rPr>
      <t xml:space="preserve">石英　</t>
    </r>
    <r>
      <rPr>
        <i val="true"/>
        <sz val="10"/>
        <color rgb="FF808080"/>
        <rFont val="Arial"/>
        <family val="0"/>
        <charset val="1"/>
      </rPr>
      <t xml:space="preserve">|</t>
    </r>
    <r>
      <rPr>
        <i val="true"/>
        <sz val="10"/>
        <color rgb="FF808080"/>
        <rFont val="Noto Sans CJK SC"/>
        <family val="2"/>
        <charset val="1"/>
      </rPr>
      <t xml:space="preserve">　数据截至</t>
    </r>
    <r>
      <rPr>
        <i val="true"/>
        <sz val="10"/>
        <color rgb="FF808080"/>
        <rFont val="Arial"/>
        <family val="0"/>
        <charset val="1"/>
      </rPr>
      <t xml:space="preserve">2026</t>
    </r>
    <r>
      <rPr>
        <i val="true"/>
        <sz val="10"/>
        <color rgb="FF808080"/>
        <rFont val="Noto Sans CJK SC"/>
        <family val="2"/>
        <charset val="1"/>
      </rPr>
      <t xml:space="preserve">年半年报，股价截至</t>
    </r>
    <r>
      <rPr>
        <i val="true"/>
        <sz val="10"/>
        <color rgb="FF808080"/>
        <rFont val="Arial"/>
        <family val="0"/>
        <charset val="1"/>
      </rPr>
      <t xml:space="preserve">2026</t>
    </r>
    <r>
      <rPr>
        <i val="true"/>
        <sz val="10"/>
        <color rgb="FF808080"/>
        <rFont val="Noto Sans CJK SC"/>
        <family val="2"/>
        <charset val="1"/>
      </rPr>
      <t xml:space="preserve">年</t>
    </r>
    <r>
      <rPr>
        <i val="true"/>
        <sz val="10"/>
        <color rgb="FF808080"/>
        <rFont val="Arial"/>
        <family val="0"/>
        <charset val="1"/>
      </rPr>
      <t xml:space="preserve">9</t>
    </r>
    <r>
      <rPr>
        <i val="true"/>
        <sz val="10"/>
        <color rgb="FF808080"/>
        <rFont val="Noto Sans CJK SC"/>
        <family val="2"/>
        <charset val="1"/>
      </rPr>
      <t xml:space="preserve">月</t>
    </r>
    <r>
      <rPr>
        <i val="true"/>
        <sz val="10"/>
        <color rgb="FF808080"/>
        <rFont val="Arial"/>
        <family val="0"/>
        <charset val="1"/>
      </rPr>
      <t xml:space="preserve">30</t>
    </r>
    <r>
      <rPr>
        <i val="true"/>
        <sz val="10"/>
        <color rgb="FF808080"/>
        <rFont val="Noto Sans CJK SC"/>
        <family val="2"/>
        <charset val="1"/>
      </rPr>
      <t xml:space="preserve">日</t>
    </r>
  </si>
  <si>
    <t xml:space="preserve">关键输出</t>
  </si>
  <si>
    <t xml:space="preserve">2025A</t>
  </si>
  <si>
    <t xml:space="preserve">2026E</t>
  </si>
  <si>
    <t xml:space="preserve">2027E</t>
  </si>
  <si>
    <t xml:space="preserve">2028E</t>
  </si>
  <si>
    <t xml:space="preserve">营业收入（百万元）</t>
  </si>
  <si>
    <t xml:space="preserve">  同比</t>
  </si>
  <si>
    <t xml:space="preserve">综合毛利率</t>
  </si>
  <si>
    <t xml:space="preserve">归母净利润（百万元）</t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</si>
  <si>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  <charset val="1"/>
      </rPr>
      <t xml:space="preserve">（元）</t>
    </r>
  </si>
  <si>
    <t xml:space="preserve">ROE</t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</si>
  <si>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（当前股价）</t>
    </r>
  </si>
  <si>
    <t xml:space="preserve">一致预期归母净利润（百万元）</t>
  </si>
  <si>
    <r>
      <rPr>
        <sz val="10"/>
        <color rgb="FF000000"/>
        <rFont val="Noto Sans CJK SC"/>
        <family val="2"/>
        <charset val="1"/>
      </rPr>
      <t xml:space="preserve">模型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  <charset val="1"/>
      </rPr>
      <t xml:space="preserve">一致预期 − </t>
    </r>
    <r>
      <rPr>
        <sz val="10"/>
        <color rgb="FF000000"/>
        <rFont val="Arial"/>
        <family val="0"/>
        <charset val="1"/>
      </rPr>
      <t xml:space="preserve">1</t>
    </r>
  </si>
  <si>
    <r>
      <rPr>
        <b val="true"/>
        <sz val="10"/>
        <color rgb="FF000000"/>
        <rFont val="Noto Sans CJK SC"/>
        <family val="2"/>
        <charset val="1"/>
      </rPr>
      <t xml:space="preserve">估值（元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股）</t>
    </r>
  </si>
  <si>
    <t xml:space="preserve">下限</t>
  </si>
  <si>
    <t xml:space="preserve">基准</t>
  </si>
  <si>
    <t xml:space="preserve">上限</t>
  </si>
  <si>
    <t xml:space="preserve">相对股价</t>
  </si>
  <si>
    <r>
      <rPr>
        <b val="true"/>
        <sz val="10"/>
        <color rgb="FF000000"/>
        <rFont val="Noto Sans CJK SC"/>
        <family val="2"/>
        <charset val="1"/>
      </rPr>
      <t xml:space="preserve">当前情景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当前价格</t>
    </r>
  </si>
  <si>
    <t xml:space="preserve">模型检查：</t>
  </si>
  <si>
    <t xml:space="preserve">三情景结果快照（静态值，由模型分别切换情景计算后写入）</t>
  </si>
  <si>
    <t xml:space="preserve">情景</t>
  </si>
  <si>
    <r>
      <rPr>
        <b val="true"/>
        <sz val="10"/>
        <color rgb="FF000000"/>
        <rFont val="Arial"/>
        <family val="0"/>
        <charset val="1"/>
      </rPr>
      <t xml:space="preserve">2026E </t>
    </r>
    <r>
      <rPr>
        <b val="true"/>
        <sz val="10"/>
        <color rgb="FF000000"/>
        <rFont val="Noto Sans CJK SC"/>
        <family val="2"/>
        <charset val="1"/>
      </rPr>
      <t xml:space="preserve">归母净利</t>
    </r>
  </si>
  <si>
    <r>
      <rPr>
        <b val="true"/>
        <sz val="10"/>
        <color rgb="FF000000"/>
        <rFont val="Arial"/>
        <family val="0"/>
        <charset val="1"/>
      </rPr>
      <t xml:space="preserve">2027E </t>
    </r>
    <r>
      <rPr>
        <b val="true"/>
        <sz val="10"/>
        <color rgb="FF000000"/>
        <rFont val="Noto Sans CJK SC"/>
        <family val="2"/>
        <charset val="1"/>
      </rPr>
      <t xml:space="preserve">归母净利</t>
    </r>
  </si>
  <si>
    <r>
      <rPr>
        <b val="true"/>
        <sz val="10"/>
        <color rgb="FF000000"/>
        <rFont val="Arial"/>
        <family val="0"/>
        <charset val="1"/>
      </rPr>
      <t xml:space="preserve">2028E </t>
    </r>
    <r>
      <rPr>
        <b val="true"/>
        <sz val="10"/>
        <color rgb="FF000000"/>
        <rFont val="Noto Sans CJK SC"/>
        <family val="2"/>
        <charset val="1"/>
      </rPr>
      <t xml:space="preserve">归母净利</t>
    </r>
  </si>
  <si>
    <r>
      <rPr>
        <b val="true"/>
        <sz val="10"/>
        <color rgb="FF000000"/>
        <rFont val="Arial"/>
        <family val="0"/>
        <charset val="1"/>
      </rPr>
      <t xml:space="preserve">DCF</t>
    </r>
    <r>
      <rPr>
        <b val="true"/>
        <sz val="10"/>
        <color rgb="FF000000"/>
        <rFont val="Noto Sans CJK SC"/>
        <family val="2"/>
        <charset val="1"/>
      </rPr>
      <t xml:space="preserve">每股价值</t>
    </r>
  </si>
  <si>
    <r>
      <rPr>
        <b val="true"/>
        <sz val="10"/>
        <color rgb="FF000000"/>
        <rFont val="Arial"/>
        <family val="0"/>
        <charset val="1"/>
      </rPr>
      <t xml:space="preserve">SOTP(2027E)</t>
    </r>
    <r>
      <rPr>
        <b val="true"/>
        <sz val="10"/>
        <color rgb="FF000000"/>
        <rFont val="Noto Sans CJK SC"/>
        <family val="2"/>
        <charset val="1"/>
      </rPr>
      <t xml:space="preserve">每股</t>
    </r>
  </si>
  <si>
    <r>
      <rPr>
        <b val="true"/>
        <sz val="10"/>
        <color rgb="FF000000"/>
        <rFont val="Arial"/>
        <family val="0"/>
        <charset val="1"/>
      </rPr>
      <t xml:space="preserve">2028E</t>
    </r>
    <r>
      <rPr>
        <b val="true"/>
        <sz val="10"/>
        <color rgb="FF000000"/>
        <rFont val="Noto Sans CJK SC"/>
        <family val="2"/>
        <charset val="1"/>
      </rPr>
      <t xml:space="preserve">电子布收入</t>
    </r>
  </si>
  <si>
    <t xml:space="preserve">悲观</t>
  </si>
  <si>
    <t xml:space="preserve">乐观</t>
  </si>
  <si>
    <t xml:space="preserve">图例与约定</t>
  </si>
  <si>
    <t xml:space="preserve">蓝色字体</t>
  </si>
  <si>
    <t xml:space="preserve">硬编码输入（历史报告值、假设、外部数据）</t>
  </si>
  <si>
    <t xml:space="preserve">黑色字体</t>
  </si>
  <si>
    <t xml:space="preserve">公式计算</t>
  </si>
  <si>
    <t xml:space="preserve">绿色字体</t>
  </si>
  <si>
    <t xml:space="preserve">跨表引用</t>
  </si>
  <si>
    <t xml:space="preserve">浅黄底色</t>
  </si>
  <si>
    <t xml:space="preserve">预测期可调输入</t>
  </si>
  <si>
    <t xml:space="preserve">亮黄底色</t>
  </si>
  <si>
    <r>
      <rPr>
        <sz val="10"/>
        <color rgb="FF000000"/>
        <rFont val="Noto Sans CJK SC"/>
        <family val="2"/>
        <charset val="1"/>
      </rPr>
      <t xml:space="preserve">关键假设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  <charset val="1"/>
      </rPr>
      <t xml:space="preserve">关键输出（含情景选择单元格“假设</t>
    </r>
    <r>
      <rPr>
        <sz val="10"/>
        <color rgb="FF000000"/>
        <rFont val="Arial"/>
        <family val="0"/>
        <charset val="1"/>
      </rPr>
      <t xml:space="preserve">!C4”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</si>
  <si>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单位</t>
  </si>
  <si>
    <r>
      <rPr>
        <sz val="10"/>
        <color rgb="FF000000"/>
        <rFont val="Noto Sans CJK SC"/>
        <family val="2"/>
        <charset val="1"/>
      </rPr>
      <t xml:space="preserve">除注明外均为人民币百万元；股本为百万股；电子布销量为万米、均价为元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米</t>
    </r>
  </si>
  <si>
    <t xml:space="preserve">时间</t>
  </si>
  <si>
    <r>
      <rPr>
        <sz val="10"/>
        <color rgb="FF000000"/>
        <rFont val="Noto Sans CJK SC"/>
        <family val="2"/>
        <charset val="1"/>
      </rPr>
      <t xml:space="preserve">历史 </t>
    </r>
    <r>
      <rPr>
        <sz val="10"/>
        <color rgb="FF000000"/>
        <rFont val="Arial"/>
        <family val="0"/>
        <charset val="1"/>
      </rPr>
      <t xml:space="preserve">2020A–2025A</t>
    </r>
    <r>
      <rPr>
        <sz val="10"/>
        <color rgb="FF000000"/>
        <rFont val="Noto Sans CJK SC"/>
        <family val="2"/>
        <charset val="1"/>
      </rPr>
      <t xml:space="preserve">（年报）；</t>
    </r>
    <r>
      <rPr>
        <sz val="10"/>
        <color rgb="FF000000"/>
        <rFont val="Arial"/>
        <family val="0"/>
        <charset val="1"/>
      </rPr>
      <t xml:space="preserve">2026E–2030E </t>
    </r>
    <r>
      <rPr>
        <sz val="10"/>
        <color rgb="FF000000"/>
        <rFont val="Noto Sans CJK SC"/>
        <family val="2"/>
        <charset val="1"/>
      </rPr>
      <t xml:space="preserve">为全年预测，“季度”表以全年预测减上半年实际推算</t>
    </r>
    <r>
      <rPr>
        <sz val="10"/>
        <color rgb="FF000000"/>
        <rFont val="Arial"/>
        <family val="0"/>
        <charset val="1"/>
      </rPr>
      <t xml:space="preserve">2026Q3E/Q4E</t>
    </r>
  </si>
  <si>
    <t xml:space="preserve">表单导航</t>
  </si>
  <si>
    <t xml:space="preserve">假设</t>
  </si>
  <si>
    <r>
      <rPr>
        <sz val="10"/>
        <color rgb="FF000000"/>
        <rFont val="Noto Sans CJK SC"/>
        <family val="2"/>
        <charset val="1"/>
      </rPr>
      <t xml:space="preserve">情景切换（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  <charset val="1"/>
      </rPr>
      <t xml:space="preserve">）与分业务情景驱动：增速、毛利率、电子布产能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销量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价格</t>
    </r>
  </si>
  <si>
    <t xml:space="preserve">业务拆分</t>
  </si>
  <si>
    <t xml:space="preserve">七大应用的收入、毛利、经营利润、少数股东比例与归母利润</t>
  </si>
  <si>
    <t xml:space="preserve">资本开支</t>
  </si>
  <si>
    <t xml:space="preserve">项目级资本开支、在建工程转固、分年度折旧（年中法）</t>
  </si>
  <si>
    <t xml:space="preserve">营运资本</t>
  </si>
  <si>
    <t xml:space="preserve">应收、存货、应付等周转天数驱动</t>
  </si>
  <si>
    <t xml:space="preserve">费用税率</t>
  </si>
  <si>
    <t xml:space="preserve">费用率、其他收益、减值、税率、少数股东损益</t>
  </si>
  <si>
    <t xml:space="preserve">融资</t>
  </si>
  <si>
    <t xml:space="preserve">借款、利息、金融资产、股本、股份支付、分红、少数股东</t>
  </si>
  <si>
    <r>
      <rPr>
        <sz val="10"/>
        <color rgb="FF000000"/>
        <rFont val="Noto Sans CJK SC"/>
        <family val="2"/>
        <charset val="1"/>
      </rPr>
      <t xml:space="preserve">利润表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资产负债表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现金流量表</t>
    </r>
  </si>
  <si>
    <t xml:space="preserve">三表联动，现金为平衡项</t>
  </si>
  <si>
    <t xml:space="preserve">季度</t>
  </si>
  <si>
    <r>
      <rPr>
        <sz val="10"/>
        <color rgb="FF000000"/>
        <rFont val="Noto Sans CJK SC"/>
        <family val="2"/>
        <charset val="1"/>
      </rPr>
      <t xml:space="preserve">单季利润表与</t>
    </r>
    <r>
      <rPr>
        <sz val="10"/>
        <color rgb="FF000000"/>
        <rFont val="Arial"/>
        <family val="0"/>
        <charset val="1"/>
      </rPr>
      <t xml:space="preserve">2026Q3/Q4</t>
    </r>
    <r>
      <rPr>
        <sz val="10"/>
        <color rgb="FF000000"/>
        <rFont val="Noto Sans CJK SC"/>
        <family val="2"/>
        <charset val="1"/>
      </rPr>
      <t xml:space="preserve">隐含值</t>
    </r>
  </si>
  <si>
    <t xml:space="preserve">DCF</t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</si>
  <si>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  <charset val="1"/>
      </rPr>
      <t xml:space="preserve">：显性期</t>
    </r>
    <r>
      <rPr>
        <sz val="10"/>
        <color rgb="FF000000"/>
        <rFont val="Arial"/>
        <family val="0"/>
        <charset val="1"/>
      </rPr>
      <t xml:space="preserve">2026-30E</t>
    </r>
    <r>
      <rPr>
        <sz val="10"/>
        <color rgb="FF000000"/>
        <rFont val="Noto Sans CJK SC"/>
        <family val="2"/>
        <charset val="1"/>
      </rPr>
      <t xml:space="preserve">＋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  <charset val="1"/>
      </rPr>
      <t xml:space="preserve">年衰减期＋永续；</t>
    </r>
    <r>
      <rPr>
        <sz val="10"/>
        <color rgb="FF000000"/>
        <rFont val="Arial"/>
        <family val="0"/>
        <charset val="1"/>
      </rPr>
      <t xml:space="preserve">WACC×g</t>
    </r>
    <r>
      <rPr>
        <sz val="10"/>
        <color rgb="FF000000"/>
        <rFont val="Noto Sans CJK SC"/>
        <family val="2"/>
        <charset val="1"/>
      </rPr>
      <t xml:space="preserve">、衰减期起始增速</t>
    </r>
    <r>
      <rPr>
        <sz val="10"/>
        <color rgb="FF000000"/>
        <rFont val="Arial"/>
        <family val="0"/>
        <charset val="1"/>
      </rPr>
      <t xml:space="preserve">×RONIC</t>
    </r>
    <r>
      <rPr>
        <sz val="10"/>
        <color rgb="FF000000"/>
        <rFont val="Noto Sans CJK SC"/>
        <family val="2"/>
        <charset val="1"/>
      </rPr>
      <t xml:space="preserve">敏感性；反向</t>
    </r>
    <r>
      <rPr>
        <sz val="10"/>
        <color rgb="FF000000"/>
        <rFont val="Arial"/>
        <family val="0"/>
        <charset val="1"/>
      </rPr>
      <t xml:space="preserve">DCF</t>
    </r>
  </si>
  <si>
    <t xml:space="preserve">相对估值</t>
  </si>
  <si>
    <r>
      <rPr>
        <sz val="10"/>
        <color rgb="FF000000"/>
        <rFont val="Noto Sans CJK SC"/>
        <family val="2"/>
        <charset val="1"/>
      </rPr>
      <t xml:space="preserve">可比公司、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、</t>
    </r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  <charset val="1"/>
      </rPr>
      <t xml:space="preserve">、市场隐含电子布预期、估值汇总</t>
    </r>
  </si>
  <si>
    <t xml:space="preserve">一致预期</t>
  </si>
  <si>
    <r>
      <rPr>
        <sz val="10"/>
        <color rgb="FF000000"/>
        <rFont val="Noto Sans CJK SC"/>
        <family val="2"/>
        <charset val="1"/>
      </rPr>
      <t xml:space="preserve">模型与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一致预期对比、预期修正、卖方明细</t>
    </r>
  </si>
  <si>
    <r>
      <rPr>
        <sz val="10"/>
        <color rgb="FF000000"/>
        <rFont val="Noto Sans CJK SC"/>
        <family val="2"/>
        <charset val="1"/>
      </rPr>
      <t xml:space="preserve">历史数据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底稿</t>
    </r>
  </si>
  <si>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原表（万元）与定期报告附注摘录</t>
    </r>
  </si>
  <si>
    <t xml:space="preserve">检查</t>
  </si>
  <si>
    <t xml:space="preserve">平衡与勾稽检查</t>
  </si>
  <si>
    <t xml:space="preserve">主要数据来源</t>
  </si>
  <si>
    <r>
      <rPr>
        <sz val="10"/>
        <color rgb="FF000000"/>
        <rFont val="Noto Sans CJK SC"/>
        <family val="2"/>
        <charset val="1"/>
      </rPr>
      <t xml:space="preserve">公司</t>
    </r>
    <r>
      <rPr>
        <sz val="10"/>
        <color rgb="FF000000"/>
        <rFont val="Arial"/>
        <family val="0"/>
        <charset val="1"/>
      </rPr>
      <t xml:space="preserve">2021-2025</t>
    </r>
    <r>
      <rPr>
        <sz val="10"/>
        <color rgb="FF000000"/>
        <rFont val="Noto Sans CJK SC"/>
        <family val="2"/>
        <charset val="1"/>
      </rPr>
      <t xml:space="preserve">年年报、</t>
    </r>
    <r>
      <rPr>
        <sz val="10"/>
        <color rgb="FF000000"/>
        <rFont val="Arial"/>
        <family val="0"/>
        <charset val="1"/>
      </rPr>
      <t xml:space="preserve">2021-2026</t>
    </r>
    <r>
      <rPr>
        <sz val="10"/>
        <color rgb="FF000000"/>
        <rFont val="Noto Sans CJK SC"/>
        <family val="2"/>
        <charset val="1"/>
      </rPr>
      <t xml:space="preserve">年半年报及季报；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三大报表（万元，换算为百万元）</t>
    </r>
  </si>
  <si>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一致预期（</t>
    </r>
    <r>
      <rPr>
        <sz val="10"/>
        <color rgb="FF000000"/>
        <rFont val="Arial"/>
        <family val="0"/>
        <charset val="1"/>
      </rPr>
      <t xml:space="preserve">2026-10-06</t>
    </r>
    <r>
      <rPr>
        <sz val="10"/>
        <color rgb="FF000000"/>
        <rFont val="Noto Sans CJK SC"/>
        <family val="2"/>
        <charset val="1"/>
      </rPr>
      <t xml:space="preserve">）；公司投资者关系活动记录、互动易问答（至</t>
    </r>
    <r>
      <rPr>
        <sz val="10"/>
        <color rgb="FF000000"/>
        <rFont val="Arial"/>
        <family val="0"/>
        <charset val="1"/>
      </rPr>
      <t xml:space="preserve">2026-09-04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</si>
  <si>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10"/>
        <color rgb="FF000000"/>
        <rFont val="Noto Sans CJK SC"/>
        <family val="2"/>
        <charset val="1"/>
      </rPr>
      <t xml:space="preserve">行业数据：券商研报与媒体公开报道（详见各单元格备注）；可比公司估值为公开报道快照，需以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复核</t>
    </r>
  </si>
  <si>
    <r>
      <rPr>
        <b val="true"/>
        <sz val="14"/>
        <color rgb="FF1F3864"/>
        <rFont val="Noto Sans CJK SC"/>
        <family val="2"/>
        <charset val="1"/>
      </rPr>
      <t xml:space="preserve">核心假设与情景切换（黄色底色</t>
    </r>
    <r>
      <rPr>
        <b val="true"/>
        <sz val="14"/>
        <color rgb="FF1F3864"/>
        <rFont val="Arial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  <charset val="1"/>
      </rPr>
      <t xml:space="preserve">可调输入；蓝字</t>
    </r>
    <r>
      <rPr>
        <b val="true"/>
        <sz val="14"/>
        <color rgb="FF1F3864"/>
        <rFont val="Arial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  <charset val="1"/>
      </rPr>
      <t xml:space="preserve">硬编码输入；黑字</t>
    </r>
    <r>
      <rPr>
        <b val="true"/>
        <sz val="14"/>
        <color rgb="FF1F3864"/>
        <rFont val="Arial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  <charset val="1"/>
      </rPr>
      <t xml:space="preserve">公式；绿字</t>
    </r>
    <r>
      <rPr>
        <b val="true"/>
        <sz val="14"/>
        <color rgb="FF1F3864"/>
        <rFont val="Arial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  <charset val="1"/>
      </rPr>
      <t xml:space="preserve">跨表引用）</t>
    </r>
  </si>
  <si>
    <r>
      <rPr>
        <i val="true"/>
        <sz val="9"/>
        <color rgb="FF808080"/>
        <rFont val="Noto Sans CJK SC"/>
        <family val="2"/>
        <charset val="1"/>
      </rPr>
      <t xml:space="preserve">切换 </t>
    </r>
    <r>
      <rPr>
        <i val="true"/>
        <sz val="9"/>
        <color rgb="FF808080"/>
        <rFont val="Arial"/>
        <family val="0"/>
        <charset val="1"/>
      </rPr>
      <t xml:space="preserve">C4 </t>
    </r>
    <r>
      <rPr>
        <i val="true"/>
        <sz val="9"/>
        <color rgb="FF808080"/>
        <rFont val="Noto Sans CJK SC"/>
        <family val="2"/>
        <charset val="1"/>
      </rPr>
      <t xml:space="preserve">情景编号（</t>
    </r>
    <r>
      <rPr>
        <i val="true"/>
        <sz val="9"/>
        <color rgb="FF808080"/>
        <rFont val="Arial"/>
        <family val="0"/>
        <charset val="1"/>
      </rPr>
      <t xml:space="preserve">1=</t>
    </r>
    <r>
      <rPr>
        <i val="true"/>
        <sz val="9"/>
        <color rgb="FF808080"/>
        <rFont val="Noto Sans CJK SC"/>
        <family val="2"/>
        <charset val="1"/>
      </rPr>
      <t xml:space="preserve">悲观 </t>
    </r>
    <r>
      <rPr>
        <i val="true"/>
        <sz val="9"/>
        <color rgb="FF808080"/>
        <rFont val="Arial"/>
        <family val="0"/>
        <charset val="1"/>
      </rPr>
      <t xml:space="preserve">2=</t>
    </r>
    <r>
      <rPr>
        <i val="true"/>
        <sz val="9"/>
        <color rgb="FF808080"/>
        <rFont val="Noto Sans CJK SC"/>
        <family val="2"/>
        <charset val="1"/>
      </rPr>
      <t xml:space="preserve">基准 </t>
    </r>
    <r>
      <rPr>
        <i val="true"/>
        <sz val="9"/>
        <color rgb="FF808080"/>
        <rFont val="Arial"/>
        <family val="0"/>
        <charset val="1"/>
      </rPr>
      <t xml:space="preserve">3=</t>
    </r>
    <r>
      <rPr>
        <i val="true"/>
        <sz val="9"/>
        <color rgb="FF808080"/>
        <rFont val="Noto Sans CJK SC"/>
        <family val="2"/>
        <charset val="1"/>
      </rPr>
      <t xml:space="preserve">乐观），全模型随之重算。每个驱动项下方三行为三种情景输入，“选用”行为 </t>
    </r>
    <r>
      <rPr>
        <i val="true"/>
        <sz val="9"/>
        <color rgb="FF808080"/>
        <rFont val="Arial"/>
        <family val="0"/>
        <charset val="1"/>
      </rPr>
      <t xml:space="preserve">CHOOSE </t>
    </r>
    <r>
      <rPr>
        <i val="true"/>
        <sz val="9"/>
        <color rgb="FF808080"/>
        <rFont val="Noto Sans CJK SC"/>
        <family val="2"/>
        <charset val="1"/>
      </rPr>
      <t xml:space="preserve">结果。</t>
    </r>
  </si>
  <si>
    <r>
      <rPr>
        <b val="true"/>
        <sz val="10"/>
        <rFont val="Noto Sans CJK SC"/>
        <family val="2"/>
        <charset val="1"/>
      </rPr>
      <t xml:space="preserve">情景选择（</t>
    </r>
    <r>
      <rPr>
        <b val="true"/>
        <sz val="10"/>
        <rFont val="Arial"/>
        <family val="0"/>
        <charset val="1"/>
      </rPr>
      <t xml:space="preserve">1=</t>
    </r>
    <r>
      <rPr>
        <b val="true"/>
        <sz val="10"/>
        <rFont val="Noto Sans CJK SC"/>
        <family val="2"/>
        <charset val="1"/>
      </rPr>
      <t xml:space="preserve">悲观</t>
    </r>
    <r>
      <rPr>
        <b val="true"/>
        <sz val="10"/>
        <rFont val="Arial"/>
        <family val="0"/>
        <charset val="1"/>
      </rPr>
      <t xml:space="preserve">, 2=</t>
    </r>
    <r>
      <rPr>
        <b val="true"/>
        <sz val="10"/>
        <rFont val="Noto Sans CJK SC"/>
        <family val="2"/>
        <charset val="1"/>
      </rPr>
      <t xml:space="preserve">基准</t>
    </r>
    <r>
      <rPr>
        <b val="true"/>
        <sz val="10"/>
        <rFont val="Arial"/>
        <family val="0"/>
        <charset val="1"/>
      </rPr>
      <t xml:space="preserve">, 3=</t>
    </r>
    <r>
      <rPr>
        <b val="true"/>
        <sz val="10"/>
        <rFont val="Noto Sans CJK SC"/>
        <family val="2"/>
        <charset val="1"/>
      </rPr>
      <t xml:space="preserve">乐观）</t>
    </r>
  </si>
  <si>
    <t xml:space="preserve">改变此单元格即可切换全模型情景</t>
  </si>
  <si>
    <t xml:space="preserve">当前情景</t>
  </si>
  <si>
    <r>
      <rPr>
        <b val="true"/>
        <sz val="10"/>
        <color rgb="FFFFFFFF"/>
        <rFont val="Noto Sans CJK SC"/>
        <family val="2"/>
        <charset val="1"/>
      </rPr>
      <t xml:space="preserve">情景驱动（百万元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  <charset val="1"/>
      </rPr>
      <t xml:space="preserve">指标）</t>
    </r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</si>
  <si>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</si>
  <si>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</si>
  <si>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</si>
  <si>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</si>
  <si>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</si>
  <si>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2029E</t>
  </si>
  <si>
    <t xml:space="preserve">2030E</t>
  </si>
  <si>
    <r>
      <rPr>
        <b val="true"/>
        <sz val="10"/>
        <color rgb="FFFFFFFF"/>
        <rFont val="Noto Sans CJK SC"/>
        <family val="2"/>
        <charset val="1"/>
      </rPr>
      <t xml:space="preserve">说明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  <charset val="1"/>
      </rPr>
      <t xml:space="preserve">来源</t>
    </r>
  </si>
  <si>
    <t xml:space="preserve">半导体 收入增速</t>
  </si>
  <si>
    <t xml:space="preserve">%</t>
  </si>
  <si>
    <t xml:space="preserve">选用（半导体 收入增速）</t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</si>
  <si>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半导体用石英材料</t>
    </r>
    <r>
      <rPr>
        <i val="true"/>
        <sz val="9"/>
        <color rgb="FF808080"/>
        <rFont val="Arial"/>
        <family val="0"/>
        <charset val="1"/>
      </rPr>
      <t xml:space="preserve">+35%</t>
    </r>
    <r>
      <rPr>
        <i val="true"/>
        <sz val="9"/>
        <color rgb="FF808080"/>
        <rFont val="Noto Sans CJK SC"/>
        <family val="2"/>
        <charset val="1"/>
      </rPr>
      <t xml:space="preserve">（半年报）；石创器件受光伏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研发拖累，合计按</t>
    </r>
    <r>
      <rPr>
        <i val="true"/>
        <sz val="9"/>
        <color rgb="FF808080"/>
        <rFont val="Arial"/>
        <family val="0"/>
        <charset val="1"/>
      </rPr>
      <t xml:space="preserve">+28%</t>
    </r>
    <r>
      <rPr>
        <i val="true"/>
        <sz val="9"/>
        <color rgb="FF808080"/>
        <rFont val="Noto Sans CJK SC"/>
        <family val="2"/>
        <charset val="1"/>
      </rPr>
      <t xml:space="preserve">；之后随国产替代与存储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先进制程扩产放缓</t>
    </r>
  </si>
  <si>
    <t xml:space="preserve">半导体 毛利率</t>
  </si>
  <si>
    <t xml:space="preserve">选用（半导体 毛利率）</t>
  </si>
  <si>
    <r>
      <rPr>
        <i val="true"/>
        <sz val="9"/>
        <color rgb="FF808080"/>
        <rFont val="Noto Sans CJK SC"/>
        <family val="2"/>
        <charset val="1"/>
      </rPr>
      <t xml:space="preserve">估算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51%</t>
    </r>
    <r>
      <rPr>
        <i val="true"/>
        <sz val="9"/>
        <color rgb="FF808080"/>
        <rFont val="Noto Sans CJK SC"/>
        <family val="2"/>
        <charset val="1"/>
      </rPr>
      <t xml:space="preserve">、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约</t>
    </r>
    <r>
      <rPr>
        <i val="true"/>
        <sz val="9"/>
        <color rgb="FF808080"/>
        <rFont val="Arial"/>
        <family val="0"/>
        <charset val="1"/>
      </rPr>
      <t xml:space="preserve">51%</t>
    </r>
    <r>
      <rPr>
        <i val="true"/>
        <sz val="9"/>
        <color rgb="FF808080"/>
        <rFont val="Noto Sans CJK SC"/>
        <family val="2"/>
        <charset val="1"/>
      </rPr>
      <t xml:space="preserve">（材料毛利率</t>
    </r>
    <r>
      <rPr>
        <i val="true"/>
        <sz val="9"/>
        <color rgb="FF808080"/>
        <rFont val="Arial"/>
        <family val="0"/>
        <charset val="1"/>
      </rPr>
      <t xml:space="preserve">-7.5pct</t>
    </r>
    <r>
      <rPr>
        <i val="true"/>
        <sz val="9"/>
        <color rgb="FF808080"/>
        <rFont val="Noto Sans CJK SC"/>
        <family val="2"/>
        <charset val="1"/>
      </rPr>
      <t xml:space="preserve">，合成石英五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六期折旧与产品结构）；基准维持</t>
    </r>
    <r>
      <rPr>
        <i val="true"/>
        <sz val="9"/>
        <color rgb="FF808080"/>
        <rFont val="Arial"/>
        <family val="0"/>
        <charset val="1"/>
      </rPr>
      <t xml:space="preserve">51%</t>
    </r>
  </si>
  <si>
    <t xml:space="preserve">航空航天 收入增速</t>
  </si>
  <si>
    <t xml:space="preserve">选用（航空航天 收入增速）</t>
  </si>
  <si>
    <r>
      <rPr>
        <i val="true"/>
        <sz val="9"/>
        <color rgb="FF808080"/>
        <rFont val="Arial"/>
        <family val="0"/>
        <charset val="1"/>
      </rPr>
      <t xml:space="preserve">2024</t>
    </r>
    <r>
      <rPr>
        <i val="true"/>
        <sz val="9"/>
        <color rgb="FF808080"/>
        <rFont val="Noto Sans CJK SC"/>
        <family val="2"/>
        <charset val="1"/>
      </rPr>
      <t xml:space="preserve">需求回落、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持续恢复、复合材料获批量订单；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估算</t>
    </r>
    <r>
      <rPr>
        <i val="true"/>
        <sz val="9"/>
        <color rgb="FF808080"/>
        <rFont val="Arial"/>
        <family val="0"/>
        <charset val="1"/>
      </rPr>
      <t xml:space="preserve">+19%</t>
    </r>
    <r>
      <rPr>
        <i val="true"/>
        <sz val="9"/>
        <color rgb="FF808080"/>
        <rFont val="Noto Sans CJK SC"/>
        <family val="2"/>
        <charset val="1"/>
      </rPr>
      <t xml:space="preserve">，全年按</t>
    </r>
    <r>
      <rPr>
        <i val="true"/>
        <sz val="9"/>
        <color rgb="FF808080"/>
        <rFont val="Arial"/>
        <family val="0"/>
        <charset val="1"/>
      </rPr>
      <t xml:space="preserve">+15%</t>
    </r>
    <r>
      <rPr>
        <i val="true"/>
        <sz val="9"/>
        <color rgb="FF808080"/>
        <rFont val="Noto Sans CJK SC"/>
        <family val="2"/>
        <charset val="1"/>
      </rPr>
      <t xml:space="preserve">（下半年约</t>
    </r>
    <r>
      <rPr>
        <i val="true"/>
        <sz val="9"/>
        <color rgb="FF808080"/>
        <rFont val="Arial"/>
        <family val="0"/>
        <charset val="1"/>
      </rPr>
      <t xml:space="preserve">+11%</t>
    </r>
    <r>
      <rPr>
        <i val="true"/>
        <sz val="9"/>
        <color rgb="FF808080"/>
        <rFont val="Noto Sans CJK SC"/>
        <family val="2"/>
        <charset val="1"/>
      </rPr>
      <t xml:space="preserve">）；军工行业“十五五”批量采购预计</t>
    </r>
    <r>
      <rPr>
        <i val="true"/>
        <sz val="9"/>
        <color rgb="FF808080"/>
        <rFont val="Arial"/>
        <family val="0"/>
        <charset val="1"/>
      </rPr>
      <t xml:space="preserve">2027</t>
    </r>
    <r>
      <rPr>
        <i val="true"/>
        <sz val="9"/>
        <color rgb="FF808080"/>
        <rFont val="Noto Sans CJK SC"/>
        <family val="2"/>
        <charset val="1"/>
      </rPr>
      <t xml:space="preserve">年起改善</t>
    </r>
  </si>
  <si>
    <t xml:space="preserve">航空航天 毛利率</t>
  </si>
  <si>
    <t xml:space="preserve">选用（航空航天 毛利率）</t>
  </si>
  <si>
    <r>
      <rPr>
        <i val="true"/>
        <sz val="9"/>
        <color rgb="FF808080"/>
        <rFont val="Noto Sans CJK SC"/>
        <family val="2"/>
        <charset val="1"/>
      </rPr>
      <t xml:space="preserve">军品价格机制改革存在压价风险，基准毛利率较</t>
    </r>
    <r>
      <rPr>
        <i val="true"/>
        <sz val="9"/>
        <color rgb="FF808080"/>
        <rFont val="Arial"/>
        <family val="0"/>
        <charset val="1"/>
      </rPr>
      <t xml:space="preserve">2021-23</t>
    </r>
    <r>
      <rPr>
        <i val="true"/>
        <sz val="9"/>
        <color rgb="FF808080"/>
        <rFont val="Noto Sans CJK SC"/>
        <family val="2"/>
        <charset val="1"/>
      </rPr>
      <t xml:space="preserve">年高点下调</t>
    </r>
  </si>
  <si>
    <r>
      <rPr>
        <b val="true"/>
        <sz val="10"/>
        <color rgb="FF1F3864"/>
        <rFont val="Noto Sans CJK SC"/>
        <family val="2"/>
        <charset val="1"/>
      </rPr>
      <t xml:space="preserve">光学（合成石英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光掩膜基板） 收入增速</t>
    </r>
  </si>
  <si>
    <r>
      <rPr>
        <b val="true"/>
        <sz val="10"/>
        <rFont val="Noto Sans CJK SC"/>
        <family val="2"/>
        <charset val="1"/>
      </rPr>
      <t xml:space="preserve">选用（光学（合成石英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  <charset val="1"/>
      </rPr>
      <t xml:space="preserve">光掩膜基板） 收入增速）</t>
    </r>
  </si>
  <si>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高端光学材料“大幅增长”；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估算</t>
    </r>
    <r>
      <rPr>
        <i val="true"/>
        <sz val="9"/>
        <color rgb="FF808080"/>
        <rFont val="Arial"/>
        <family val="0"/>
        <charset val="1"/>
      </rPr>
      <t xml:space="preserve">+46%</t>
    </r>
    <r>
      <rPr>
        <i val="true"/>
        <sz val="9"/>
        <color rgb="FF808080"/>
        <rFont val="Noto Sans CJK SC"/>
        <family val="2"/>
        <charset val="1"/>
      </rPr>
      <t xml:space="preserve">，济南光微建成、合肥光微逐步批量出货，全年按</t>
    </r>
    <r>
      <rPr>
        <i val="true"/>
        <sz val="9"/>
        <color rgb="FF808080"/>
        <rFont val="Arial"/>
        <family val="0"/>
        <charset val="1"/>
      </rPr>
      <t xml:space="preserve">+38%</t>
    </r>
    <r>
      <rPr>
        <i val="true"/>
        <sz val="9"/>
        <color rgb="FF808080"/>
        <rFont val="Noto Sans CJK SC"/>
        <family val="2"/>
        <charset val="1"/>
      </rPr>
      <t xml:space="preserve">（目标达产收入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  <charset val="1"/>
      </rPr>
      <t xml:space="preserve">亿元）</t>
    </r>
  </si>
  <si>
    <r>
      <rPr>
        <b val="true"/>
        <sz val="10"/>
        <color rgb="FF1F3864"/>
        <rFont val="Noto Sans CJK SC"/>
        <family val="2"/>
        <charset val="1"/>
      </rPr>
      <t xml:space="preserve">光学（合成石英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光掩膜基板） 毛利率</t>
    </r>
  </si>
  <si>
    <r>
      <rPr>
        <b val="true"/>
        <sz val="10"/>
        <rFont val="Noto Sans CJK SC"/>
        <family val="2"/>
        <charset val="1"/>
      </rPr>
      <t xml:space="preserve">选用（光学（合成石英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  <charset val="1"/>
      </rPr>
      <t xml:space="preserve">光掩膜基板） 毛利率）</t>
    </r>
  </si>
  <si>
    <t xml:space="preserve">光掩膜基板仍在爬坡、上海石创亏损；毛利率随规模提升</t>
  </si>
  <si>
    <t xml:space="preserve">光通讯 收入增速</t>
  </si>
  <si>
    <t xml:space="preserve">选用（光通讯 收入增速）</t>
  </si>
  <si>
    <r>
      <rPr>
        <i val="true"/>
        <sz val="9"/>
        <color rgb="FF808080"/>
        <rFont val="Noto Sans CJK SC"/>
        <family val="2"/>
        <charset val="1"/>
      </rPr>
      <t xml:space="preserve">光纤预制棒价格自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年底上涨数倍（</t>
    </r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Noto Sans CJK SC"/>
        <family val="2"/>
        <charset val="1"/>
      </rPr>
      <t xml:space="preserve">数据中心），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年制品一销量</t>
    </r>
    <r>
      <rPr>
        <i val="true"/>
        <sz val="9"/>
        <color rgb="FF808080"/>
        <rFont val="Arial"/>
        <family val="0"/>
        <charset val="1"/>
      </rPr>
      <t xml:space="preserve">+31%</t>
    </r>
    <r>
      <rPr>
        <i val="true"/>
        <sz val="9"/>
        <color rgb="FF808080"/>
        <rFont val="Noto Sans CJK SC"/>
        <family val="2"/>
        <charset val="1"/>
      </rPr>
      <t xml:space="preserve">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估算</t>
    </r>
    <r>
      <rPr>
        <i val="true"/>
        <sz val="9"/>
        <color rgb="FF808080"/>
        <rFont val="Arial"/>
        <family val="0"/>
        <charset val="1"/>
      </rPr>
      <t xml:space="preserve">+62%</t>
    </r>
    <r>
      <rPr>
        <i val="true"/>
        <sz val="9"/>
        <color rgb="FF808080"/>
        <rFont val="Noto Sans CJK SC"/>
        <family val="2"/>
        <charset val="1"/>
      </rPr>
      <t xml:space="preserve">。周期性回落风险在</t>
    </r>
    <r>
      <rPr>
        <i val="true"/>
        <sz val="9"/>
        <color rgb="FF808080"/>
        <rFont val="Arial"/>
        <family val="0"/>
        <charset val="1"/>
      </rPr>
      <t xml:space="preserve">2028</t>
    </r>
    <r>
      <rPr>
        <i val="true"/>
        <sz val="9"/>
        <color rgb="FF808080"/>
        <rFont val="Noto Sans CJK SC"/>
        <family val="2"/>
        <charset val="1"/>
      </rPr>
      <t xml:space="preserve">年</t>
    </r>
  </si>
  <si>
    <t xml:space="preserve">光通讯 毛利率</t>
  </si>
  <si>
    <t xml:space="preserve">选用（光通讯 毛利率）</t>
  </si>
  <si>
    <r>
      <rPr>
        <i val="true"/>
        <sz val="9"/>
        <color rgb="FF808080"/>
        <rFont val="Noto Sans CJK SC"/>
        <family val="2"/>
        <charset val="1"/>
      </rPr>
      <t xml:space="preserve">涨价周期抬升毛利率，</t>
    </r>
    <r>
      <rPr>
        <i val="true"/>
        <sz val="9"/>
        <color rgb="FF808080"/>
        <rFont val="Arial"/>
        <family val="0"/>
        <charset val="1"/>
      </rPr>
      <t xml:space="preserve">2027</t>
    </r>
    <r>
      <rPr>
        <i val="true"/>
        <sz val="9"/>
        <color rgb="FF808080"/>
        <rFont val="Noto Sans CJK SC"/>
        <family val="2"/>
        <charset val="1"/>
      </rPr>
      <t xml:space="preserve">年后回落</t>
    </r>
  </si>
  <si>
    <t xml:space="preserve">光伏 收入增速</t>
  </si>
  <si>
    <t xml:space="preserve">选用（光伏 收入增速）</t>
  </si>
  <si>
    <r>
      <rPr>
        <i val="true"/>
        <sz val="9"/>
        <color rgb="FF808080"/>
        <rFont val="Noto Sans CJK SC"/>
        <family val="2"/>
        <charset val="1"/>
      </rPr>
      <t xml:space="preserve">光伏需求下降与竞争加剧（上海石创收入下滑主因）；高纯石英砂价格自</t>
    </r>
    <r>
      <rPr>
        <i val="true"/>
        <sz val="9"/>
        <color rgb="FF808080"/>
        <rFont val="Arial"/>
        <family val="0"/>
        <charset val="1"/>
      </rPr>
      <t xml:space="preserve">2023</t>
    </r>
    <r>
      <rPr>
        <i val="true"/>
        <sz val="9"/>
        <color rgb="FF808080"/>
        <rFont val="Noto Sans CJK SC"/>
        <family val="2"/>
        <charset val="1"/>
      </rPr>
      <t xml:space="preserve">年高点回落八成</t>
    </r>
  </si>
  <si>
    <t xml:space="preserve">光伏 毛利率</t>
  </si>
  <si>
    <t xml:space="preserve">选用（光伏 毛利率）</t>
  </si>
  <si>
    <t xml:space="preserve">低毛利，含存货跌价压力</t>
  </si>
  <si>
    <t xml:space="preserve">玻纤工业布及其他 收入增速</t>
  </si>
  <si>
    <t xml:space="preserve">选用（玻纤工业布及其他 收入增速）</t>
  </si>
  <si>
    <r>
      <rPr>
        <i val="true"/>
        <sz val="9"/>
        <color rgb="FF808080"/>
        <rFont val="Noto Sans CJK SC"/>
        <family val="2"/>
        <charset val="1"/>
      </rPr>
      <t xml:space="preserve">中益新材无碱玻纤工业布（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年非石英电子布收入约</t>
    </r>
    <r>
      <rPr>
        <i val="true"/>
        <sz val="9"/>
        <color rgb="FF808080"/>
        <rFont val="Arial"/>
        <family val="0"/>
        <charset val="1"/>
      </rPr>
      <t xml:space="preserve">1.48</t>
    </r>
    <r>
      <rPr>
        <i val="true"/>
        <sz val="9"/>
        <color rgb="FF808080"/>
        <rFont val="Noto Sans CJK SC"/>
        <family val="2"/>
        <charset val="1"/>
      </rPr>
      <t xml:space="preserve">亿元）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技术服务等其他收入；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估算</t>
    </r>
    <r>
      <rPr>
        <i val="true"/>
        <sz val="9"/>
        <color rgb="FF808080"/>
        <rFont val="Arial"/>
        <family val="0"/>
        <charset val="1"/>
      </rPr>
      <t xml:space="preserve">+17%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7628</t>
    </r>
    <r>
      <rPr>
        <i val="true"/>
        <sz val="9"/>
        <color rgb="FF808080"/>
        <rFont val="Noto Sans CJK SC"/>
        <family val="2"/>
        <charset val="1"/>
      </rPr>
      <t xml:space="preserve">布价格自</t>
    </r>
    <r>
      <rPr>
        <i val="true"/>
        <sz val="9"/>
        <color rgb="FF808080"/>
        <rFont val="Arial"/>
        <family val="0"/>
        <charset val="1"/>
      </rPr>
      <t xml:space="preserve">4.6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米涨至</t>
    </r>
    <r>
      <rPr>
        <i val="true"/>
        <sz val="9"/>
        <color rgb="FF808080"/>
        <rFont val="Arial"/>
        <family val="0"/>
        <charset val="1"/>
      </rPr>
      <t xml:space="preserve">11-12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米</t>
    </r>
  </si>
  <si>
    <t xml:space="preserve">玻纤工业布及其他 毛利率</t>
  </si>
  <si>
    <t xml:space="preserve">选用（玻纤工业布及其他 毛利率）</t>
  </si>
  <si>
    <r>
      <rPr>
        <i val="true"/>
        <sz val="9"/>
        <color rgb="FF808080"/>
        <rFont val="Noto Sans CJK SC"/>
        <family val="2"/>
        <charset val="1"/>
      </rPr>
      <t xml:space="preserve">电子级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工业玻纤布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年涨价，毛利率改善</t>
    </r>
  </si>
  <si>
    <t xml:space="preserve">石英电子布 年末有效产能</t>
  </si>
  <si>
    <r>
      <rPr>
        <sz val="9"/>
        <color rgb="FF808080"/>
        <rFont val="Noto Sans CJK SC"/>
        <family val="2"/>
        <charset val="1"/>
      </rPr>
      <t xml:space="preserve">万米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Noto Sans CJK SC"/>
        <family val="2"/>
        <charset val="1"/>
      </rPr>
      <t xml:space="preserve">年</t>
    </r>
  </si>
  <si>
    <t xml:space="preserve">选用（石英电子布 年末有效产能）</t>
  </si>
  <si>
    <r>
      <rPr>
        <i val="true"/>
        <sz val="9"/>
        <color rgb="FF808080"/>
        <rFont val="Noto Sans CJK SC"/>
        <family val="2"/>
        <charset val="1"/>
      </rPr>
      <t xml:space="preserve">年化有效产能（万米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年）。</t>
    </r>
    <r>
      <rPr>
        <i val="true"/>
        <sz val="9"/>
        <color rgb="FF808080"/>
        <rFont val="Arial"/>
        <family val="0"/>
        <charset val="1"/>
      </rPr>
      <t xml:space="preserve">1,000</t>
    </r>
    <r>
      <rPr>
        <i val="true"/>
        <sz val="9"/>
        <color rgb="FF808080"/>
        <rFont val="Noto Sans CJK SC"/>
        <family val="2"/>
        <charset val="1"/>
      </rPr>
      <t xml:space="preserve">吨电子纱约可支撑</t>
    </r>
    <r>
      <rPr>
        <i val="true"/>
        <sz val="9"/>
        <color rgb="FF808080"/>
        <rFont val="Arial"/>
        <family val="0"/>
        <charset val="1"/>
      </rPr>
      <t xml:space="preserve">800</t>
    </r>
    <r>
      <rPr>
        <i val="true"/>
        <sz val="9"/>
        <color rgb="FF808080"/>
        <rFont val="Noto Sans CJK SC"/>
        <family val="2"/>
        <charset val="1"/>
      </rPr>
      <t xml:space="preserve">万米以上电子布（按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  <charset val="1"/>
      </rPr>
      <t xml:space="preserve">吨纱≈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  <charset val="1"/>
      </rPr>
      <t xml:space="preserve">万平方米、幅宽</t>
    </r>
    <r>
      <rPr>
        <i val="true"/>
        <sz val="9"/>
        <color rgb="FF808080"/>
        <rFont val="Arial"/>
        <family val="0"/>
        <charset val="1"/>
      </rPr>
      <t xml:space="preserve">1.27</t>
    </r>
    <r>
      <rPr>
        <i val="true"/>
        <sz val="9"/>
        <color rgb="FF808080"/>
        <rFont val="Noto Sans CJK SC"/>
        <family val="2"/>
        <charset val="1"/>
      </rPr>
      <t xml:space="preserve">米，为自媒体经验口径，可信度低）；产能扩张节奏决定资本开支</t>
    </r>
  </si>
  <si>
    <t xml:space="preserve">石英电子布 销量</t>
  </si>
  <si>
    <t xml:space="preserve">万米</t>
  </si>
  <si>
    <t xml:space="preserve">选用（石英电子布 销量）</t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</si>
  <si>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1.53</t>
    </r>
    <r>
      <rPr>
        <i val="true"/>
        <sz val="9"/>
        <color rgb="FF808080"/>
        <rFont val="Noto Sans CJK SC"/>
        <family val="2"/>
        <charset val="1"/>
      </rPr>
      <t xml:space="preserve">亿元，按约</t>
    </r>
    <r>
      <rPr>
        <i val="true"/>
        <sz val="9"/>
        <color rgb="FF808080"/>
        <rFont val="Arial"/>
        <family val="0"/>
        <charset val="1"/>
      </rPr>
      <t xml:space="preserve">270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米折约</t>
    </r>
    <r>
      <rPr>
        <i val="true"/>
        <sz val="9"/>
        <color rgb="FF808080"/>
        <rFont val="Arial"/>
        <family val="0"/>
        <charset val="1"/>
      </rPr>
      <t xml:space="preserve">57</t>
    </r>
    <r>
      <rPr>
        <i val="true"/>
        <sz val="9"/>
        <color rgb="FF808080"/>
        <rFont val="Noto Sans CJK SC"/>
        <family val="2"/>
        <charset val="1"/>
      </rPr>
      <t xml:space="preserve">万米；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年下半年按约</t>
    </r>
    <r>
      <rPr>
        <i val="true"/>
        <sz val="9"/>
        <color rgb="FF808080"/>
        <rFont val="Arial"/>
        <family val="0"/>
        <charset val="1"/>
      </rPr>
      <t xml:space="preserve">210</t>
    </r>
    <r>
      <rPr>
        <i val="true"/>
        <sz val="9"/>
        <color rgb="FF808080"/>
        <rFont val="Noto Sans CJK SC"/>
        <family val="2"/>
        <charset val="1"/>
      </rPr>
      <t xml:space="preserve">百万元收入（年化约</t>
    </r>
    <r>
      <rPr>
        <i val="true"/>
        <sz val="9"/>
        <color rgb="FF808080"/>
        <rFont val="Arial"/>
        <family val="0"/>
        <charset val="1"/>
      </rPr>
      <t xml:space="preserve">155</t>
    </r>
    <r>
      <rPr>
        <i val="true"/>
        <sz val="9"/>
        <color rgb="FF808080"/>
        <rFont val="Noto Sans CJK SC"/>
        <family val="2"/>
        <charset val="1"/>
      </rPr>
      <t xml:space="preserve">万米）。英伟达</t>
    </r>
    <r>
      <rPr>
        <i val="true"/>
        <sz val="9"/>
        <color rgb="FF808080"/>
        <rFont val="Arial"/>
        <family val="0"/>
        <charset val="1"/>
      </rPr>
      <t xml:space="preserve">Rubin Ultra</t>
    </r>
    <r>
      <rPr>
        <i val="true"/>
        <sz val="9"/>
        <color rgb="FF808080"/>
        <rFont val="Noto Sans CJK SC"/>
        <family val="2"/>
        <charset val="1"/>
      </rPr>
      <t xml:space="preserve">背板选用</t>
    </r>
    <r>
      <rPr>
        <i val="true"/>
        <sz val="9"/>
        <color rgb="FF808080"/>
        <rFont val="Arial"/>
        <family val="0"/>
        <charset val="1"/>
      </rPr>
      <t xml:space="preserve">PTFE</t>
    </r>
    <r>
      <rPr>
        <i val="true"/>
        <sz val="9"/>
        <color rgb="FF808080"/>
        <rFont val="Noto Sans CJK SC"/>
        <family val="2"/>
        <charset val="1"/>
      </rPr>
      <t xml:space="preserve">、</t>
    </r>
    <r>
      <rPr>
        <i val="true"/>
        <sz val="9"/>
        <color rgb="FF808080"/>
        <rFont val="Arial"/>
        <family val="0"/>
        <charset val="1"/>
      </rPr>
      <t xml:space="preserve">Kyber</t>
    </r>
    <r>
      <rPr>
        <i val="true"/>
        <sz val="9"/>
        <color rgb="FF808080"/>
        <rFont val="Noto Sans CJK SC"/>
        <family val="2"/>
        <charset val="1"/>
      </rPr>
      <t xml:space="preserve">推迟至</t>
    </r>
    <r>
      <rPr>
        <i val="true"/>
        <sz val="9"/>
        <color rgb="FF808080"/>
        <rFont val="Arial"/>
        <family val="0"/>
        <charset val="1"/>
      </rPr>
      <t xml:space="preserve">2028</t>
    </r>
    <r>
      <rPr>
        <i val="true"/>
        <sz val="9"/>
        <color rgb="FF808080"/>
        <rFont val="Noto Sans CJK SC"/>
        <family val="2"/>
        <charset val="1"/>
      </rPr>
      <t xml:space="preserve">年，</t>
    </r>
    <r>
      <rPr>
        <i val="true"/>
        <sz val="9"/>
        <color rgb="FF808080"/>
        <rFont val="Arial"/>
        <family val="0"/>
        <charset val="1"/>
      </rPr>
      <t xml:space="preserve">M9</t>
    </r>
    <r>
      <rPr>
        <i val="true"/>
        <sz val="9"/>
        <color rgb="FF808080"/>
        <rFont val="Noto Sans CJK SC"/>
        <family val="2"/>
        <charset val="1"/>
      </rPr>
      <t xml:space="preserve">预计</t>
    </r>
    <r>
      <rPr>
        <i val="true"/>
        <sz val="9"/>
        <color rgb="FF808080"/>
        <rFont val="Arial"/>
        <family val="0"/>
        <charset val="1"/>
      </rPr>
      <t xml:space="preserve">2027</t>
    </r>
    <r>
      <rPr>
        <i val="true"/>
        <sz val="9"/>
        <color rgb="FF808080"/>
        <rFont val="Noto Sans CJK SC"/>
        <family val="2"/>
        <charset val="1"/>
      </rPr>
      <t xml:space="preserve">年下半年才成主流，基准</t>
    </r>
    <r>
      <rPr>
        <i val="true"/>
        <sz val="9"/>
        <color rgb="FF808080"/>
        <rFont val="Arial"/>
        <family val="0"/>
        <charset val="1"/>
      </rPr>
      <t xml:space="preserve">2027</t>
    </r>
    <r>
      <rPr>
        <i val="true"/>
        <sz val="9"/>
        <color rgb="FF808080"/>
        <rFont val="Noto Sans CJK SC"/>
        <family val="2"/>
        <charset val="1"/>
      </rPr>
      <t xml:space="preserve">年约为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年的</t>
    </r>
    <r>
      <rPr>
        <i val="true"/>
        <sz val="9"/>
        <color rgb="FF808080"/>
        <rFont val="Arial"/>
        <family val="0"/>
        <charset val="1"/>
      </rPr>
      <t xml:space="preserve">2.4</t>
    </r>
    <r>
      <rPr>
        <i val="true"/>
        <sz val="9"/>
        <color rgb="FF808080"/>
        <rFont val="Noto Sans CJK SC"/>
        <family val="2"/>
        <charset val="1"/>
      </rPr>
      <t xml:space="preserve">倍；悲观情景在建电子纱项目照常投产、产能利用率偏低</t>
    </r>
  </si>
  <si>
    <t xml:space="preserve">石英电子布 均价（不含税）</t>
  </si>
  <si>
    <r>
      <rPr>
        <sz val="9"/>
        <color rgb="FF808080"/>
        <rFont val="Noto Sans CJK SC"/>
        <family val="2"/>
        <charset val="1"/>
      </rPr>
      <t xml:space="preserve">元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Noto Sans CJK SC"/>
        <family val="2"/>
        <charset val="1"/>
      </rPr>
      <t xml:space="preserve">米</t>
    </r>
  </si>
  <si>
    <t xml:space="preserve">选用（石英电子布 均价（不含税））</t>
  </si>
  <si>
    <r>
      <rPr>
        <i val="true"/>
        <sz val="9"/>
        <color rgb="FF808080"/>
        <rFont val="Noto Sans CJK SC"/>
        <family val="2"/>
        <charset val="1"/>
      </rPr>
      <t xml:space="preserve">行业报价：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  <charset val="1"/>
      </rPr>
      <t xml:space="preserve">月主流约</t>
    </r>
    <r>
      <rPr>
        <i val="true"/>
        <sz val="9"/>
        <color rgb="FF808080"/>
        <rFont val="Arial"/>
        <family val="0"/>
        <charset val="1"/>
      </rPr>
      <t xml:space="preserve">300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米（区间</t>
    </r>
    <r>
      <rPr>
        <i val="true"/>
        <sz val="9"/>
        <color rgb="FF808080"/>
        <rFont val="Arial"/>
        <family val="0"/>
        <charset val="1"/>
      </rPr>
      <t xml:space="preserve">250-450</t>
    </r>
    <r>
      <rPr>
        <i val="true"/>
        <sz val="9"/>
        <color rgb="FF808080"/>
        <rFont val="Noto Sans CJK SC"/>
        <family val="2"/>
        <charset val="1"/>
      </rPr>
      <t xml:space="preserve">）；国内产品较进口低</t>
    </r>
    <r>
      <rPr>
        <i val="true"/>
        <sz val="9"/>
        <color rgb="FF808080"/>
        <rFont val="Arial"/>
        <family val="0"/>
        <charset val="1"/>
      </rPr>
      <t xml:space="preserve">20-30%</t>
    </r>
    <r>
      <rPr>
        <i val="true"/>
        <sz val="9"/>
        <color rgb="FF808080"/>
        <rFont val="Noto Sans CJK SC"/>
        <family val="2"/>
        <charset val="1"/>
      </rPr>
      <t xml:space="preserve">。中材科技</t>
    </r>
    <r>
      <rPr>
        <i val="true"/>
        <sz val="9"/>
        <color rgb="FF808080"/>
        <rFont val="Arial"/>
        <family val="0"/>
        <charset val="1"/>
      </rPr>
      <t xml:space="preserve">2,400</t>
    </r>
    <r>
      <rPr>
        <i val="true"/>
        <sz val="9"/>
        <color rgb="FF808080"/>
        <rFont val="Noto Sans CJK SC"/>
        <family val="2"/>
        <charset val="1"/>
      </rPr>
      <t xml:space="preserve">万米、宏和、再升等扩产后价格下行</t>
    </r>
  </si>
  <si>
    <t xml:space="preserve">石英电子布 毛利率</t>
  </si>
  <si>
    <t xml:space="preserve">选用（石英电子布 毛利率）</t>
  </si>
  <si>
    <r>
      <rPr>
        <i val="true"/>
        <sz val="9"/>
        <color rgb="FF808080"/>
        <rFont val="Noto Sans CJK SC"/>
        <family val="2"/>
        <charset val="1"/>
      </rPr>
      <t xml:space="preserve">中益新材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净利率</t>
    </r>
    <r>
      <rPr>
        <i val="true"/>
        <sz val="9"/>
        <color rgb="FF808080"/>
        <rFont val="Arial"/>
        <family val="0"/>
        <charset val="1"/>
      </rPr>
      <t xml:space="preserve">35%</t>
    </r>
    <r>
      <rPr>
        <i val="true"/>
        <sz val="9"/>
        <color rgb="FF808080"/>
        <rFont val="Noto Sans CJK SC"/>
        <family val="2"/>
        <charset val="1"/>
      </rPr>
      <t xml:space="preserve">（营收</t>
    </r>
    <r>
      <rPr>
        <i val="true"/>
        <sz val="9"/>
        <color rgb="FF808080"/>
        <rFont val="Arial"/>
        <family val="0"/>
        <charset val="1"/>
      </rPr>
      <t xml:space="preserve">2.28</t>
    </r>
    <r>
      <rPr>
        <i val="true"/>
        <sz val="9"/>
        <color rgb="FF808080"/>
        <rFont val="Noto Sans CJK SC"/>
        <family val="2"/>
        <charset val="1"/>
      </rPr>
      <t xml:space="preserve">亿、净利</t>
    </r>
    <r>
      <rPr>
        <i val="true"/>
        <sz val="9"/>
        <color rgb="FF808080"/>
        <rFont val="Arial"/>
        <family val="0"/>
        <charset val="1"/>
      </rPr>
      <t xml:space="preserve">0.81</t>
    </r>
    <r>
      <rPr>
        <i val="true"/>
        <sz val="9"/>
        <color rgb="FF808080"/>
        <rFont val="Noto Sans CJK SC"/>
        <family val="2"/>
        <charset val="1"/>
      </rPr>
      <t xml:space="preserve">亿），推算石英电子布毛利率约</t>
    </r>
    <r>
      <rPr>
        <i val="true"/>
        <sz val="9"/>
        <color rgb="FF808080"/>
        <rFont val="Arial"/>
        <family val="0"/>
        <charset val="1"/>
      </rPr>
      <t xml:space="preserve">60%-65%</t>
    </r>
    <r>
      <rPr>
        <i val="true"/>
        <sz val="9"/>
        <color rgb="FF808080"/>
        <rFont val="Noto Sans CJK SC"/>
        <family val="2"/>
        <charset val="1"/>
      </rPr>
      <t xml:space="preserve">；竞争加剧后逐年下行</t>
    </r>
  </si>
  <si>
    <t xml:space="preserve">业务拆分：按下游应用的收入与毛利（百万元）</t>
  </si>
  <si>
    <r>
      <rPr>
        <i val="true"/>
        <sz val="9"/>
        <color rgb="FF808080"/>
        <rFont val="Noto Sans CJK SC"/>
        <family val="2"/>
        <charset val="1"/>
      </rPr>
      <t xml:space="preserve">历史拆分为基于公司公告（分产品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产销量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子公司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管理层口径）的估算，置信度见备注；预测由“假设”表情景驱动。</t>
    </r>
  </si>
  <si>
    <t xml:space="preserve">百万元</t>
  </si>
  <si>
    <t xml:space="preserve">半导体</t>
  </si>
  <si>
    <t xml:space="preserve">收入</t>
  </si>
  <si>
    <r>
      <rPr>
        <i val="true"/>
        <sz val="9"/>
        <color rgb="FF808080"/>
        <rFont val="Noto Sans CJK SC"/>
        <family val="2"/>
        <charset val="1"/>
      </rPr>
      <t xml:space="preserve">历史分业务为本报告估算：两套方法（自下而上产销量法、子公司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增速法，共用部分披露锚点）取均值，收入与毛利均与报表勾稽；航空航天收入与半导体、航空航天毛利率为倒算项（两法差异见“底稿”），半导体置信度中等，其余偏低</t>
    </r>
  </si>
  <si>
    <t xml:space="preserve">同比</t>
  </si>
  <si>
    <t xml:space="preserve">毛利率</t>
  </si>
  <si>
    <t xml:space="preserve">毛利</t>
  </si>
  <si>
    <t xml:space="preserve">航空航天</t>
  </si>
  <si>
    <r>
      <rPr>
        <b val="true"/>
        <sz val="10"/>
        <color rgb="FF1F3864"/>
        <rFont val="Noto Sans CJK SC"/>
        <family val="2"/>
        <charset val="1"/>
      </rPr>
      <t xml:space="preserve">光学（合成石英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光掩膜基板）</t>
    </r>
  </si>
  <si>
    <t xml:space="preserve">光通讯</t>
  </si>
  <si>
    <t xml:space="preserve">光伏</t>
  </si>
  <si>
    <t xml:space="preserve">石英电子布</t>
  </si>
  <si>
    <t xml:space="preserve">年末有效产能</t>
  </si>
  <si>
    <t xml:space="preserve">销量</t>
  </si>
  <si>
    <r>
      <rPr>
        <sz val="10"/>
        <rFont val="Noto Sans CJK SC"/>
        <family val="2"/>
        <charset val="1"/>
      </rPr>
      <t xml:space="preserve">产能利用率（销量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年均产能）</t>
    </r>
  </si>
  <si>
    <r>
      <rPr>
        <i val="true"/>
        <sz val="9"/>
        <color rgb="FF808080"/>
        <rFont val="Arial"/>
        <family val="0"/>
        <charset val="1"/>
      </rPr>
      <t xml:space="preserve">&gt;100% </t>
    </r>
    <r>
      <rPr>
        <i val="true"/>
        <sz val="9"/>
        <color rgb="FF808080"/>
        <rFont val="Noto Sans CJK SC"/>
        <family val="2"/>
        <charset val="1"/>
      </rPr>
      <t xml:space="preserve">说明销量假设超出产能，需上调产能或下调销量</t>
    </r>
  </si>
  <si>
    <t xml:space="preserve">均价（不含税）</t>
  </si>
  <si>
    <r>
      <rPr>
        <i val="true"/>
        <sz val="9"/>
        <color rgb="FF808080"/>
        <rFont val="Noto Sans CJK SC"/>
        <family val="2"/>
        <charset val="1"/>
      </rPr>
      <t xml:space="preserve">万米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米</t>
    </r>
    <r>
      <rPr>
        <i val="true"/>
        <sz val="9"/>
        <color rgb="FF808080"/>
        <rFont val="Arial"/>
        <family val="0"/>
        <charset val="1"/>
      </rPr>
      <t xml:space="preserve">÷100 = </t>
    </r>
    <r>
      <rPr>
        <i val="true"/>
        <sz val="9"/>
        <color rgb="FF808080"/>
        <rFont val="Noto Sans CJK SC"/>
        <family val="2"/>
        <charset val="1"/>
      </rPr>
      <t xml:space="preserve">百万元；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年石英电子布收入</t>
    </r>
    <r>
      <rPr>
        <i val="true"/>
        <sz val="9"/>
        <color rgb="FF808080"/>
        <rFont val="Arial"/>
        <family val="0"/>
        <charset val="1"/>
      </rPr>
      <t xml:space="preserve">9,837.37</t>
    </r>
    <r>
      <rPr>
        <i val="true"/>
        <sz val="9"/>
        <color rgb="FF808080"/>
        <rFont val="Noto Sans CJK SC"/>
        <family val="2"/>
        <charset val="1"/>
      </rPr>
      <t xml:space="preserve">万元（公司披露）；</t>
    </r>
    <r>
      <rPr>
        <i val="true"/>
        <sz val="9"/>
        <color rgb="FF808080"/>
        <rFont val="Arial"/>
        <family val="0"/>
        <charset val="1"/>
      </rPr>
      <t xml:space="preserve">2026H1 1.53</t>
    </r>
    <r>
      <rPr>
        <i val="true"/>
        <sz val="9"/>
        <color rgb="FF808080"/>
        <rFont val="Noto Sans CJK SC"/>
        <family val="2"/>
        <charset val="1"/>
      </rPr>
      <t xml:space="preserve">亿元</t>
    </r>
  </si>
  <si>
    <t xml:space="preserve">收入同比</t>
  </si>
  <si>
    <t xml:space="preserve">玻纤工业布及其他</t>
  </si>
  <si>
    <t xml:space="preserve">合计</t>
  </si>
  <si>
    <t xml:space="preserve">营业收入合计（分业务加总）</t>
  </si>
  <si>
    <t xml:space="preserve">报告营业收入（历史）</t>
  </si>
  <si>
    <r>
      <rPr>
        <i val="true"/>
        <sz val="9"/>
        <color rgb="FF808080"/>
        <rFont val="Noto Sans CJK SC"/>
        <family val="2"/>
        <charset val="1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（公司公告值），万元</t>
    </r>
    <r>
      <rPr>
        <i val="true"/>
        <sz val="9"/>
        <color rgb="FF808080"/>
        <rFont val="Arial"/>
        <family val="0"/>
        <charset val="1"/>
      </rPr>
      <t xml:space="preserve">÷100</t>
    </r>
  </si>
  <si>
    <r>
      <rPr>
        <sz val="10"/>
        <rFont val="Noto Sans CJK SC"/>
        <family val="2"/>
        <charset val="1"/>
      </rPr>
      <t xml:space="preserve">差异（应为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）</t>
    </r>
  </si>
  <si>
    <t xml:space="preserve">毛利合计</t>
  </si>
  <si>
    <t xml:space="preserve">营业成本合计</t>
  </si>
  <si>
    <t xml:space="preserve">报告毛利率（历史）</t>
  </si>
  <si>
    <t xml:space="preserve">历史分业务毛利率为估算，加总后与报告毛利率的差异计入“其他”</t>
  </si>
  <si>
    <t xml:space="preserve">收入结构</t>
  </si>
  <si>
    <t xml:space="preserve">半导体 占比</t>
  </si>
  <si>
    <t xml:space="preserve">航空航天 占比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</si>
  <si>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占比</t>
    </r>
  </si>
  <si>
    <t xml:space="preserve">光通讯 占比</t>
  </si>
  <si>
    <t xml:space="preserve">光伏 占比</t>
  </si>
  <si>
    <t xml:space="preserve">石英电子布 占比</t>
  </si>
  <si>
    <t xml:space="preserve">玻纤工业布及其他 占比</t>
  </si>
  <si>
    <t xml:space="preserve">毛利结构</t>
  </si>
  <si>
    <t xml:space="preserve">半导体 毛利占比</t>
  </si>
  <si>
    <t xml:space="preserve">航空航天 毛利占比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</si>
  <si>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毛利占比</t>
    </r>
  </si>
  <si>
    <t xml:space="preserve">光通讯 毛利占比</t>
  </si>
  <si>
    <t xml:space="preserve">光伏 毛利占比</t>
  </si>
  <si>
    <t xml:space="preserve">石英电子布 毛利占比</t>
  </si>
  <si>
    <t xml:space="preserve">玻纤工业布及其他 毛利占比</t>
  </si>
  <si>
    <r>
      <rPr>
        <b val="true"/>
        <sz val="10"/>
        <color rgb="FF1F3864"/>
        <rFont val="Noto Sans CJK SC"/>
        <family val="2"/>
        <charset val="1"/>
      </rPr>
      <t xml:space="preserve">分部经营利润与归母净利润（用于</t>
    </r>
    <r>
      <rPr>
        <b val="true"/>
        <sz val="10"/>
        <color rgb="FF1F3864"/>
        <rFont val="Arial"/>
        <family val="0"/>
        <charset val="1"/>
      </rPr>
      <t xml:space="preserve">SOTP</t>
    </r>
    <r>
      <rPr>
        <b val="true"/>
        <sz val="10"/>
        <color rgb="FF1F3864"/>
        <rFont val="Noto Sans CJK SC"/>
        <family val="2"/>
        <charset val="1"/>
      </rPr>
      <t xml:space="preserve">；费用按收入占比分摊，研发对电子布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半导体加权）</t>
    </r>
  </si>
  <si>
    <r>
      <rPr>
        <i val="true"/>
        <sz val="9"/>
        <color rgb="FF808080"/>
        <rFont val="Noto Sans CJK SC"/>
        <family val="2"/>
        <charset val="1"/>
      </rPr>
      <t xml:space="preserve">分摊口径：期间费用（销售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管理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研发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税金及附加）按“费用权重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收入”分摊；所得税按有效税率；少数股东比例为该业务所在主体的少数股东持股（见“底稿</t>
    </r>
    <r>
      <rPr>
        <i val="true"/>
        <sz val="9"/>
        <color rgb="FF808080"/>
        <rFont val="Arial"/>
        <family val="0"/>
        <charset val="1"/>
      </rPr>
      <t xml:space="preserve">-</t>
    </r>
    <r>
      <rPr>
        <i val="true"/>
        <sz val="9"/>
        <color rgb="FF808080"/>
        <rFont val="Noto Sans CJK SC"/>
        <family val="2"/>
        <charset val="1"/>
      </rPr>
      <t xml:space="preserve">子公司”）。</t>
    </r>
  </si>
  <si>
    <t xml:space="preserve">半导体 费用权重</t>
  </si>
  <si>
    <t xml:space="preserve">x</t>
  </si>
  <si>
    <t xml:space="preserve">航空航天 费用权重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</si>
  <si>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费用权重</t>
    </r>
  </si>
  <si>
    <t xml:space="preserve">光通讯 费用权重</t>
  </si>
  <si>
    <t xml:space="preserve">光伏 费用权重</t>
  </si>
  <si>
    <t xml:space="preserve">石英电子布 费用权重</t>
  </si>
  <si>
    <t xml:space="preserve">玻纤工业布及其他 费用权重</t>
  </si>
  <si>
    <t xml:space="preserve">加权收入合计</t>
  </si>
  <si>
    <t xml:space="preserve">半导体 经营利润</t>
  </si>
  <si>
    <t xml:space="preserve">航空航天 经营利润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</si>
  <si>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经营利润</t>
    </r>
  </si>
  <si>
    <t xml:space="preserve">光通讯 经营利润</t>
  </si>
  <si>
    <t xml:space="preserve">光伏 经营利润</t>
  </si>
  <si>
    <t xml:space="preserve">石英电子布 经营利润</t>
  </si>
  <si>
    <t xml:space="preserve">玻纤工业布及其他 经营利润</t>
  </si>
  <si>
    <t xml:space="preserve">半导体 少数股东比例</t>
  </si>
  <si>
    <r>
      <rPr>
        <i val="true"/>
        <sz val="9"/>
        <color rgb="FF808080"/>
        <rFont val="Noto Sans CJK SC"/>
        <family val="2"/>
        <charset val="1"/>
      </rPr>
      <t xml:space="preserve">半导体器件经上海石创（穿透持股</t>
    </r>
    <r>
      <rPr>
        <i val="true"/>
        <sz val="9"/>
        <color rgb="FF808080"/>
        <rFont val="Arial"/>
        <family val="0"/>
        <charset val="1"/>
      </rPr>
      <t xml:space="preserve">51.13%</t>
    </r>
    <r>
      <rPr>
        <i val="true"/>
        <sz val="9"/>
        <color rgb="FF808080"/>
        <rFont val="Noto Sans CJK SC"/>
        <family val="2"/>
        <charset val="1"/>
      </rPr>
      <t xml:space="preserve">）销售，约占半导体收入</t>
    </r>
    <r>
      <rPr>
        <i val="true"/>
        <sz val="9"/>
        <color rgb="FF808080"/>
        <rFont val="Arial"/>
        <family val="0"/>
        <charset val="1"/>
      </rPr>
      <t xml:space="preserve">1/4</t>
    </r>
    <r>
      <rPr>
        <i val="true"/>
        <sz val="9"/>
        <color rgb="FF808080"/>
        <rFont val="Noto Sans CJK SC"/>
        <family val="2"/>
        <charset val="1"/>
      </rPr>
      <t xml:space="preserve">；石创目前亏损（其少数股东分担额在“费用税率”单列），随扭亏逐步恢复至约</t>
    </r>
    <r>
      <rPr>
        <i val="true"/>
        <sz val="9"/>
        <color rgb="FF808080"/>
        <rFont val="Arial"/>
        <family val="0"/>
        <charset val="1"/>
      </rPr>
      <t xml:space="preserve">10%</t>
    </r>
  </si>
  <si>
    <t xml:space="preserve">航空航天 少数股东比例</t>
  </si>
  <si>
    <t xml:space="preserve">石英纤维为母公司业务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</si>
  <si>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少数股东比例</t>
    </r>
  </si>
  <si>
    <r>
      <rPr>
        <i val="true"/>
        <sz val="9"/>
        <color rgb="FF808080"/>
        <rFont val="Noto Sans CJK SC"/>
        <family val="2"/>
        <charset val="1"/>
      </rPr>
      <t xml:space="preserve">光掩膜基板主体合肥光微（</t>
    </r>
    <r>
      <rPr>
        <i val="true"/>
        <sz val="9"/>
        <color rgb="FF808080"/>
        <rFont val="Arial"/>
        <family val="0"/>
        <charset val="1"/>
      </rPr>
      <t xml:space="preserve">51.13%</t>
    </r>
    <r>
      <rPr>
        <i val="true"/>
        <sz val="9"/>
        <color rgb="FF808080"/>
        <rFont val="Noto Sans CJK SC"/>
        <family val="2"/>
        <charset val="1"/>
      </rPr>
      <t xml:space="preserve">）、济南光微（</t>
    </r>
    <r>
      <rPr>
        <i val="true"/>
        <sz val="9"/>
        <color rgb="FF808080"/>
        <rFont val="Arial"/>
        <family val="0"/>
        <charset val="1"/>
      </rPr>
      <t xml:space="preserve">30.68%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</si>
  <si>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t xml:space="preserve">光通讯 少数股东比例</t>
  </si>
  <si>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  <charset val="1"/>
      </rPr>
      <t xml:space="preserve">月设立湖北聚通（持股</t>
    </r>
    <r>
      <rPr>
        <i val="true"/>
        <sz val="9"/>
        <color rgb="FF808080"/>
        <rFont val="Arial"/>
        <family val="0"/>
        <charset val="1"/>
      </rPr>
      <t xml:space="preserve">51%</t>
    </r>
    <r>
      <rPr>
        <i val="true"/>
        <sz val="9"/>
        <color rgb="FF808080"/>
        <rFont val="Noto Sans CJK SC"/>
        <family val="2"/>
        <charset val="1"/>
      </rPr>
      <t xml:space="preserve">）衬管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套管合资项目</t>
    </r>
  </si>
  <si>
    <t xml:space="preserve">光伏 少数股东比例</t>
  </si>
  <si>
    <r>
      <rPr>
        <i val="true"/>
        <sz val="9"/>
        <color rgb="FF808080"/>
        <rFont val="Noto Sans CJK SC"/>
        <family val="2"/>
        <charset val="1"/>
      </rPr>
      <t xml:space="preserve">光伏器件多经上海石创（</t>
    </r>
    <r>
      <rPr>
        <i val="true"/>
        <sz val="9"/>
        <color rgb="FF808080"/>
        <rFont val="Arial"/>
        <family val="0"/>
        <charset val="1"/>
      </rPr>
      <t xml:space="preserve">48.87%</t>
    </r>
    <r>
      <rPr>
        <i val="true"/>
        <sz val="9"/>
        <color rgb="FF808080"/>
        <rFont val="Noto Sans CJK SC"/>
        <family val="2"/>
        <charset val="1"/>
      </rPr>
      <t xml:space="preserve">少数股东）</t>
    </r>
  </si>
  <si>
    <t xml:space="preserve">石英电子布 少数股东比例</t>
  </si>
  <si>
    <r>
      <rPr>
        <i val="true"/>
        <sz val="9"/>
        <color rgb="FF808080"/>
        <rFont val="Noto Sans CJK SC"/>
        <family val="2"/>
        <charset val="1"/>
      </rPr>
      <t xml:space="preserve">织造主体江苏中益新材料少数股东</t>
    </r>
    <r>
      <rPr>
        <i val="true"/>
        <sz val="9"/>
        <color rgb="FF808080"/>
        <rFont val="Arial"/>
        <family val="0"/>
        <charset val="1"/>
      </rPr>
      <t xml:space="preserve">51.89%</t>
    </r>
    <r>
      <rPr>
        <i val="true"/>
        <sz val="9"/>
        <color rgb="FF808080"/>
        <rFont val="Noto Sans CJK SC"/>
        <family val="2"/>
        <charset val="1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年两次增资后公司穿透持股</t>
    </r>
    <r>
      <rPr>
        <i val="true"/>
        <sz val="9"/>
        <color rgb="FF808080"/>
        <rFont val="Arial"/>
        <family val="0"/>
        <charset val="1"/>
      </rPr>
      <t xml:space="preserve">48.11%</t>
    </r>
    <r>
      <rPr>
        <i val="true"/>
        <sz val="9"/>
        <color rgb="FF808080"/>
        <rFont val="Noto Sans CJK SC"/>
        <family val="2"/>
        <charset val="1"/>
      </rPr>
      <t xml:space="preserve">）；</t>
    </r>
    <r>
      <rPr>
        <i val="true"/>
        <sz val="9"/>
        <color rgb="FF808080"/>
        <rFont val="Arial"/>
        <family val="0"/>
        <charset val="1"/>
      </rPr>
      <t xml:space="preserve">1,000</t>
    </r>
    <r>
      <rPr>
        <i val="true"/>
        <sz val="9"/>
        <color rgb="FF808080"/>
        <rFont val="Noto Sans CJK SC"/>
        <family val="2"/>
        <charset val="1"/>
      </rPr>
      <t xml:space="preserve">吨电子纱由全资子公司湖北鼎益建设，假设纱线环节利润逐步留在全资主体（未经公司披露，关联交易定价未知）；对应鼎益适用</t>
    </r>
    <r>
      <rPr>
        <i val="true"/>
        <sz val="9"/>
        <color rgb="FF808080"/>
        <rFont val="Arial"/>
        <family val="0"/>
        <charset val="1"/>
      </rPr>
      <t xml:space="preserve">25%</t>
    </r>
    <r>
      <rPr>
        <i val="true"/>
        <sz val="9"/>
        <color rgb="FF808080"/>
        <rFont val="Noto Sans CJK SC"/>
        <family val="2"/>
        <charset val="1"/>
      </rPr>
      <t xml:space="preserve">税率，额外税负见“费用税率”</t>
    </r>
  </si>
  <si>
    <t xml:space="preserve">玻纤工业布及其他 少数股东比例</t>
  </si>
  <si>
    <r>
      <rPr>
        <i val="true"/>
        <sz val="9"/>
        <color rgb="FF808080"/>
        <rFont val="Noto Sans CJK SC"/>
        <family val="2"/>
        <charset val="1"/>
      </rPr>
      <t xml:space="preserve">主要在中益新材（少数股东</t>
    </r>
    <r>
      <rPr>
        <i val="true"/>
        <sz val="9"/>
        <color rgb="FF808080"/>
        <rFont val="Arial"/>
        <family val="0"/>
        <charset val="1"/>
      </rPr>
      <t xml:space="preserve">51.89%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</si>
  <si>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t xml:space="preserve">半导体 归母净利润（估算）</t>
  </si>
  <si>
    <t xml:space="preserve">航空航天 归母净利润（估算）</t>
  </si>
  <si>
    <r>
      <rPr>
        <sz val="10"/>
        <rFont val="Noto Sans CJK SC"/>
        <family val="2"/>
        <charset val="1"/>
      </rPr>
      <t xml:space="preserve">光学（合成石英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光掩膜基板） 归母净利润（估算）</t>
    </r>
  </si>
  <si>
    <t xml:space="preserve">光通讯 归母净利润（估算）</t>
  </si>
  <si>
    <t xml:space="preserve">光伏 归母净利润（估算）</t>
  </si>
  <si>
    <t xml:space="preserve">石英电子布 归母净利润（估算）</t>
  </si>
  <si>
    <t xml:space="preserve">玻纤工业布及其他 归母净利润（估算）</t>
  </si>
  <si>
    <t xml:space="preserve">分部归母净利润合计</t>
  </si>
  <si>
    <t xml:space="preserve">非经营项目及差异（财务、投资收益、其他收益、减值等）</t>
  </si>
  <si>
    <r>
      <rPr>
        <i val="true"/>
        <sz val="9"/>
        <color rgb="FF808080"/>
        <rFont val="Noto Sans CJK SC"/>
        <family val="2"/>
        <charset val="1"/>
      </rPr>
      <t xml:space="preserve">报表归母净利润 − 分部加总；</t>
    </r>
    <r>
      <rPr>
        <i val="true"/>
        <sz val="9"/>
        <color rgb="FF808080"/>
        <rFont val="Arial"/>
        <family val="0"/>
        <charset val="1"/>
      </rPr>
      <t xml:space="preserve">SOTP</t>
    </r>
    <r>
      <rPr>
        <i val="true"/>
        <sz val="9"/>
        <color rgb="FF808080"/>
        <rFont val="Noto Sans CJK SC"/>
        <family val="2"/>
        <charset val="1"/>
      </rPr>
      <t xml:space="preserve">中单独估值或按净现金处理</t>
    </r>
  </si>
  <si>
    <t xml:space="preserve">投资、在建工程、固定资产与折旧摊销（百万元）</t>
  </si>
  <si>
    <t xml:space="preserve">项目级资本开支 → 在建工程 → 转固 → 分年度折旧（年中法）；历史值来自报表附注与现金流量表补充资料。</t>
  </si>
  <si>
    <t xml:space="preserve">一、项目级资本开支（现金口径，含设备预付）</t>
  </si>
  <si>
    <t xml:space="preserve">其中：已开工电子布项目承诺投资（下限）</t>
  </si>
  <si>
    <r>
      <rPr>
        <i val="true"/>
        <sz val="9"/>
        <color rgb="FF808080"/>
        <rFont val="Noto Sans CJK SC"/>
        <family val="2"/>
        <charset val="1"/>
      </rPr>
      <t xml:space="preserve">已开工的石英电子纱智能制造（一期，预算</t>
    </r>
    <r>
      <rPr>
        <i val="true"/>
        <sz val="9"/>
        <color rgb="FF808080"/>
        <rFont val="Arial"/>
        <family val="0"/>
        <charset val="1"/>
      </rPr>
      <t xml:space="preserve">4.95</t>
    </r>
    <r>
      <rPr>
        <i val="true"/>
        <sz val="9"/>
        <color rgb="FF808080"/>
        <rFont val="Noto Sans CJK SC"/>
        <family val="2"/>
        <charset val="1"/>
      </rPr>
      <t xml:space="preserve">亿元）与超薄石英电子布基材项目（预算</t>
    </r>
    <r>
      <rPr>
        <i val="true"/>
        <sz val="9"/>
        <color rgb="FF808080"/>
        <rFont val="Arial"/>
        <family val="0"/>
        <charset val="1"/>
      </rPr>
      <t xml:space="preserve">2.00</t>
    </r>
    <r>
      <rPr>
        <i val="true"/>
        <sz val="9"/>
        <color rgb="FF808080"/>
        <rFont val="Noto Sans CJK SC"/>
        <family val="2"/>
        <charset val="1"/>
      </rPr>
      <t xml:space="preserve">亿元）剩余投资，各情景相同</t>
    </r>
  </si>
  <si>
    <r>
      <rPr>
        <sz val="10"/>
        <rFont val="Noto Sans CJK SC"/>
        <family val="2"/>
        <charset val="1"/>
      </rPr>
      <t xml:space="preserve">石英电子纱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电子布产能（与情景产能联动）</t>
    </r>
  </si>
  <si>
    <r>
      <rPr>
        <i val="true"/>
        <sz val="9"/>
        <color rgb="FF808080"/>
        <rFont val="Noto Sans CJK SC"/>
        <family val="2"/>
        <charset val="1"/>
      </rPr>
      <t xml:space="preserve">＝下一年产能增量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单位产能投资（</t>
    </r>
    <r>
      <rPr>
        <i val="true"/>
        <sz val="9"/>
        <color rgb="FF808080"/>
        <rFont val="Arial"/>
        <family val="0"/>
        <charset val="1"/>
      </rPr>
      <t xml:space="preserve">2030</t>
    </r>
    <r>
      <rPr>
        <i val="true"/>
        <sz val="9"/>
        <color rgb="FF808080"/>
        <rFont val="Noto Sans CJK SC"/>
        <family val="2"/>
        <charset val="1"/>
      </rPr>
      <t xml:space="preserve">年按“资本开支”表</t>
    </r>
    <r>
      <rPr>
        <i val="true"/>
        <sz val="9"/>
        <color rgb="FF808080"/>
        <rFont val="Arial"/>
        <family val="0"/>
        <charset val="1"/>
      </rPr>
      <t xml:space="preserve">2031E</t>
    </r>
    <r>
      <rPr>
        <i val="true"/>
        <sz val="9"/>
        <color rgb="FF808080"/>
        <rFont val="Noto Sans CJK SC"/>
        <family val="2"/>
        <charset val="1"/>
      </rPr>
      <t xml:space="preserve">新增产能输入）。在建：石英电子纱智能制造（一期，湖北鼎益，预算</t>
    </r>
    <r>
      <rPr>
        <i val="true"/>
        <sz val="9"/>
        <color rgb="FF808080"/>
        <rFont val="Arial"/>
        <family val="0"/>
        <charset val="1"/>
      </rPr>
      <t xml:space="preserve">4.95</t>
    </r>
    <r>
      <rPr>
        <i val="true"/>
        <sz val="9"/>
        <color rgb="FF808080"/>
        <rFont val="Noto Sans CJK SC"/>
        <family val="2"/>
        <charset val="1"/>
      </rPr>
      <t xml:space="preserve">亿元，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进度</t>
    </r>
    <r>
      <rPr>
        <i val="true"/>
        <sz val="9"/>
        <color rgb="FF808080"/>
        <rFont val="Arial"/>
        <family val="0"/>
        <charset val="1"/>
      </rPr>
      <t xml:space="preserve">40%</t>
    </r>
    <r>
      <rPr>
        <i val="true"/>
        <sz val="9"/>
        <color rgb="FF808080"/>
        <rFont val="Noto Sans CJK SC"/>
        <family val="2"/>
        <charset val="1"/>
      </rPr>
      <t xml:space="preserve">）、超薄石英电子布基材项目（预算</t>
    </r>
    <r>
      <rPr>
        <i val="true"/>
        <sz val="9"/>
        <color rgb="FF808080"/>
        <rFont val="Arial"/>
        <family val="0"/>
        <charset val="1"/>
      </rPr>
      <t xml:space="preserve">2.00</t>
    </r>
    <r>
      <rPr>
        <i val="true"/>
        <sz val="9"/>
        <color rgb="FF808080"/>
        <rFont val="Noto Sans CJK SC"/>
        <family val="2"/>
        <charset val="1"/>
      </rPr>
      <t xml:space="preserve">亿元，进度</t>
    </r>
    <r>
      <rPr>
        <i val="true"/>
        <sz val="9"/>
        <color rgb="FF808080"/>
        <rFont val="Arial"/>
        <family val="0"/>
        <charset val="1"/>
      </rPr>
      <t xml:space="preserve">50%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</si>
  <si>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合成石英材料扩产（六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七期等）</t>
    </r>
  </si>
  <si>
    <r>
      <rPr>
        <i val="true"/>
        <sz val="9"/>
        <color rgb="FF808080"/>
        <rFont val="Noto Sans CJK SC"/>
        <family val="2"/>
        <charset val="1"/>
      </rPr>
      <t xml:space="preserve">五期（预算</t>
    </r>
    <r>
      <rPr>
        <i val="true"/>
        <sz val="9"/>
        <color rgb="FF808080"/>
        <rFont val="Arial"/>
        <family val="0"/>
        <charset val="1"/>
      </rPr>
      <t xml:space="preserve">0.95</t>
    </r>
    <r>
      <rPr>
        <i val="true"/>
        <sz val="9"/>
        <color rgb="FF808080"/>
        <rFont val="Noto Sans CJK SC"/>
        <family val="2"/>
        <charset val="1"/>
      </rPr>
      <t xml:space="preserve">亿元）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年、六期（</t>
    </r>
    <r>
      <rPr>
        <i val="true"/>
        <sz val="9"/>
        <color rgb="FF808080"/>
        <rFont val="Arial"/>
        <family val="0"/>
        <charset val="1"/>
      </rPr>
      <t xml:space="preserve">0.37</t>
    </r>
    <r>
      <rPr>
        <i val="true"/>
        <sz val="9"/>
        <color rgb="FF808080"/>
        <rFont val="Noto Sans CJK SC"/>
        <family val="2"/>
        <charset val="1"/>
      </rPr>
      <t xml:space="preserve">亿元）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年竣工投产，七期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年启动建设</t>
    </r>
  </si>
  <si>
    <r>
      <rPr>
        <sz val="10"/>
        <rFont val="Noto Sans CJK SC"/>
        <family val="2"/>
        <charset val="1"/>
      </rPr>
      <t xml:space="preserve">光掩膜基板（合肥光微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济南光微）</t>
    </r>
  </si>
  <si>
    <r>
      <rPr>
        <i val="true"/>
        <sz val="9"/>
        <color rgb="FF808080"/>
        <rFont val="Noto Sans CJK SC"/>
        <family val="2"/>
        <charset val="1"/>
      </rPr>
      <t xml:space="preserve">济南光微预算</t>
    </r>
    <r>
      <rPr>
        <i val="true"/>
        <sz val="9"/>
        <color rgb="FF808080"/>
        <rFont val="Arial"/>
        <family val="0"/>
        <charset val="1"/>
      </rPr>
      <t xml:space="preserve">4.49</t>
    </r>
    <r>
      <rPr>
        <i val="true"/>
        <sz val="9"/>
        <color rgb="FF808080"/>
        <rFont val="Noto Sans CJK SC"/>
        <family val="2"/>
        <charset val="1"/>
      </rPr>
      <t xml:space="preserve">亿元已投入</t>
    </r>
    <r>
      <rPr>
        <i val="true"/>
        <sz val="9"/>
        <color rgb="FF808080"/>
        <rFont val="Arial"/>
        <family val="0"/>
        <charset val="1"/>
      </rPr>
      <t xml:space="preserve">4.04</t>
    </r>
    <r>
      <rPr>
        <i val="true"/>
        <sz val="9"/>
        <color rgb="FF808080"/>
        <rFont val="Noto Sans CJK SC"/>
        <family val="2"/>
        <charset val="1"/>
      </rPr>
      <t xml:space="preserve">亿元（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建设完成）；合肥光微预算</t>
    </r>
    <r>
      <rPr>
        <i val="true"/>
        <sz val="9"/>
        <color rgb="FF808080"/>
        <rFont val="Arial"/>
        <family val="0"/>
        <charset val="1"/>
      </rPr>
      <t xml:space="preserve">2.46</t>
    </r>
    <r>
      <rPr>
        <i val="true"/>
        <sz val="9"/>
        <color rgb="FF808080"/>
        <rFont val="Noto Sans CJK SC"/>
        <family val="2"/>
        <charset val="1"/>
      </rPr>
      <t xml:space="preserve">亿元已投入</t>
    </r>
    <r>
      <rPr>
        <i val="true"/>
        <sz val="9"/>
        <color rgb="FF808080"/>
        <rFont val="Arial"/>
        <family val="0"/>
        <charset val="1"/>
      </rPr>
      <t xml:space="preserve">2.00</t>
    </r>
    <r>
      <rPr>
        <i val="true"/>
        <sz val="9"/>
        <color rgb="FF808080"/>
        <rFont val="Noto Sans CJK SC"/>
        <family val="2"/>
        <charset val="1"/>
      </rPr>
      <t xml:space="preserve">亿元</t>
    </r>
  </si>
  <si>
    <r>
      <rPr>
        <sz val="10"/>
        <rFont val="Noto Sans CJK SC"/>
        <family val="2"/>
        <charset val="1"/>
      </rPr>
      <t xml:space="preserve">嘉殷新材料基地（荆州，穿透持股</t>
    </r>
    <r>
      <rPr>
        <sz val="10"/>
        <rFont val="Arial"/>
        <family val="0"/>
        <charset val="1"/>
      </rPr>
      <t xml:space="preserve">65.64%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</si>
  <si>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基建工程预算</t>
    </r>
    <r>
      <rPr>
        <i val="true"/>
        <sz val="9"/>
        <color rgb="FF808080"/>
        <rFont val="Arial"/>
        <family val="0"/>
        <charset val="1"/>
      </rPr>
      <t xml:space="preserve">3.28</t>
    </r>
    <r>
      <rPr>
        <i val="true"/>
        <sz val="9"/>
        <color rgb="FF808080"/>
        <rFont val="Noto Sans CJK SC"/>
        <family val="2"/>
        <charset val="1"/>
      </rPr>
      <t xml:space="preserve">亿元，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进度</t>
    </r>
    <r>
      <rPr>
        <i val="true"/>
        <sz val="9"/>
        <color rgb="FF808080"/>
        <rFont val="Arial"/>
        <family val="0"/>
        <charset val="1"/>
      </rPr>
      <t xml:space="preserve">25%</t>
    </r>
    <r>
      <rPr>
        <i val="true"/>
        <sz val="9"/>
        <color rgb="FF808080"/>
        <rFont val="Noto Sans CJK SC"/>
        <family val="2"/>
        <charset val="1"/>
      </rPr>
      <t xml:space="preserve">；合作方深创投新材料基金等</t>
    </r>
  </si>
  <si>
    <r>
      <rPr>
        <sz val="10"/>
        <rFont val="Noto Sans CJK SC"/>
        <family val="2"/>
        <charset val="1"/>
      </rPr>
      <t xml:space="preserve">半导体材料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器件及航空航天复合材料扩产</t>
    </r>
  </si>
  <si>
    <r>
      <rPr>
        <i val="true"/>
        <sz val="9"/>
        <color rgb="FF808080"/>
        <rFont val="Noto Sans CJK SC"/>
        <family val="2"/>
        <charset val="1"/>
      </rPr>
      <t xml:space="preserve">气熔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电熔材料、半导体器件（湖北石创）、立体编织与复合材料</t>
    </r>
  </si>
  <si>
    <r>
      <rPr>
        <sz val="10"/>
        <rFont val="Noto Sans CJK SC"/>
        <family val="2"/>
        <charset val="1"/>
      </rPr>
      <t xml:space="preserve">光纤配套高纯精密石英材料（湖北聚通，持股</t>
    </r>
    <r>
      <rPr>
        <sz val="10"/>
        <rFont val="Arial"/>
        <family val="0"/>
        <charset val="1"/>
      </rPr>
      <t xml:space="preserve">51%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</si>
  <si>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注册资本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  <charset val="1"/>
      </rPr>
      <t xml:space="preserve">亿元，年产</t>
    </r>
    <r>
      <rPr>
        <i val="true"/>
        <sz val="9"/>
        <color rgb="FF808080"/>
        <rFont val="Arial"/>
        <family val="0"/>
        <charset val="1"/>
      </rPr>
      <t xml:space="preserve">70</t>
    </r>
    <r>
      <rPr>
        <i val="true"/>
        <sz val="9"/>
        <color rgb="FF808080"/>
        <rFont val="Noto Sans CJK SC"/>
        <family val="2"/>
        <charset val="1"/>
      </rPr>
      <t xml:space="preserve">吨衬管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套管（</t>
    </r>
    <r>
      <rPr>
        <i val="true"/>
        <sz val="9"/>
        <color rgb="FF808080"/>
        <rFont val="Arial"/>
        <family val="0"/>
        <charset val="1"/>
      </rPr>
      <t xml:space="preserve">2026-06-09</t>
    </r>
    <r>
      <rPr>
        <i val="true"/>
        <sz val="9"/>
        <color rgb="FF808080"/>
        <rFont val="Noto Sans CJK SC"/>
        <family val="2"/>
        <charset val="1"/>
      </rPr>
      <t xml:space="preserve">公告）</t>
    </r>
  </si>
  <si>
    <r>
      <rPr>
        <sz val="10"/>
        <rFont val="Noto Sans CJK SC"/>
        <family val="2"/>
        <charset val="1"/>
      </rPr>
      <t xml:space="preserve">维护性资本开支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</t>
    </r>
  </si>
  <si>
    <r>
      <rPr>
        <i val="true"/>
        <sz val="9"/>
        <color rgb="FF808080"/>
        <rFont val="Noto Sans CJK SC"/>
        <family val="2"/>
        <charset val="1"/>
      </rPr>
      <t xml:space="preserve">维护性及零星工程，随资产规模扩大逐年提高，使</t>
    </r>
    <r>
      <rPr>
        <i val="true"/>
        <sz val="9"/>
        <color rgb="FF808080"/>
        <rFont val="Arial"/>
        <family val="0"/>
        <charset val="1"/>
      </rPr>
      <t xml:space="preserve">2030E</t>
    </r>
    <r>
      <rPr>
        <i val="true"/>
        <sz val="9"/>
        <color rgb="FF808080"/>
        <rFont val="Noto Sans CJK SC"/>
        <family val="2"/>
        <charset val="1"/>
      </rPr>
      <t xml:space="preserve">资本开支不低于折旧摊销；</t>
    </r>
    <r>
      <rPr>
        <i val="true"/>
        <sz val="9"/>
        <color rgb="FF808080"/>
        <rFont val="Arial"/>
        <family val="0"/>
        <charset val="1"/>
      </rPr>
      <t xml:space="preserve">2023-2025</t>
    </r>
    <r>
      <rPr>
        <i val="true"/>
        <sz val="9"/>
        <color rgb="FF808080"/>
        <rFont val="Noto Sans CJK SC"/>
        <family val="2"/>
        <charset val="1"/>
      </rPr>
      <t xml:space="preserve">年资本开支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21%-28%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为</t>
    </r>
    <r>
      <rPr>
        <i val="true"/>
        <sz val="9"/>
        <color rgb="FF808080"/>
        <rFont val="Arial"/>
        <family val="0"/>
        <charset val="1"/>
      </rPr>
      <t xml:space="preserve">32%</t>
    </r>
  </si>
  <si>
    <t xml:space="preserve">维护性及其他零星资本开支</t>
  </si>
  <si>
    <t xml:space="preserve">土地使用权及其他无形资产购置</t>
  </si>
  <si>
    <t xml:space="preserve">新基地土地款；历史见无形资产附注</t>
  </si>
  <si>
    <r>
      <rPr>
        <sz val="10"/>
        <rFont val="Noto Sans CJK SC"/>
        <family val="2"/>
        <charset val="1"/>
      </rPr>
      <t xml:space="preserve">长期待摊费用新增（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当年摊销，维持余额）</t>
    </r>
  </si>
  <si>
    <t xml:space="preserve">资本开支合计（购建长期资产支付的现金）</t>
  </si>
  <si>
    <r>
      <rPr>
        <i val="true"/>
        <sz val="9"/>
        <color rgb="FF808080"/>
        <rFont val="Noto Sans CJK SC"/>
        <family val="2"/>
        <charset val="1"/>
      </rPr>
      <t xml:space="preserve">历史：来源：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（公司公告值），万元</t>
    </r>
    <r>
      <rPr>
        <i val="true"/>
        <sz val="9"/>
        <color rgb="FF808080"/>
        <rFont val="Arial"/>
        <family val="0"/>
        <charset val="1"/>
      </rPr>
      <t xml:space="preserve">÷100</t>
    </r>
  </si>
  <si>
    <r>
      <rPr>
        <sz val="10"/>
        <rFont val="Noto Sans CJK SC"/>
        <family val="2"/>
        <charset val="1"/>
      </rPr>
      <t xml:space="preserve">资本开支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</t>
    </r>
  </si>
  <si>
    <r>
      <rPr>
        <sz val="10"/>
        <rFont val="Noto Sans CJK SC"/>
        <family val="2"/>
        <charset val="1"/>
      </rPr>
      <t xml:space="preserve">资本开支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折旧摊销</t>
    </r>
  </si>
  <si>
    <t xml:space="preserve">二、设备及工程预付款（其他非流动资产）</t>
  </si>
  <si>
    <r>
      <rPr>
        <sz val="10"/>
        <rFont val="Noto Sans CJK SC"/>
        <family val="2"/>
        <charset val="1"/>
      </rPr>
      <t xml:space="preserve">预付款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当年资本开支</t>
    </r>
  </si>
  <si>
    <t xml:space="preserve">其他非流动资产余额</t>
  </si>
  <si>
    <t xml:space="preserve">预付款增加（占用现金、尚未进入在建工程）</t>
  </si>
  <si>
    <t xml:space="preserve">三、在建工程</t>
  </si>
  <si>
    <t xml:space="preserve">期初</t>
  </si>
  <si>
    <t xml:space="preserve">本期增加（项目资本开支−预付款增加）</t>
  </si>
  <si>
    <r>
      <rPr>
        <sz val="10"/>
        <rFont val="Noto Sans CJK SC"/>
        <family val="2"/>
        <charset val="1"/>
      </rPr>
      <t xml:space="preserve">转固比例（期初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本期增加）</t>
    </r>
  </si>
  <si>
    <t xml:space="preserve">按项目投产节奏设定；历史转固见“底稿”在建工程表</t>
  </si>
  <si>
    <t xml:space="preserve">转入固定资产</t>
  </si>
  <si>
    <t xml:space="preserve">期末在建工程</t>
  </si>
  <si>
    <t xml:space="preserve">四、固定资产与折旧</t>
  </si>
  <si>
    <r>
      <rPr>
        <sz val="10"/>
        <rFont val="Noto Sans CJK SC"/>
        <family val="2"/>
        <charset val="1"/>
      </rPr>
      <t xml:space="preserve">固定资产增加（在建转固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维护性开支）</t>
    </r>
  </si>
  <si>
    <r>
      <rPr>
        <sz val="10"/>
        <rFont val="Noto Sans CJK SC"/>
        <family val="2"/>
        <charset val="1"/>
      </rPr>
      <t xml:space="preserve">存量资产折旧（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  <charset val="1"/>
      </rPr>
      <t xml:space="preserve">年末资产）</t>
    </r>
  </si>
  <si>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年含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年新增资产的全年化效应；之后按到期比例逐年滚出</t>
    </r>
  </si>
  <si>
    <t xml:space="preserve">新增资产综合折旧年限</t>
  </si>
  <si>
    <t xml:space="preserve">年</t>
  </si>
  <si>
    <r>
      <rPr>
        <i val="true"/>
        <sz val="9"/>
        <color rgb="FF808080"/>
        <rFont val="Noto Sans CJK SC"/>
        <family val="2"/>
        <charset val="1"/>
      </rPr>
      <t xml:space="preserve">机器设备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年、房屋</t>
    </r>
    <r>
      <rPr>
        <i val="true"/>
        <sz val="9"/>
        <color rgb="FF808080"/>
        <rFont val="Arial"/>
        <family val="0"/>
        <charset val="1"/>
      </rPr>
      <t xml:space="preserve">20-30</t>
    </r>
    <r>
      <rPr>
        <i val="true"/>
        <sz val="9"/>
        <color rgb="FF808080"/>
        <rFont val="Noto Sans CJK SC"/>
        <family val="2"/>
        <charset val="1"/>
      </rPr>
      <t xml:space="preserve">年，新增资产以设备为主，综合按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年；残值率</t>
    </r>
    <r>
      <rPr>
        <i val="true"/>
        <sz val="9"/>
        <color rgb="FF808080"/>
        <rFont val="Arial"/>
        <family val="0"/>
        <charset val="1"/>
      </rPr>
      <t xml:space="preserve">5%</t>
    </r>
  </si>
  <si>
    <t xml:space="preserve">残值率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</si>
  <si>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年新增资产折旧</t>
    </r>
  </si>
  <si>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  <charset val="1"/>
      </rPr>
      <t xml:space="preserve">年新增资产折旧</t>
    </r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</si>
  <si>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  <charset val="1"/>
      </rPr>
      <t xml:space="preserve">年新增资产折旧</t>
    </r>
  </si>
  <si>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  <charset val="1"/>
      </rPr>
      <t xml:space="preserve">年新增资产折旧</t>
    </r>
  </si>
  <si>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  <charset val="1"/>
      </rPr>
      <t xml:space="preserve">年新增资产折旧</t>
    </r>
  </si>
  <si>
    <t xml:space="preserve">固定资产折旧合计</t>
  </si>
  <si>
    <t xml:space="preserve">历史：现金流量表补充资料</t>
  </si>
  <si>
    <t xml:space="preserve">固定资产净值</t>
  </si>
  <si>
    <r>
      <rPr>
        <sz val="10"/>
        <rFont val="Noto Sans CJK SC"/>
        <family val="2"/>
        <charset val="1"/>
      </rPr>
      <t xml:space="preserve">折旧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期初固定资产净值</t>
    </r>
  </si>
  <si>
    <t xml:space="preserve">五、无形资产、长期待摊费用与使用权资产</t>
  </si>
  <si>
    <r>
      <rPr>
        <sz val="10"/>
        <rFont val="Noto Sans CJK SC"/>
        <family val="2"/>
        <charset val="1"/>
      </rPr>
      <t xml:space="preserve">无形资产摊销率（摊销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期初余额）</t>
    </r>
  </si>
  <si>
    <t xml:space="preserve">无形资产摊销</t>
  </si>
  <si>
    <t xml:space="preserve">无形资产净值</t>
  </si>
  <si>
    <t xml:space="preserve">长期待摊费用摊销（假设等额新增，余额持平）</t>
  </si>
  <si>
    <r>
      <rPr>
        <i val="true"/>
        <sz val="9"/>
        <color rgb="FF808080"/>
        <rFont val="Arial"/>
        <family val="0"/>
        <charset val="1"/>
      </rPr>
      <t xml:space="preserve">2026E</t>
    </r>
    <r>
      <rPr>
        <i val="true"/>
        <sz val="9"/>
        <color rgb="FF808080"/>
        <rFont val="Noto Sans CJK SC"/>
        <family val="2"/>
        <charset val="1"/>
      </rPr>
      <t xml:space="preserve">按上半年</t>
    </r>
    <r>
      <rPr>
        <i val="true"/>
        <sz val="9"/>
        <color rgb="FF808080"/>
        <rFont val="Arial"/>
        <family val="0"/>
        <charset val="1"/>
      </rPr>
      <t xml:space="preserve">6.65</t>
    </r>
    <r>
      <rPr>
        <i val="true"/>
        <sz val="9"/>
        <color rgb="FF808080"/>
        <rFont val="Noto Sans CJK SC"/>
        <family val="2"/>
        <charset val="1"/>
      </rPr>
      <t xml:space="preserve">百万元年化</t>
    </r>
  </si>
  <si>
    <t xml:space="preserve">使用权资产折旧</t>
  </si>
  <si>
    <t xml:space="preserve">金额小，预测期并入其他</t>
  </si>
  <si>
    <r>
      <rPr>
        <b val="true"/>
        <sz val="10"/>
        <rFont val="Noto Sans CJK SC"/>
        <family val="2"/>
        <charset val="1"/>
      </rPr>
      <t xml:space="preserve">折旧摊销合计（</t>
    </r>
    <r>
      <rPr>
        <b val="true"/>
        <sz val="10"/>
        <rFont val="Arial"/>
        <family val="0"/>
        <charset val="1"/>
      </rPr>
      <t xml:space="preserve">D&amp;A</t>
    </r>
    <r>
      <rPr>
        <b val="true"/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</si>
  <si>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D&amp;A / </t>
    </r>
    <r>
      <rPr>
        <sz val="10"/>
        <rFont val="Noto Sans CJK SC"/>
        <family val="2"/>
        <charset val="1"/>
      </rPr>
      <t xml:space="preserve">收入</t>
    </r>
  </si>
  <si>
    <t xml:space="preserve">存量资产折旧年滚出比例</t>
  </si>
  <si>
    <t xml:space="preserve">部分早期设备逐步提足折旧</t>
  </si>
  <si>
    <r>
      <rPr>
        <sz val="10"/>
        <rFont val="Noto Sans CJK SC"/>
        <family val="2"/>
        <charset val="1"/>
      </rPr>
      <t xml:space="preserve">石英电子布单位产能投资（纱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织造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后处理）</t>
    </r>
  </si>
  <si>
    <r>
      <rPr>
        <sz val="9"/>
        <color rgb="FF808080"/>
        <rFont val="Noto Sans CJK SC"/>
        <family val="2"/>
        <charset val="1"/>
      </rPr>
      <t xml:space="preserve">百万元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Noto Sans CJK SC"/>
        <family val="2"/>
        <charset val="1"/>
      </rPr>
      <t xml:space="preserve">万米</t>
    </r>
  </si>
  <si>
    <r>
      <rPr>
        <i val="true"/>
        <sz val="9"/>
        <color rgb="FF808080"/>
        <rFont val="Noto Sans CJK SC"/>
        <family val="2"/>
        <charset val="1"/>
      </rPr>
      <t xml:space="preserve">募投电子纱</t>
    </r>
    <r>
      <rPr>
        <i val="true"/>
        <sz val="9"/>
        <color rgb="FF808080"/>
        <rFont val="Arial"/>
        <family val="0"/>
        <charset val="1"/>
      </rPr>
      <t xml:space="preserve">6.24</t>
    </r>
    <r>
      <rPr>
        <i val="true"/>
        <sz val="9"/>
        <color rgb="FF808080"/>
        <rFont val="Noto Sans CJK SC"/>
        <family val="2"/>
        <charset val="1"/>
      </rPr>
      <t xml:space="preserve">亿元</t>
    </r>
    <r>
      <rPr>
        <i val="true"/>
        <sz val="9"/>
        <color rgb="FF808080"/>
        <rFont val="Arial"/>
        <family val="0"/>
        <charset val="1"/>
      </rPr>
      <t xml:space="preserve">/1,000</t>
    </r>
    <r>
      <rPr>
        <i val="true"/>
        <sz val="9"/>
        <color rgb="FF808080"/>
        <rFont val="Noto Sans CJK SC"/>
        <family val="2"/>
        <charset val="1"/>
      </rPr>
      <t xml:space="preserve">吨（约</t>
    </r>
    <r>
      <rPr>
        <i val="true"/>
        <sz val="9"/>
        <color rgb="FF808080"/>
        <rFont val="Arial"/>
        <family val="0"/>
        <charset val="1"/>
      </rPr>
      <t xml:space="preserve">800</t>
    </r>
    <r>
      <rPr>
        <i val="true"/>
        <sz val="9"/>
        <color rgb="FF808080"/>
        <rFont val="Noto Sans CJK SC"/>
        <family val="2"/>
        <charset val="1"/>
      </rPr>
      <t xml:space="preserve">万米当量，吨纱换米为低可信度经验口径）≈</t>
    </r>
    <r>
      <rPr>
        <i val="true"/>
        <sz val="9"/>
        <color rgb="FF808080"/>
        <rFont val="Arial"/>
        <family val="0"/>
        <charset val="1"/>
      </rPr>
      <t xml:space="preserve">0.78</t>
    </r>
    <r>
      <rPr>
        <i val="true"/>
        <sz val="9"/>
        <color rgb="FF808080"/>
        <rFont val="Noto Sans CJK SC"/>
        <family val="2"/>
        <charset val="1"/>
      </rPr>
      <t xml:space="preserve">百万元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万米，另加织造后处理；中材科技</t>
    </r>
    <r>
      <rPr>
        <i val="true"/>
        <sz val="9"/>
        <color rgb="FF808080"/>
        <rFont val="Arial"/>
        <family val="0"/>
        <charset val="1"/>
      </rPr>
      <t xml:space="preserve">2,400</t>
    </r>
    <r>
      <rPr>
        <i val="true"/>
        <sz val="9"/>
        <color rgb="FF808080"/>
        <rFont val="Noto Sans CJK SC"/>
        <family val="2"/>
        <charset val="1"/>
      </rPr>
      <t xml:space="preserve">万米项目</t>
    </r>
    <r>
      <rPr>
        <i val="true"/>
        <sz val="9"/>
        <color rgb="FF808080"/>
        <rFont val="Arial"/>
        <family val="0"/>
        <charset val="1"/>
      </rPr>
      <t xml:space="preserve">17.51</t>
    </r>
    <r>
      <rPr>
        <i val="true"/>
        <sz val="9"/>
        <color rgb="FF808080"/>
        <rFont val="Noto Sans CJK SC"/>
        <family val="2"/>
        <charset val="1"/>
      </rPr>
      <t xml:space="preserve">亿元≈</t>
    </r>
    <r>
      <rPr>
        <i val="true"/>
        <sz val="9"/>
        <color rgb="FF808080"/>
        <rFont val="Arial"/>
        <family val="0"/>
        <charset val="1"/>
      </rPr>
      <t xml:space="preserve">0.73</t>
    </r>
    <r>
      <rPr>
        <i val="true"/>
        <sz val="9"/>
        <color rgb="FF808080"/>
        <rFont val="Noto Sans CJK SC"/>
        <family val="2"/>
        <charset val="1"/>
      </rPr>
      <t xml:space="preserve">百万元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万米</t>
    </r>
  </si>
  <si>
    <r>
      <rPr>
        <sz val="10"/>
        <rFont val="Arial"/>
        <family val="0"/>
        <charset val="1"/>
      </rPr>
      <t xml:space="preserve">2031E</t>
    </r>
    <r>
      <rPr>
        <sz val="10"/>
        <rFont val="Noto Sans CJK SC"/>
        <family val="2"/>
        <charset val="1"/>
      </rPr>
      <t xml:space="preserve">电子布新增产能（决定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  <charset val="1"/>
      </rPr>
      <t xml:space="preserve">年设备投入）</t>
    </r>
  </si>
  <si>
    <r>
      <rPr>
        <i val="true"/>
        <sz val="9"/>
        <color rgb="FF808080"/>
        <rFont val="Arial"/>
        <family val="0"/>
        <charset val="1"/>
      </rPr>
      <t xml:space="preserve">2031E</t>
    </r>
    <r>
      <rPr>
        <i val="true"/>
        <sz val="9"/>
        <color rgb="FF808080"/>
        <rFont val="Noto Sans CJK SC"/>
        <family val="2"/>
        <charset val="1"/>
      </rPr>
      <t xml:space="preserve">计划新增电子布产能（万米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年），决定</t>
    </r>
    <r>
      <rPr>
        <i val="true"/>
        <sz val="9"/>
        <color rgb="FF808080"/>
        <rFont val="Arial"/>
        <family val="0"/>
        <charset val="1"/>
      </rPr>
      <t xml:space="preserve">2030</t>
    </r>
    <r>
      <rPr>
        <i val="true"/>
        <sz val="9"/>
        <color rgb="FF808080"/>
        <rFont val="Noto Sans CJK SC"/>
        <family val="2"/>
        <charset val="1"/>
      </rPr>
      <t xml:space="preserve">年电子布设备投入；与</t>
    </r>
    <r>
      <rPr>
        <i val="true"/>
        <sz val="9"/>
        <color rgb="FF808080"/>
        <rFont val="Arial"/>
        <family val="0"/>
        <charset val="1"/>
      </rPr>
      <t xml:space="preserve">2030</t>
    </r>
    <r>
      <rPr>
        <i val="true"/>
        <sz val="9"/>
        <color rgb="FF808080"/>
        <rFont val="Noto Sans CJK SC"/>
        <family val="2"/>
        <charset val="1"/>
      </rPr>
      <t xml:space="preserve">年产能增量相当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</si>
  <si>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年存量资产折旧 </t>
    </r>
    <r>
      <rPr>
        <sz val="10"/>
        <rFont val="Arial"/>
        <family val="0"/>
        <charset val="1"/>
      </rPr>
      <t xml:space="preserve">/ 2025</t>
    </r>
    <r>
      <rPr>
        <sz val="10"/>
        <rFont val="Noto Sans CJK SC"/>
        <family val="2"/>
        <charset val="1"/>
      </rPr>
      <t xml:space="preserve">年折旧</t>
    </r>
  </si>
  <si>
    <r>
      <rPr>
        <i val="true"/>
        <sz val="9"/>
        <color rgb="FF808080"/>
        <rFont val="Noto Sans CJK SC"/>
        <family val="2"/>
        <charset val="1"/>
      </rPr>
      <t xml:space="preserve">反映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年新增资产在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年的全年化折旧</t>
    </r>
  </si>
  <si>
    <r>
      <rPr>
        <b val="true"/>
        <sz val="10"/>
        <color rgb="FF1F3864"/>
        <rFont val="Noto Sans CJK SC"/>
        <family val="2"/>
        <charset val="1"/>
      </rPr>
      <t xml:space="preserve">六、产能里程碑（文字记录，见底稿</t>
    </r>
    <r>
      <rPr>
        <b val="true"/>
        <sz val="10"/>
        <color rgb="FF1F3864"/>
        <rFont val="Arial"/>
        <family val="0"/>
        <charset val="1"/>
      </rPr>
      <t xml:space="preserve">-</t>
    </r>
    <r>
      <rPr>
        <b val="true"/>
        <sz val="10"/>
        <color rgb="FF1F3864"/>
        <rFont val="Noto Sans CJK SC"/>
        <family val="2"/>
        <charset val="1"/>
      </rPr>
      <t xml:space="preserve">项目表）</t>
    </r>
  </si>
  <si>
    <r>
      <rPr>
        <b val="true"/>
        <sz val="14"/>
        <color rgb="FF1F3864"/>
        <rFont val="Noto Sans CJK SC"/>
        <family val="2"/>
        <charset val="1"/>
      </rPr>
      <t xml:space="preserve">营运资本：周转天数驱动（百万元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  <charset val="1"/>
      </rPr>
      <t xml:space="preserve">天）</t>
    </r>
  </si>
  <si>
    <r>
      <rPr>
        <i val="true"/>
        <sz val="9"/>
        <color rgb="FF808080"/>
        <rFont val="Noto Sans CJK SC"/>
        <family val="2"/>
        <charset val="1"/>
      </rPr>
      <t xml:space="preserve">应收类按营业收入、存货与应付类按营业成本计算周转天数（期末余额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年额</t>
    </r>
    <r>
      <rPr>
        <i val="true"/>
        <sz val="9"/>
        <color rgb="FF808080"/>
        <rFont val="Arial"/>
        <family val="0"/>
        <charset val="1"/>
      </rPr>
      <t xml:space="preserve">×365</t>
    </r>
    <r>
      <rPr>
        <i val="true"/>
        <sz val="9"/>
        <color rgb="FF808080"/>
        <rFont val="Noto Sans CJK SC"/>
        <family val="2"/>
        <charset val="1"/>
      </rPr>
      <t xml:space="preserve">）。历史天数为公式，预测天数为输入。</t>
    </r>
  </si>
  <si>
    <t xml:space="preserve">周转天数（预测期为输入）</t>
  </si>
  <si>
    <t xml:space="preserve">应收账款周转天数（基于收入）</t>
  </si>
  <si>
    <t xml:space="preserve">天</t>
  </si>
  <si>
    <r>
      <rPr>
        <i val="true"/>
        <sz val="9"/>
        <color rgb="FF808080"/>
        <rFont val="Noto Sans CJK SC"/>
        <family val="2"/>
        <charset val="1"/>
      </rPr>
      <t xml:space="preserve">年末应收天数低于上半年年化水平（</t>
    </r>
    <r>
      <rPr>
        <i val="true"/>
        <sz val="9"/>
        <color rgb="FF808080"/>
        <rFont val="Arial"/>
        <family val="0"/>
        <charset val="1"/>
      </rPr>
      <t xml:space="preserve">2024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131→105</t>
    </r>
    <r>
      <rPr>
        <i val="true"/>
        <sz val="9"/>
        <color rgb="FF808080"/>
        <rFont val="Noto Sans CJK SC"/>
        <family val="2"/>
        <charset val="1"/>
      </rPr>
      <t xml:space="preserve">天，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137→130</t>
    </r>
    <r>
      <rPr>
        <i val="true"/>
        <sz val="9"/>
        <color rgb="FF808080"/>
        <rFont val="Noto Sans CJK SC"/>
        <family val="2"/>
        <charset val="1"/>
      </rPr>
      <t xml:space="preserve">天），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年化</t>
    </r>
    <r>
      <rPr>
        <i val="true"/>
        <sz val="9"/>
        <color rgb="FF808080"/>
        <rFont val="Arial"/>
        <family val="0"/>
        <charset val="1"/>
      </rPr>
      <t xml:space="preserve">129</t>
    </r>
    <r>
      <rPr>
        <i val="true"/>
        <sz val="9"/>
        <color rgb="FF808080"/>
        <rFont val="Noto Sans CJK SC"/>
        <family val="2"/>
        <charset val="1"/>
      </rPr>
      <t xml:space="preserve">天，取</t>
    </r>
    <r>
      <rPr>
        <i val="true"/>
        <sz val="9"/>
        <color rgb="FF808080"/>
        <rFont val="Arial"/>
        <family val="0"/>
        <charset val="1"/>
      </rPr>
      <t xml:space="preserve">125</t>
    </r>
    <r>
      <rPr>
        <i val="true"/>
        <sz val="9"/>
        <color rgb="FF808080"/>
        <rFont val="Noto Sans CJK SC"/>
        <family val="2"/>
        <charset val="1"/>
      </rPr>
      <t xml:space="preserve">天</t>
    </r>
  </si>
  <si>
    <t xml:space="preserve">应收票据周转天数（基于收入）</t>
  </si>
  <si>
    <t xml:space="preserve">应收款项融资周转天数（基于收入）</t>
  </si>
  <si>
    <t xml:space="preserve">预付款项周转天数（基于成本）</t>
  </si>
  <si>
    <t xml:space="preserve">其他应收款周转天数（基于收入）</t>
  </si>
  <si>
    <t xml:space="preserve">存货周转天数（基于成本）</t>
  </si>
  <si>
    <r>
      <rPr>
        <i val="true"/>
        <sz val="9"/>
        <color rgb="FF808080"/>
        <rFont val="Noto Sans CJK SC"/>
        <family val="2"/>
        <charset val="1"/>
      </rPr>
      <t xml:space="preserve">存货天数年末高于上半年（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302→315</t>
    </r>
    <r>
      <rPr>
        <i val="true"/>
        <sz val="9"/>
        <color rgb="FF808080"/>
        <rFont val="Noto Sans CJK SC"/>
        <family val="2"/>
        <charset val="1"/>
      </rPr>
      <t xml:space="preserve">天），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为</t>
    </r>
    <r>
      <rPr>
        <i val="true"/>
        <sz val="9"/>
        <color rgb="FF808080"/>
        <rFont val="Arial"/>
        <family val="0"/>
        <charset val="1"/>
      </rPr>
      <t xml:space="preserve">311</t>
    </r>
    <r>
      <rPr>
        <i val="true"/>
        <sz val="9"/>
        <color rgb="FF808080"/>
        <rFont val="Noto Sans CJK SC"/>
        <family val="2"/>
        <charset val="1"/>
      </rPr>
      <t xml:space="preserve">天，取</t>
    </r>
    <r>
      <rPr>
        <i val="true"/>
        <sz val="9"/>
        <color rgb="FF808080"/>
        <rFont val="Arial"/>
        <family val="0"/>
        <charset val="1"/>
      </rPr>
      <t xml:space="preserve">330</t>
    </r>
    <r>
      <rPr>
        <i val="true"/>
        <sz val="9"/>
        <color rgb="FF808080"/>
        <rFont val="Noto Sans CJK SC"/>
        <family val="2"/>
        <charset val="1"/>
      </rPr>
      <t xml:space="preserve">天后逐步优化</t>
    </r>
  </si>
  <si>
    <t xml:space="preserve">其他流动资产周转天数（基于收入）</t>
  </si>
  <si>
    <t xml:space="preserve">应付票据周转天数（基于成本）</t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</si>
  <si>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应付票据大幅增加（</t>
    </r>
    <r>
      <rPr>
        <i val="true"/>
        <sz val="9"/>
        <color rgb="FF808080"/>
        <rFont val="Arial"/>
        <family val="0"/>
        <charset val="1"/>
      </rPr>
      <t xml:space="preserve">3.55</t>
    </r>
    <r>
      <rPr>
        <i val="true"/>
        <sz val="9"/>
        <color rgb="FF808080"/>
        <rFont val="Noto Sans CJK SC"/>
        <family val="2"/>
        <charset val="1"/>
      </rPr>
      <t xml:space="preserve">亿元）</t>
    </r>
  </si>
  <si>
    <t xml:space="preserve">应付账款周转天数（基于成本）</t>
  </si>
  <si>
    <t xml:space="preserve">合同负债周转天数（基于收入）</t>
  </si>
  <si>
    <t xml:space="preserve">应付职工薪酬周转天数（基于收入）</t>
  </si>
  <si>
    <t xml:space="preserve">应交税费周转天数（基于收入）</t>
  </si>
  <si>
    <t xml:space="preserve">其他应付款周转天数（基于收入）</t>
  </si>
  <si>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年含限制性股票回购义务</t>
    </r>
  </si>
  <si>
    <t xml:space="preserve">其他流动负债周转天数（基于收入）</t>
  </si>
  <si>
    <t xml:space="preserve">期末余额</t>
  </si>
  <si>
    <t xml:space="preserve">应收账款</t>
  </si>
  <si>
    <t xml:space="preserve">应收票据</t>
  </si>
  <si>
    <t xml:space="preserve">应收款项融资</t>
  </si>
  <si>
    <t xml:space="preserve">预付款项</t>
  </si>
  <si>
    <t xml:space="preserve">其他应收款</t>
  </si>
  <si>
    <t xml:space="preserve">存货</t>
  </si>
  <si>
    <t xml:space="preserve">其他流动资产</t>
  </si>
  <si>
    <t xml:space="preserve">应付票据</t>
  </si>
  <si>
    <t xml:space="preserve">应付账款</t>
  </si>
  <si>
    <t xml:space="preserve">合同负债</t>
  </si>
  <si>
    <t xml:space="preserve">应付职工薪酬</t>
  </si>
  <si>
    <t xml:space="preserve">应交税费</t>
  </si>
  <si>
    <t xml:space="preserve">其他应付款</t>
  </si>
  <si>
    <t xml:space="preserve">其他流动负债</t>
  </si>
  <si>
    <t xml:space="preserve">经营性流动资产</t>
  </si>
  <si>
    <t xml:space="preserve">经营性流动负债</t>
  </si>
  <si>
    <t xml:space="preserve">经营性净营运资本</t>
  </si>
  <si>
    <r>
      <rPr>
        <sz val="10"/>
        <rFont val="Noto Sans CJK SC"/>
        <family val="2"/>
        <charset val="1"/>
      </rPr>
      <t xml:space="preserve">净营运资本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</t>
    </r>
  </si>
  <si>
    <t xml:space="preserve">净营运资本增加（现金流出为正）</t>
  </si>
  <si>
    <t xml:space="preserve">现金转换周期</t>
  </si>
  <si>
    <r>
      <rPr>
        <sz val="10"/>
        <rFont val="Noto Sans CJK SC"/>
        <family val="2"/>
        <charset val="1"/>
      </rPr>
      <t xml:space="preserve">应收类合计天数（应收账款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票据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应收款项融资）</t>
    </r>
  </si>
  <si>
    <t xml:space="preserve">存货天数</t>
  </si>
  <si>
    <r>
      <rPr>
        <sz val="10"/>
        <rFont val="Noto Sans CJK SC"/>
        <family val="2"/>
        <charset val="1"/>
      </rPr>
      <t xml:space="preserve">应付类合计天数（应付账款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票据）</t>
    </r>
  </si>
  <si>
    <t xml:space="preserve">现金转换周期（应收天数按收入，近似）</t>
  </si>
  <si>
    <r>
      <rPr>
        <sz val="10"/>
        <rFont val="Noto Sans CJK SC"/>
        <family val="2"/>
        <charset val="1"/>
      </rPr>
      <t xml:space="preserve">经营现金流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净利润</t>
    </r>
  </si>
  <si>
    <r>
      <rPr>
        <i val="true"/>
        <sz val="9"/>
        <color rgb="FF808080"/>
        <rFont val="Noto Sans CJK SC"/>
        <family val="2"/>
        <charset val="1"/>
      </rPr>
      <t xml:space="preserve">注：经营现金流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净利润自</t>
    </r>
    <r>
      <rPr>
        <i val="true"/>
        <sz val="9"/>
        <color rgb="FF808080"/>
        <rFont val="Arial"/>
        <family val="0"/>
        <charset val="1"/>
      </rPr>
      <t xml:space="preserve">2023</t>
    </r>
    <r>
      <rPr>
        <i val="true"/>
        <sz val="9"/>
        <color rgb="FF808080"/>
        <rFont val="Noto Sans CJK SC"/>
        <family val="2"/>
        <charset val="1"/>
      </rPr>
      <t xml:space="preserve">年起降至</t>
    </r>
    <r>
      <rPr>
        <i val="true"/>
        <sz val="9"/>
        <color rgb="FF808080"/>
        <rFont val="Arial"/>
        <family val="0"/>
        <charset val="1"/>
      </rPr>
      <t xml:space="preserve">0.5-0.8</t>
    </r>
    <r>
      <rPr>
        <i val="true"/>
        <sz val="9"/>
        <color rgb="FF808080"/>
        <rFont val="Noto Sans CJK SC"/>
        <family val="2"/>
        <charset val="1"/>
      </rPr>
      <t xml:space="preserve">倍，主要因存货与应收增加、票据结算比例高。</t>
    </r>
  </si>
  <si>
    <r>
      <rPr>
        <b val="true"/>
        <sz val="14"/>
        <color rgb="FF1F3864"/>
        <rFont val="Noto Sans CJK SC"/>
        <family val="2"/>
        <charset val="1"/>
      </rPr>
      <t xml:space="preserve">期间费用、其他收益、减值、所得税与少数股东损益（百万元 </t>
    </r>
    <r>
      <rPr>
        <b val="true"/>
        <sz val="14"/>
        <color rgb="FF1F3864"/>
        <rFont val="Arial"/>
        <family val="0"/>
        <charset val="1"/>
      </rPr>
      <t xml:space="preserve">/ %</t>
    </r>
    <r>
      <rPr>
        <b val="true"/>
        <sz val="14"/>
        <color rgb="FF1F3864"/>
        <rFont val="Noto Sans CJK SC"/>
        <family val="2"/>
        <charset val="1"/>
      </rPr>
      <t xml:space="preserve">）</t>
    </r>
  </si>
  <si>
    <t xml:space="preserve">费用率含股份支付摊销；股份支付金额单列于“融资”表用于现金流加回与资本公积。</t>
  </si>
  <si>
    <t xml:space="preserve">费用率（占营业收入）</t>
  </si>
  <si>
    <t xml:space="preserve">税金及附加率</t>
  </si>
  <si>
    <t xml:space="preserve">销售费用率</t>
  </si>
  <si>
    <t xml:space="preserve">管理费用率（不含股份支付）</t>
  </si>
  <si>
    <r>
      <rPr>
        <i val="true"/>
        <sz val="9"/>
        <color rgb="FF808080"/>
        <rFont val="Noto Sans CJK SC"/>
        <family val="2"/>
        <charset val="1"/>
      </rPr>
      <t xml:space="preserve">不含股份支付；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管理费用</t>
    </r>
    <r>
      <rPr>
        <i val="true"/>
        <sz val="9"/>
        <color rgb="FF808080"/>
        <rFont val="Arial"/>
        <family val="0"/>
        <charset val="1"/>
      </rPr>
      <t xml:space="preserve">+51%</t>
    </r>
    <r>
      <rPr>
        <i val="true"/>
        <sz val="9"/>
        <color rgb="FF808080"/>
        <rFont val="Noto Sans CJK SC"/>
        <family val="2"/>
        <charset val="1"/>
      </rPr>
      <t xml:space="preserve">（薪酬、水电及折旧）</t>
    </r>
  </si>
  <si>
    <t xml:space="preserve">研发费用率</t>
  </si>
  <si>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14.0%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2026H1 12.3%</t>
    </r>
    <r>
      <rPr>
        <i val="true"/>
        <sz val="9"/>
        <color rgb="FF808080"/>
        <rFont val="Noto Sans CJK SC"/>
        <family val="2"/>
        <charset val="1"/>
      </rPr>
      <t xml:space="preserve">；下半年研发通常环比增加（</t>
    </r>
    <r>
      <rPr>
        <i val="true"/>
        <sz val="9"/>
        <color rgb="FF808080"/>
        <rFont val="Arial"/>
        <family val="0"/>
        <charset val="1"/>
      </rPr>
      <t xml:space="preserve">2022/2023/2025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+26%/+35%/+31%</t>
    </r>
    <r>
      <rPr>
        <i val="true"/>
        <sz val="9"/>
        <color rgb="FF808080"/>
        <rFont val="Noto Sans CJK SC"/>
        <family val="2"/>
        <charset val="1"/>
      </rPr>
      <t xml:space="preserve">），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年取</t>
    </r>
    <r>
      <rPr>
        <i val="true"/>
        <sz val="9"/>
        <color rgb="FF808080"/>
        <rFont val="Arial"/>
        <family val="0"/>
        <charset val="1"/>
      </rPr>
      <t xml:space="preserve">12.6%</t>
    </r>
    <r>
      <rPr>
        <i val="true"/>
        <sz val="9"/>
        <color rgb="FF808080"/>
        <rFont val="Noto Sans CJK SC"/>
        <family val="2"/>
        <charset val="1"/>
      </rPr>
      <t xml:space="preserve">；之后随收入放量下降，且不低于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年化金额</t>
    </r>
  </si>
  <si>
    <r>
      <rPr>
        <sz val="10"/>
        <rFont val="Noto Sans CJK SC"/>
        <family val="2"/>
        <charset val="1"/>
      </rPr>
      <t xml:space="preserve">研发费用下限（</t>
    </r>
    <r>
      <rPr>
        <sz val="10"/>
        <rFont val="Arial"/>
        <family val="0"/>
        <charset val="1"/>
      </rPr>
      <t xml:space="preserve">2026H1</t>
    </r>
    <r>
      <rPr>
        <sz val="10"/>
        <rFont val="Noto Sans CJK SC"/>
        <family val="2"/>
        <charset val="1"/>
      </rPr>
      <t xml:space="preserve">年化）</t>
    </r>
  </si>
  <si>
    <r>
      <rPr>
        <i val="true"/>
        <sz val="9"/>
        <color rgb="FF808080"/>
        <rFont val="Noto Sans CJK SC"/>
        <family val="2"/>
        <charset val="1"/>
      </rPr>
      <t xml:space="preserve">研发团队与项目具有刚性，收入下行时研发费用不低于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年化水平（</t>
    </r>
    <r>
      <rPr>
        <i val="true"/>
        <sz val="9"/>
        <color rgb="FF808080"/>
        <rFont val="Arial"/>
        <family val="0"/>
        <charset val="1"/>
      </rPr>
      <t xml:space="preserve">160.63×2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</si>
  <si>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t xml:space="preserve">其他经营性损益</t>
  </si>
  <si>
    <r>
      <rPr>
        <sz val="10"/>
        <rFont val="Noto Sans CJK SC"/>
        <family val="2"/>
        <charset val="1"/>
      </rPr>
      <t xml:space="preserve">其他收益（政府补助、加计抵减等）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</t>
    </r>
  </si>
  <si>
    <r>
      <rPr>
        <i val="true"/>
        <sz val="9"/>
        <color rgb="FF808080"/>
        <rFont val="Noto Sans CJK SC"/>
        <family val="2"/>
        <charset val="1"/>
      </rPr>
      <t xml:space="preserve">政府补助及增值税加计抵减；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2.6%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2026H1 1.6%</t>
    </r>
  </si>
  <si>
    <r>
      <rPr>
        <sz val="10"/>
        <rFont val="Noto Sans CJK SC"/>
        <family val="2"/>
        <charset val="1"/>
      </rPr>
      <t xml:space="preserve">信用减值损失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收入（损失为负）</t>
    </r>
  </si>
  <si>
    <r>
      <rPr>
        <sz val="10"/>
        <rFont val="Noto Sans CJK SC"/>
        <family val="2"/>
        <charset val="1"/>
      </rPr>
      <t xml:space="preserve">资产减值损失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收入（损失为负）</t>
    </r>
  </si>
  <si>
    <t xml:space="preserve">主要为存货跌价；光伏相关产品价格压力</t>
  </si>
  <si>
    <r>
      <rPr>
        <sz val="10"/>
        <rFont val="Noto Sans CJK SC"/>
        <family val="2"/>
        <charset val="1"/>
      </rPr>
      <t xml:space="preserve">营业外收支净额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资产处置收益</t>
    </r>
  </si>
  <si>
    <t xml:space="preserve">所得税</t>
  </si>
  <si>
    <t xml:space="preserve">法定税率（高新技术企业）</t>
  </si>
  <si>
    <r>
      <rPr>
        <i val="true"/>
        <sz val="9"/>
        <color rgb="FF808080"/>
        <rFont val="Noto Sans CJK SC"/>
        <family val="2"/>
        <charset val="1"/>
      </rPr>
      <t xml:space="preserve">母公司、融鉴、湖北石创半导体高新证书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年到期，已重新申请；若未通过适用</t>
    </r>
    <r>
      <rPr>
        <i val="true"/>
        <sz val="9"/>
        <color rgb="FF808080"/>
        <rFont val="Arial"/>
        <family val="0"/>
        <charset val="1"/>
      </rPr>
      <t xml:space="preserve">25%</t>
    </r>
  </si>
  <si>
    <t xml:space="preserve">研发费用加计扣除比例</t>
  </si>
  <si>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年税率调节表：加计扣除节税</t>
    </r>
    <r>
      <rPr>
        <i val="true"/>
        <sz val="9"/>
        <color rgb="FF808080"/>
        <rFont val="Arial"/>
        <family val="0"/>
        <charset val="1"/>
      </rPr>
      <t xml:space="preserve">46.51</t>
    </r>
    <r>
      <rPr>
        <i val="true"/>
        <sz val="9"/>
        <color rgb="FF808080"/>
        <rFont val="Noto Sans CJK SC"/>
        <family val="2"/>
        <charset val="1"/>
      </rPr>
      <t xml:space="preserve">百万元（利润总额的</t>
    </r>
    <r>
      <rPr>
        <i val="true"/>
        <sz val="9"/>
        <color rgb="FF808080"/>
        <rFont val="Arial"/>
        <family val="0"/>
        <charset val="1"/>
      </rPr>
      <t xml:space="preserve">10.0pct</t>
    </r>
    <r>
      <rPr>
        <i val="true"/>
        <sz val="9"/>
        <color rgb="FF808080"/>
        <rFont val="Noto Sans CJK SC"/>
        <family val="2"/>
        <charset val="1"/>
      </rPr>
      <t xml:space="preserve">），约为研发费用</t>
    </r>
    <r>
      <rPr>
        <i val="true"/>
        <sz val="9"/>
        <color rgb="FF808080"/>
        <rFont val="Arial"/>
        <family val="0"/>
        <charset val="1"/>
      </rPr>
      <t xml:space="preserve">×16.5%</t>
    </r>
  </si>
  <si>
    <t xml:space="preserve">研发加计扣除节税</t>
  </si>
  <si>
    <r>
      <rPr>
        <sz val="10"/>
        <rFont val="Noto Sans CJK SC"/>
        <family val="2"/>
        <charset val="1"/>
      </rPr>
      <t xml:space="preserve">电子布利润留存于湖北鼎益（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  <charset val="1"/>
      </rPr>
      <t xml:space="preserve">税率）的比例</t>
    </r>
  </si>
  <si>
    <r>
      <rPr>
        <i val="true"/>
        <sz val="9"/>
        <color rgb="FF808080"/>
        <rFont val="Noto Sans CJK SC"/>
        <family val="2"/>
        <charset val="1"/>
      </rPr>
      <t xml:space="preserve">由电子布少数股东比例反推：中益少数股东</t>
    </r>
    <r>
      <rPr>
        <i val="true"/>
        <sz val="9"/>
        <color rgb="FF808080"/>
        <rFont val="Arial"/>
        <family val="0"/>
        <charset val="1"/>
      </rPr>
      <t xml:space="preserve">51.89%</t>
    </r>
    <r>
      <rPr>
        <i val="true"/>
        <sz val="9"/>
        <color rgb="FF808080"/>
        <rFont val="Noto Sans CJK SC"/>
        <family val="2"/>
        <charset val="1"/>
      </rPr>
      <t xml:space="preserve">，其余利润视为留在全资子公司鼎益</t>
    </r>
  </si>
  <si>
    <r>
      <rPr>
        <sz val="10"/>
        <rFont val="Noto Sans CJK SC"/>
        <family val="2"/>
        <charset val="1"/>
      </rPr>
      <t xml:space="preserve">鼎益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  <charset val="1"/>
      </rPr>
      <t xml:space="preserve">税率的额外税负</t>
    </r>
  </si>
  <si>
    <t xml:space="preserve">其他调整（占利润总额）</t>
  </si>
  <si>
    <r>
      <rPr>
        <i val="true"/>
        <sz val="9"/>
        <color rgb="FF808080"/>
        <rFont val="Noto Sans CJK SC"/>
        <family val="2"/>
        <charset val="1"/>
      </rPr>
      <t xml:space="preserve">亏损子公司未确认递延所得税资产、不可抵扣项及</t>
    </r>
    <r>
      <rPr>
        <i val="true"/>
        <sz val="9"/>
        <color rgb="FF808080"/>
        <rFont val="Arial"/>
        <family val="0"/>
        <charset val="1"/>
      </rPr>
      <t xml:space="preserve">25%</t>
    </r>
    <r>
      <rPr>
        <i val="true"/>
        <sz val="9"/>
        <color rgb="FF808080"/>
        <rFont val="Noto Sans CJK SC"/>
        <family val="2"/>
        <charset val="1"/>
      </rPr>
      <t xml:space="preserve">税率主体；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年约</t>
    </r>
    <r>
      <rPr>
        <i val="true"/>
        <sz val="9"/>
        <color rgb="FF808080"/>
        <rFont val="Arial"/>
        <family val="0"/>
        <charset val="1"/>
      </rPr>
      <t xml:space="preserve">+3.6pct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2024</t>
    </r>
    <r>
      <rPr>
        <i val="true"/>
        <sz val="9"/>
        <color rgb="FF808080"/>
        <rFont val="Noto Sans CJK SC"/>
        <family val="2"/>
        <charset val="1"/>
      </rPr>
      <t xml:space="preserve">年约</t>
    </r>
    <r>
      <rPr>
        <i val="true"/>
        <sz val="9"/>
        <color rgb="FF808080"/>
        <rFont val="Arial"/>
        <family val="0"/>
        <charset val="1"/>
      </rPr>
      <t xml:space="preserve">+0.8pct</t>
    </r>
    <r>
      <rPr>
        <i val="true"/>
        <sz val="9"/>
        <color rgb="FF808080"/>
        <rFont val="Noto Sans CJK SC"/>
        <family val="2"/>
        <charset val="1"/>
      </rPr>
      <t xml:space="preserve">（税率调节表倒算），随石创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济南光微减亏下降</t>
    </r>
  </si>
  <si>
    <t xml:space="preserve">有效所得税率</t>
  </si>
  <si>
    <r>
      <rPr>
        <i val="true"/>
        <sz val="9"/>
        <color rgb="FF808080"/>
        <rFont val="Noto Sans CJK SC"/>
        <family val="2"/>
        <charset val="1"/>
      </rPr>
      <t xml:space="preserve">＝法定</t>
    </r>
    <r>
      <rPr>
        <i val="true"/>
        <sz val="9"/>
        <color rgb="FF808080"/>
        <rFont val="Arial"/>
        <family val="0"/>
        <charset val="1"/>
      </rPr>
      <t xml:space="preserve">15% − </t>
    </r>
    <r>
      <rPr>
        <i val="true"/>
        <sz val="9"/>
        <color rgb="FF808080"/>
        <rFont val="Noto Sans CJK SC"/>
        <family val="2"/>
        <charset val="1"/>
      </rPr>
      <t xml:space="preserve">研发加计扣除节税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利润总额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鼎益</t>
    </r>
    <r>
      <rPr>
        <i val="true"/>
        <sz val="9"/>
        <color rgb="FF808080"/>
        <rFont val="Arial"/>
        <family val="0"/>
        <charset val="1"/>
      </rPr>
      <t xml:space="preserve">25%</t>
    </r>
    <r>
      <rPr>
        <i val="true"/>
        <sz val="9"/>
        <color rgb="FF808080"/>
        <rFont val="Noto Sans CJK SC"/>
        <family val="2"/>
        <charset val="1"/>
      </rPr>
      <t xml:space="preserve">税率额外税负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利润总额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其他调整。</t>
    </r>
    <r>
      <rPr>
        <i val="true"/>
        <sz val="9"/>
        <color rgb="FF808080"/>
        <rFont val="Arial"/>
        <family val="0"/>
        <charset val="1"/>
      </rPr>
      <t xml:space="preserve">2020-2025</t>
    </r>
    <r>
      <rPr>
        <i val="true"/>
        <sz val="9"/>
        <color rgb="FF808080"/>
        <rFont val="Noto Sans CJK SC"/>
        <family val="2"/>
        <charset val="1"/>
      </rPr>
      <t xml:space="preserve">年全年有效税率</t>
    </r>
    <r>
      <rPr>
        <i val="true"/>
        <sz val="9"/>
        <color rgb="FF808080"/>
        <rFont val="Arial"/>
        <family val="0"/>
        <charset val="1"/>
      </rPr>
      <t xml:space="preserve">5.3%-12.1%</t>
    </r>
    <r>
      <rPr>
        <i val="true"/>
        <sz val="9"/>
        <color rgb="FF808080"/>
        <rFont val="Noto Sans CJK SC"/>
        <family val="2"/>
        <charset val="1"/>
      </rPr>
      <t xml:space="preserve">；半年报税率通常高于全年（加计扣除多在汇算清缴时确认）</t>
    </r>
  </si>
  <si>
    <t xml:space="preserve">少数股东损益</t>
  </si>
  <si>
    <t xml:space="preserve">分部加权少数股东比例（按分部经营利润加权）</t>
  </si>
  <si>
    <t xml:space="preserve">随业务结构变化：电子布、半导体加工等非全资主体占比提升会推高少数股东损益</t>
  </si>
  <si>
    <r>
      <rPr>
        <sz val="10"/>
        <rFont val="Noto Sans CJK SC"/>
        <family val="2"/>
        <charset val="1"/>
      </rPr>
      <t xml:space="preserve">亏损主体由少数股东分担的金额（上海石创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济南光微等）</t>
    </r>
  </si>
  <si>
    <r>
      <rPr>
        <i val="true"/>
        <sz val="9"/>
        <color rgb="FF808080"/>
        <rFont val="Noto Sans CJK SC"/>
        <family val="2"/>
        <charset val="1"/>
      </rPr>
      <t xml:space="preserve">上海石创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年净亏损</t>
    </r>
    <r>
      <rPr>
        <i val="true"/>
        <sz val="9"/>
        <color rgb="FF808080"/>
        <rFont val="Arial"/>
        <family val="0"/>
        <charset val="1"/>
      </rPr>
      <t xml:space="preserve">0.77</t>
    </r>
    <r>
      <rPr>
        <i val="true"/>
        <sz val="9"/>
        <color rgb="FF808080"/>
        <rFont val="Noto Sans CJK SC"/>
        <family val="2"/>
        <charset val="1"/>
      </rPr>
      <t xml:space="preserve">亿元、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亏损</t>
    </r>
    <r>
      <rPr>
        <i val="true"/>
        <sz val="9"/>
        <color rgb="FF808080"/>
        <rFont val="Arial"/>
        <family val="0"/>
        <charset val="1"/>
      </rPr>
      <t xml:space="preserve">0.31</t>
    </r>
    <r>
      <rPr>
        <i val="true"/>
        <sz val="9"/>
        <color rgb="FF808080"/>
        <rFont val="Noto Sans CJK SC"/>
        <family val="2"/>
        <charset val="1"/>
      </rPr>
      <t xml:space="preserve">亿元（少数股东</t>
    </r>
    <r>
      <rPr>
        <i val="true"/>
        <sz val="9"/>
        <color rgb="FF808080"/>
        <rFont val="Arial"/>
        <family val="0"/>
        <charset val="1"/>
      </rPr>
      <t xml:space="preserve">48.87%</t>
    </r>
    <r>
      <rPr>
        <i val="true"/>
        <sz val="9"/>
        <color rgb="FF808080"/>
        <rFont val="Noto Sans CJK SC"/>
        <family val="2"/>
        <charset val="1"/>
      </rPr>
      <t xml:space="preserve">，济南光微穿透少数股东约</t>
    </r>
    <r>
      <rPr>
        <i val="true"/>
        <sz val="9"/>
        <color rgb="FF808080"/>
        <rFont val="Arial"/>
        <family val="0"/>
        <charset val="1"/>
      </rPr>
      <t xml:space="preserve">69%</t>
    </r>
    <r>
      <rPr>
        <i val="true"/>
        <sz val="9"/>
        <color rgb="FF808080"/>
        <rFont val="Noto Sans CJK SC"/>
        <family val="2"/>
        <charset val="1"/>
      </rPr>
      <t xml:space="preserve">）；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其他非全资子公司少数股东损益合计</t>
    </r>
    <r>
      <rPr>
        <i val="true"/>
        <sz val="9"/>
        <color rgb="FF808080"/>
        <rFont val="Arial"/>
        <family val="0"/>
        <charset val="1"/>
      </rPr>
      <t xml:space="preserve">-6.5</t>
    </r>
    <r>
      <rPr>
        <i val="true"/>
        <sz val="9"/>
        <color rgb="FF808080"/>
        <rFont val="Noto Sans CJK SC"/>
        <family val="2"/>
        <charset val="1"/>
      </rPr>
      <t xml:space="preserve">百万元，全年按</t>
    </r>
    <r>
      <rPr>
        <i val="true"/>
        <sz val="9"/>
        <color rgb="FF808080"/>
        <rFont val="Arial"/>
        <family val="0"/>
        <charset val="1"/>
      </rPr>
      <t xml:space="preserve">-13</t>
    </r>
    <r>
      <rPr>
        <i val="true"/>
        <sz val="9"/>
        <color rgb="FF808080"/>
        <rFont val="Noto Sans CJK SC"/>
        <family val="2"/>
        <charset val="1"/>
      </rPr>
      <t xml:space="preserve">计入；随光掩膜基板放量逐步收窄</t>
    </r>
  </si>
  <si>
    <r>
      <rPr>
        <b val="true"/>
        <sz val="10"/>
        <rFont val="Noto Sans CJK SC"/>
        <family val="2"/>
        <charset val="1"/>
      </rPr>
      <t xml:space="preserve">少数股东损益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  <charset val="1"/>
      </rPr>
      <t xml:space="preserve">净利润</t>
    </r>
  </si>
  <si>
    <r>
      <rPr>
        <i val="true"/>
        <sz val="9"/>
        <color rgb="FF808080"/>
        <rFont val="Noto Sans CJK SC"/>
        <family val="2"/>
        <charset val="1"/>
      </rPr>
      <t xml:space="preserve">＝ 分部经营利润加权的少数股东比例（见“业务拆分”）；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实际</t>
    </r>
    <r>
      <rPr>
        <i val="true"/>
        <sz val="9"/>
        <color rgb="FF808080"/>
        <rFont val="Arial"/>
        <family val="0"/>
        <charset val="1"/>
      </rPr>
      <t xml:space="preserve">4.4%</t>
    </r>
    <r>
      <rPr>
        <i val="true"/>
        <sz val="9"/>
        <color rgb="FF808080"/>
        <rFont val="Noto Sans CJK SC"/>
        <family val="2"/>
        <charset val="1"/>
      </rPr>
      <t xml:space="preserve">（中益</t>
    </r>
    <r>
      <rPr>
        <i val="true"/>
        <sz val="9"/>
        <color rgb="FF808080"/>
        <rFont val="Arial"/>
        <family val="0"/>
        <charset val="1"/>
      </rPr>
      <t xml:space="preserve">+41.8</t>
    </r>
    <r>
      <rPr>
        <i val="true"/>
        <sz val="9"/>
        <color rgb="FF808080"/>
        <rFont val="Noto Sans CJK SC"/>
        <family val="2"/>
        <charset val="1"/>
      </rPr>
      <t xml:space="preserve">，石创</t>
    </r>
    <r>
      <rPr>
        <i val="true"/>
        <sz val="9"/>
        <color rgb="FF808080"/>
        <rFont val="Arial"/>
        <family val="0"/>
        <charset val="1"/>
      </rPr>
      <t xml:space="preserve">-21.6</t>
    </r>
    <r>
      <rPr>
        <i val="true"/>
        <sz val="9"/>
        <color rgb="FF808080"/>
        <rFont val="Noto Sans CJK SC"/>
        <family val="2"/>
        <charset val="1"/>
      </rPr>
      <t xml:space="preserve">，其他</t>
    </r>
    <r>
      <rPr>
        <i val="true"/>
        <sz val="9"/>
        <color rgb="FF808080"/>
        <rFont val="Arial"/>
        <family val="0"/>
        <charset val="1"/>
      </rPr>
      <t xml:space="preserve">-6.5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</si>
  <si>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r>
      <rPr>
        <b val="true"/>
        <sz val="14"/>
        <color rgb="FF1F3864"/>
        <rFont val="Noto Sans CJK SC"/>
        <family val="2"/>
        <charset val="1"/>
      </rPr>
      <t xml:space="preserve">融资、金融资产与股东回报（百万元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  <charset val="1"/>
      </rPr>
      <t xml:space="preserve">百万股）</t>
    </r>
  </si>
  <si>
    <t xml:space="preserve">借款余额为输入；利息按平均余额计；现金为三表平衡项（来自现金流量表）。</t>
  </si>
  <si>
    <t xml:space="preserve">一、有息负债</t>
  </si>
  <si>
    <t xml:space="preserve">短期借款</t>
  </si>
  <si>
    <t xml:space="preserve">一年内到期的非流动负债</t>
  </si>
  <si>
    <t xml:space="preserve">长期借款</t>
  </si>
  <si>
    <t xml:space="preserve">有息负债合计</t>
  </si>
  <si>
    <t xml:space="preserve">借款利率</t>
  </si>
  <si>
    <t xml:space="preserve">利息费用</t>
  </si>
  <si>
    <t xml:space="preserve">预测期含循环贷款利息（按期初余额计，避免循环引用）</t>
  </si>
  <si>
    <t xml:space="preserve">循环贷款余额（最低现金缺口融资）</t>
  </si>
  <si>
    <r>
      <rPr>
        <i val="true"/>
        <sz val="9"/>
        <color rgb="FF808080"/>
        <rFont val="Noto Sans CJK SC"/>
        <family val="2"/>
        <charset val="1"/>
      </rPr>
      <t xml:space="preserve">＝ </t>
    </r>
    <r>
      <rPr>
        <i val="true"/>
        <sz val="9"/>
        <color rgb="FF808080"/>
        <rFont val="Arial"/>
        <family val="0"/>
        <charset val="1"/>
      </rPr>
      <t xml:space="preserve">MAX(0, </t>
    </r>
    <r>
      <rPr>
        <i val="true"/>
        <sz val="9"/>
        <color rgb="FF808080"/>
        <rFont val="Noto Sans CJK SC"/>
        <family val="2"/>
        <charset val="1"/>
      </rPr>
      <t xml:space="preserve">期初余额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最低现金 − 期初现金 − 提款前现金净增加额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  <charset val="1"/>
      </rPr>
      <t xml:space="preserve">；现金充裕时自动偿还</t>
    </r>
  </si>
  <si>
    <t xml:space="preserve">二、现金与金融资产</t>
  </si>
  <si>
    <t xml:space="preserve">货币资金（来自资产负债表）</t>
  </si>
  <si>
    <t xml:space="preserve">现金收益率</t>
  </si>
  <si>
    <t xml:space="preserve">利息收入</t>
  </si>
  <si>
    <t xml:space="preserve">按期初现金计，避免循环引用</t>
  </si>
  <si>
    <t xml:space="preserve">汇兑损益及手续费等（损失为正）</t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</si>
  <si>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汇兑损失较大（美元走弱）；境外收入约三成</t>
    </r>
  </si>
  <si>
    <t xml:space="preserve">交易性金融资产</t>
  </si>
  <si>
    <r>
      <rPr>
        <i val="true"/>
        <sz val="9"/>
        <color rgb="FF808080"/>
        <rFont val="Noto Sans CJK SC"/>
        <family val="2"/>
        <charset val="1"/>
      </rPr>
      <t xml:space="preserve">结构性存款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理财，视同现金类资产</t>
    </r>
  </si>
  <si>
    <t xml:space="preserve">其他非流动金融资产</t>
  </si>
  <si>
    <t xml:space="preserve">大额存单等</t>
  </si>
  <si>
    <r>
      <rPr>
        <sz val="10"/>
        <rFont val="Noto Sans CJK SC"/>
        <family val="2"/>
        <charset val="1"/>
      </rPr>
      <t xml:space="preserve">金融资产收益率（投资收益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公允价值变动）</t>
    </r>
  </si>
  <si>
    <t xml:space="preserve">投资收益（含公允价值变动）</t>
  </si>
  <si>
    <r>
      <rPr>
        <b val="true"/>
        <sz val="10"/>
        <rFont val="Noto Sans CJK SC"/>
        <family val="2"/>
        <charset val="1"/>
      </rPr>
      <t xml:space="preserve">净现金（货币资金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  <charset val="1"/>
      </rPr>
      <t xml:space="preserve">金融资产−有息负债−循环贷款）</t>
    </r>
  </si>
  <si>
    <t xml:space="preserve">三、股本、股权融资与股份支付</t>
  </si>
  <si>
    <r>
      <rPr>
        <sz val="10"/>
        <rFont val="Noto Sans CJK SC"/>
        <family val="2"/>
        <charset val="1"/>
      </rPr>
      <t xml:space="preserve">新增股份（定增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股权激励行权）</t>
    </r>
  </si>
  <si>
    <t xml:space="preserve">百万股</t>
  </si>
  <si>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年：以简易程序定增</t>
    </r>
    <r>
      <rPr>
        <i val="true"/>
        <sz val="9"/>
        <color rgb="FF808080"/>
        <rFont val="Arial"/>
        <family val="0"/>
        <charset val="1"/>
      </rPr>
      <t xml:space="preserve">3,459,409</t>
    </r>
    <r>
      <rPr>
        <i val="true"/>
        <sz val="9"/>
        <color rgb="FF808080"/>
        <rFont val="Noto Sans CJK SC"/>
        <family val="2"/>
        <charset val="1"/>
      </rPr>
      <t xml:space="preserve">股（</t>
    </r>
    <r>
      <rPr>
        <i val="true"/>
        <sz val="9"/>
        <color rgb="FF808080"/>
        <rFont val="Arial"/>
        <family val="0"/>
        <charset val="1"/>
      </rPr>
      <t xml:space="preserve">86.72</t>
    </r>
    <r>
      <rPr>
        <i val="true"/>
        <sz val="9"/>
        <color rgb="FF808080"/>
        <rFont val="Noto Sans CJK SC"/>
        <family val="2"/>
        <charset val="1"/>
      </rPr>
      <t xml:space="preserve">元，</t>
    </r>
    <r>
      <rPr>
        <i val="true"/>
        <sz val="9"/>
        <color rgb="FF808080"/>
        <rFont val="Arial"/>
        <family val="0"/>
        <charset val="1"/>
      </rPr>
      <t xml:space="preserve">2026-06-01</t>
    </r>
    <r>
      <rPr>
        <i val="true"/>
        <sz val="9"/>
        <color rgb="FF808080"/>
        <rFont val="Noto Sans CJK SC"/>
        <family val="2"/>
        <charset val="1"/>
      </rPr>
      <t xml:space="preserve">上市）；</t>
    </r>
    <r>
      <rPr>
        <i val="true"/>
        <sz val="9"/>
        <color rgb="FF808080"/>
        <rFont val="Arial"/>
        <family val="0"/>
        <charset val="1"/>
      </rPr>
      <t xml:space="preserve">2027-2030</t>
    </r>
    <r>
      <rPr>
        <i val="true"/>
        <sz val="9"/>
        <color rgb="FF808080"/>
        <rFont val="Noto Sans CJK SC"/>
        <family val="2"/>
        <charset val="1"/>
      </rPr>
      <t xml:space="preserve">年：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年计划（第二类限制性股票）首次授予</t>
    </r>
    <r>
      <rPr>
        <i val="true"/>
        <sz val="9"/>
        <color rgb="FF808080"/>
        <rFont val="Arial"/>
        <family val="0"/>
        <charset val="1"/>
      </rPr>
      <t xml:space="preserve">440.60</t>
    </r>
    <r>
      <rPr>
        <i val="true"/>
        <sz val="9"/>
        <color rgb="FF808080"/>
        <rFont val="Noto Sans CJK SC"/>
        <family val="2"/>
        <charset val="1"/>
      </rPr>
      <t xml:space="preserve">万股（</t>
    </r>
    <r>
      <rPr>
        <i val="true"/>
        <sz val="9"/>
        <color rgb="FF808080"/>
        <rFont val="Arial"/>
        <family val="0"/>
        <charset val="1"/>
      </rPr>
      <t xml:space="preserve">2026-09-24</t>
    </r>
    <r>
      <rPr>
        <i val="true"/>
        <sz val="9"/>
        <color rgb="FF808080"/>
        <rFont val="Noto Sans CJK SC"/>
        <family val="2"/>
        <charset val="1"/>
      </rPr>
      <t xml:space="preserve">授予，价格</t>
    </r>
    <r>
      <rPr>
        <i val="true"/>
        <sz val="9"/>
        <color rgb="FF808080"/>
        <rFont val="Arial"/>
        <family val="0"/>
        <charset val="1"/>
      </rPr>
      <t xml:space="preserve">45.98</t>
    </r>
    <r>
      <rPr>
        <i val="true"/>
        <sz val="9"/>
        <color rgb="FF808080"/>
        <rFont val="Noto Sans CJK SC"/>
        <family val="2"/>
        <charset val="1"/>
      </rPr>
      <t xml:space="preserve">元），按</t>
    </r>
    <r>
      <rPr>
        <i val="true"/>
        <sz val="9"/>
        <color rgb="FF808080"/>
        <rFont val="Arial"/>
        <family val="0"/>
        <charset val="1"/>
      </rPr>
      <t xml:space="preserve">20%/20%/30%/30%</t>
    </r>
    <r>
      <rPr>
        <i val="true"/>
        <sz val="9"/>
        <color rgb="FF808080"/>
        <rFont val="Noto Sans CJK SC"/>
        <family val="2"/>
        <charset val="1"/>
      </rPr>
      <t xml:space="preserve">四期归属，归属时发行并缴款；考核为以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年营收为基数，</t>
    </r>
    <r>
      <rPr>
        <i val="true"/>
        <sz val="9"/>
        <color rgb="FF808080"/>
        <rFont val="Arial"/>
        <family val="0"/>
        <charset val="1"/>
      </rPr>
      <t xml:space="preserve">2026-2029</t>
    </r>
    <r>
      <rPr>
        <i val="true"/>
        <sz val="9"/>
        <color rgb="FF808080"/>
        <rFont val="Noto Sans CJK SC"/>
        <family val="2"/>
        <charset val="1"/>
      </rPr>
      <t xml:space="preserve">年增长不低于</t>
    </r>
    <r>
      <rPr>
        <i val="true"/>
        <sz val="9"/>
        <color rgb="FF808080"/>
        <rFont val="Arial"/>
        <family val="0"/>
        <charset val="1"/>
      </rPr>
      <t xml:space="preserve">20%/40%/60%/80%</t>
    </r>
    <r>
      <rPr>
        <i val="true"/>
        <sz val="9"/>
        <color rgb="FF808080"/>
        <rFont val="Noto Sans CJK SC"/>
        <family val="2"/>
        <charset val="1"/>
      </rPr>
      <t xml:space="preserve">（媒体报道口径）</t>
    </r>
  </si>
  <si>
    <t xml:space="preserve">上市公司股权融资现金（含激励行权款）</t>
  </si>
  <si>
    <r>
      <rPr>
        <i val="true"/>
        <sz val="9"/>
        <color rgb="FF808080"/>
        <rFont val="Noto Sans CJK SC"/>
        <family val="2"/>
        <charset val="1"/>
      </rPr>
      <t xml:space="preserve">定增募资净额</t>
    </r>
    <r>
      <rPr>
        <i val="true"/>
        <sz val="9"/>
        <color rgb="FF808080"/>
        <rFont val="Arial"/>
        <family val="0"/>
        <charset val="1"/>
      </rPr>
      <t xml:space="preserve">2.94</t>
    </r>
    <r>
      <rPr>
        <i val="true"/>
        <sz val="9"/>
        <color rgb="FF808080"/>
        <rFont val="Noto Sans CJK SC"/>
        <family val="2"/>
        <charset val="1"/>
      </rPr>
      <t xml:space="preserve">亿元；之后为限制性股票归属缴款（归属股数</t>
    </r>
    <r>
      <rPr>
        <i val="true"/>
        <sz val="9"/>
        <color rgb="FF808080"/>
        <rFont val="Arial"/>
        <family val="0"/>
        <charset val="1"/>
      </rPr>
      <t xml:space="preserve">×45.98</t>
    </r>
    <r>
      <rPr>
        <i val="true"/>
        <sz val="9"/>
        <color rgb="FF808080"/>
        <rFont val="Noto Sans CJK SC"/>
        <family val="2"/>
        <charset val="1"/>
      </rPr>
      <t xml:space="preserve">元）</t>
    </r>
  </si>
  <si>
    <t xml:space="preserve">股份支付费用（非现金，计入费用）</t>
  </si>
  <si>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年计划总成本</t>
    </r>
    <r>
      <rPr>
        <i val="true"/>
        <sz val="9"/>
        <color rgb="FF808080"/>
        <rFont val="Arial"/>
        <family val="0"/>
        <charset val="1"/>
      </rPr>
      <t xml:space="preserve">7,543</t>
    </r>
    <r>
      <rPr>
        <i val="true"/>
        <sz val="9"/>
        <color rgb="FF808080"/>
        <rFont val="Noto Sans CJK SC"/>
        <family val="2"/>
        <charset val="1"/>
      </rPr>
      <t xml:space="preserve">万元（</t>
    </r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确认</t>
    </r>
    <r>
      <rPr>
        <i val="true"/>
        <sz val="9"/>
        <color rgb="FF808080"/>
        <rFont val="Arial"/>
        <family val="0"/>
        <charset val="1"/>
      </rPr>
      <t xml:space="preserve">2,411</t>
    </r>
    <r>
      <rPr>
        <i val="true"/>
        <sz val="9"/>
        <color rgb="FF808080"/>
        <rFont val="Noto Sans CJK SC"/>
        <family val="2"/>
        <charset val="1"/>
      </rPr>
      <t xml:space="preserve">万元）；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年计划为第二类限制性股票（媒体报道），</t>
    </r>
    <r>
      <rPr>
        <i val="true"/>
        <sz val="9"/>
        <color rgb="FF808080"/>
        <rFont val="Arial"/>
        <family val="0"/>
        <charset val="1"/>
      </rPr>
      <t xml:space="preserve">2026-09-24</t>
    </r>
    <r>
      <rPr>
        <i val="true"/>
        <sz val="9"/>
        <color rgb="FF808080"/>
        <rFont val="Noto Sans CJK SC"/>
        <family val="2"/>
        <charset val="1"/>
      </rPr>
      <t xml:space="preserve">首次授予</t>
    </r>
    <r>
      <rPr>
        <i val="true"/>
        <sz val="9"/>
        <color rgb="FF808080"/>
        <rFont val="Arial"/>
        <family val="0"/>
        <charset val="1"/>
      </rPr>
      <t xml:space="preserve">440.60</t>
    </r>
    <r>
      <rPr>
        <i val="true"/>
        <sz val="9"/>
        <color rgb="FF808080"/>
        <rFont val="Noto Sans CJK SC"/>
        <family val="2"/>
        <charset val="1"/>
      </rPr>
      <t xml:space="preserve">万股、授予价</t>
    </r>
    <r>
      <rPr>
        <i val="true"/>
        <sz val="9"/>
        <color rgb="FF808080"/>
        <rFont val="Arial"/>
        <family val="0"/>
        <charset val="1"/>
      </rPr>
      <t xml:space="preserve">45.98</t>
    </r>
    <r>
      <rPr>
        <i val="true"/>
        <sz val="9"/>
        <color rgb="FF808080"/>
        <rFont val="Noto Sans CJK SC"/>
        <family val="2"/>
        <charset val="1"/>
      </rPr>
      <t xml:space="preserve">元，按公允价值约</t>
    </r>
    <r>
      <rPr>
        <i val="true"/>
        <sz val="9"/>
        <color rgb="FF808080"/>
        <rFont val="Arial"/>
        <family val="0"/>
        <charset val="1"/>
      </rPr>
      <t xml:space="preserve">48</t>
    </r>
    <r>
      <rPr>
        <i val="true"/>
        <sz val="9"/>
        <color rgb="FF808080"/>
        <rFont val="Noto Sans CJK SC"/>
        <family val="2"/>
        <charset val="1"/>
      </rPr>
      <t xml:space="preserve">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股、四期归属估算总成本约</t>
    </r>
    <r>
      <rPr>
        <i val="true"/>
        <sz val="9"/>
        <color rgb="FF808080"/>
        <rFont val="Arial"/>
        <family val="0"/>
        <charset val="1"/>
      </rPr>
      <t xml:space="preserve">2.1</t>
    </r>
    <r>
      <rPr>
        <i val="true"/>
        <sz val="9"/>
        <color rgb="FF808080"/>
        <rFont val="Noto Sans CJK SC"/>
        <family val="2"/>
        <charset val="1"/>
      </rPr>
      <t xml:space="preserve">亿元；</t>
    </r>
    <r>
      <rPr>
        <i val="true"/>
        <sz val="9"/>
        <color rgb="FF808080"/>
        <rFont val="Arial"/>
        <family val="0"/>
        <charset val="1"/>
      </rPr>
      <t xml:space="preserve">2024</t>
    </r>
    <r>
      <rPr>
        <i val="true"/>
        <sz val="9"/>
        <color rgb="FF808080"/>
        <rFont val="Noto Sans CJK SC"/>
        <family val="2"/>
        <charset val="1"/>
      </rPr>
      <t xml:space="preserve">年因业绩未达标冲回</t>
    </r>
    <r>
      <rPr>
        <i val="true"/>
        <sz val="9"/>
        <color rgb="FF808080"/>
        <rFont val="Arial"/>
        <family val="0"/>
        <charset val="1"/>
      </rPr>
      <t xml:space="preserve">2,171</t>
    </r>
    <r>
      <rPr>
        <i val="true"/>
        <sz val="9"/>
        <color rgb="FF808080"/>
        <rFont val="Noto Sans CJK SC"/>
        <family val="2"/>
        <charset val="1"/>
      </rPr>
      <t xml:space="preserve">万元</t>
    </r>
  </si>
  <si>
    <t xml:space="preserve">股份回购（计入库存股）</t>
  </si>
  <si>
    <t xml:space="preserve">期末总股本</t>
  </si>
  <si>
    <r>
      <rPr>
        <sz val="10"/>
        <rFont val="Noto Sans CJK SC"/>
        <family val="2"/>
        <charset val="1"/>
      </rPr>
      <t xml:space="preserve">摊薄股本（用于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</si>
  <si>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按期末股本摊薄，与一致预期口径一致；</t>
    </r>
    <r>
      <rPr>
        <i val="true"/>
        <sz val="9"/>
        <color rgb="FF808080"/>
        <rFont val="Arial"/>
        <family val="0"/>
        <charset val="1"/>
      </rPr>
      <t xml:space="preserve">2020–2021</t>
    </r>
    <r>
      <rPr>
        <i val="true"/>
        <sz val="9"/>
        <color rgb="FF808080"/>
        <rFont val="Noto Sans CJK SC"/>
        <family val="2"/>
        <charset val="1"/>
      </rPr>
      <t xml:space="preserve">年按</t>
    </r>
    <r>
      <rPr>
        <i val="true"/>
        <sz val="9"/>
        <color rgb="FF808080"/>
        <rFont val="Arial"/>
        <family val="0"/>
        <charset val="1"/>
      </rPr>
      <t xml:space="preserve">2022</t>
    </r>
    <r>
      <rPr>
        <i val="true"/>
        <sz val="9"/>
        <color rgb="FF808080"/>
        <rFont val="Noto Sans CJK SC"/>
        <family val="2"/>
        <charset val="1"/>
      </rPr>
      <t xml:space="preserve">年每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股转增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Noto Sans CJK SC"/>
        <family val="2"/>
        <charset val="1"/>
      </rPr>
      <t xml:space="preserve">股追溯调整</t>
    </r>
  </si>
  <si>
    <t xml:space="preserve">四、分红</t>
  </si>
  <si>
    <t xml:space="preserve">分红率（上一年归母净利润）</t>
  </si>
  <si>
    <r>
      <rPr>
        <i val="true"/>
        <sz val="9"/>
        <color rgb="FF808080"/>
        <rFont val="Arial"/>
        <family val="0"/>
        <charset val="1"/>
      </rPr>
      <t xml:space="preserve">2024</t>
    </r>
    <r>
      <rPr>
        <i val="true"/>
        <sz val="9"/>
        <color rgb="FF808080"/>
        <rFont val="Noto Sans CJK SC"/>
        <family val="2"/>
        <charset val="1"/>
      </rPr>
      <t xml:space="preserve">年度每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股派</t>
    </r>
    <r>
      <rPr>
        <i val="true"/>
        <sz val="9"/>
        <color rgb="FF808080"/>
        <rFont val="Arial"/>
        <family val="0"/>
        <charset val="1"/>
      </rPr>
      <t xml:space="preserve">1.30</t>
    </r>
    <r>
      <rPr>
        <i val="true"/>
        <sz val="9"/>
        <color rgb="FF808080"/>
        <rFont val="Noto Sans CJK SC"/>
        <family val="2"/>
        <charset val="1"/>
      </rPr>
      <t xml:space="preserve">元（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年支付</t>
    </r>
    <r>
      <rPr>
        <i val="true"/>
        <sz val="9"/>
        <color rgb="FF808080"/>
        <rFont val="Arial"/>
        <family val="0"/>
        <charset val="1"/>
      </rPr>
      <t xml:space="preserve">6,768</t>
    </r>
    <r>
      <rPr>
        <i val="true"/>
        <sz val="9"/>
        <color rgb="FF808080"/>
        <rFont val="Noto Sans CJK SC"/>
        <family val="2"/>
        <charset val="1"/>
      </rPr>
      <t xml:space="preserve">万元）；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Noto Sans CJK SC"/>
        <family val="2"/>
        <charset val="1"/>
      </rPr>
      <t xml:space="preserve">年度未作年末分配，改为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年中期每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股派</t>
    </r>
    <r>
      <rPr>
        <i val="true"/>
        <sz val="9"/>
        <color rgb="FF808080"/>
        <rFont val="Arial"/>
        <family val="0"/>
        <charset val="1"/>
      </rPr>
      <t xml:space="preserve">1.70</t>
    </r>
    <r>
      <rPr>
        <i val="true"/>
        <sz val="9"/>
        <color rgb="FF808080"/>
        <rFont val="Noto Sans CJK SC"/>
        <family val="2"/>
        <charset val="1"/>
      </rPr>
      <t xml:space="preserve">元（</t>
    </r>
    <r>
      <rPr>
        <i val="true"/>
        <sz val="9"/>
        <color rgb="FF808080"/>
        <rFont val="Arial"/>
        <family val="0"/>
        <charset val="1"/>
      </rPr>
      <t xml:space="preserve">8,933</t>
    </r>
    <r>
      <rPr>
        <i val="true"/>
        <sz val="9"/>
        <color rgb="FF808080"/>
        <rFont val="Noto Sans CJK SC"/>
        <family val="2"/>
        <charset val="1"/>
      </rPr>
      <t xml:space="preserve">万元，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年下半年支付）；之后按上年归母净利润</t>
    </r>
    <r>
      <rPr>
        <i val="true"/>
        <sz val="9"/>
        <color rgb="FF808080"/>
        <rFont val="Arial"/>
        <family val="0"/>
        <charset val="1"/>
      </rPr>
      <t xml:space="preserve">22%</t>
    </r>
    <r>
      <rPr>
        <i val="true"/>
        <sz val="9"/>
        <color rgb="FF808080"/>
        <rFont val="Noto Sans CJK SC"/>
        <family val="2"/>
        <charset val="1"/>
      </rPr>
      <t xml:space="preserve">（公司章程：成长期现金分红比例不低于</t>
    </r>
    <r>
      <rPr>
        <i val="true"/>
        <sz val="9"/>
        <color rgb="FF808080"/>
        <rFont val="Arial"/>
        <family val="0"/>
        <charset val="1"/>
      </rPr>
      <t xml:space="preserve">20%</t>
    </r>
    <r>
      <rPr>
        <i val="true"/>
        <sz val="9"/>
        <color rgb="FF808080"/>
        <rFont val="Noto Sans CJK SC"/>
        <family val="2"/>
        <charset val="1"/>
      </rPr>
      <t xml:space="preserve">）</t>
    </r>
  </si>
  <si>
    <t xml:space="preserve">当年支付现金股利（上市公司股东）</t>
  </si>
  <si>
    <t xml:space="preserve">每股股利（按支付年）</t>
  </si>
  <si>
    <t xml:space="preserve">元</t>
  </si>
  <si>
    <t xml:space="preserve">五、少数股东</t>
  </si>
  <si>
    <t xml:space="preserve">子公司吸收少数股东投资</t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</si>
  <si>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子公司吸收少数股东投资</t>
    </r>
    <r>
      <rPr>
        <i val="true"/>
        <sz val="9"/>
        <color rgb="FF808080"/>
        <rFont val="Arial"/>
        <family val="0"/>
        <charset val="1"/>
      </rPr>
      <t xml:space="preserve">0.60</t>
    </r>
    <r>
      <rPr>
        <i val="true"/>
        <sz val="9"/>
        <color rgb="FF808080"/>
        <rFont val="Noto Sans CJK SC"/>
        <family val="2"/>
        <charset val="1"/>
      </rPr>
      <t xml:space="preserve">亿元</t>
    </r>
  </si>
  <si>
    <t xml:space="preserve">支付少数股东股利</t>
  </si>
  <si>
    <t xml:space="preserve">最低现金余额</t>
  </si>
  <si>
    <r>
      <rPr>
        <i val="true"/>
        <sz val="9"/>
        <color rgb="FF808080"/>
        <rFont val="Noto Sans CJK SC"/>
        <family val="2"/>
        <charset val="1"/>
      </rPr>
      <t xml:space="preserve">最低经营现金（约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  <charset val="1"/>
      </rPr>
      <t xml:space="preserve">个月营业成本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费用）；现金低于此水平时自动提取循环贷款，有盈余时优先偿还</t>
    </r>
  </si>
  <si>
    <t xml:space="preserve">循环贷款利率</t>
  </si>
  <si>
    <t xml:space="preserve">利润表（百万元）</t>
  </si>
  <si>
    <r>
      <rPr>
        <i val="true"/>
        <sz val="9"/>
        <color rgb="FF808080"/>
        <rFont val="Arial"/>
        <family val="0"/>
        <charset val="1"/>
      </rPr>
      <t xml:space="preserve">2020A–2025A </t>
    </r>
    <r>
      <rPr>
        <i val="true"/>
        <sz val="9"/>
        <color rgb="FF808080"/>
        <rFont val="Noto Sans CJK SC"/>
        <family val="2"/>
        <charset val="1"/>
      </rPr>
      <t xml:space="preserve">为公司公告值（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）；</t>
    </r>
    <r>
      <rPr>
        <i val="true"/>
        <sz val="9"/>
        <color rgb="FF808080"/>
        <rFont val="Arial"/>
        <family val="0"/>
        <charset val="1"/>
      </rPr>
      <t xml:space="preserve">2026E–2030E </t>
    </r>
    <r>
      <rPr>
        <i val="true"/>
        <sz val="9"/>
        <color rgb="FF808080"/>
        <rFont val="Noto Sans CJK SC"/>
        <family val="2"/>
        <charset val="1"/>
      </rPr>
      <t xml:space="preserve">为模型预测。</t>
    </r>
  </si>
  <si>
    <t xml:space="preserve">营业收入</t>
  </si>
  <si>
    <t xml:space="preserve">营业成本</t>
  </si>
  <si>
    <t xml:space="preserve">税金及附加</t>
  </si>
  <si>
    <t xml:space="preserve">销售费用</t>
  </si>
  <si>
    <t xml:space="preserve">管理费用</t>
  </si>
  <si>
    <r>
      <rPr>
        <i val="true"/>
        <sz val="9"/>
        <color rgb="FF808080"/>
        <rFont val="Noto Sans CJK SC"/>
        <family val="2"/>
        <charset val="1"/>
      </rPr>
      <t xml:space="preserve">预测期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  <charset val="1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管理费用率（不含股份支付）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股份支付费用</t>
    </r>
  </si>
  <si>
    <t xml:space="preserve">研发费用</t>
  </si>
  <si>
    <r>
      <rPr>
        <i val="true"/>
        <sz val="9"/>
        <color rgb="FF808080"/>
        <rFont val="Noto Sans CJK SC"/>
        <family val="2"/>
        <charset val="1"/>
      </rPr>
      <t xml:space="preserve">＝ </t>
    </r>
    <r>
      <rPr>
        <i val="true"/>
        <sz val="9"/>
        <color rgb="FF808080"/>
        <rFont val="Arial"/>
        <family val="0"/>
        <charset val="1"/>
      </rPr>
      <t xml:space="preserve">MAX(</t>
    </r>
    <r>
      <rPr>
        <i val="true"/>
        <sz val="9"/>
        <color rgb="FF808080"/>
        <rFont val="Noto Sans CJK SC"/>
        <family val="2"/>
        <charset val="1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研发费用率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  <charset val="1"/>
      </rPr>
      <t xml:space="preserve">研发费用下限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</si>
  <si>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财务费用</t>
  </si>
  <si>
    <t xml:space="preserve">加：其他收益</t>
  </si>
  <si>
    <t xml:space="preserve">投资净收益</t>
  </si>
  <si>
    <t xml:space="preserve">公允价值变动净收益</t>
  </si>
  <si>
    <r>
      <rPr>
        <i val="true"/>
        <sz val="9"/>
        <color rgb="FF808080"/>
        <rFont val="Arial"/>
        <family val="0"/>
        <charset val="1"/>
      </rPr>
      <t xml:space="preserve">2026E</t>
    </r>
    <r>
      <rPr>
        <i val="true"/>
        <sz val="9"/>
        <color rgb="FF808080"/>
        <rFont val="Noto Sans CJK SC"/>
        <family val="2"/>
        <charset val="1"/>
      </rPr>
      <t xml:space="preserve">取上半年实际值；之后并入投资收益</t>
    </r>
  </si>
  <si>
    <t xml:space="preserve">信用减值损失</t>
  </si>
  <si>
    <t xml:space="preserve">资产减值损失</t>
  </si>
  <si>
    <t xml:space="preserve">资产处置收益</t>
  </si>
  <si>
    <r>
      <rPr>
        <i val="true"/>
        <sz val="9"/>
        <color rgb="FF808080"/>
        <rFont val="Arial"/>
        <family val="0"/>
        <charset val="1"/>
      </rPr>
      <t xml:space="preserve">2026E</t>
    </r>
    <r>
      <rPr>
        <i val="true"/>
        <sz val="9"/>
        <color rgb="FF808080"/>
        <rFont val="Noto Sans CJK SC"/>
        <family val="2"/>
        <charset val="1"/>
      </rPr>
      <t xml:space="preserve">取上半年实际值</t>
    </r>
  </si>
  <si>
    <t xml:space="preserve">营业利润</t>
  </si>
  <si>
    <t xml:space="preserve">加：营业外收支净额</t>
  </si>
  <si>
    <t xml:space="preserve">利润总额</t>
  </si>
  <si>
    <t xml:space="preserve">减：所得税</t>
  </si>
  <si>
    <t xml:space="preserve">净利润</t>
  </si>
  <si>
    <t xml:space="preserve">减：少数股东损益</t>
  </si>
  <si>
    <r>
      <rPr>
        <i val="true"/>
        <sz val="9"/>
        <color rgb="FF808080"/>
        <rFont val="Noto Sans CJK SC"/>
        <family val="2"/>
        <charset val="1"/>
      </rPr>
      <t xml:space="preserve">＝ 净利润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分部加权少数股东比例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亏损主体少数股东分担额</t>
    </r>
  </si>
  <si>
    <t xml:space="preserve">归属于母公司股东的净利润</t>
  </si>
  <si>
    <t xml:space="preserve">每股收益（摊薄）</t>
  </si>
  <si>
    <t xml:space="preserve">核心指标</t>
  </si>
  <si>
    <r>
      <rPr>
        <sz val="10"/>
        <rFont val="Noto Sans CJK SC"/>
        <family val="2"/>
        <charset val="1"/>
      </rPr>
      <t xml:space="preserve">期间费用合计（税金及附加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销售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管理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研发）</t>
    </r>
  </si>
  <si>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  <charset val="1"/>
      </rPr>
      <t xml:space="preserve">（营业利润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财务费用−投资收益−公允价值变动）</t>
    </r>
  </si>
  <si>
    <t xml:space="preserve">EBITDA</t>
  </si>
  <si>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  <charset val="1"/>
      </rPr>
      <t xml:space="preserve">率</t>
    </r>
  </si>
  <si>
    <t xml:space="preserve">归母净利率</t>
  </si>
  <si>
    <r>
      <rPr>
        <sz val="10"/>
        <rFont val="Arial"/>
        <family val="0"/>
        <charset val="1"/>
      </rPr>
      <t xml:space="preserve">ROE</t>
    </r>
    <r>
      <rPr>
        <sz val="10"/>
        <rFont val="Noto Sans CJK SC"/>
        <family val="2"/>
        <charset val="1"/>
      </rPr>
      <t xml:space="preserve">（归母，期末）</t>
    </r>
  </si>
  <si>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  <charset val="1"/>
      </rPr>
      <t xml:space="preserve">（税后</t>
    </r>
    <r>
      <rPr>
        <sz val="10"/>
        <rFont val="Arial"/>
        <family val="0"/>
        <charset val="1"/>
      </rPr>
      <t xml:space="preserve">EBIT/</t>
    </r>
    <r>
      <rPr>
        <sz val="10"/>
        <rFont val="Noto Sans CJK SC"/>
        <family val="2"/>
        <charset val="1"/>
      </rPr>
      <t xml:space="preserve">（净营运资本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固定资产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在建工程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无形资产））</t>
    </r>
  </si>
  <si>
    <t xml:space="preserve">扣非归母净利润（历史）</t>
  </si>
  <si>
    <t xml:space="preserve">来源：年报“非经常性损益”</t>
  </si>
  <si>
    <t xml:space="preserve">资产负债表（百万元）</t>
  </si>
  <si>
    <r>
      <rPr>
        <i val="true"/>
        <sz val="9"/>
        <color rgb="FF808080"/>
        <rFont val="Noto Sans CJK SC"/>
        <family val="2"/>
        <charset val="1"/>
      </rPr>
      <t xml:space="preserve">现金为平衡项：期末现金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  <charset val="1"/>
      </rPr>
      <t xml:space="preserve">上年现金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Noto Sans CJK SC"/>
        <family val="2"/>
        <charset val="1"/>
      </rPr>
      <t xml:space="preserve">现金流量表净增加额。未单独建模的科目预测期保持不变。</t>
    </r>
  </si>
  <si>
    <t xml:space="preserve">流动资产</t>
  </si>
  <si>
    <t xml:space="preserve">货币资金</t>
  </si>
  <si>
    <t xml:space="preserve">流动资产合计</t>
  </si>
  <si>
    <t xml:space="preserve">非流动资产</t>
  </si>
  <si>
    <t xml:space="preserve">长期股权投资</t>
  </si>
  <si>
    <t xml:space="preserve">固定资产</t>
  </si>
  <si>
    <t xml:space="preserve">在建工程</t>
  </si>
  <si>
    <t xml:space="preserve">使用权资产</t>
  </si>
  <si>
    <t xml:space="preserve">无形资产</t>
  </si>
  <si>
    <t xml:space="preserve">开发支出</t>
  </si>
  <si>
    <t xml:space="preserve">商誉</t>
  </si>
  <si>
    <r>
      <rPr>
        <i val="true"/>
        <sz val="9"/>
        <color rgb="FF808080"/>
        <rFont val="Noto Sans CJK SC"/>
        <family val="2"/>
        <charset val="1"/>
      </rPr>
      <t xml:space="preserve">上海石创</t>
    </r>
    <r>
      <rPr>
        <i val="true"/>
        <sz val="9"/>
        <color rgb="FF808080"/>
        <rFont val="Arial"/>
        <family val="0"/>
        <charset val="1"/>
      </rPr>
      <t xml:space="preserve">100.09</t>
    </r>
    <r>
      <rPr>
        <i val="true"/>
        <sz val="9"/>
        <color rgb="FF808080"/>
        <rFont val="Noto Sans CJK SC"/>
        <family val="2"/>
        <charset val="1"/>
      </rPr>
      <t xml:space="preserve">百万元（</t>
    </r>
    <r>
      <rPr>
        <i val="true"/>
        <sz val="9"/>
        <color rgb="FF808080"/>
        <rFont val="Arial"/>
        <family val="0"/>
        <charset val="1"/>
      </rPr>
      <t xml:space="preserve">2016</t>
    </r>
    <r>
      <rPr>
        <i val="true"/>
        <sz val="9"/>
        <color rgb="FF808080"/>
        <rFont val="Noto Sans CJK SC"/>
        <family val="2"/>
        <charset val="1"/>
      </rPr>
      <t xml:space="preserve">年收购）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中益新材</t>
    </r>
    <r>
      <rPr>
        <i val="true"/>
        <sz val="9"/>
        <color rgb="FF808080"/>
        <rFont val="Arial"/>
        <family val="0"/>
        <charset val="1"/>
      </rPr>
      <t xml:space="preserve">22.20</t>
    </r>
    <r>
      <rPr>
        <i val="true"/>
        <sz val="9"/>
        <color rgb="FF808080"/>
        <rFont val="Noto Sans CJK SC"/>
        <family val="2"/>
        <charset val="1"/>
      </rPr>
      <t xml:space="preserve">百万元（</t>
    </r>
    <r>
      <rPr>
        <i val="true"/>
        <sz val="9"/>
        <color rgb="FF808080"/>
        <rFont val="Arial"/>
        <family val="0"/>
        <charset val="1"/>
      </rPr>
      <t xml:space="preserve">2021</t>
    </r>
    <r>
      <rPr>
        <i val="true"/>
        <sz val="9"/>
        <color rgb="FF808080"/>
        <rFont val="Noto Sans CJK SC"/>
        <family val="2"/>
        <charset val="1"/>
      </rPr>
      <t xml:space="preserve">年收购），</t>
    </r>
    <r>
      <rPr>
        <i val="true"/>
        <sz val="9"/>
        <color rgb="FF808080"/>
        <rFont val="Arial"/>
        <family val="0"/>
        <charset val="1"/>
      </rPr>
      <t xml:space="preserve">2021</t>
    </r>
    <r>
      <rPr>
        <i val="true"/>
        <sz val="9"/>
        <color rgb="FF808080"/>
        <rFont val="Noto Sans CJK SC"/>
        <family val="2"/>
        <charset val="1"/>
      </rPr>
      <t xml:space="preserve">年以来未减值</t>
    </r>
  </si>
  <si>
    <t xml:space="preserve">长期待摊费用</t>
  </si>
  <si>
    <t xml:space="preserve">递延所得税资产</t>
  </si>
  <si>
    <t xml:space="preserve">其他非流动资产（设备及工程预付款）</t>
  </si>
  <si>
    <t xml:space="preserve">非流动资产合计</t>
  </si>
  <si>
    <t xml:space="preserve">资产总计</t>
  </si>
  <si>
    <t xml:space="preserve">流动负债</t>
  </si>
  <si>
    <t xml:space="preserve">预收款项</t>
  </si>
  <si>
    <t xml:space="preserve">循环贷款（模型平衡项）</t>
  </si>
  <si>
    <r>
      <rPr>
        <i val="true"/>
        <sz val="9"/>
        <color rgb="FF808080"/>
        <rFont val="Noto Sans CJK SC"/>
        <family val="2"/>
        <charset val="1"/>
      </rPr>
      <t xml:space="preserve">历史为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Noto Sans CJK SC"/>
        <family val="2"/>
        <charset val="1"/>
      </rPr>
      <t xml:space="preserve">；预测期现金低于最低余额时提取</t>
    </r>
  </si>
  <si>
    <t xml:space="preserve">流动负债合计</t>
  </si>
  <si>
    <t xml:space="preserve">非流动负债</t>
  </si>
  <si>
    <t xml:space="preserve">租赁负债</t>
  </si>
  <si>
    <t xml:space="preserve">长期应付款（专项应付款）</t>
  </si>
  <si>
    <t xml:space="preserve">递延所得税负债</t>
  </si>
  <si>
    <t xml:space="preserve">递延收益</t>
  </si>
  <si>
    <r>
      <rPr>
        <i val="true"/>
        <sz val="9"/>
        <color rgb="FF808080"/>
        <rFont val="Noto Sans CJK SC"/>
        <family val="2"/>
        <charset val="1"/>
      </rPr>
      <t xml:space="preserve">政府补助，假设新增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  <charset val="1"/>
      </rPr>
      <t xml:space="preserve">摊销</t>
    </r>
  </si>
  <si>
    <t xml:space="preserve">其他非流动负债</t>
  </si>
  <si>
    <t xml:space="preserve">非流动负债合计</t>
  </si>
  <si>
    <t xml:space="preserve">负债合计</t>
  </si>
  <si>
    <t xml:space="preserve">股东权益</t>
  </si>
  <si>
    <t xml:space="preserve">股本</t>
  </si>
  <si>
    <t xml:space="preserve">资本公积</t>
  </si>
  <si>
    <t xml:space="preserve">减：库存股</t>
  </si>
  <si>
    <t xml:space="preserve">其他综合收益</t>
  </si>
  <si>
    <t xml:space="preserve">盈余公积</t>
  </si>
  <si>
    <t xml:space="preserve">预测期法定公积提取并入未分配利润列示</t>
  </si>
  <si>
    <t xml:space="preserve">未分配利润</t>
  </si>
  <si>
    <t xml:space="preserve">归属于母公司股东权益</t>
  </si>
  <si>
    <t xml:space="preserve">少数股东权益</t>
  </si>
  <si>
    <t xml:space="preserve">股东权益合计</t>
  </si>
  <si>
    <t xml:space="preserve">负债和股东权益总计</t>
  </si>
  <si>
    <r>
      <rPr>
        <sz val="10"/>
        <rFont val="Noto Sans CJK SC"/>
        <family val="2"/>
        <charset val="1"/>
      </rPr>
      <t xml:space="preserve">平衡检查（资产−负债−权益，应为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）</t>
    </r>
  </si>
  <si>
    <t xml:space="preserve">资产总计（报告值）</t>
  </si>
  <si>
    <t xml:space="preserve">用于核对历史映射完整性</t>
  </si>
  <si>
    <t xml:space="preserve">关键比率</t>
  </si>
  <si>
    <t xml:space="preserve">每股净资产</t>
  </si>
  <si>
    <t xml:space="preserve">资产负债率</t>
  </si>
  <si>
    <r>
      <rPr>
        <sz val="10"/>
        <rFont val="Noto Sans CJK SC"/>
        <family val="2"/>
        <charset val="1"/>
      </rPr>
      <t xml:space="preserve">少数股东权益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股东权益合计</t>
    </r>
  </si>
  <si>
    <t xml:space="preserve">现金流量表（百万元）</t>
  </si>
  <si>
    <t xml:space="preserve">预测期采用间接法；利息支出保留在经营活动。历史“其他”项为报告值与列示项目的差额。</t>
  </si>
  <si>
    <t xml:space="preserve">经营活动</t>
  </si>
  <si>
    <t xml:space="preserve">折旧与摊销</t>
  </si>
  <si>
    <t xml:space="preserve">股份支付（非现金）</t>
  </si>
  <si>
    <t xml:space="preserve">历史并入“其他”</t>
  </si>
  <si>
    <t xml:space="preserve">资产减值准备</t>
  </si>
  <si>
    <t xml:space="preserve">预测期减值视同营运资本损耗，不加回</t>
  </si>
  <si>
    <t xml:space="preserve">营运资本变动</t>
  </si>
  <si>
    <t xml:space="preserve">其他</t>
  </si>
  <si>
    <t xml:space="preserve">经营活动现金流量净额</t>
  </si>
  <si>
    <t xml:space="preserve">投资活动</t>
  </si>
  <si>
    <t xml:space="preserve">购建固定资产、无形资产和其他长期资产</t>
  </si>
  <si>
    <r>
      <rPr>
        <sz val="10"/>
        <rFont val="Noto Sans CJK SC"/>
        <family val="2"/>
        <charset val="1"/>
      </rPr>
      <t xml:space="preserve">金融资产净投资（理财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大额存单）</t>
    </r>
  </si>
  <si>
    <t xml:space="preserve">其他（处置、收购子公司、投资收益等）</t>
  </si>
  <si>
    <t xml:space="preserve">投资活动现金流量净额</t>
  </si>
  <si>
    <t xml:space="preserve">筹资活动</t>
  </si>
  <si>
    <t xml:space="preserve">吸收投资（含子公司少数股东投入）</t>
  </si>
  <si>
    <t xml:space="preserve">借款净增加</t>
  </si>
  <si>
    <t xml:space="preserve">循环贷款提取（偿还）</t>
  </si>
  <si>
    <t xml:space="preserve">分配股利及偿付利息</t>
  </si>
  <si>
    <t xml:space="preserve">预测期利息在经营活动列示</t>
  </si>
  <si>
    <t xml:space="preserve">其他（回购、租赁等）</t>
  </si>
  <si>
    <t xml:space="preserve">筹资活动现金流量净额</t>
  </si>
  <si>
    <t xml:space="preserve">汇率变动影响</t>
  </si>
  <si>
    <t xml:space="preserve">现金及现金等价物净增加额</t>
  </si>
  <si>
    <t xml:space="preserve">其中：循环贷款提取前现金净增加额</t>
  </si>
  <si>
    <t xml:space="preserve">用于计算循环贷款（逐项加总、不含循环贷款本身，避免循环引用）</t>
  </si>
  <si>
    <t xml:space="preserve">自由现金流</t>
  </si>
  <si>
    <t xml:space="preserve">经营现金流 − 资本开支</t>
  </si>
  <si>
    <r>
      <rPr>
        <b val="true"/>
        <sz val="10"/>
        <rFont val="Arial"/>
        <family val="0"/>
        <charset val="1"/>
      </rPr>
      <t xml:space="preserve">FCFF = EBIT×(1−t) + D&amp;A − </t>
    </r>
    <r>
      <rPr>
        <b val="true"/>
        <sz val="10"/>
        <rFont val="Noto Sans CJK SC"/>
        <family val="2"/>
        <charset val="1"/>
      </rPr>
      <t xml:space="preserve">资本开支 − 营运资本增加</t>
    </r>
  </si>
  <si>
    <r>
      <rPr>
        <i val="true"/>
        <sz val="9"/>
        <color rgb="FF808080"/>
        <rFont val="Noto Sans CJK SC"/>
        <family val="2"/>
        <charset val="1"/>
      </rPr>
      <t xml:space="preserve">股份支付视同现金成本，不加回（历史与预测、</t>
    </r>
    <r>
      <rPr>
        <i val="true"/>
        <sz val="9"/>
        <color rgb="FF808080"/>
        <rFont val="Arial"/>
        <family val="0"/>
        <charset val="1"/>
      </rPr>
      <t xml:space="preserve">DCF</t>
    </r>
    <r>
      <rPr>
        <i val="true"/>
        <sz val="9"/>
        <color rgb="FF808080"/>
        <rFont val="Noto Sans CJK SC"/>
        <family val="2"/>
        <charset val="1"/>
      </rPr>
      <t xml:space="preserve">口径一致）</t>
    </r>
  </si>
  <si>
    <t xml:space="preserve">每股经营现金流</t>
  </si>
  <si>
    <t xml:space="preserve">季度跟踪：单季利润表（百万元）</t>
  </si>
  <si>
    <r>
      <rPr>
        <i val="true"/>
        <sz val="9"/>
        <color rgb="FF808080"/>
        <rFont val="Arial"/>
        <family val="0"/>
        <charset val="1"/>
      </rPr>
      <t xml:space="preserve">2024Q1–2026Q2 </t>
    </r>
    <r>
      <rPr>
        <i val="true"/>
        <sz val="9"/>
        <color rgb="FF808080"/>
        <rFont val="Noto Sans CJK SC"/>
        <family val="2"/>
        <charset val="1"/>
      </rPr>
      <t xml:space="preserve">为单季报告值（</t>
    </r>
    <r>
      <rPr>
        <i val="true"/>
        <sz val="9"/>
        <color rgb="FF808080"/>
        <rFont val="Arial"/>
        <family val="0"/>
        <charset val="1"/>
      </rPr>
      <t xml:space="preserve">Wind </t>
    </r>
    <r>
      <rPr>
        <i val="true"/>
        <sz val="9"/>
        <color rgb="FF808080"/>
        <rFont val="Noto Sans CJK SC"/>
        <family val="2"/>
        <charset val="1"/>
      </rPr>
      <t xml:space="preserve">单季口径）；</t>
    </r>
    <r>
      <rPr>
        <i val="true"/>
        <sz val="9"/>
        <color rgb="FF808080"/>
        <rFont val="Arial"/>
        <family val="0"/>
        <charset val="1"/>
      </rPr>
      <t xml:space="preserve">2026Q3E/Q4E = </t>
    </r>
    <r>
      <rPr>
        <i val="true"/>
        <sz val="9"/>
        <color rgb="FF808080"/>
        <rFont val="Noto Sans CJK SC"/>
        <family val="2"/>
        <charset val="1"/>
      </rPr>
      <t xml:space="preserve">年度预测 − 上半年实际：收入及费用按</t>
    </r>
    <r>
      <rPr>
        <i val="true"/>
        <sz val="9"/>
        <color rgb="FF808080"/>
        <rFont val="Arial"/>
        <family val="0"/>
        <charset val="1"/>
      </rPr>
      <t xml:space="preserve">Q3</t>
    </r>
    <r>
      <rPr>
        <i val="true"/>
        <sz val="9"/>
        <color rgb="FF808080"/>
        <rFont val="Noto Sans CJK SC"/>
        <family val="2"/>
        <charset val="1"/>
      </rPr>
      <t xml:space="preserve">占比拆分，减值集中于</t>
    </r>
    <r>
      <rPr>
        <i val="true"/>
        <sz val="9"/>
        <color rgb="FF808080"/>
        <rFont val="Arial"/>
        <family val="0"/>
        <charset val="1"/>
      </rPr>
      <t xml:space="preserve">Q4</t>
    </r>
    <r>
      <rPr>
        <i val="true"/>
        <sz val="9"/>
        <color rgb="FF808080"/>
        <rFont val="Noto Sans CJK SC"/>
        <family val="2"/>
        <charset val="1"/>
      </rPr>
      <t xml:space="preserve">，利润项由各行重算。</t>
    </r>
  </si>
  <si>
    <r>
      <rPr>
        <sz val="10"/>
        <rFont val="Arial"/>
        <family val="0"/>
        <charset val="1"/>
      </rPr>
      <t xml:space="preserve">Q3</t>
    </r>
    <r>
      <rPr>
        <sz val="10"/>
        <rFont val="Noto Sans CJK SC"/>
        <family val="2"/>
        <charset val="1"/>
      </rPr>
      <t xml:space="preserve">占下半年收入及各费用项比例（假设）</t>
    </r>
  </si>
  <si>
    <r>
      <rPr>
        <i val="true"/>
        <sz val="9"/>
        <color rgb="FF808080"/>
        <rFont val="Arial"/>
        <family val="0"/>
        <charset val="1"/>
      </rPr>
      <t xml:space="preserve">2023-2025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Q3</t>
    </r>
    <r>
      <rPr>
        <i val="true"/>
        <sz val="9"/>
        <color rgb="FF808080"/>
        <rFont val="Noto Sans CJK SC"/>
        <family val="2"/>
        <charset val="1"/>
      </rPr>
      <t xml:space="preserve">占下半年收入</t>
    </r>
    <r>
      <rPr>
        <i val="true"/>
        <sz val="9"/>
        <color rgb="FF808080"/>
        <rFont val="Arial"/>
        <family val="0"/>
        <charset val="1"/>
      </rPr>
      <t xml:space="preserve">44%/48%/43%</t>
    </r>
    <r>
      <rPr>
        <i val="true"/>
        <sz val="9"/>
        <color rgb="FF808080"/>
        <rFont val="Noto Sans CJK SC"/>
        <family val="2"/>
        <charset val="1"/>
      </rPr>
      <t xml:space="preserve">，取</t>
    </r>
    <r>
      <rPr>
        <i val="true"/>
        <sz val="9"/>
        <color rgb="FF808080"/>
        <rFont val="Arial"/>
        <family val="0"/>
        <charset val="1"/>
      </rPr>
      <t xml:space="preserve">45%</t>
    </r>
  </si>
  <si>
    <r>
      <rPr>
        <sz val="10"/>
        <rFont val="Arial"/>
        <family val="0"/>
        <charset val="1"/>
      </rPr>
      <t xml:space="preserve">Q3</t>
    </r>
    <r>
      <rPr>
        <sz val="10"/>
        <rFont val="Noto Sans CJK SC"/>
        <family val="2"/>
        <charset val="1"/>
      </rPr>
      <t xml:space="preserve">占下半年减值损失比例（假设）</t>
    </r>
  </si>
  <si>
    <r>
      <rPr>
        <i val="true"/>
        <sz val="9"/>
        <color rgb="FF808080"/>
        <rFont val="Noto Sans CJK SC"/>
        <family val="2"/>
        <charset val="1"/>
      </rPr>
      <t xml:space="preserve">减值损失集中在四季度：</t>
    </r>
    <r>
      <rPr>
        <i val="true"/>
        <sz val="9"/>
        <color rgb="FF808080"/>
        <rFont val="Arial"/>
        <family val="0"/>
        <charset val="1"/>
      </rPr>
      <t xml:space="preserve">2024/2025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Q3</t>
    </r>
    <r>
      <rPr>
        <i val="true"/>
        <sz val="9"/>
        <color rgb="FF808080"/>
        <rFont val="Noto Sans CJK SC"/>
        <family val="2"/>
        <charset val="1"/>
      </rPr>
      <t xml:space="preserve">资产减值</t>
    </r>
    <r>
      <rPr>
        <i val="true"/>
        <sz val="9"/>
        <color rgb="FF808080"/>
        <rFont val="Arial"/>
        <family val="0"/>
        <charset val="1"/>
      </rPr>
      <t xml:space="preserve">-0.7/-0.0</t>
    </r>
    <r>
      <rPr>
        <i val="true"/>
        <sz val="9"/>
        <color rgb="FF808080"/>
        <rFont val="Noto Sans CJK SC"/>
        <family val="2"/>
        <charset val="1"/>
      </rPr>
      <t xml:space="preserve">百万元，</t>
    </r>
    <r>
      <rPr>
        <i val="true"/>
        <sz val="9"/>
        <color rgb="FF808080"/>
        <rFont val="Arial"/>
        <family val="0"/>
        <charset val="1"/>
      </rPr>
      <t xml:space="preserve">Q4</t>
    </r>
    <r>
      <rPr>
        <i val="true"/>
        <sz val="9"/>
        <color rgb="FF808080"/>
        <rFont val="Noto Sans CJK SC"/>
        <family val="2"/>
        <charset val="1"/>
      </rPr>
      <t xml:space="preserve">为</t>
    </r>
    <r>
      <rPr>
        <i val="true"/>
        <sz val="9"/>
        <color rgb="FF808080"/>
        <rFont val="Arial"/>
        <family val="0"/>
        <charset val="1"/>
      </rPr>
      <t xml:space="preserve">-16.7/-28.0</t>
    </r>
    <r>
      <rPr>
        <i val="true"/>
        <sz val="9"/>
        <color rgb="FF808080"/>
        <rFont val="Noto Sans CJK SC"/>
        <family val="2"/>
        <charset val="1"/>
      </rPr>
      <t xml:space="preserve">百万元</t>
    </r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</si>
  <si>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</si>
  <si>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</si>
  <si>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</si>
  <si>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</si>
  <si>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</si>
  <si>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</si>
  <si>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</si>
  <si>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</si>
  <si>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</si>
  <si>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</si>
  <si>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2026Q3E</t>
  </si>
  <si>
    <t xml:space="preserve">2026Q4E</t>
  </si>
  <si>
    <t xml:space="preserve">2026H1A</t>
  </si>
  <si>
    <r>
      <rPr>
        <b val="true"/>
        <sz val="10"/>
        <color rgb="FF000000"/>
        <rFont val="Arial"/>
        <family val="0"/>
        <charset val="1"/>
      </rPr>
      <t xml:space="preserve">2026E(</t>
    </r>
    <r>
      <rPr>
        <b val="true"/>
        <sz val="10"/>
        <color rgb="FF000000"/>
        <rFont val="Noto Sans CJK SC"/>
        <family val="2"/>
        <charset val="1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</si>
  <si>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其他收益</t>
  </si>
  <si>
    <t xml:space="preserve">归母净利润</t>
  </si>
  <si>
    <r>
      <rPr>
        <sz val="10"/>
        <color rgb="FF000000"/>
        <rFont val="Noto Sans CJK SC"/>
        <family val="2"/>
        <charset val="1"/>
      </rPr>
      <t xml:space="preserve">期间费用率（销售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管理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研发）</t>
    </r>
  </si>
  <si>
    <t xml:space="preserve">归母净利润同比</t>
  </si>
  <si>
    <t xml:space="preserve">收入环比</t>
  </si>
  <si>
    <t xml:space="preserve">购建长期资产支付的现金</t>
  </si>
  <si>
    <r>
      <rPr>
        <i val="true"/>
        <sz val="9"/>
        <color rgb="FF808080"/>
        <rFont val="Noto Sans CJK SC"/>
        <family val="2"/>
        <charset val="1"/>
      </rPr>
      <t xml:space="preserve">注：</t>
    </r>
    <r>
      <rPr>
        <i val="true"/>
        <sz val="9"/>
        <color rgb="FF808080"/>
        <rFont val="Arial"/>
        <family val="0"/>
        <charset val="1"/>
      </rPr>
      <t xml:space="preserve">2026Q3E/Q4E</t>
    </r>
    <r>
      <rPr>
        <i val="true"/>
        <sz val="9"/>
        <color rgb="FF808080"/>
        <rFont val="Noto Sans CJK SC"/>
        <family val="2"/>
        <charset val="1"/>
      </rPr>
      <t xml:space="preserve">为年度预测减上半年实际后的隐含值，非独立季度预测。</t>
    </r>
  </si>
  <si>
    <r>
      <rPr>
        <b val="true"/>
        <sz val="14"/>
        <color rgb="FF1F3864"/>
        <rFont val="Arial"/>
        <family val="0"/>
        <charset val="1"/>
      </rPr>
      <t xml:space="preserve">DCF </t>
    </r>
    <r>
      <rPr>
        <b val="true"/>
        <sz val="14"/>
        <color rgb="FF1F3864"/>
        <rFont val="Noto Sans CJK SC"/>
        <family val="2"/>
        <charset val="1"/>
      </rPr>
      <t xml:space="preserve">估值（</t>
    </r>
    <r>
      <rPr>
        <b val="true"/>
        <sz val="14"/>
        <color rgb="FF1F3864"/>
        <rFont val="Arial"/>
        <family val="0"/>
        <charset val="1"/>
      </rPr>
      <t xml:space="preserve">FCFF</t>
    </r>
    <r>
      <rPr>
        <b val="true"/>
        <sz val="14"/>
        <color rgb="FF1F3864"/>
        <rFont val="Noto Sans CJK SC"/>
        <family val="2"/>
        <charset val="1"/>
      </rPr>
      <t xml:space="preserve">：显式期 </t>
    </r>
    <r>
      <rPr>
        <b val="true"/>
        <sz val="14"/>
        <color rgb="FF1F3864"/>
        <rFont val="Arial"/>
        <family val="0"/>
        <charset val="1"/>
      </rPr>
      <t xml:space="preserve">+ </t>
    </r>
    <r>
      <rPr>
        <b val="true"/>
        <sz val="14"/>
        <color rgb="FF1F3864"/>
        <rFont val="Noto Sans CJK SC"/>
        <family val="2"/>
        <charset val="1"/>
      </rPr>
      <t xml:space="preserve">十年衰减期 </t>
    </r>
    <r>
      <rPr>
        <b val="true"/>
        <sz val="14"/>
        <color rgb="FF1F3864"/>
        <rFont val="Arial"/>
        <family val="0"/>
        <charset val="1"/>
      </rPr>
      <t xml:space="preserve">+ </t>
    </r>
    <r>
      <rPr>
        <b val="true"/>
        <sz val="14"/>
        <color rgb="FF1F3864"/>
        <rFont val="Noto Sans CJK SC"/>
        <family val="2"/>
        <charset val="1"/>
      </rPr>
      <t xml:space="preserve">永续）</t>
    </r>
  </si>
  <si>
    <r>
      <rPr>
        <i val="true"/>
        <sz val="9"/>
        <color rgb="FF808080"/>
        <rFont val="Noto Sans CJK SC"/>
        <family val="2"/>
        <charset val="1"/>
      </rPr>
      <t xml:space="preserve">显式期 </t>
    </r>
    <r>
      <rPr>
        <i val="true"/>
        <sz val="9"/>
        <color rgb="FF808080"/>
        <rFont val="Arial"/>
        <family val="0"/>
        <charset val="1"/>
      </rPr>
      <t xml:space="preserve">2026E–2030E </t>
    </r>
    <r>
      <rPr>
        <i val="true"/>
        <sz val="9"/>
        <color rgb="FF808080"/>
        <rFont val="Noto Sans CJK SC"/>
        <family val="2"/>
        <charset val="1"/>
      </rPr>
      <t xml:space="preserve">来自三表；衰减期 </t>
    </r>
    <r>
      <rPr>
        <i val="true"/>
        <sz val="9"/>
        <color rgb="FF808080"/>
        <rFont val="Arial"/>
        <family val="0"/>
        <charset val="1"/>
      </rPr>
      <t xml:space="preserve">2031E–2040E </t>
    </r>
    <r>
      <rPr>
        <i val="true"/>
        <sz val="9"/>
        <color rgb="FF808080"/>
        <rFont val="Noto Sans CJK SC"/>
        <family val="2"/>
        <charset val="1"/>
      </rPr>
      <t xml:space="preserve">收入增速由“衰减期起始增速”线性降至永续增速、</t>
    </r>
    <r>
      <rPr>
        <i val="true"/>
        <sz val="9"/>
        <color rgb="FF808080"/>
        <rFont val="Arial"/>
        <family val="0"/>
        <charset val="1"/>
      </rPr>
      <t xml:space="preserve">EBIT</t>
    </r>
    <r>
      <rPr>
        <i val="true"/>
        <sz val="9"/>
        <color rgb="FF808080"/>
        <rFont val="Noto Sans CJK SC"/>
        <family val="2"/>
        <charset val="1"/>
      </rPr>
      <t xml:space="preserve">率线性收敛、再投资率由</t>
    </r>
    <r>
      <rPr>
        <i val="true"/>
        <sz val="9"/>
        <color rgb="FF808080"/>
        <rFont val="Arial"/>
        <family val="0"/>
        <charset val="1"/>
      </rPr>
      <t xml:space="preserve">2030E</t>
    </r>
    <r>
      <rPr>
        <i val="true"/>
        <sz val="9"/>
        <color rgb="FF808080"/>
        <rFont val="Noto Sans CJK SC"/>
        <family val="2"/>
        <charset val="1"/>
      </rPr>
      <t xml:space="preserve">水平过渡至稳态（</t>
    </r>
    <r>
      <rPr>
        <i val="true"/>
        <sz val="9"/>
        <color rgb="FF808080"/>
        <rFont val="Arial"/>
        <family val="0"/>
        <charset val="1"/>
      </rPr>
      <t xml:space="preserve">g/RONIC</t>
    </r>
    <r>
      <rPr>
        <i val="true"/>
        <sz val="9"/>
        <color rgb="FF808080"/>
        <rFont val="Noto Sans CJK SC"/>
        <family val="2"/>
        <charset val="1"/>
      </rPr>
      <t xml:space="preserve">）；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年计入下半年</t>
    </r>
    <r>
      <rPr>
        <i val="true"/>
        <sz val="9"/>
        <color rgb="FF808080"/>
        <rFont val="Arial"/>
        <family val="0"/>
        <charset val="1"/>
      </rPr>
      <t xml:space="preserve">FCFF</t>
    </r>
    <r>
      <rPr>
        <i val="true"/>
        <sz val="9"/>
        <color rgb="FF808080"/>
        <rFont val="Noto Sans CJK SC"/>
        <family val="2"/>
        <charset val="1"/>
      </rPr>
      <t xml:space="preserve">，与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  <charset val="1"/>
      </rPr>
      <t xml:space="preserve">月</t>
    </r>
    <r>
      <rPr>
        <i val="true"/>
        <sz val="9"/>
        <color rgb="FF808080"/>
        <rFont val="Arial"/>
        <family val="0"/>
        <charset val="1"/>
      </rPr>
      <t xml:space="preserve">30</t>
    </r>
    <r>
      <rPr>
        <i val="true"/>
        <sz val="9"/>
        <color rgb="FF808080"/>
        <rFont val="Noto Sans CJK SC"/>
        <family val="2"/>
        <charset val="1"/>
      </rPr>
      <t xml:space="preserve">日净现金衔接。</t>
    </r>
  </si>
  <si>
    <t xml:space="preserve">一、资本成本与关键参数</t>
  </si>
  <si>
    <t xml:space="preserve">当前股价</t>
  </si>
  <si>
    <r>
      <rPr>
        <i val="true"/>
        <sz val="9"/>
        <color rgb="FF808080"/>
        <rFont val="Arial"/>
        <family val="0"/>
        <charset val="1"/>
      </rPr>
      <t xml:space="preserve">2026-09-30</t>
    </r>
    <r>
      <rPr>
        <i val="true"/>
        <sz val="9"/>
        <color rgb="FF808080"/>
        <rFont val="Noto Sans CJK SC"/>
        <family val="2"/>
        <charset val="1"/>
      </rPr>
      <t xml:space="preserve">收盘价（节前最后交易日；搜狐财经报道），总市值约</t>
    </r>
    <r>
      <rPr>
        <i val="true"/>
        <sz val="9"/>
        <color rgb="FF808080"/>
        <rFont val="Arial"/>
        <family val="0"/>
        <charset val="1"/>
      </rPr>
      <t xml:space="preserve">512</t>
    </r>
    <r>
      <rPr>
        <i val="true"/>
        <sz val="9"/>
        <color rgb="FF808080"/>
        <rFont val="Noto Sans CJK SC"/>
        <family val="2"/>
        <charset val="1"/>
      </rPr>
      <t xml:space="preserve">亿元</t>
    </r>
  </si>
  <si>
    <r>
      <rPr>
        <sz val="10"/>
        <rFont val="Noto Sans CJK SC"/>
        <family val="2"/>
        <charset val="1"/>
      </rPr>
      <t xml:space="preserve">总股本（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</si>
  <si>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年半年报</t>
    </r>
  </si>
  <si>
    <t xml:space="preserve">总市值</t>
  </si>
  <si>
    <t xml:space="preserve">估值基准日</t>
  </si>
  <si>
    <r>
      <rPr>
        <sz val="10"/>
        <rFont val="Noto Sans CJK SC"/>
        <family val="2"/>
        <charset val="1"/>
      </rPr>
      <t xml:space="preserve">无风险利率（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  <charset val="1"/>
      </rPr>
      <t xml:space="preserve">年期国债）</t>
    </r>
  </si>
  <si>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年期国债约</t>
    </r>
    <r>
      <rPr>
        <i val="true"/>
        <sz val="9"/>
        <color rgb="FF808080"/>
        <rFont val="Arial"/>
        <family val="0"/>
        <charset val="1"/>
      </rPr>
      <t xml:space="preserve">1.71%</t>
    </r>
    <r>
      <rPr>
        <i val="true"/>
        <sz val="9"/>
        <color rgb="FF808080"/>
        <rFont val="Noto Sans CJK SC"/>
        <family val="2"/>
        <charset val="1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2026-08-12</t>
    </r>
    <r>
      <rPr>
        <i val="true"/>
        <sz val="9"/>
        <color rgb="FF808080"/>
        <rFont val="Noto Sans CJK SC"/>
        <family val="2"/>
        <charset val="1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tradingeconomics</t>
    </r>
    <r>
      <rPr>
        <i val="true"/>
        <sz val="9"/>
        <color rgb="FF808080"/>
        <rFont val="Noto Sans CJK SC"/>
        <family val="2"/>
        <charset val="1"/>
      </rPr>
      <t xml:space="preserve">），取</t>
    </r>
    <r>
      <rPr>
        <i val="true"/>
        <sz val="9"/>
        <color rgb="FF808080"/>
        <rFont val="Arial"/>
        <family val="0"/>
        <charset val="1"/>
      </rPr>
      <t xml:space="preserve">1.75%</t>
    </r>
  </si>
  <si>
    <t xml:space="preserve">股权风险溢价</t>
  </si>
  <si>
    <r>
      <rPr>
        <i val="true"/>
        <sz val="9"/>
        <color rgb="FF808080"/>
        <rFont val="Arial"/>
        <family val="0"/>
        <charset val="1"/>
      </rPr>
      <t xml:space="preserve">A</t>
    </r>
    <r>
      <rPr>
        <i val="true"/>
        <sz val="9"/>
        <color rgb="FF808080"/>
        <rFont val="Noto Sans CJK SC"/>
        <family val="2"/>
        <charset val="1"/>
      </rPr>
      <t xml:space="preserve">股常用股权风险溢价</t>
    </r>
    <r>
      <rPr>
        <i val="true"/>
        <sz val="9"/>
        <color rgb="FF808080"/>
        <rFont val="Arial"/>
        <family val="0"/>
        <charset val="1"/>
      </rPr>
      <t xml:space="preserve">6-7%</t>
    </r>
  </si>
  <si>
    <t xml:space="preserve">Beta</t>
  </si>
  <si>
    <r>
      <rPr>
        <i val="true"/>
        <sz val="9"/>
        <color rgb="FF808080"/>
        <rFont val="Noto Sans CJK SC"/>
        <family val="2"/>
        <charset val="1"/>
      </rPr>
      <t xml:space="preserve">成长型新材料公司，取</t>
    </r>
    <r>
      <rPr>
        <i val="true"/>
        <sz val="9"/>
        <color rgb="FF808080"/>
        <rFont val="Arial"/>
        <family val="0"/>
        <charset val="1"/>
      </rPr>
      <t xml:space="preserve">1.2</t>
    </r>
    <r>
      <rPr>
        <i val="true"/>
        <sz val="9"/>
        <color rgb="FF808080"/>
        <rFont val="Noto Sans CJK SC"/>
        <family val="2"/>
        <charset val="1"/>
      </rPr>
      <t xml:space="preserve">（需以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近两年周</t>
    </r>
    <r>
      <rPr>
        <i val="true"/>
        <sz val="9"/>
        <color rgb="FF808080"/>
        <rFont val="Arial"/>
        <family val="0"/>
        <charset val="1"/>
      </rPr>
      <t xml:space="preserve">Beta</t>
    </r>
    <r>
      <rPr>
        <i val="true"/>
        <sz val="9"/>
        <color rgb="FF808080"/>
        <rFont val="Noto Sans CJK SC"/>
        <family val="2"/>
        <charset val="1"/>
      </rPr>
      <t xml:space="preserve">复核）</t>
    </r>
  </si>
  <si>
    <r>
      <rPr>
        <sz val="10"/>
        <rFont val="Noto Sans CJK SC"/>
        <family val="2"/>
        <charset val="1"/>
      </rPr>
      <t xml:space="preserve">股权成本 </t>
    </r>
    <r>
      <rPr>
        <sz val="10"/>
        <rFont val="Arial"/>
        <family val="0"/>
        <charset val="1"/>
      </rPr>
      <t xml:space="preserve">Ke = Rf + β×ERP</t>
    </r>
  </si>
  <si>
    <t xml:space="preserve">税前债务成本</t>
  </si>
  <si>
    <t xml:space="preserve">税率（高新技术企业）</t>
  </si>
  <si>
    <r>
      <rPr>
        <sz val="10"/>
        <rFont val="Noto Sans CJK SC"/>
        <family val="2"/>
        <charset val="1"/>
      </rPr>
      <t xml:space="preserve">目标债务占比 </t>
    </r>
    <r>
      <rPr>
        <sz val="10"/>
        <rFont val="Arial"/>
        <family val="0"/>
        <charset val="1"/>
      </rPr>
      <t xml:space="preserve">D/(D+E)</t>
    </r>
  </si>
  <si>
    <t xml:space="preserve">公司净现金，按低杠杆处理</t>
  </si>
  <si>
    <t xml:space="preserve">WACC</t>
  </si>
  <si>
    <r>
      <rPr>
        <b val="true"/>
        <sz val="10"/>
        <rFont val="Noto Sans CJK SC"/>
        <family val="2"/>
        <charset val="1"/>
      </rPr>
      <t xml:space="preserve">衰减期起始增速（</t>
    </r>
    <r>
      <rPr>
        <b val="true"/>
        <sz val="10"/>
        <rFont val="Arial"/>
        <family val="0"/>
        <charset val="1"/>
      </rPr>
      <t xml:space="preserve">2031E</t>
    </r>
    <r>
      <rPr>
        <b val="true"/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</si>
  <si>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＝</t>
    </r>
    <r>
      <rPr>
        <i val="true"/>
        <sz val="9"/>
        <color rgb="FF808080"/>
        <rFont val="Arial"/>
        <family val="0"/>
        <charset val="1"/>
      </rPr>
      <t xml:space="preserve">2030E</t>
    </r>
    <r>
      <rPr>
        <i val="true"/>
        <sz val="9"/>
        <color rgb="FF808080"/>
        <rFont val="Noto Sans CJK SC"/>
        <family val="2"/>
        <charset val="1"/>
      </rPr>
      <t xml:space="preserve">收入增速（随情景切换），避免衰减期增速跳升；之后十年线性衰减至永续增速</t>
    </r>
  </si>
  <si>
    <t xml:space="preserve">永续增长率</t>
  </si>
  <si>
    <r>
      <rPr>
        <sz val="10"/>
        <rFont val="Noto Sans CJK SC"/>
        <family val="2"/>
        <charset val="1"/>
      </rPr>
      <t xml:space="preserve">稳态新增投资回报率 </t>
    </r>
    <r>
      <rPr>
        <sz val="10"/>
        <rFont val="Arial"/>
        <family val="0"/>
        <charset val="1"/>
      </rPr>
      <t xml:space="preserve">RONIC</t>
    </r>
  </si>
  <si>
    <r>
      <rPr>
        <i val="true"/>
        <sz val="9"/>
        <color rgb="FF808080"/>
        <rFont val="Noto Sans CJK SC"/>
        <family val="2"/>
        <charset val="1"/>
      </rPr>
      <t xml:space="preserve">稳态再投资率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  <charset val="1"/>
      </rPr>
      <t xml:space="preserve">增速 </t>
    </r>
    <r>
      <rPr>
        <i val="true"/>
        <sz val="9"/>
        <color rgb="FF808080"/>
        <rFont val="Arial"/>
        <family val="0"/>
        <charset val="1"/>
      </rPr>
      <t xml:space="preserve">/ RONIC</t>
    </r>
    <r>
      <rPr>
        <i val="true"/>
        <sz val="9"/>
        <color rgb="FF808080"/>
        <rFont val="Noto Sans CJK SC"/>
        <family val="2"/>
        <charset val="1"/>
      </rPr>
      <t xml:space="preserve">；衰减期再投资率由</t>
    </r>
    <r>
      <rPr>
        <i val="true"/>
        <sz val="9"/>
        <color rgb="FF808080"/>
        <rFont val="Arial"/>
        <family val="0"/>
        <charset val="1"/>
      </rPr>
      <t xml:space="preserve">2030E</t>
    </r>
    <r>
      <rPr>
        <i val="true"/>
        <sz val="9"/>
        <color rgb="FF808080"/>
        <rFont val="Noto Sans CJK SC"/>
        <family val="2"/>
        <charset val="1"/>
      </rPr>
      <t xml:space="preserve">实际水平线性过渡至稳态</t>
    </r>
  </si>
  <si>
    <r>
      <rPr>
        <sz val="10"/>
        <rFont val="Noto Sans CJK SC"/>
        <family val="2"/>
        <charset val="1"/>
      </rPr>
      <t xml:space="preserve">永续期 </t>
    </r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  <charset val="1"/>
      </rPr>
      <t xml:space="preserve">率</t>
    </r>
  </si>
  <si>
    <r>
      <rPr>
        <i val="true"/>
        <sz val="9"/>
        <color rgb="FF808080"/>
        <rFont val="Noto Sans CJK SC"/>
        <family val="2"/>
        <charset val="1"/>
      </rPr>
      <t xml:space="preserve">永续期</t>
    </r>
    <r>
      <rPr>
        <i val="true"/>
        <sz val="9"/>
        <color rgb="FF808080"/>
        <rFont val="Arial"/>
        <family val="0"/>
        <charset val="1"/>
      </rPr>
      <t xml:space="preserve">EBIT</t>
    </r>
    <r>
      <rPr>
        <i val="true"/>
        <sz val="9"/>
        <color rgb="FF808080"/>
        <rFont val="Noto Sans CJK SC"/>
        <family val="2"/>
        <charset val="1"/>
      </rPr>
      <t xml:space="preserve">率</t>
    </r>
    <r>
      <rPr>
        <i val="true"/>
        <sz val="9"/>
        <color rgb="FF808080"/>
        <rFont val="Arial"/>
        <family val="0"/>
        <charset val="1"/>
      </rPr>
      <t xml:space="preserve">27%</t>
    </r>
    <r>
      <rPr>
        <i val="true"/>
        <sz val="9"/>
        <color rgb="FF808080"/>
        <rFont val="Noto Sans CJK SC"/>
        <family val="2"/>
        <charset val="1"/>
      </rPr>
      <t xml:space="preserve">：</t>
    </r>
    <r>
      <rPr>
        <i val="true"/>
        <sz val="9"/>
        <color rgb="FF808080"/>
        <rFont val="Arial"/>
        <family val="0"/>
        <charset val="1"/>
      </rPr>
      <t xml:space="preserve">2020-2025</t>
    </r>
    <r>
      <rPr>
        <i val="true"/>
        <sz val="9"/>
        <color rgb="FF808080"/>
        <rFont val="Noto Sans CJK SC"/>
        <family val="2"/>
        <charset val="1"/>
      </rPr>
      <t xml:space="preserve">年均值约</t>
    </r>
    <r>
      <rPr>
        <i val="true"/>
        <sz val="9"/>
        <color rgb="FF808080"/>
        <rFont val="Arial"/>
        <family val="0"/>
        <charset val="1"/>
      </rPr>
      <t xml:space="preserve">27.6%</t>
    </r>
    <r>
      <rPr>
        <i val="true"/>
        <sz val="9"/>
        <color rgb="FF808080"/>
        <rFont val="Noto Sans CJK SC"/>
        <family val="2"/>
        <charset val="1"/>
      </rPr>
      <t xml:space="preserve">，低于</t>
    </r>
    <r>
      <rPr>
        <i val="true"/>
        <sz val="9"/>
        <color rgb="FF808080"/>
        <rFont val="Arial"/>
        <family val="0"/>
        <charset val="1"/>
      </rPr>
      <t xml:space="preserve">2028-2030E</t>
    </r>
    <r>
      <rPr>
        <i val="true"/>
        <sz val="9"/>
        <color rgb="FF808080"/>
        <rFont val="Noto Sans CJK SC"/>
        <family val="2"/>
        <charset val="1"/>
      </rPr>
      <t xml:space="preserve">约</t>
    </r>
    <r>
      <rPr>
        <i val="true"/>
        <sz val="9"/>
        <color rgb="FF808080"/>
        <rFont val="Arial"/>
        <family val="0"/>
        <charset val="1"/>
      </rPr>
      <t xml:space="preserve">30%</t>
    </r>
    <r>
      <rPr>
        <i val="true"/>
        <sz val="9"/>
        <color rgb="FF808080"/>
        <rFont val="Noto Sans CJK SC"/>
        <family val="2"/>
        <charset val="1"/>
      </rPr>
      <t xml:space="preserve">，反映</t>
    </r>
    <r>
      <rPr>
        <i val="true"/>
        <sz val="9"/>
        <color rgb="FF808080"/>
        <rFont val="Arial"/>
        <family val="0"/>
        <charset val="1"/>
      </rPr>
      <t xml:space="preserve">Q</t>
    </r>
    <r>
      <rPr>
        <i val="true"/>
        <sz val="9"/>
        <color rgb="FF808080"/>
        <rFont val="Noto Sans CJK SC"/>
        <family val="2"/>
        <charset val="1"/>
      </rPr>
      <t xml:space="preserve">布价格下行与竞争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</si>
  <si>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年剩余期（年）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</si>
  <si>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年下半年</t>
    </r>
    <r>
      <rPr>
        <sz val="10"/>
        <rFont val="Arial"/>
        <family val="0"/>
        <charset val="1"/>
      </rPr>
      <t xml:space="preserve">FCFF</t>
    </r>
    <r>
      <rPr>
        <sz val="10"/>
        <rFont val="Noto Sans CJK SC"/>
        <family val="2"/>
        <charset val="1"/>
      </rPr>
      <t xml:space="preserve">折现期（年中点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  <charset val="1"/>
      </rPr>
      <t xml:space="preserve">月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  <charset val="1"/>
      </rPr>
      <t xml:space="preserve">日，相对基准日）</t>
    </r>
  </si>
  <si>
    <r>
      <rPr>
        <i val="true"/>
        <sz val="9"/>
        <color rgb="FF808080"/>
        <rFont val="Noto Sans CJK SC"/>
        <family val="2"/>
        <charset val="1"/>
      </rPr>
      <t xml:space="preserve">负值表示略早于基准日，按</t>
    </r>
    <r>
      <rPr>
        <i val="true"/>
        <sz val="9"/>
        <color rgb="FF808080"/>
        <rFont val="Arial"/>
        <family val="0"/>
        <charset val="1"/>
      </rPr>
      <t xml:space="preserve">WACC</t>
    </r>
    <r>
      <rPr>
        <i val="true"/>
        <sz val="9"/>
        <color rgb="FF808080"/>
        <rFont val="Noto Sans CJK SC"/>
        <family val="2"/>
        <charset val="1"/>
      </rPr>
      <t xml:space="preserve">复利至基准日</t>
    </r>
  </si>
  <si>
    <r>
      <rPr>
        <sz val="10"/>
        <rFont val="Arial"/>
        <family val="0"/>
        <charset val="1"/>
      </rPr>
      <t xml:space="preserve">2026H1</t>
    </r>
    <r>
      <rPr>
        <sz val="10"/>
        <rFont val="Noto Sans CJK SC"/>
        <family val="2"/>
        <charset val="1"/>
      </rPr>
      <t xml:space="preserve">已实现</t>
    </r>
    <r>
      <rPr>
        <sz val="10"/>
        <rFont val="Arial"/>
        <family val="0"/>
        <charset val="1"/>
      </rPr>
      <t xml:space="preserve">FCFF</t>
    </r>
  </si>
  <si>
    <r>
      <rPr>
        <i val="true"/>
        <sz val="9"/>
        <color rgb="FF808080"/>
        <rFont val="Arial"/>
        <family val="0"/>
        <charset val="1"/>
      </rPr>
      <t xml:space="preserve">2026H1</t>
    </r>
    <r>
      <rPr>
        <i val="true"/>
        <sz val="9"/>
        <color rgb="FF808080"/>
        <rFont val="Noto Sans CJK SC"/>
        <family val="2"/>
        <charset val="1"/>
      </rPr>
      <t xml:space="preserve">经营现金流</t>
    </r>
    <r>
      <rPr>
        <i val="true"/>
        <sz val="9"/>
        <color rgb="FF808080"/>
        <rFont val="Arial"/>
        <family val="0"/>
        <charset val="1"/>
      </rPr>
      <t xml:space="preserve">1.36</t>
    </r>
    <r>
      <rPr>
        <i val="true"/>
        <sz val="9"/>
        <color rgb="FF808080"/>
        <rFont val="Noto Sans CJK SC"/>
        <family val="2"/>
        <charset val="1"/>
      </rPr>
      <t xml:space="preserve">亿元−购建长期资产支付</t>
    </r>
    <r>
      <rPr>
        <i val="true"/>
        <sz val="9"/>
        <color rgb="FF808080"/>
        <rFont val="Arial"/>
        <family val="0"/>
        <charset val="1"/>
      </rPr>
      <t xml:space="preserve">4.18</t>
    </r>
    <r>
      <rPr>
        <i val="true"/>
        <sz val="9"/>
        <color rgb="FF808080"/>
        <rFont val="Noto Sans CJK SC"/>
        <family val="2"/>
        <charset val="1"/>
      </rPr>
      <t xml:space="preserve">亿元（利息支出很小，未调整）；该部分已体现在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  <charset val="1"/>
      </rPr>
      <t xml:space="preserve">月</t>
    </r>
    <r>
      <rPr>
        <i val="true"/>
        <sz val="9"/>
        <color rgb="FF808080"/>
        <rFont val="Arial"/>
        <family val="0"/>
        <charset val="1"/>
      </rPr>
      <t xml:space="preserve">30</t>
    </r>
    <r>
      <rPr>
        <i val="true"/>
        <sz val="9"/>
        <color rgb="FF808080"/>
        <rFont val="Noto Sans CJK SC"/>
        <family val="2"/>
        <charset val="1"/>
      </rPr>
      <t xml:space="preserve">日净现金中</t>
    </r>
  </si>
  <si>
    <t xml:space="preserve">二、自由现金流预测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</si>
  <si>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</si>
  <si>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</si>
  <si>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</si>
  <si>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</si>
  <si>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</si>
  <si>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</si>
  <si>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2037E</t>
  </si>
  <si>
    <t xml:space="preserve">2038E</t>
  </si>
  <si>
    <t xml:space="preserve">2039E</t>
  </si>
  <si>
    <t xml:space="preserve">2040E</t>
  </si>
  <si>
    <t xml:space="preserve">阶段</t>
  </si>
  <si>
    <t xml:space="preserve">显式</t>
  </si>
  <si>
    <t xml:space="preserve">衰减</t>
  </si>
  <si>
    <t xml:space="preserve">收入增速</t>
  </si>
  <si>
    <r>
      <rPr>
        <sz val="10"/>
        <color rgb="FF000000"/>
        <rFont val="Arial"/>
        <family val="0"/>
        <charset val="1"/>
      </rPr>
      <t xml:space="preserve">EBIT </t>
    </r>
    <r>
      <rPr>
        <sz val="10"/>
        <color rgb="FF000000"/>
        <rFont val="Noto Sans CJK SC"/>
        <family val="2"/>
        <charset val="1"/>
      </rPr>
      <t xml:space="preserve">率</t>
    </r>
  </si>
  <si>
    <t xml:space="preserve">EBIT</t>
  </si>
  <si>
    <t xml:space="preserve">税率</t>
  </si>
  <si>
    <t xml:space="preserve">NOPAT</t>
  </si>
  <si>
    <t xml:space="preserve">  折旧摊销</t>
  </si>
  <si>
    <t xml:space="preserve">  资本开支（负值）</t>
  </si>
  <si>
    <t xml:space="preserve">  营运资本增加（负值）</t>
  </si>
  <si>
    <r>
      <rPr>
        <sz val="10"/>
        <color rgb="FF000000"/>
        <rFont val="Noto Sans CJK SC"/>
        <family val="2"/>
        <charset val="1"/>
      </rPr>
      <t xml:space="preserve">再投资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  <charset val="1"/>
      </rPr>
      <t xml:space="preserve">资本开支 − 折旧摊销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  <charset val="1"/>
      </rPr>
      <t xml:space="preserve">营运资本增加</t>
    </r>
  </si>
  <si>
    <r>
      <rPr>
        <sz val="10"/>
        <color rgb="FF000000"/>
        <rFont val="Noto Sans CJK SC"/>
        <family val="2"/>
        <charset val="1"/>
      </rPr>
      <t xml:space="preserve">再投资率（再投资 </t>
    </r>
    <r>
      <rPr>
        <sz val="10"/>
        <color rgb="FF000000"/>
        <rFont val="Arial"/>
        <family val="0"/>
        <charset val="1"/>
      </rPr>
      <t xml:space="preserve">/ NOPAT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</si>
  <si>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10"/>
        <color rgb="FF000000"/>
        <rFont val="Noto Sans CJK SC"/>
        <family val="2"/>
        <charset val="1"/>
      </rPr>
      <t xml:space="preserve">隐含新增投资回报率（增速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  <charset val="1"/>
      </rPr>
      <t xml:space="preserve">再投资率）</t>
    </r>
  </si>
  <si>
    <r>
      <rPr>
        <b val="true"/>
        <sz val="10"/>
        <color rgb="FF000000"/>
        <rFont val="Arial"/>
        <family val="0"/>
        <charset val="1"/>
      </rPr>
      <t xml:space="preserve">FCFF = NOPAT − </t>
    </r>
    <r>
      <rPr>
        <b val="true"/>
        <sz val="10"/>
        <color rgb="FF000000"/>
        <rFont val="Noto Sans CJK SC"/>
        <family val="2"/>
        <charset val="1"/>
      </rPr>
      <t xml:space="preserve">再投资</t>
    </r>
  </si>
  <si>
    <r>
      <rPr>
        <sz val="10"/>
        <color rgb="FF000000"/>
        <rFont val="Noto Sans CJK SC"/>
        <family val="2"/>
        <charset val="1"/>
      </rPr>
      <t xml:space="preserve">减：估值基准日前已实现（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</si>
  <si>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b val="true"/>
        <sz val="10"/>
        <color rgb="FF000000"/>
        <rFont val="Noto Sans CJK SC"/>
        <family val="2"/>
        <charset val="1"/>
      </rPr>
      <t xml:space="preserve">计入估值的</t>
    </r>
    <r>
      <rPr>
        <b val="true"/>
        <sz val="10"/>
        <color rgb="FF000000"/>
        <rFont val="Arial"/>
        <family val="0"/>
        <charset val="1"/>
      </rPr>
      <t xml:space="preserve">FCFF</t>
    </r>
  </si>
  <si>
    <t xml:space="preserve">折现期（年，年中法）</t>
  </si>
  <si>
    <t xml:space="preserve">折现因子</t>
  </si>
  <si>
    <r>
      <rPr>
        <b val="true"/>
        <sz val="10"/>
        <color rgb="FF000000"/>
        <rFont val="Arial"/>
        <family val="0"/>
        <charset val="1"/>
      </rPr>
      <t xml:space="preserve">FCFF </t>
    </r>
    <r>
      <rPr>
        <b val="true"/>
        <sz val="10"/>
        <color rgb="FF000000"/>
        <rFont val="Noto Sans CJK SC"/>
        <family val="2"/>
        <charset val="1"/>
      </rPr>
      <t xml:space="preserve">现值</t>
    </r>
  </si>
  <si>
    <r>
      <rPr>
        <i val="true"/>
        <sz val="9"/>
        <color rgb="FF808080"/>
        <rFont val="Noto Sans CJK SC"/>
        <family val="2"/>
        <charset val="1"/>
      </rPr>
      <t xml:space="preserve">注：股份支付视同现金成本，不加回；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年仅计入下半年</t>
    </r>
    <r>
      <rPr>
        <i val="true"/>
        <sz val="9"/>
        <color rgb="FF808080"/>
        <rFont val="Arial"/>
        <family val="0"/>
        <charset val="1"/>
      </rPr>
      <t xml:space="preserve">FCFF</t>
    </r>
    <r>
      <rPr>
        <i val="true"/>
        <sz val="9"/>
        <color rgb="FF808080"/>
        <rFont val="Noto Sans CJK SC"/>
        <family val="2"/>
        <charset val="1"/>
      </rPr>
      <t xml:space="preserve">（全年预测−上半年已实现），与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  <charset val="1"/>
      </rPr>
      <t xml:space="preserve">月</t>
    </r>
    <r>
      <rPr>
        <i val="true"/>
        <sz val="9"/>
        <color rgb="FF808080"/>
        <rFont val="Arial"/>
        <family val="0"/>
        <charset val="1"/>
      </rPr>
      <t xml:space="preserve">30</t>
    </r>
    <r>
      <rPr>
        <i val="true"/>
        <sz val="9"/>
        <color rgb="FF808080"/>
        <rFont val="Noto Sans CJK SC"/>
        <family val="2"/>
        <charset val="1"/>
      </rPr>
      <t xml:space="preserve">日净现金衔接。</t>
    </r>
  </si>
  <si>
    <t xml:space="preserve">三、企业价值到股权价值</t>
  </si>
  <si>
    <r>
      <rPr>
        <sz val="10"/>
        <rFont val="Noto Sans CJK SC"/>
        <family val="2"/>
        <charset val="1"/>
      </rPr>
      <t xml:space="preserve">显式期 </t>
    </r>
    <r>
      <rPr>
        <sz val="10"/>
        <rFont val="Arial"/>
        <family val="0"/>
        <charset val="1"/>
      </rPr>
      <t xml:space="preserve">FCFF </t>
    </r>
    <r>
      <rPr>
        <sz val="10"/>
        <rFont val="Noto Sans CJK SC"/>
        <family val="2"/>
        <charset val="1"/>
      </rPr>
      <t xml:space="preserve">现值合计（</t>
    </r>
    <r>
      <rPr>
        <sz val="10"/>
        <rFont val="Arial"/>
        <family val="0"/>
        <charset val="1"/>
      </rPr>
      <t xml:space="preserve">2026H2–2030E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</si>
  <si>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衰减期 </t>
    </r>
    <r>
      <rPr>
        <sz val="10"/>
        <rFont val="Arial"/>
        <family val="0"/>
        <charset val="1"/>
      </rPr>
      <t xml:space="preserve">FCFF </t>
    </r>
    <r>
      <rPr>
        <sz val="10"/>
        <rFont val="Noto Sans CJK SC"/>
        <family val="2"/>
        <charset val="1"/>
      </rPr>
      <t xml:space="preserve">现值合计（</t>
    </r>
    <r>
      <rPr>
        <sz val="10"/>
        <rFont val="Arial"/>
        <family val="0"/>
        <charset val="1"/>
      </rPr>
      <t xml:space="preserve">2031E–2040E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</si>
  <si>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永续价值（</t>
    </r>
    <r>
      <rPr>
        <sz val="10"/>
        <rFont val="Arial"/>
        <family val="0"/>
        <charset val="1"/>
      </rPr>
      <t xml:space="preserve">2040</t>
    </r>
    <r>
      <rPr>
        <sz val="10"/>
        <rFont val="Noto Sans CJK SC"/>
        <family val="2"/>
        <charset val="1"/>
      </rPr>
      <t xml:space="preserve">年末）</t>
    </r>
  </si>
  <si>
    <t xml:space="preserve">永续价值现值</t>
  </si>
  <si>
    <r>
      <rPr>
        <i val="true"/>
        <sz val="9"/>
        <color rgb="FF808080"/>
        <rFont val="Noto Sans CJK SC"/>
        <family val="2"/>
        <charset val="1"/>
      </rPr>
      <t xml:space="preserve">年中法：永续期现金流与</t>
    </r>
    <r>
      <rPr>
        <i val="true"/>
        <sz val="9"/>
        <color rgb="FF808080"/>
        <rFont val="Arial"/>
        <family val="0"/>
        <charset val="1"/>
      </rPr>
      <t xml:space="preserve">2040E</t>
    </r>
    <r>
      <rPr>
        <i val="true"/>
        <sz val="9"/>
        <color rgb="FF808080"/>
        <rFont val="Noto Sans CJK SC"/>
        <family val="2"/>
        <charset val="1"/>
      </rPr>
      <t xml:space="preserve">现金流采用同一折现期</t>
    </r>
  </si>
  <si>
    <r>
      <rPr>
        <b val="true"/>
        <sz val="10"/>
        <rFont val="Noto Sans CJK SC"/>
        <family val="2"/>
        <charset val="1"/>
      </rPr>
      <t xml:space="preserve">企业价值 </t>
    </r>
    <r>
      <rPr>
        <b val="true"/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</si>
  <si>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  <charset val="1"/>
      </rPr>
      <t xml:space="preserve">  永续价值占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  <charset val="1"/>
      </rPr>
      <t xml:space="preserve">比重</t>
    </r>
  </si>
  <si>
    <r>
      <rPr>
        <sz val="10"/>
        <rFont val="Noto Sans CJK SC"/>
        <family val="2"/>
        <charset val="1"/>
      </rPr>
      <t xml:space="preserve">加：货币资金（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</si>
  <si>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加：交易性及其他非流动金融资产（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</si>
  <si>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加：长期股权投资（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</si>
  <si>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减：有息负债（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</si>
  <si>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短期借款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一年内到期非流动负债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  <charset val="1"/>
      </rPr>
      <t xml:space="preserve">长期借款</t>
    </r>
  </si>
  <si>
    <r>
      <rPr>
        <sz val="10"/>
        <rFont val="Noto Sans CJK SC"/>
        <family val="2"/>
        <charset val="1"/>
      </rPr>
      <t xml:space="preserve">归母净资产（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  <charset val="1"/>
      </rPr>
      <t xml:space="preserve">，备查，用于</t>
    </r>
    <r>
      <rPr>
        <sz val="10"/>
        <rFont val="Arial"/>
        <family val="0"/>
        <charset val="1"/>
      </rPr>
      <t xml:space="preserve">PB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</si>
  <si>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减：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  <charset val="1"/>
      </rPr>
      <t xml:space="preserve">年中期股利（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  <charset val="1"/>
      </rPr>
      <t xml:space="preserve">月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  <charset val="1"/>
      </rPr>
      <t xml:space="preserve">日后支付）</t>
    </r>
  </si>
  <si>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年中期分红每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Noto Sans CJK SC"/>
        <family val="2"/>
        <charset val="1"/>
      </rPr>
      <t xml:space="preserve">股派</t>
    </r>
    <r>
      <rPr>
        <i val="true"/>
        <sz val="9"/>
        <color rgb="FF808080"/>
        <rFont val="Arial"/>
        <family val="0"/>
        <charset val="1"/>
      </rPr>
      <t xml:space="preserve">1.70</t>
    </r>
    <r>
      <rPr>
        <i val="true"/>
        <sz val="9"/>
        <color rgb="FF808080"/>
        <rFont val="Noto Sans CJK SC"/>
        <family val="2"/>
        <charset val="1"/>
      </rPr>
      <t xml:space="preserve">元，共</t>
    </r>
    <r>
      <rPr>
        <i val="true"/>
        <sz val="9"/>
        <color rgb="FF808080"/>
        <rFont val="Arial"/>
        <family val="0"/>
        <charset val="1"/>
      </rPr>
      <t xml:space="preserve">8,933</t>
    </r>
    <r>
      <rPr>
        <i val="true"/>
        <sz val="9"/>
        <color rgb="FF808080"/>
        <rFont val="Noto Sans CJK SC"/>
        <family val="2"/>
        <charset val="1"/>
      </rPr>
      <t xml:space="preserve">万元（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8</t>
    </r>
    <r>
      <rPr>
        <i val="true"/>
        <sz val="9"/>
        <color rgb="FF808080"/>
        <rFont val="Noto Sans CJK SC"/>
        <family val="2"/>
        <charset val="1"/>
      </rPr>
      <t xml:space="preserve">月董事会通过，下半年支付）；假设除息日早于估值基准日（未核实）</t>
    </r>
  </si>
  <si>
    <r>
      <rPr>
        <sz val="10"/>
        <rFont val="Noto Sans CJK SC"/>
        <family val="2"/>
        <charset val="1"/>
      </rPr>
      <t xml:space="preserve">少数股东权益占比（</t>
    </r>
    <r>
      <rPr>
        <sz val="10"/>
        <rFont val="Arial"/>
        <family val="0"/>
        <charset val="1"/>
      </rPr>
      <t xml:space="preserve">2027E–2030E </t>
    </r>
    <r>
      <rPr>
        <sz val="10"/>
        <rFont val="Noto Sans CJK SC"/>
        <family val="2"/>
        <charset val="1"/>
      </rPr>
      <t xml:space="preserve">少数股东损益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净利润均值）</t>
    </r>
  </si>
  <si>
    <t xml:space="preserve">按少数股东对未来利润的分享比例扣减</t>
  </si>
  <si>
    <r>
      <rPr>
        <sz val="10"/>
        <rFont val="Noto Sans CJK SC"/>
        <family val="2"/>
        <charset val="1"/>
      </rPr>
      <t xml:space="preserve">减：少数股东应占经营价值（</t>
    </r>
    <r>
      <rPr>
        <sz val="10"/>
        <rFont val="Arial"/>
        <family val="0"/>
        <charset val="1"/>
      </rPr>
      <t xml:space="preserve">EV×</t>
    </r>
    <r>
      <rPr>
        <sz val="10"/>
        <rFont val="Noto Sans CJK SC"/>
        <family val="2"/>
        <charset val="1"/>
      </rPr>
      <t xml:space="preserve">少数股东占比）</t>
    </r>
  </si>
  <si>
    <t xml:space="preserve">少数股东比例仅作用于经营价值；净现金按全额归属母公司处理（子公司现金占比小）</t>
  </si>
  <si>
    <r>
      <rPr>
        <b val="true"/>
        <sz val="10"/>
        <rFont val="Noto Sans CJK SC"/>
        <family val="2"/>
        <charset val="1"/>
      </rPr>
      <t xml:space="preserve">归母股权价值 </t>
    </r>
    <r>
      <rPr>
        <b val="true"/>
        <sz val="10"/>
        <rFont val="Arial"/>
        <family val="0"/>
        <charset val="1"/>
      </rPr>
      <t xml:space="preserve">= EV − </t>
    </r>
    <r>
      <rPr>
        <b val="true"/>
        <sz val="10"/>
        <rFont val="Noto Sans CJK SC"/>
        <family val="2"/>
        <charset val="1"/>
      </rPr>
      <t xml:space="preserve">少数股东价值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  <charset val="1"/>
      </rPr>
      <t xml:space="preserve">净现金及金融资产 − 中期股利</t>
    </r>
  </si>
  <si>
    <r>
      <rPr>
        <b val="true"/>
        <sz val="10"/>
        <rFont val="Noto Sans CJK SC"/>
        <family val="2"/>
        <charset val="1"/>
      </rPr>
      <t xml:space="preserve">每股价值（</t>
    </r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  <charset val="1"/>
      </rPr>
      <t xml:space="preserve">）</t>
    </r>
  </si>
  <si>
    <t xml:space="preserve">相对当前股价</t>
  </si>
  <si>
    <r>
      <rPr>
        <sz val="10"/>
        <rFont val="Noto Sans CJK SC"/>
        <family val="2"/>
        <charset val="1"/>
      </rPr>
      <t xml:space="preserve">隐含 </t>
    </r>
    <r>
      <rPr>
        <sz val="10"/>
        <rFont val="Arial"/>
        <family val="0"/>
        <charset val="1"/>
      </rPr>
      <t xml:space="preserve">2027E PE</t>
    </r>
  </si>
  <si>
    <r>
      <rPr>
        <b val="true"/>
        <sz val="10"/>
        <color rgb="FF1F3864"/>
        <rFont val="Noto Sans CJK SC"/>
        <family val="2"/>
        <charset val="1"/>
      </rPr>
      <t xml:space="preserve">四、反向</t>
    </r>
    <r>
      <rPr>
        <b val="true"/>
        <sz val="10"/>
        <color rgb="FF1F3864"/>
        <rFont val="Arial"/>
        <family val="0"/>
        <charset val="1"/>
      </rPr>
      <t xml:space="preserve">DCF</t>
    </r>
    <r>
      <rPr>
        <b val="true"/>
        <sz val="10"/>
        <color rgb="FF1F3864"/>
        <rFont val="Noto Sans CJK SC"/>
        <family val="2"/>
        <charset val="1"/>
      </rPr>
      <t xml:space="preserve">：当前股价隐含的长期利润水平</t>
    </r>
  </si>
  <si>
    <r>
      <rPr>
        <sz val="10"/>
        <rFont val="Noto Sans CJK SC"/>
        <family val="2"/>
        <charset val="1"/>
      </rPr>
      <t xml:space="preserve">隐含企业价值 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（市值 − 净现金等）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  <charset val="1"/>
      </rPr>
      <t xml:space="preserve">少数股东占比）</t>
    </r>
  </si>
  <si>
    <r>
      <rPr>
        <b val="true"/>
        <sz val="10"/>
        <rFont val="Noto Sans CJK SC"/>
        <family val="2"/>
        <charset val="1"/>
      </rPr>
      <t xml:space="preserve">隐含</t>
    </r>
    <r>
      <rPr>
        <b val="true"/>
        <sz val="10"/>
        <rFont val="Arial"/>
        <family val="0"/>
        <charset val="1"/>
      </rPr>
      <t xml:space="preserve">2031E</t>
    </r>
    <r>
      <rPr>
        <b val="true"/>
        <sz val="10"/>
        <rFont val="Noto Sans CJK SC"/>
        <family val="2"/>
        <charset val="1"/>
      </rPr>
      <t xml:space="preserve">起利润路径倍数（显式期不变，衰减期及永续期整体缩放）</t>
    </r>
  </si>
  <si>
    <r>
      <rPr>
        <i val="true"/>
        <sz val="9"/>
        <color rgb="FF808080"/>
        <rFont val="Arial"/>
        <family val="0"/>
        <charset val="1"/>
      </rPr>
      <t xml:space="preserve">&gt;1 </t>
    </r>
    <r>
      <rPr>
        <i val="true"/>
        <sz val="9"/>
        <color rgb="FF808080"/>
        <rFont val="Noto Sans CJK SC"/>
        <family val="2"/>
        <charset val="1"/>
      </rPr>
      <t xml:space="preserve">表示股价隐含的长期利润高于模型当前情景；衰减期再投资率与</t>
    </r>
    <r>
      <rPr>
        <i val="true"/>
        <sz val="9"/>
        <color rgb="FF808080"/>
        <rFont val="Arial"/>
        <family val="0"/>
        <charset val="1"/>
      </rPr>
      <t xml:space="preserve">NOPAT</t>
    </r>
    <r>
      <rPr>
        <i val="true"/>
        <sz val="9"/>
        <color rgb="FF808080"/>
        <rFont val="Noto Sans CJK SC"/>
        <family val="2"/>
        <charset val="1"/>
      </rPr>
      <t xml:space="preserve">成比例，故价值与路径倍数线性相关</t>
    </r>
  </si>
  <si>
    <r>
      <rPr>
        <sz val="10"/>
        <rFont val="Noto Sans CJK SC"/>
        <family val="2"/>
        <charset val="1"/>
      </rPr>
      <t xml:space="preserve">模型</t>
    </r>
    <r>
      <rPr>
        <sz val="10"/>
        <rFont val="Arial"/>
        <family val="0"/>
        <charset val="1"/>
      </rPr>
      <t xml:space="preserve">2040</t>
    </r>
    <r>
      <rPr>
        <sz val="10"/>
        <rFont val="Noto Sans CJK SC"/>
        <family val="2"/>
        <charset val="1"/>
      </rPr>
      <t xml:space="preserve">年</t>
    </r>
    <r>
      <rPr>
        <sz val="10"/>
        <rFont val="Arial"/>
        <family val="0"/>
        <charset val="1"/>
      </rPr>
      <t xml:space="preserve">NOPAT</t>
    </r>
  </si>
  <si>
    <r>
      <rPr>
        <b val="true"/>
        <sz val="10"/>
        <rFont val="Noto Sans CJK SC"/>
        <family val="2"/>
        <charset val="1"/>
      </rPr>
      <t xml:space="preserve">隐含</t>
    </r>
    <r>
      <rPr>
        <b val="true"/>
        <sz val="10"/>
        <rFont val="Arial"/>
        <family val="0"/>
        <charset val="1"/>
      </rPr>
      <t xml:space="preserve">2040</t>
    </r>
    <r>
      <rPr>
        <b val="true"/>
        <sz val="10"/>
        <rFont val="Noto Sans CJK SC"/>
        <family val="2"/>
        <charset val="1"/>
      </rPr>
      <t xml:space="preserve">年</t>
    </r>
    <r>
      <rPr>
        <b val="true"/>
        <sz val="10"/>
        <rFont val="Arial"/>
        <family val="0"/>
        <charset val="1"/>
      </rPr>
      <t xml:space="preserve">NOPAT</t>
    </r>
  </si>
  <si>
    <r>
      <rPr>
        <sz val="10"/>
        <rFont val="Noto Sans CJK SC"/>
        <family val="2"/>
        <charset val="1"/>
      </rPr>
      <t xml:space="preserve">隐含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  <charset val="1"/>
      </rPr>
      <t xml:space="preserve">模型</t>
    </r>
  </si>
  <si>
    <r>
      <rPr>
        <sz val="10"/>
        <rFont val="Noto Sans CJK SC"/>
        <family val="2"/>
        <charset val="1"/>
      </rPr>
      <t xml:space="preserve">隐含</t>
    </r>
    <r>
      <rPr>
        <sz val="10"/>
        <rFont val="Arial"/>
        <family val="0"/>
        <charset val="1"/>
      </rPr>
      <t xml:space="preserve">2040</t>
    </r>
    <r>
      <rPr>
        <sz val="10"/>
        <rFont val="Noto Sans CJK SC"/>
        <family val="2"/>
        <charset val="1"/>
      </rPr>
      <t xml:space="preserve">年收入（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  <charset val="1"/>
      </rPr>
      <t xml:space="preserve">率不变）</t>
    </r>
  </si>
  <si>
    <r>
      <rPr>
        <b val="true"/>
        <sz val="10"/>
        <rFont val="Noto Sans CJK SC"/>
        <family val="2"/>
        <charset val="1"/>
      </rPr>
      <t xml:space="preserve">隐含收入</t>
    </r>
    <r>
      <rPr>
        <b val="true"/>
        <sz val="10"/>
        <rFont val="Arial"/>
        <family val="0"/>
        <charset val="1"/>
      </rPr>
      <t xml:space="preserve">2025–2040</t>
    </r>
    <r>
      <rPr>
        <b val="true"/>
        <sz val="10"/>
        <rFont val="Noto Sans CJK SC"/>
        <family val="2"/>
        <charset val="1"/>
      </rPr>
      <t xml:space="preserve">年复合增速</t>
    </r>
  </si>
  <si>
    <r>
      <rPr>
        <sz val="10"/>
        <rFont val="Noto Sans CJK SC"/>
        <family val="2"/>
        <charset val="1"/>
      </rPr>
      <t xml:space="preserve">模型收入</t>
    </r>
    <r>
      <rPr>
        <sz val="10"/>
        <rFont val="Arial"/>
        <family val="0"/>
        <charset val="1"/>
      </rPr>
      <t xml:space="preserve">2025–2040</t>
    </r>
    <r>
      <rPr>
        <sz val="10"/>
        <rFont val="Noto Sans CJK SC"/>
        <family val="2"/>
        <charset val="1"/>
      </rPr>
      <t xml:space="preserve">年复合增速</t>
    </r>
  </si>
  <si>
    <r>
      <rPr>
        <sz val="10"/>
        <rFont val="Noto Sans CJK SC"/>
        <family val="2"/>
        <charset val="1"/>
      </rPr>
      <t xml:space="preserve">市场</t>
    </r>
    <r>
      <rPr>
        <sz val="10"/>
        <rFont val="Arial"/>
        <family val="0"/>
        <charset val="1"/>
      </rPr>
      <t xml:space="preserve">EV / </t>
    </r>
    <r>
      <rPr>
        <sz val="10"/>
        <rFont val="Noto Sans CJK SC"/>
        <family val="2"/>
        <charset val="1"/>
      </rPr>
      <t xml:space="preserve">模型</t>
    </r>
    <r>
      <rPr>
        <sz val="10"/>
        <rFont val="Arial"/>
        <family val="0"/>
        <charset val="1"/>
      </rPr>
      <t xml:space="preserve">2030E NOPAT</t>
    </r>
  </si>
  <si>
    <r>
      <rPr>
        <b val="true"/>
        <sz val="10"/>
        <color rgb="FF1F3864"/>
        <rFont val="Noto Sans CJK SC"/>
        <family val="2"/>
        <charset val="1"/>
      </rPr>
      <t xml:space="preserve">五、敏感性：每股价值（元）— </t>
    </r>
    <r>
      <rPr>
        <b val="true"/>
        <sz val="10"/>
        <color rgb="FF1F3864"/>
        <rFont val="Arial"/>
        <family val="0"/>
        <charset val="1"/>
      </rPr>
      <t xml:space="preserve">WACC × </t>
    </r>
    <r>
      <rPr>
        <b val="true"/>
        <sz val="10"/>
        <color rgb="FF1F3864"/>
        <rFont val="Noto Sans CJK SC"/>
        <family val="2"/>
        <charset val="1"/>
      </rPr>
      <t xml:space="preserve">永续增长率</t>
    </r>
  </si>
  <si>
    <t xml:space="preserve">WACC \ g</t>
  </si>
  <si>
    <r>
      <rPr>
        <i val="true"/>
        <sz val="9"/>
        <color rgb="FF808080"/>
        <rFont val="Noto Sans CJK SC"/>
        <family val="2"/>
        <charset val="1"/>
      </rPr>
      <t xml:space="preserve">注：敏感性表仅改变折现率与永续增长率，衰减期路径保持当前设定；表中心单元格应等于上方</t>
    </r>
    <r>
      <rPr>
        <i val="true"/>
        <sz val="9"/>
        <color rgb="FF808080"/>
        <rFont val="Arial"/>
        <family val="0"/>
        <charset val="1"/>
      </rPr>
      <t xml:space="preserve">DCF</t>
    </r>
    <r>
      <rPr>
        <i val="true"/>
        <sz val="9"/>
        <color rgb="FF808080"/>
        <rFont val="Noto Sans CJK SC"/>
        <family val="2"/>
        <charset val="1"/>
      </rPr>
      <t xml:space="preserve">每股价值（见“检查”表）。</t>
    </r>
  </si>
  <si>
    <r>
      <rPr>
        <b val="true"/>
        <sz val="10"/>
        <color rgb="FF1F3864"/>
        <rFont val="Noto Sans CJK SC"/>
        <family val="2"/>
        <charset val="1"/>
      </rPr>
      <t xml:space="preserve">六、敏感性：每股价值（元）— 衰减期起始增速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  <charset val="1"/>
      </rPr>
      <t xml:space="preserve">稳态</t>
    </r>
    <r>
      <rPr>
        <b val="true"/>
        <sz val="10"/>
        <color rgb="FF1F3864"/>
        <rFont val="Arial"/>
        <family val="0"/>
        <charset val="1"/>
      </rPr>
      <t xml:space="preserve">RONIC</t>
    </r>
    <r>
      <rPr>
        <b val="true"/>
        <sz val="10"/>
        <color rgb="FF1F3864"/>
        <rFont val="Noto Sans CJK SC"/>
        <family val="2"/>
        <charset val="1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  <charset val="1"/>
      </rPr>
      <t xml:space="preserve">为基准）</t>
    </r>
  </si>
  <si>
    <r>
      <rPr>
        <b val="true"/>
        <sz val="10"/>
        <color rgb="FF000000"/>
        <rFont val="Noto Sans CJK SC"/>
        <family val="2"/>
        <charset val="1"/>
      </rPr>
      <t xml:space="preserve">起始增速 </t>
    </r>
    <r>
      <rPr>
        <b val="true"/>
        <sz val="10"/>
        <color rgb="FF000000"/>
        <rFont val="Arial"/>
        <family val="0"/>
        <charset val="1"/>
      </rPr>
      <t xml:space="preserve">\ RONIC</t>
    </r>
  </si>
  <si>
    <r>
      <rPr>
        <i val="true"/>
        <sz val="9"/>
        <color rgb="FF808080"/>
        <rFont val="Noto Sans CJK SC"/>
        <family val="2"/>
        <charset val="1"/>
      </rPr>
      <t xml:space="preserve">注：本表按闭式公式重算衰减期与永续价值（</t>
    </r>
    <r>
      <rPr>
        <i val="true"/>
        <sz val="9"/>
        <color rgb="FF808080"/>
        <rFont val="Arial"/>
        <family val="0"/>
        <charset val="1"/>
      </rPr>
      <t xml:space="preserve">EBIT</t>
    </r>
    <r>
      <rPr>
        <i val="true"/>
        <sz val="9"/>
        <color rgb="FF808080"/>
        <rFont val="Noto Sans CJK SC"/>
        <family val="2"/>
        <charset val="1"/>
      </rPr>
      <t xml:space="preserve">率路径不变，再投资率随</t>
    </r>
    <r>
      <rPr>
        <i val="true"/>
        <sz val="9"/>
        <color rgb="FF808080"/>
        <rFont val="Arial"/>
        <family val="0"/>
        <charset val="1"/>
      </rPr>
      <t xml:space="preserve">RONIC</t>
    </r>
    <r>
      <rPr>
        <i val="true"/>
        <sz val="9"/>
        <color rgb="FF808080"/>
        <rFont val="Noto Sans CJK SC"/>
        <family val="2"/>
        <charset val="1"/>
      </rPr>
      <t xml:space="preserve">变化）；</t>
    </r>
    <r>
      <rPr>
        <i val="true"/>
        <sz val="9"/>
        <color rgb="FF808080"/>
        <rFont val="Arial"/>
        <family val="0"/>
        <charset val="1"/>
      </rPr>
      <t xml:space="preserve">RONIC</t>
    </r>
    <r>
      <rPr>
        <i val="true"/>
        <sz val="9"/>
        <color rgb="FF808080"/>
        <rFont val="Noto Sans CJK SC"/>
        <family val="2"/>
        <charset val="1"/>
      </rPr>
      <t xml:space="preserve">越接近</t>
    </r>
    <r>
      <rPr>
        <i val="true"/>
        <sz val="9"/>
        <color rgb="FF808080"/>
        <rFont val="Arial"/>
        <family val="0"/>
        <charset val="1"/>
      </rPr>
      <t xml:space="preserve">WACC</t>
    </r>
    <r>
      <rPr>
        <i val="true"/>
        <sz val="9"/>
        <color rgb="FF808080"/>
        <rFont val="Noto Sans CJK SC"/>
        <family val="2"/>
        <charset val="1"/>
      </rPr>
      <t xml:space="preserve">，增长创造的价值越少。中心单元格应等于上方</t>
    </r>
    <r>
      <rPr>
        <i val="true"/>
        <sz val="9"/>
        <color rgb="FF808080"/>
        <rFont val="Arial"/>
        <family val="0"/>
        <charset val="1"/>
      </rPr>
      <t xml:space="preserve">DCF</t>
    </r>
    <r>
      <rPr>
        <i val="true"/>
        <sz val="9"/>
        <color rgb="FF808080"/>
        <rFont val="Noto Sans CJK SC"/>
        <family val="2"/>
        <charset val="1"/>
      </rPr>
      <t xml:space="preserve">每股价值（见“检查”表）。</t>
    </r>
  </si>
  <si>
    <r>
      <rPr>
        <b val="true"/>
        <sz val="14"/>
        <color rgb="FF1F3864"/>
        <rFont val="Noto Sans CJK SC"/>
        <family val="2"/>
        <charset val="1"/>
      </rPr>
      <t xml:space="preserve">相对估值、分部估值（</t>
    </r>
    <r>
      <rPr>
        <b val="true"/>
        <sz val="14"/>
        <color rgb="FF1F3864"/>
        <rFont val="Arial"/>
        <family val="0"/>
        <charset val="1"/>
      </rPr>
      <t xml:space="preserve">SOTP</t>
    </r>
    <r>
      <rPr>
        <b val="true"/>
        <sz val="14"/>
        <color rgb="FF1F3864"/>
        <rFont val="Noto Sans CJK SC"/>
        <family val="2"/>
        <charset val="1"/>
      </rPr>
      <t xml:space="preserve">）与市场隐含预期</t>
    </r>
  </si>
  <si>
    <t xml:space="preserve">可比公司数据为硬编码输入（日期与来源见备注）；分部利润来自“业务拆分”。</t>
  </si>
  <si>
    <t xml:space="preserve">一、可比公司</t>
  </si>
  <si>
    <t xml:space="preserve">公司</t>
  </si>
  <si>
    <t xml:space="preserve">代码</t>
  </si>
  <si>
    <t xml:space="preserve">股价</t>
  </si>
  <si>
    <r>
      <rPr>
        <b val="true"/>
        <sz val="10"/>
        <color rgb="FF000000"/>
        <rFont val="Noto Sans CJK SC"/>
        <family val="2"/>
        <charset val="1"/>
      </rPr>
      <t xml:space="preserve">市值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亿元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</si>
  <si>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PE 2025A</t>
  </si>
  <si>
    <t xml:space="preserve">PE 2026E</t>
  </si>
  <si>
    <t xml:space="preserve">PE 2027E</t>
  </si>
  <si>
    <t xml:space="preserve">PB(MRQ)</t>
  </si>
  <si>
    <t xml:space="preserve">可比维度</t>
  </si>
  <si>
    <r>
      <rPr>
        <b val="true"/>
        <sz val="10"/>
        <color rgb="FF000000"/>
        <rFont val="Noto Sans CJK SC"/>
        <family val="2"/>
        <charset val="1"/>
      </rPr>
      <t xml:space="preserve">数据日期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来源</t>
    </r>
  </si>
  <si>
    <t xml:space="preserve">中材科技</t>
  </si>
  <si>
    <t xml:space="preserve">002080.SZ</t>
  </si>
  <si>
    <r>
      <rPr>
        <sz val="10"/>
        <color rgb="FF000000"/>
        <rFont val="Noto Sans CJK SC"/>
        <family val="2"/>
        <charset val="1"/>
      </rPr>
      <t xml:space="preserve">特种玻纤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电子布（含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  <charset val="1"/>
      </rPr>
      <t xml:space="preserve">布扩产）</t>
    </r>
  </si>
  <si>
    <r>
      <rPr>
        <sz val="10"/>
        <color rgb="FF000000"/>
        <rFont val="Noto Sans CJK SC"/>
        <family val="2"/>
        <charset val="1"/>
      </rPr>
      <t xml:space="preserve">股价</t>
    </r>
    <r>
      <rPr>
        <sz val="10"/>
        <color rgb="FF000000"/>
        <rFont val="Arial"/>
        <family val="0"/>
        <charset val="1"/>
      </rPr>
      <t xml:space="preserve">2026-09-07</t>
    </r>
    <r>
      <rPr>
        <sz val="10"/>
        <color rgb="FF000000"/>
        <rFont val="Noto Sans CJK SC"/>
        <family val="2"/>
        <charset val="1"/>
      </rPr>
      <t xml:space="preserve">；</t>
    </r>
    <r>
      <rPr>
        <sz val="10"/>
        <color rgb="FF000000"/>
        <rFont val="Arial"/>
        <family val="0"/>
        <charset val="1"/>
      </rPr>
      <t xml:space="preserve">2026E EPS 1.76</t>
    </r>
    <r>
      <rPr>
        <sz val="10"/>
        <color rgb="FF000000"/>
        <rFont val="Noto Sans CJK SC"/>
        <family val="2"/>
        <charset val="1"/>
      </rPr>
      <t xml:space="preserve">元（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  <charset val="1"/>
      </rPr>
      <t xml:space="preserve">家机构，</t>
    </r>
    <r>
      <rPr>
        <sz val="10"/>
        <color rgb="FF000000"/>
        <rFont val="Arial"/>
        <family val="0"/>
        <charset val="1"/>
      </rPr>
      <t xml:space="preserve">2026-08-06</t>
    </r>
    <r>
      <rPr>
        <sz val="10"/>
        <color rgb="FF000000"/>
        <rFont val="Noto Sans CJK SC"/>
        <family val="2"/>
        <charset val="1"/>
      </rPr>
      <t xml:space="preserve">），同花顺</t>
    </r>
  </si>
  <si>
    <t xml:space="preserve">生益科技</t>
  </si>
  <si>
    <t xml:space="preserve">600183.SH</t>
  </si>
  <si>
    <t xml:space="preserve">高速覆铜板（下游客户）</t>
  </si>
  <si>
    <r>
      <rPr>
        <sz val="10"/>
        <color rgb="FF000000"/>
        <rFont val="Noto Sans CJK SC"/>
        <family val="2"/>
        <charset val="1"/>
      </rPr>
      <t xml:space="preserve">市值</t>
    </r>
    <r>
      <rPr>
        <sz val="10"/>
        <color rgb="FF000000"/>
        <rFont val="Arial"/>
        <family val="0"/>
        <charset val="1"/>
      </rPr>
      <t xml:space="preserve">2026-09-27</t>
    </r>
    <r>
      <rPr>
        <sz val="10"/>
        <color rgb="FF000000"/>
        <rFont val="Noto Sans CJK SC"/>
        <family val="2"/>
        <charset val="1"/>
      </rPr>
      <t xml:space="preserve">（太平洋证券）；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  <charset val="1"/>
      </rPr>
      <t xml:space="preserve">净利润均值</t>
    </r>
    <r>
      <rPr>
        <sz val="10"/>
        <color rgb="FF000000"/>
        <rFont val="Arial"/>
        <family val="0"/>
        <charset val="1"/>
      </rPr>
      <t xml:space="preserve">66.70</t>
    </r>
    <r>
      <rPr>
        <sz val="10"/>
        <color rgb="FF000000"/>
        <rFont val="Noto Sans CJK SC"/>
        <family val="2"/>
        <charset val="1"/>
      </rPr>
      <t xml:space="preserve">亿元，同花顺</t>
    </r>
  </si>
  <si>
    <t xml:space="preserve">宏和科技</t>
  </si>
  <si>
    <t xml:space="preserve">603256.SH</t>
  </si>
  <si>
    <r>
      <rPr>
        <sz val="10"/>
        <color rgb="FF000000"/>
        <rFont val="Noto Sans CJK SC"/>
        <family val="2"/>
        <charset val="1"/>
      </rPr>
      <t xml:space="preserve">高端电子布（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  <charset val="1"/>
      </rPr>
      <t xml:space="preserve">布竞争者）</t>
    </r>
  </si>
  <si>
    <r>
      <rPr>
        <sz val="10"/>
        <color rgb="FF000000"/>
        <rFont val="Noto Sans CJK SC"/>
        <family val="2"/>
        <charset val="1"/>
      </rPr>
      <t xml:space="preserve">股价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市值</t>
    </r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  <charset val="1"/>
      </rPr>
      <t xml:space="preserve">；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  <charset val="1"/>
      </rPr>
      <t xml:space="preserve">净利润均值</t>
    </r>
    <r>
      <rPr>
        <sz val="10"/>
        <color rgb="FF000000"/>
        <rFont val="Arial"/>
        <family val="0"/>
        <charset val="1"/>
      </rPr>
      <t xml:space="preserve">7.52</t>
    </r>
    <r>
      <rPr>
        <sz val="10"/>
        <color rgb="FF000000"/>
        <rFont val="Noto Sans CJK SC"/>
        <family val="2"/>
        <charset val="1"/>
      </rPr>
      <t xml:space="preserve">亿元（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  <charset val="1"/>
      </rPr>
      <t xml:space="preserve">家机构）</t>
    </r>
  </si>
  <si>
    <t xml:space="preserve">光威复材</t>
  </si>
  <si>
    <t xml:space="preserve">300699.SZ</t>
  </si>
  <si>
    <t xml:space="preserve">军工新材料</t>
  </si>
  <si>
    <r>
      <rPr>
        <sz val="10"/>
        <color rgb="FF000000"/>
        <rFont val="Noto Sans CJK SC"/>
        <family val="2"/>
        <charset val="1"/>
      </rPr>
      <t xml:space="preserve">市值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  <charset val="1"/>
      </rPr>
      <t xml:space="preserve">月；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  <charset val="1"/>
      </rPr>
      <t xml:space="preserve">净利润</t>
    </r>
    <r>
      <rPr>
        <sz val="10"/>
        <color rgb="FF000000"/>
        <rFont val="Arial"/>
        <family val="0"/>
        <charset val="1"/>
      </rPr>
      <t xml:space="preserve">7.28</t>
    </r>
    <r>
      <rPr>
        <sz val="10"/>
        <color rgb="FF000000"/>
        <rFont val="Noto Sans CJK SC"/>
        <family val="2"/>
        <charset val="1"/>
      </rPr>
      <t xml:space="preserve">亿元（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  <charset val="1"/>
      </rPr>
      <t xml:space="preserve">家机构，</t>
    </r>
    <r>
      <rPr>
        <sz val="10"/>
        <color rgb="FF000000"/>
        <rFont val="Arial"/>
        <family val="0"/>
        <charset val="1"/>
      </rPr>
      <t xml:space="preserve">2026-10-03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</si>
  <si>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华秦科技</t>
  </si>
  <si>
    <t xml:space="preserve">688281.SH</t>
  </si>
  <si>
    <r>
      <rPr>
        <sz val="10"/>
        <color rgb="FF000000"/>
        <rFont val="Noto Sans CJK SC"/>
        <family val="2"/>
        <charset val="1"/>
      </rPr>
      <t xml:space="preserve">军工隐身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热防护材料</t>
    </r>
  </si>
  <si>
    <r>
      <rPr>
        <sz val="10"/>
        <color rgb="FF000000"/>
        <rFont val="Noto Sans CJK SC"/>
        <family val="2"/>
        <charset val="1"/>
      </rPr>
      <t xml:space="preserve">市值</t>
    </r>
    <r>
      <rPr>
        <sz val="10"/>
        <color rgb="FF000000"/>
        <rFont val="Arial"/>
        <family val="0"/>
        <charset val="1"/>
      </rPr>
      <t xml:space="preserve">2026-08-20</t>
    </r>
    <r>
      <rPr>
        <sz val="10"/>
        <color rgb="FF000000"/>
        <rFont val="Noto Sans CJK SC"/>
        <family val="2"/>
        <charset val="1"/>
      </rPr>
      <t xml:space="preserve">；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  <charset val="1"/>
      </rPr>
      <t xml:space="preserve">净利润</t>
    </r>
    <r>
      <rPr>
        <sz val="10"/>
        <color rgb="FF000000"/>
        <rFont val="Arial"/>
        <family val="0"/>
        <charset val="1"/>
      </rPr>
      <t xml:space="preserve">5.23</t>
    </r>
    <r>
      <rPr>
        <sz val="10"/>
        <color rgb="FF000000"/>
        <rFont val="Noto Sans CJK SC"/>
        <family val="2"/>
        <charset val="1"/>
      </rPr>
      <t xml:space="preserve">亿元，</t>
    </r>
    <r>
      <rPr>
        <sz val="10"/>
        <color rgb="FF000000"/>
        <rFont val="Arial"/>
        <family val="0"/>
        <charset val="1"/>
      </rPr>
      <t xml:space="preserve">2027E 5.9</t>
    </r>
    <r>
      <rPr>
        <sz val="10"/>
        <color rgb="FF000000"/>
        <rFont val="Noto Sans CJK SC"/>
        <family val="2"/>
        <charset val="1"/>
      </rPr>
      <t xml:space="preserve">亿元（东吴）</t>
    </r>
  </si>
  <si>
    <t xml:space="preserve">石英股份</t>
  </si>
  <si>
    <t xml:space="preserve">603688.SH</t>
  </si>
  <si>
    <r>
      <rPr>
        <sz val="10"/>
        <color rgb="FF000000"/>
        <rFont val="Noto Sans CJK SC"/>
        <family val="2"/>
        <charset val="1"/>
      </rPr>
      <t xml:space="preserve">高纯石英砂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半导体石英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</si>
  <si>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  <charset val="1"/>
      </rPr>
      <t xml:space="preserve">月末市值与静态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（同花顺快照）</t>
    </r>
  </si>
  <si>
    <r>
      <rPr>
        <b val="true"/>
        <sz val="10"/>
        <color rgb="FF000000"/>
        <rFont val="Noto Sans CJK SC"/>
        <family val="2"/>
        <charset val="1"/>
      </rPr>
      <t xml:space="preserve">中位数（</t>
    </r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Noto Sans CJK SC"/>
        <family val="2"/>
        <charset val="1"/>
      </rPr>
      <t xml:space="preserve">股可比）</t>
    </r>
  </si>
  <si>
    <r>
      <rPr>
        <b val="true"/>
        <sz val="10"/>
        <color rgb="FF000000"/>
        <rFont val="Noto Sans CJK SC"/>
        <family val="2"/>
        <charset val="1"/>
      </rPr>
      <t xml:space="preserve">均值（</t>
    </r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Noto Sans CJK SC"/>
        <family val="2"/>
        <charset val="1"/>
      </rPr>
      <t xml:space="preserve">股可比）</t>
    </r>
  </si>
  <si>
    <r>
      <rPr>
        <b val="true"/>
        <sz val="10"/>
        <color rgb="FF000000"/>
        <rFont val="Noto Sans CJK SC"/>
        <family val="2"/>
        <charset val="1"/>
      </rPr>
      <t xml:space="preserve">菲利华（当前股价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模型</t>
    </r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Noto Sans CJK SC"/>
        <family val="2"/>
        <charset val="1"/>
      </rPr>
      <t xml:space="preserve">）</t>
    </r>
  </si>
  <si>
    <t xml:space="preserve">300395.SZ</t>
  </si>
  <si>
    <r>
      <rPr>
        <i val="true"/>
        <sz val="9"/>
        <color rgb="FF808080"/>
        <rFont val="Noto Sans CJK SC"/>
        <family val="2"/>
        <charset val="1"/>
      </rPr>
      <t xml:space="preserve">注：可比公司</t>
    </r>
    <r>
      <rPr>
        <i val="true"/>
        <sz val="9"/>
        <color rgb="FF808080"/>
        <rFont val="Arial"/>
        <family val="0"/>
        <charset val="1"/>
      </rPr>
      <t xml:space="preserve">PB</t>
    </r>
    <r>
      <rPr>
        <i val="true"/>
        <sz val="9"/>
        <color rgb="FF808080"/>
        <rFont val="Noto Sans CJK SC"/>
        <family val="2"/>
        <charset val="1"/>
      </rPr>
      <t xml:space="preserve">未取得可靠快照，留空；菲利华</t>
    </r>
    <r>
      <rPr>
        <i val="true"/>
        <sz val="9"/>
        <color rgb="FF808080"/>
        <rFont val="Arial"/>
        <family val="0"/>
        <charset val="1"/>
      </rPr>
      <t xml:space="preserve">PB</t>
    </r>
    <r>
      <rPr>
        <i val="true"/>
        <sz val="9"/>
        <color rgb="FF808080"/>
        <rFont val="Noto Sans CJK SC"/>
        <family val="2"/>
        <charset val="1"/>
      </rPr>
      <t xml:space="preserve">按</t>
    </r>
    <r>
      <rPr>
        <i val="true"/>
        <sz val="9"/>
        <color rgb="FF808080"/>
        <rFont val="Arial"/>
        <family val="0"/>
        <charset val="1"/>
      </rPr>
      <t xml:space="preserve">2026-06-30</t>
    </r>
    <r>
      <rPr>
        <i val="true"/>
        <sz val="9"/>
        <color rgb="FF808080"/>
        <rFont val="Noto Sans CJK SC"/>
        <family val="2"/>
        <charset val="1"/>
      </rPr>
      <t xml:space="preserve">归母净资产计算（</t>
    </r>
    <r>
      <rPr>
        <i val="true"/>
        <sz val="9"/>
        <color rgb="FF808080"/>
        <rFont val="Arial"/>
        <family val="0"/>
        <charset val="1"/>
      </rPr>
      <t xml:space="preserve">MRQ</t>
    </r>
    <r>
      <rPr>
        <i val="true"/>
        <sz val="9"/>
        <color rgb="FF808080"/>
        <rFont val="Noto Sans CJK SC"/>
        <family val="2"/>
        <charset val="1"/>
      </rPr>
      <t xml:space="preserve">）。</t>
    </r>
    <r>
      <rPr>
        <i val="true"/>
        <sz val="9"/>
        <color rgb="FF808080"/>
        <rFont val="Arial"/>
        <family val="0"/>
        <charset val="1"/>
      </rPr>
      <t xml:space="preserve">2027E PE</t>
    </r>
    <r>
      <rPr>
        <i val="true"/>
        <sz val="9"/>
        <color rgb="FF808080"/>
        <rFont val="Noto Sans CJK SC"/>
        <family val="2"/>
        <charset val="1"/>
      </rPr>
      <t xml:space="preserve">仅华秦科技有数据，中位数代表性有限。</t>
    </r>
  </si>
  <si>
    <r>
      <rPr>
        <b val="true"/>
        <sz val="10"/>
        <color rgb="FF1F3864"/>
        <rFont val="Noto Sans CJK SC"/>
        <family val="2"/>
        <charset val="1"/>
      </rPr>
      <t xml:space="preserve">二、</t>
    </r>
    <r>
      <rPr>
        <b val="true"/>
        <sz val="10"/>
        <color rgb="FF1F3864"/>
        <rFont val="Arial"/>
        <family val="0"/>
        <charset val="1"/>
      </rPr>
      <t xml:space="preserve">PE </t>
    </r>
    <r>
      <rPr>
        <b val="true"/>
        <sz val="10"/>
        <color rgb="FF1F3864"/>
        <rFont val="Noto Sans CJK SC"/>
        <family val="2"/>
        <charset val="1"/>
      </rPr>
      <t xml:space="preserve">估值</t>
    </r>
  </si>
  <si>
    <r>
      <rPr>
        <sz val="10"/>
        <rFont val="Noto Sans CJK SC"/>
        <family val="2"/>
        <charset val="1"/>
      </rPr>
      <t xml:space="preserve">目标</t>
    </r>
    <r>
      <rPr>
        <sz val="10"/>
        <rFont val="Arial"/>
        <family val="0"/>
        <charset val="1"/>
      </rPr>
      <t xml:space="preserve">PE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2027E</t>
    </r>
    <r>
      <rPr>
        <sz val="10"/>
        <rFont val="Noto Sans CJK SC"/>
        <family val="2"/>
        <charset val="1"/>
      </rPr>
      <t xml:space="preserve">）</t>
    </r>
  </si>
  <si>
    <r>
      <rPr>
        <i val="true"/>
        <sz val="9"/>
        <color rgb="FF808080"/>
        <rFont val="Noto Sans CJK SC"/>
        <family val="2"/>
        <charset val="1"/>
      </rPr>
      <t xml:space="preserve">较</t>
    </r>
    <r>
      <rPr>
        <i val="true"/>
        <sz val="9"/>
        <color rgb="FF808080"/>
        <rFont val="Arial"/>
        <family val="0"/>
        <charset val="1"/>
      </rPr>
      <t xml:space="preserve">A</t>
    </r>
    <r>
      <rPr>
        <i val="true"/>
        <sz val="9"/>
        <color rgb="FF808080"/>
        <rFont val="Noto Sans CJK SC"/>
        <family val="2"/>
        <charset val="1"/>
      </rPr>
      <t xml:space="preserve">股可比公司</t>
    </r>
    <r>
      <rPr>
        <i val="true"/>
        <sz val="9"/>
        <color rgb="FF808080"/>
        <rFont val="Arial"/>
        <family val="0"/>
        <charset val="1"/>
      </rPr>
      <t xml:space="preserve">2026E PE</t>
    </r>
    <r>
      <rPr>
        <i val="true"/>
        <sz val="9"/>
        <color rgb="FF808080"/>
        <rFont val="Noto Sans CJK SC"/>
        <family val="2"/>
        <charset val="1"/>
      </rPr>
      <t xml:space="preserve">中位数（约</t>
    </r>
    <r>
      <rPr>
        <i val="true"/>
        <sz val="9"/>
        <color rgb="FF808080"/>
        <rFont val="Arial"/>
        <family val="0"/>
        <charset val="1"/>
      </rPr>
      <t xml:space="preserve">33x</t>
    </r>
    <r>
      <rPr>
        <i val="true"/>
        <sz val="9"/>
        <color rgb="FF808080"/>
        <rFont val="Noto Sans CJK SC"/>
        <family val="2"/>
        <charset val="1"/>
      </rPr>
      <t xml:space="preserve">）溢价约</t>
    </r>
    <r>
      <rPr>
        <i val="true"/>
        <sz val="9"/>
        <color rgb="FF808080"/>
        <rFont val="Arial"/>
        <family val="0"/>
        <charset val="1"/>
      </rPr>
      <t xml:space="preserve">35%</t>
    </r>
    <r>
      <rPr>
        <i val="true"/>
        <sz val="9"/>
        <color rgb="FF808080"/>
        <rFont val="Noto Sans CJK SC"/>
        <family val="2"/>
        <charset val="1"/>
      </rPr>
      <t xml:space="preserve">，参照中材科技约</t>
    </r>
    <r>
      <rPr>
        <i val="true"/>
        <sz val="9"/>
        <color rgb="FF808080"/>
        <rFont val="Arial"/>
        <family val="0"/>
        <charset val="1"/>
      </rPr>
      <t xml:space="preserve">28x</t>
    </r>
    <r>
      <rPr>
        <i val="true"/>
        <sz val="9"/>
        <color rgb="FF808080"/>
        <rFont val="Noto Sans CJK SC"/>
        <family val="2"/>
        <charset val="1"/>
      </rPr>
      <t xml:space="preserve">、光威复材约</t>
    </r>
    <r>
      <rPr>
        <i val="true"/>
        <sz val="9"/>
        <color rgb="FF808080"/>
        <rFont val="Arial"/>
        <family val="0"/>
        <charset val="1"/>
      </rPr>
      <t xml:space="preserve">26x</t>
    </r>
    <r>
      <rPr>
        <i val="true"/>
        <sz val="9"/>
        <color rgb="FF808080"/>
        <rFont val="Noto Sans CJK SC"/>
        <family val="2"/>
        <charset val="1"/>
      </rPr>
      <t xml:space="preserve">、华秦约</t>
    </r>
    <r>
      <rPr>
        <i val="true"/>
        <sz val="9"/>
        <color rgb="FF808080"/>
        <rFont val="Arial"/>
        <family val="0"/>
        <charset val="1"/>
      </rPr>
      <t xml:space="preserve">33x</t>
    </r>
    <r>
      <rPr>
        <i val="true"/>
        <sz val="9"/>
        <color rgb="FF808080"/>
        <rFont val="Noto Sans CJK SC"/>
        <family val="2"/>
        <charset val="1"/>
      </rPr>
      <t xml:space="preserve">、生益约</t>
    </r>
    <r>
      <rPr>
        <i val="true"/>
        <sz val="9"/>
        <color rgb="FF808080"/>
        <rFont val="Arial"/>
        <family val="0"/>
        <charset val="1"/>
      </rPr>
      <t xml:space="preserve">50x</t>
    </r>
    <r>
      <rPr>
        <i val="true"/>
        <sz val="9"/>
        <color rgb="FF808080"/>
        <rFont val="Noto Sans CJK SC"/>
        <family val="2"/>
        <charset val="1"/>
      </rPr>
      <t xml:space="preserve">与公司</t>
    </r>
    <r>
      <rPr>
        <i val="true"/>
        <sz val="9"/>
        <color rgb="FF808080"/>
        <rFont val="Arial"/>
        <family val="0"/>
        <charset val="1"/>
      </rPr>
      <t xml:space="preserve">2027-2028</t>
    </r>
    <r>
      <rPr>
        <i val="true"/>
        <sz val="9"/>
        <color rgb="FF808080"/>
        <rFont val="Noto Sans CJK SC"/>
        <family val="2"/>
        <charset val="1"/>
      </rPr>
      <t xml:space="preserve">年约</t>
    </r>
    <r>
      <rPr>
        <i val="true"/>
        <sz val="9"/>
        <color rgb="FF808080"/>
        <rFont val="Arial"/>
        <family val="0"/>
        <charset val="1"/>
      </rPr>
      <t xml:space="preserve">25%-30%</t>
    </r>
    <r>
      <rPr>
        <i val="true"/>
        <sz val="9"/>
        <color rgb="FF808080"/>
        <rFont val="Noto Sans CJK SC"/>
        <family val="2"/>
        <charset val="1"/>
      </rPr>
      <t xml:space="preserve">的利润增速；可比公司为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年</t>
    </r>
    <r>
      <rPr>
        <i val="true"/>
        <sz val="9"/>
        <color rgb="FF808080"/>
        <rFont val="Arial"/>
        <family val="0"/>
        <charset val="1"/>
      </rPr>
      <t xml:space="preserve">7-10</t>
    </r>
    <r>
      <rPr>
        <i val="true"/>
        <sz val="9"/>
        <color rgb="FF808080"/>
        <rFont val="Noto Sans CJK SC"/>
        <family val="2"/>
        <charset val="1"/>
      </rPr>
      <t xml:space="preserve">月不同日期的公开快照，需以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同日数据复核</t>
    </r>
  </si>
  <si>
    <r>
      <rPr>
        <sz val="10"/>
        <rFont val="Noto Sans CJK SC"/>
        <family val="2"/>
        <charset val="1"/>
      </rPr>
      <t xml:space="preserve">  区间下限</t>
    </r>
    <r>
      <rPr>
        <sz val="10"/>
        <rFont val="Arial"/>
        <family val="0"/>
        <charset val="1"/>
      </rPr>
      <t xml:space="preserve">PE</t>
    </r>
  </si>
  <si>
    <r>
      <rPr>
        <sz val="10"/>
        <rFont val="Noto Sans CJK SC"/>
        <family val="2"/>
        <charset val="1"/>
      </rPr>
      <t xml:space="preserve">  区间上限</t>
    </r>
    <r>
      <rPr>
        <sz val="10"/>
        <rFont val="Arial"/>
        <family val="0"/>
        <charset val="1"/>
      </rPr>
      <t xml:space="preserve">PE</t>
    </r>
  </si>
  <si>
    <r>
      <rPr>
        <sz val="10"/>
        <rFont val="Arial"/>
        <family val="0"/>
        <charset val="1"/>
      </rPr>
      <t xml:space="preserve">2027E EPS</t>
    </r>
    <r>
      <rPr>
        <sz val="10"/>
        <rFont val="Noto Sans CJK SC"/>
        <family val="2"/>
        <charset val="1"/>
      </rPr>
      <t xml:space="preserve">（模型）</t>
    </r>
  </si>
  <si>
    <r>
      <rPr>
        <b val="true"/>
        <sz val="10"/>
        <rFont val="Arial"/>
        <family val="0"/>
        <charset val="1"/>
      </rPr>
      <t xml:space="preserve">PE</t>
    </r>
    <r>
      <rPr>
        <b val="true"/>
        <sz val="10"/>
        <rFont val="Noto Sans CJK SC"/>
        <family val="2"/>
        <charset val="1"/>
      </rPr>
      <t xml:space="preserve">法每股价值</t>
    </r>
  </si>
  <si>
    <t xml:space="preserve">  下限</t>
  </si>
  <si>
    <t xml:space="preserve">  上限</t>
  </si>
  <si>
    <r>
      <rPr>
        <b val="true"/>
        <sz val="10"/>
        <color rgb="FF1F3864"/>
        <rFont val="Noto Sans CJK SC"/>
        <family val="2"/>
        <charset val="1"/>
      </rPr>
      <t xml:space="preserve">三、分部估值（</t>
    </r>
    <r>
      <rPr>
        <b val="true"/>
        <sz val="10"/>
        <color rgb="FF1F3864"/>
        <rFont val="Arial"/>
        <family val="0"/>
        <charset val="1"/>
      </rPr>
      <t xml:space="preserve">SOTP</t>
    </r>
    <r>
      <rPr>
        <b val="true"/>
        <sz val="10"/>
        <color rgb="FF1F3864"/>
        <rFont val="Noto Sans CJK SC"/>
        <family val="2"/>
        <charset val="1"/>
      </rPr>
      <t xml:space="preserve">，</t>
    </r>
    <r>
      <rPr>
        <b val="true"/>
        <sz val="10"/>
        <color rgb="FF1F3864"/>
        <rFont val="Arial"/>
        <family val="0"/>
        <charset val="1"/>
      </rPr>
      <t xml:space="preserve">2027E </t>
    </r>
    <r>
      <rPr>
        <b val="true"/>
        <sz val="10"/>
        <color rgb="FF1F3864"/>
        <rFont val="Noto Sans CJK SC"/>
        <family val="2"/>
        <charset val="1"/>
      </rPr>
      <t xml:space="preserve">与 </t>
    </r>
    <r>
      <rPr>
        <b val="true"/>
        <sz val="10"/>
        <color rgb="FF1F3864"/>
        <rFont val="Arial"/>
        <family val="0"/>
        <charset val="1"/>
      </rPr>
      <t xml:space="preserve">2028E </t>
    </r>
    <r>
      <rPr>
        <b val="true"/>
        <sz val="10"/>
        <color rgb="FF1F3864"/>
        <rFont val="Noto Sans CJK SC"/>
        <family val="2"/>
        <charset val="1"/>
      </rPr>
      <t xml:space="preserve">归母净利润）</t>
    </r>
  </si>
  <si>
    <t xml:space="preserve">业务</t>
  </si>
  <si>
    <r>
      <rPr>
        <b val="true"/>
        <sz val="10"/>
        <color rgb="FF000000"/>
        <rFont val="Noto Sans CJK SC"/>
        <family val="2"/>
        <charset val="1"/>
      </rPr>
      <t xml:space="preserve">目标</t>
    </r>
    <r>
      <rPr>
        <b val="true"/>
        <sz val="10"/>
        <color rgb="FF000000"/>
        <rFont val="Arial"/>
        <family val="0"/>
        <charset val="1"/>
      </rPr>
      <t xml:space="preserve">PE</t>
    </r>
  </si>
  <si>
    <r>
      <rPr>
        <b val="true"/>
        <sz val="10"/>
        <color rgb="FF000000"/>
        <rFont val="Noto Sans CJK SC"/>
        <family val="2"/>
        <charset val="1"/>
      </rPr>
      <t xml:space="preserve">价值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百万元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</si>
  <si>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估值依据</t>
  </si>
  <si>
    <r>
      <rPr>
        <sz val="10"/>
        <color rgb="FF000000"/>
        <rFont val="Noto Sans CJK SC"/>
        <family val="2"/>
        <charset val="1"/>
      </rPr>
      <t xml:space="preserve">半导体材料国产替代，参照半导体材料</t>
    </r>
    <r>
      <rPr>
        <sz val="10"/>
        <color rgb="FF000000"/>
        <rFont val="Arial"/>
        <family val="0"/>
        <charset val="1"/>
      </rPr>
      <t xml:space="preserve">30-50x</t>
    </r>
  </si>
  <si>
    <r>
      <rPr>
        <sz val="10"/>
        <color rgb="FF000000"/>
        <rFont val="Noto Sans CJK SC"/>
        <family val="2"/>
        <charset val="1"/>
      </rPr>
      <t xml:space="preserve">军工新材料（光威、华秦）</t>
    </r>
    <r>
      <rPr>
        <sz val="10"/>
        <color rgb="FF000000"/>
        <rFont val="Arial"/>
        <family val="0"/>
        <charset val="1"/>
      </rPr>
      <t xml:space="preserve">26-33x</t>
    </r>
  </si>
  <si>
    <r>
      <rPr>
        <sz val="10"/>
        <color rgb="FF000000"/>
        <rFont val="Noto Sans CJK SC"/>
        <family val="2"/>
        <charset val="1"/>
      </rPr>
      <t xml:space="preserve">光学（合成石英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光掩膜基板）</t>
    </r>
  </si>
  <si>
    <r>
      <rPr>
        <sz val="10"/>
        <color rgb="FF000000"/>
        <rFont val="Noto Sans CJK SC"/>
        <family val="2"/>
        <charset val="1"/>
      </rPr>
      <t xml:space="preserve">合成石英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光掩膜基板稀缺性，与半导体同档</t>
    </r>
  </si>
  <si>
    <t xml:space="preserve">周期性涨价，给予低倍数</t>
  </si>
  <si>
    <t xml:space="preserve">产能过剩行业</t>
  </si>
  <si>
    <r>
      <rPr>
        <sz val="10"/>
        <color rgb="FF000000"/>
        <rFont val="Noto Sans CJK SC"/>
        <family val="2"/>
        <charset val="1"/>
      </rPr>
      <t xml:space="preserve">高增长但客户认证与竞争不确定，参照中材科技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宏和区间取中低值</t>
    </r>
  </si>
  <si>
    <t xml:space="preserve">玻纤布</t>
  </si>
  <si>
    <r>
      <rPr>
        <sz val="10"/>
        <color rgb="FF000000"/>
        <rFont val="Noto Sans CJK SC"/>
        <family val="2"/>
        <charset val="1"/>
      </rPr>
      <t xml:space="preserve">非经营项目（补助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减值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其他，不含净金融收益）</t>
    </r>
  </si>
  <si>
    <t xml:space="preserve">利息、补助等，低倍数</t>
  </si>
  <si>
    <t xml:space="preserve">净金融收益（税后，以净现金计价，见下行）</t>
  </si>
  <si>
    <r>
      <rPr>
        <sz val="10"/>
        <color rgb="FF000000"/>
        <rFont val="Noto Sans CJK SC"/>
        <family val="2"/>
        <charset val="1"/>
      </rPr>
      <t xml:space="preserve">利息收入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理财收益−利息支出；价值以净现金替代，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取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避免重复</t>
    </r>
  </si>
  <si>
    <r>
      <rPr>
        <sz val="10"/>
        <color rgb="FF000000"/>
        <rFont val="Noto Sans CJK SC"/>
        <family val="2"/>
        <charset val="1"/>
      </rPr>
      <t xml:space="preserve">加：净现金及金融资产（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  <charset val="1"/>
      </rPr>
      <t xml:space="preserve">，扣中期股利）</t>
    </r>
  </si>
  <si>
    <r>
      <rPr>
        <sz val="10"/>
        <color rgb="FF000000"/>
        <rFont val="Noto Sans CJK SC"/>
        <family val="2"/>
        <charset val="1"/>
      </rPr>
      <t xml:space="preserve">货币资金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金融资产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长期股权投资−有息负债−中期股利；不折现</t>
    </r>
  </si>
  <si>
    <r>
      <rPr>
        <i val="true"/>
        <sz val="9"/>
        <color rgb="FF808080"/>
        <rFont val="Noto Sans CJK SC"/>
        <family val="2"/>
        <charset val="1"/>
      </rPr>
      <t xml:space="preserve">注：合计行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Noto Sans CJK SC"/>
        <family val="2"/>
        <charset val="1"/>
      </rPr>
      <t xml:space="preserve">为经营部分隐含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Noto Sans CJK SC"/>
        <family val="2"/>
        <charset val="1"/>
      </rPr>
      <t xml:space="preserve">（不含净现金）。</t>
    </r>
  </si>
  <si>
    <r>
      <rPr>
        <b val="true"/>
        <sz val="10"/>
        <rFont val="Arial"/>
        <family val="0"/>
        <charset val="1"/>
      </rPr>
      <t xml:space="preserve">SOTP</t>
    </r>
    <r>
      <rPr>
        <b val="true"/>
        <sz val="10"/>
        <rFont val="Noto Sans CJK SC"/>
        <family val="2"/>
        <charset val="1"/>
      </rPr>
      <t xml:space="preserve">每股价值（基于</t>
    </r>
    <r>
      <rPr>
        <b val="true"/>
        <sz val="10"/>
        <rFont val="Arial"/>
        <family val="0"/>
        <charset val="1"/>
      </rPr>
      <t xml:space="preserve">2027E</t>
    </r>
    <r>
      <rPr>
        <b val="true"/>
        <sz val="10"/>
        <rFont val="Noto Sans CJK SC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</si>
  <si>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SOTP</t>
    </r>
    <r>
      <rPr>
        <b val="true"/>
        <sz val="10"/>
        <rFont val="Noto Sans CJK SC"/>
        <family val="2"/>
        <charset val="1"/>
      </rPr>
      <t xml:space="preserve">每股价值（基于</t>
    </r>
    <r>
      <rPr>
        <b val="true"/>
        <sz val="10"/>
        <rFont val="Arial"/>
        <family val="0"/>
        <charset val="1"/>
      </rPr>
      <t xml:space="preserve">2028E</t>
    </r>
    <r>
      <rPr>
        <b val="true"/>
        <sz val="10"/>
        <rFont val="Noto Sans CJK SC"/>
        <family val="2"/>
        <charset val="1"/>
      </rPr>
      <t xml:space="preserve">，经营部分按</t>
    </r>
    <r>
      <rPr>
        <b val="true"/>
        <sz val="10"/>
        <rFont val="Arial"/>
        <family val="0"/>
        <charset val="1"/>
      </rPr>
      <t xml:space="preserve">Ke</t>
    </r>
    <r>
      <rPr>
        <b val="true"/>
        <sz val="10"/>
        <rFont val="Noto Sans CJK SC"/>
        <family val="2"/>
        <charset val="1"/>
      </rPr>
      <t xml:space="preserve">折现一年）</t>
    </r>
  </si>
  <si>
    <r>
      <rPr>
        <sz val="10"/>
        <rFont val="Arial"/>
        <family val="0"/>
        <charset val="1"/>
      </rPr>
      <t xml:space="preserve">  DCF</t>
    </r>
    <r>
      <rPr>
        <sz val="10"/>
        <rFont val="Noto Sans CJK SC"/>
        <family val="2"/>
        <charset val="1"/>
      </rPr>
      <t xml:space="preserve">达到</t>
    </r>
    <r>
      <rPr>
        <sz val="10"/>
        <rFont val="Arial"/>
        <family val="0"/>
        <charset val="1"/>
      </rPr>
      <t xml:space="preserve">PE</t>
    </r>
    <r>
      <rPr>
        <sz val="10"/>
        <rFont val="Noto Sans CJK SC"/>
        <family val="2"/>
        <charset val="1"/>
      </rPr>
      <t xml:space="preserve">法价值所需的</t>
    </r>
    <r>
      <rPr>
        <sz val="10"/>
        <rFont val="Arial"/>
        <family val="0"/>
        <charset val="1"/>
      </rPr>
      <t xml:space="preserve">2031E</t>
    </r>
    <r>
      <rPr>
        <sz val="10"/>
        <rFont val="Noto Sans CJK SC"/>
        <family val="2"/>
        <charset val="1"/>
      </rPr>
      <t xml:space="preserve">后利润路径倍数</t>
    </r>
  </si>
  <si>
    <r>
      <rPr>
        <i val="true"/>
        <sz val="9"/>
        <color rgb="FF808080"/>
        <rFont val="Noto Sans CJK SC"/>
        <family val="2"/>
        <charset val="1"/>
      </rPr>
      <t xml:space="preserve">显式期不变，衰减期与永续期利润整体放大至该倍数时，</t>
    </r>
    <r>
      <rPr>
        <i val="true"/>
        <sz val="9"/>
        <color rgb="FF808080"/>
        <rFont val="Arial"/>
        <family val="0"/>
        <charset val="1"/>
      </rPr>
      <t xml:space="preserve">DCF</t>
    </r>
    <r>
      <rPr>
        <i val="true"/>
        <sz val="9"/>
        <color rgb="FF808080"/>
        <rFont val="Noto Sans CJK SC"/>
        <family val="2"/>
        <charset val="1"/>
      </rPr>
      <t xml:space="preserve">每股价值等于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Noto Sans CJK SC"/>
        <family val="2"/>
        <charset val="1"/>
      </rPr>
      <t xml:space="preserve">法</t>
    </r>
  </si>
  <si>
    <r>
      <rPr>
        <sz val="10"/>
        <rFont val="Noto Sans CJK SC"/>
        <family val="2"/>
        <charset val="1"/>
      </rPr>
      <t xml:space="preserve">  半导体占非电子布经营业务价值比例（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）</t>
    </r>
  </si>
  <si>
    <r>
      <rPr>
        <b val="true"/>
        <sz val="10"/>
        <color rgb="FF1F3864"/>
        <rFont val="Noto Sans CJK SC"/>
        <family val="2"/>
        <charset val="1"/>
      </rPr>
      <t xml:space="preserve">四、市场隐含预期：当前市值隐含的石英电子布利润与销量（</t>
    </r>
    <r>
      <rPr>
        <b val="true"/>
        <sz val="10"/>
        <color rgb="FF1F3864"/>
        <rFont val="Arial"/>
        <family val="0"/>
        <charset val="1"/>
      </rPr>
      <t xml:space="preserve">2028E</t>
    </r>
    <r>
      <rPr>
        <b val="true"/>
        <sz val="10"/>
        <color rgb="FF1F3864"/>
        <rFont val="Noto Sans CJK SC"/>
        <family val="2"/>
        <charset val="1"/>
      </rPr>
      <t xml:space="preserve">口径）</t>
    </r>
  </si>
  <si>
    <t xml:space="preserve">当前总市值</t>
  </si>
  <si>
    <r>
      <rPr>
        <sz val="10"/>
        <rFont val="Noto Sans CJK SC"/>
        <family val="2"/>
        <charset val="1"/>
      </rPr>
      <t xml:space="preserve">减：非电子布业务价值（</t>
    </r>
    <r>
      <rPr>
        <sz val="10"/>
        <rFont val="Arial"/>
        <family val="0"/>
        <charset val="1"/>
      </rPr>
      <t xml:space="preserve">SOTP 2028E</t>
    </r>
    <r>
      <rPr>
        <sz val="10"/>
        <rFont val="Noto Sans CJK SC"/>
        <family val="2"/>
        <charset val="1"/>
      </rPr>
      <t xml:space="preserve">经营部分折现一年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净现金）</t>
    </r>
  </si>
  <si>
    <t xml:space="preserve">市场隐含电子布业务价值</t>
  </si>
  <si>
    <r>
      <rPr>
        <sz val="10"/>
        <rFont val="Noto Sans CJK SC"/>
        <family val="2"/>
        <charset val="1"/>
      </rPr>
      <t xml:space="preserve">  电子布目标</t>
    </r>
    <r>
      <rPr>
        <sz val="10"/>
        <rFont val="Arial"/>
        <family val="0"/>
        <charset val="1"/>
      </rPr>
      <t xml:space="preserve">PE</t>
    </r>
    <r>
      <rPr>
        <sz val="10"/>
        <rFont val="Noto Sans CJK SC"/>
        <family val="2"/>
        <charset val="1"/>
      </rPr>
      <t xml:space="preserve">（同上表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</si>
  <si>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Noto Sans CJK SC"/>
        <family val="2"/>
        <charset val="1"/>
      </rPr>
      <t xml:space="preserve">  隐含电子布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归母净利润（已折现一年还原）</t>
    </r>
  </si>
  <si>
    <r>
      <rPr>
        <sz val="10"/>
        <rFont val="Noto Sans CJK SC"/>
        <family val="2"/>
        <charset val="1"/>
      </rPr>
      <t xml:space="preserve">  模型电子布归母净利率（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）</t>
    </r>
  </si>
  <si>
    <t xml:space="preserve">  隐含电子布收入</t>
  </si>
  <si>
    <r>
      <rPr>
        <b val="true"/>
        <sz val="10"/>
        <rFont val="Noto Sans CJK SC"/>
        <family val="2"/>
        <charset val="1"/>
      </rPr>
      <t xml:space="preserve">  隐含销量（按模型</t>
    </r>
    <r>
      <rPr>
        <b val="true"/>
        <sz val="10"/>
        <rFont val="Arial"/>
        <family val="0"/>
        <charset val="1"/>
      </rPr>
      <t xml:space="preserve">2028E</t>
    </r>
    <r>
      <rPr>
        <b val="true"/>
        <sz val="10"/>
        <rFont val="Noto Sans CJK SC"/>
        <family val="2"/>
        <charset val="1"/>
      </rPr>
      <t xml:space="preserve">均价）</t>
    </r>
  </si>
  <si>
    <r>
      <rPr>
        <sz val="10"/>
        <rFont val="Noto Sans CJK SC"/>
        <family val="2"/>
        <charset val="1"/>
      </rPr>
      <t xml:space="preserve">  模型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销量（当前情景）</t>
    </r>
  </si>
  <si>
    <r>
      <rPr>
        <b val="true"/>
        <sz val="10"/>
        <rFont val="Noto Sans CJK SC"/>
        <family val="2"/>
        <charset val="1"/>
      </rPr>
      <t xml:space="preserve">  隐含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  <charset val="1"/>
      </rPr>
      <t xml:space="preserve">模型</t>
    </r>
  </si>
  <si>
    <r>
      <rPr>
        <i val="true"/>
        <sz val="9"/>
        <color rgb="FF808080"/>
        <rFont val="Arial"/>
        <family val="0"/>
        <charset val="1"/>
      </rPr>
      <t xml:space="preserve">&gt;1 </t>
    </r>
    <r>
      <rPr>
        <i val="true"/>
        <sz val="9"/>
        <color rgb="FF808080"/>
        <rFont val="Noto Sans CJK SC"/>
        <family val="2"/>
        <charset val="1"/>
      </rPr>
      <t xml:space="preserve">表示市场定价高于当前情景的电子布放量假设</t>
    </r>
  </si>
  <si>
    <r>
      <rPr>
        <sz val="10"/>
        <color rgb="FF000000"/>
        <rFont val="Noto Sans CJK SC"/>
        <family val="2"/>
        <charset val="1"/>
      </rPr>
      <t xml:space="preserve">  电子布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敏感性：</t>
    </r>
    <r>
      <rPr>
        <sz val="10"/>
        <color rgb="FF000000"/>
        <rFont val="Arial"/>
        <family val="0"/>
        <charset val="1"/>
      </rPr>
      <t xml:space="preserve">PE (x)</t>
    </r>
  </si>
  <si>
    <r>
      <rPr>
        <sz val="10"/>
        <color rgb="FF000000"/>
        <rFont val="Noto Sans CJK SC"/>
        <family val="2"/>
        <charset val="1"/>
      </rPr>
      <t xml:space="preserve">  对应隐含</t>
    </r>
    <r>
      <rPr>
        <sz val="10"/>
        <color rgb="FF000000"/>
        <rFont val="Arial"/>
        <family val="0"/>
        <charset val="1"/>
      </rPr>
      <t xml:space="preserve">2028E</t>
    </r>
    <r>
      <rPr>
        <sz val="10"/>
        <color rgb="FF000000"/>
        <rFont val="Noto Sans CJK SC"/>
        <family val="2"/>
        <charset val="1"/>
      </rPr>
      <t xml:space="preserve">销量（万米）</t>
    </r>
  </si>
  <si>
    <r>
      <rPr>
        <b val="true"/>
        <sz val="10"/>
        <color rgb="FF1F3864"/>
        <rFont val="Noto Sans CJK SC"/>
        <family val="2"/>
        <charset val="1"/>
      </rPr>
      <t xml:space="preserve">五、电子布对每股价值的贡献（元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股）— </t>
    </r>
    <r>
      <rPr>
        <b val="true"/>
        <sz val="10"/>
        <color rgb="FF1F3864"/>
        <rFont val="Arial"/>
        <family val="0"/>
        <charset val="1"/>
      </rPr>
      <t xml:space="preserve">2028E </t>
    </r>
    <r>
      <rPr>
        <b val="true"/>
        <sz val="10"/>
        <color rgb="FF1F3864"/>
        <rFont val="Noto Sans CJK SC"/>
        <family val="2"/>
        <charset val="1"/>
      </rPr>
      <t xml:space="preserve">销量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  <charset val="1"/>
      </rPr>
      <t xml:space="preserve">均价</t>
    </r>
  </si>
  <si>
    <r>
      <rPr>
        <sz val="10"/>
        <rFont val="Noto Sans CJK SC"/>
        <family val="2"/>
        <charset val="1"/>
      </rPr>
      <t xml:space="preserve">  单位营业成本（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，元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米）</t>
    </r>
  </si>
  <si>
    <t xml:space="preserve">假设单位成本不随售价变化，售价变动全部进入毛利</t>
  </si>
  <si>
    <r>
      <rPr>
        <sz val="10"/>
        <rFont val="Noto Sans CJK SC"/>
        <family val="2"/>
        <charset val="1"/>
      </rPr>
      <t xml:space="preserve">  单位期间费用（</t>
    </r>
    <r>
      <rPr>
        <sz val="10"/>
        <rFont val="Arial"/>
        <family val="0"/>
        <charset val="1"/>
      </rPr>
      <t xml:space="preserve">2028E</t>
    </r>
    <r>
      <rPr>
        <sz val="10"/>
        <rFont val="Noto Sans CJK SC"/>
        <family val="2"/>
        <charset val="1"/>
      </rPr>
      <t xml:space="preserve">，元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米）</t>
    </r>
  </si>
  <si>
    <r>
      <rPr>
        <sz val="10"/>
        <rFont val="Noto Sans CJK SC"/>
        <family val="2"/>
        <charset val="1"/>
      </rPr>
      <t xml:space="preserve">  税后归母保留比例 </t>
    </r>
    <r>
      <rPr>
        <sz val="10"/>
        <rFont val="Arial"/>
        <family val="0"/>
        <charset val="1"/>
      </rPr>
      <t xml:space="preserve">(1−</t>
    </r>
    <r>
      <rPr>
        <sz val="10"/>
        <rFont val="Noto Sans CJK SC"/>
        <family val="2"/>
        <charset val="1"/>
      </rPr>
      <t xml:space="preserve">税率</t>
    </r>
    <r>
      <rPr>
        <sz val="10"/>
        <rFont val="Arial"/>
        <family val="0"/>
        <charset val="1"/>
      </rPr>
      <t xml:space="preserve">)×(1−</t>
    </r>
    <r>
      <rPr>
        <sz val="10"/>
        <rFont val="Noto Sans CJK SC"/>
        <family val="2"/>
        <charset val="1"/>
      </rPr>
      <t xml:space="preserve">少数股东比例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</si>
  <si>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  <charset val="1"/>
      </rPr>
      <t xml:space="preserve">销量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万米</t>
    </r>
    <r>
      <rPr>
        <b val="true"/>
        <sz val="10"/>
        <color rgb="FF000000"/>
        <rFont val="Arial"/>
        <family val="0"/>
        <charset val="1"/>
      </rPr>
      <t xml:space="preserve">) \ </t>
    </r>
    <r>
      <rPr>
        <b val="true"/>
        <sz val="10"/>
        <color rgb="FF000000"/>
        <rFont val="Noto Sans CJK SC"/>
        <family val="2"/>
        <charset val="1"/>
      </rPr>
      <t xml:space="preserve">均价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米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</si>
  <si>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  <charset val="1"/>
      </rPr>
      <t xml:space="preserve">口径：销量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（均价−单位成本−单位费用）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税后归母保留比例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  <charset val="1"/>
      </rPr>
      <t xml:space="preserve">目标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Noto Sans CJK SC"/>
        <family val="2"/>
        <charset val="1"/>
      </rPr>
      <t xml:space="preserve">，按</t>
    </r>
    <r>
      <rPr>
        <i val="true"/>
        <sz val="9"/>
        <color rgb="FF808080"/>
        <rFont val="Arial"/>
        <family val="0"/>
        <charset val="1"/>
      </rPr>
      <t xml:space="preserve">Ke</t>
    </r>
    <r>
      <rPr>
        <i val="true"/>
        <sz val="9"/>
        <color rgb="FF808080"/>
        <rFont val="Noto Sans CJK SC"/>
        <family val="2"/>
        <charset val="1"/>
      </rPr>
      <t xml:space="preserve">折现一年后除以总股本；单位成本与费用取</t>
    </r>
    <r>
      <rPr>
        <i val="true"/>
        <sz val="9"/>
        <color rgb="FF808080"/>
        <rFont val="Arial"/>
        <family val="0"/>
        <charset val="1"/>
      </rPr>
      <t xml:space="preserve">2028E</t>
    </r>
    <r>
      <rPr>
        <i val="true"/>
        <sz val="9"/>
        <color rgb="FF808080"/>
        <rFont val="Noto Sans CJK SC"/>
        <family val="2"/>
        <charset val="1"/>
      </rPr>
      <t xml:space="preserve">模型值，售价变化全部进入利润。</t>
    </r>
  </si>
  <si>
    <r>
      <rPr>
        <b val="true"/>
        <sz val="10"/>
        <color rgb="FF1F3864"/>
        <rFont val="Noto Sans CJK SC"/>
        <family val="2"/>
        <charset val="1"/>
      </rPr>
      <t xml:space="preserve">六、估值汇总（元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  <charset val="1"/>
      </rPr>
      <t xml:space="preserve">股）</t>
    </r>
  </si>
  <si>
    <t xml:space="preserve">方法</t>
  </si>
  <si>
    <t xml:space="preserve">说明</t>
  </si>
  <si>
    <t xml:space="preserve">区间宽度</t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</si>
  <si>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WACC ±0.5%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</si>
  <si>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10"/>
        <color rgb="FF000000"/>
        <rFont val="Noto Sans CJK SC"/>
        <family val="2"/>
        <charset val="1"/>
      </rPr>
      <t xml:space="preserve">见</t>
    </r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表；当前情景</t>
    </r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</si>
  <si>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</si>
  <si>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sz val="10"/>
        <color rgb="FF000000"/>
        <rFont val="Noto Sans CJK SC"/>
        <family val="2"/>
        <charset val="1"/>
      </rPr>
      <t xml:space="preserve">目标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区间见上</t>
    </r>
  </si>
  <si>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2027E / 2028E</t>
    </r>
    <r>
      <rPr>
        <sz val="10"/>
        <color rgb="FF000000"/>
        <rFont val="Noto Sans CJK SC"/>
        <family val="2"/>
        <charset val="1"/>
      </rPr>
      <t xml:space="preserve">折现）</t>
    </r>
  </si>
  <si>
    <r>
      <rPr>
        <sz val="10"/>
        <color rgb="FF000000"/>
        <rFont val="Noto Sans CJK SC"/>
        <family val="2"/>
        <charset val="1"/>
      </rPr>
      <t xml:space="preserve">分部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  <charset val="1"/>
      </rPr>
      <t xml:space="preserve">见上</t>
    </r>
  </si>
  <si>
    <r>
      <rPr>
        <sz val="10"/>
        <color rgb="FF000000"/>
        <rFont val="Noto Sans CJK SC"/>
        <family val="2"/>
        <charset val="1"/>
      </rPr>
      <t xml:space="preserve">卖方目标价（近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个月）</t>
    </r>
  </si>
  <si>
    <r>
      <rPr>
        <sz val="10"/>
        <color rgb="FF000000"/>
        <rFont val="Noto Sans CJK SC"/>
        <family val="2"/>
        <charset val="1"/>
      </rPr>
      <t xml:space="preserve">国泰海通</t>
    </r>
    <r>
      <rPr>
        <sz val="10"/>
        <color rgb="FF000000"/>
        <rFont val="Arial"/>
        <family val="0"/>
        <charset val="1"/>
      </rPr>
      <t xml:space="preserve">107.05</t>
    </r>
    <r>
      <rPr>
        <sz val="10"/>
        <color rgb="FF000000"/>
        <rFont val="Noto Sans CJK SC"/>
        <family val="2"/>
        <charset val="1"/>
      </rPr>
      <t xml:space="preserve">、华泰</t>
    </r>
    <r>
      <rPr>
        <sz val="10"/>
        <color rgb="FF000000"/>
        <rFont val="Arial"/>
        <family val="0"/>
        <charset val="1"/>
      </rPr>
      <t xml:space="preserve">124.7</t>
    </r>
    <r>
      <rPr>
        <sz val="10"/>
        <color rgb="FF000000"/>
        <rFont val="Noto Sans CJK SC"/>
        <family val="2"/>
        <charset val="1"/>
      </rPr>
      <t xml:space="preserve">、浙商</t>
    </r>
    <r>
      <rPr>
        <sz val="10"/>
        <color rgb="FF000000"/>
        <rFont val="Arial"/>
        <family val="0"/>
        <charset val="1"/>
      </rPr>
      <t xml:space="preserve">142.59</t>
    </r>
    <r>
      <rPr>
        <sz val="10"/>
        <color rgb="FF000000"/>
        <rFont val="Noto Sans CJK SC"/>
        <family val="2"/>
        <charset val="1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  <charset val="1"/>
      </rPr>
      <t xml:space="preserve">月）</t>
    </r>
  </si>
  <si>
    <r>
      <rPr>
        <sz val="10"/>
        <color rgb="FF000000"/>
        <rFont val="Arial"/>
        <family val="0"/>
        <charset val="1"/>
      </rPr>
      <t xml:space="preserve">52</t>
    </r>
    <r>
      <rPr>
        <sz val="10"/>
        <color rgb="FF000000"/>
        <rFont val="Noto Sans CJK SC"/>
        <family val="2"/>
        <charset val="1"/>
      </rPr>
      <t xml:space="preserve">周股价区间</t>
    </r>
  </si>
  <si>
    <r>
      <rPr>
        <sz val="10"/>
        <color rgb="FF000000"/>
        <rFont val="Noto Sans CJK SC"/>
        <family val="2"/>
        <charset val="1"/>
      </rPr>
      <t xml:space="preserve">区间低点为</t>
    </r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  <charset val="1"/>
      </rPr>
      <t xml:space="preserve">收盘价</t>
    </r>
    <r>
      <rPr>
        <sz val="10"/>
        <color rgb="FF000000"/>
        <rFont val="Arial"/>
        <family val="0"/>
        <charset val="1"/>
      </rPr>
      <t xml:space="preserve">75.36</t>
    </r>
    <r>
      <rPr>
        <sz val="10"/>
        <color rgb="FF000000"/>
        <rFont val="Noto Sans CJK SC"/>
        <family val="2"/>
        <charset val="1"/>
      </rPr>
      <t xml:space="preserve">元（半年报预告后）；高点约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  <charset val="1"/>
      </rPr>
      <t xml:space="preserve">元（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月中旬，近似值）</t>
    </r>
  </si>
  <si>
    <r>
      <rPr>
        <b val="true"/>
        <sz val="14"/>
        <color rgb="FF1F3864"/>
        <rFont val="Noto Sans CJK SC"/>
        <family val="2"/>
        <charset val="1"/>
      </rPr>
      <t xml:space="preserve">模型 </t>
    </r>
    <r>
      <rPr>
        <b val="true"/>
        <sz val="14"/>
        <color rgb="FF1F3864"/>
        <rFont val="Arial"/>
        <family val="0"/>
        <charset val="1"/>
      </rPr>
      <t xml:space="preserve">vs. </t>
    </r>
    <r>
      <rPr>
        <b val="true"/>
        <sz val="14"/>
        <color rgb="FF1F3864"/>
        <rFont val="Noto Sans CJK SC"/>
        <family val="2"/>
        <charset val="1"/>
      </rPr>
      <t xml:space="preserve">市场一致预期（</t>
    </r>
    <r>
      <rPr>
        <b val="true"/>
        <sz val="14"/>
        <color rgb="FF1F3864"/>
        <rFont val="Arial"/>
        <family val="0"/>
        <charset val="1"/>
      </rPr>
      <t xml:space="preserve">Wind</t>
    </r>
    <r>
      <rPr>
        <b val="true"/>
        <sz val="14"/>
        <color rgb="FF1F3864"/>
        <rFont val="Noto Sans CJK SC"/>
        <family val="2"/>
        <charset val="1"/>
      </rPr>
      <t xml:space="preserve">，截至</t>
    </r>
    <r>
      <rPr>
        <b val="true"/>
        <sz val="14"/>
        <color rgb="FF1F3864"/>
        <rFont val="Arial"/>
        <family val="0"/>
        <charset val="1"/>
      </rPr>
      <t xml:space="preserve">2026-10-06</t>
    </r>
    <r>
      <rPr>
        <b val="true"/>
        <sz val="14"/>
        <color rgb="FF1F3864"/>
        <rFont val="Noto Sans CJK SC"/>
        <family val="2"/>
        <charset val="1"/>
      </rPr>
      <t xml:space="preserve">）</t>
    </r>
  </si>
  <si>
    <t xml:space="preserve">营业收入—一致预期</t>
  </si>
  <si>
    <t xml:space="preserve">营业收入—模型</t>
  </si>
  <si>
    <t xml:space="preserve">  差异</t>
  </si>
  <si>
    <t xml:space="preserve">归母净利润—一致预期</t>
  </si>
  <si>
    <t xml:space="preserve">归母净利润—模型</t>
  </si>
  <si>
    <r>
      <rPr>
        <b val="true"/>
        <sz val="10"/>
        <color rgb="FF000000"/>
        <rFont val="Arial"/>
        <family val="0"/>
        <charset val="1"/>
      </rPr>
      <t xml:space="preserve">EPS—</t>
    </r>
    <r>
      <rPr>
        <b val="true"/>
        <sz val="10"/>
        <color rgb="FF000000"/>
        <rFont val="Noto Sans CJK SC"/>
        <family val="2"/>
        <charset val="1"/>
      </rPr>
      <t xml:space="preserve">一致预期</t>
    </r>
  </si>
  <si>
    <r>
      <rPr>
        <b val="true"/>
        <sz val="10"/>
        <color rgb="FF000000"/>
        <rFont val="Arial"/>
        <family val="0"/>
        <charset val="1"/>
      </rPr>
      <t xml:space="preserve">EPS—</t>
    </r>
    <r>
      <rPr>
        <b val="true"/>
        <sz val="10"/>
        <color rgb="FF000000"/>
        <rFont val="Noto Sans CJK SC"/>
        <family val="2"/>
        <charset val="1"/>
      </rPr>
      <t xml:space="preserve">模型</t>
    </r>
  </si>
  <si>
    <t xml:space="preserve">归母净利润—一致预期中值</t>
  </si>
  <si>
    <t xml:space="preserve">归母净利润—一致预期最高</t>
  </si>
  <si>
    <t xml:space="preserve">归母净利润—一致预期最低</t>
  </si>
  <si>
    <r>
      <rPr>
        <i val="true"/>
        <sz val="9"/>
        <color rgb="FF808080"/>
        <rFont val="Noto Sans CJK SC"/>
        <family val="2"/>
        <charset val="1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Noto Sans CJK SC"/>
        <family val="2"/>
        <charset val="1"/>
      </rPr>
      <t xml:space="preserve">一致预期（</t>
    </r>
    <r>
      <rPr>
        <i val="true"/>
        <sz val="9"/>
        <color rgb="FF808080"/>
        <rFont val="Arial"/>
        <family val="0"/>
        <charset val="1"/>
      </rPr>
      <t xml:space="preserve">15</t>
    </r>
    <r>
      <rPr>
        <i val="true"/>
        <sz val="9"/>
        <color rgb="FF808080"/>
        <rFont val="Noto Sans CJK SC"/>
        <family val="2"/>
        <charset val="1"/>
      </rPr>
      <t xml:space="preserve">家机构），</t>
    </r>
    <r>
      <rPr>
        <i val="true"/>
        <sz val="9"/>
        <color rgb="FF808080"/>
        <rFont val="Arial"/>
        <family val="0"/>
        <charset val="1"/>
      </rPr>
      <t xml:space="preserve">2026-10-06</t>
    </r>
    <r>
      <rPr>
        <i val="true"/>
        <sz val="9"/>
        <color rgb="FF808080"/>
        <rFont val="Noto Sans CJK SC"/>
        <family val="2"/>
        <charset val="1"/>
      </rPr>
      <t xml:space="preserve">；</t>
    </r>
    <r>
      <rPr>
        <i val="true"/>
        <sz val="9"/>
        <color rgb="FF808080"/>
        <rFont val="Arial"/>
        <family val="0"/>
        <charset val="1"/>
      </rPr>
      <t xml:space="preserve">2026E</t>
    </r>
    <r>
      <rPr>
        <i val="true"/>
        <sz val="9"/>
        <color rgb="FF808080"/>
        <rFont val="Noto Sans CJK SC"/>
        <family val="2"/>
        <charset val="1"/>
      </rPr>
      <t xml:space="preserve">一致预期自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  <charset val="1"/>
      </rPr>
      <t xml:space="preserve">月的</t>
    </r>
    <r>
      <rPr>
        <i val="true"/>
        <sz val="9"/>
        <color rgb="FF808080"/>
        <rFont val="Arial"/>
        <family val="0"/>
        <charset val="1"/>
      </rPr>
      <t xml:space="preserve">1.88</t>
    </r>
    <r>
      <rPr>
        <i val="true"/>
        <sz val="9"/>
        <color rgb="FF808080"/>
        <rFont val="Noto Sans CJK SC"/>
        <family val="2"/>
        <charset val="1"/>
      </rPr>
      <t xml:space="preserve">元下调至</t>
    </r>
    <r>
      <rPr>
        <i val="true"/>
        <sz val="9"/>
        <color rgb="FF808080"/>
        <rFont val="Arial"/>
        <family val="0"/>
        <charset val="1"/>
      </rPr>
      <t xml:space="preserve">1.41</t>
    </r>
    <r>
      <rPr>
        <i val="true"/>
        <sz val="9"/>
        <color rgb="FF808080"/>
        <rFont val="Noto Sans CJK SC"/>
        <family val="2"/>
        <charset val="1"/>
      </rPr>
      <t xml:space="preserve">元</t>
    </r>
  </si>
  <si>
    <r>
      <rPr>
        <b val="true"/>
        <sz val="10"/>
        <color rgb="FF1F3864"/>
        <rFont val="Arial"/>
        <family val="0"/>
        <charset val="1"/>
      </rPr>
      <t xml:space="preserve">2026E EPS </t>
    </r>
    <r>
      <rPr>
        <b val="true"/>
        <sz val="10"/>
        <color rgb="FF1F3864"/>
        <rFont val="Noto Sans CJK SC"/>
        <family val="2"/>
        <charset val="1"/>
      </rPr>
      <t xml:space="preserve">一致预期演变（</t>
    </r>
    <r>
      <rPr>
        <b val="true"/>
        <sz val="10"/>
        <color rgb="FF1F3864"/>
        <rFont val="Arial"/>
        <family val="0"/>
        <charset val="1"/>
      </rPr>
      <t xml:space="preserve">Wind </t>
    </r>
    <r>
      <rPr>
        <b val="true"/>
        <sz val="10"/>
        <color rgb="FF1F3864"/>
        <rFont val="Noto Sans CJK SC"/>
        <family val="2"/>
        <charset val="1"/>
      </rPr>
      <t xml:space="preserve">周度）</t>
    </r>
  </si>
  <si>
    <t xml:space="preserve">日期</t>
  </si>
  <si>
    <t xml:space="preserve">上调家数</t>
  </si>
  <si>
    <t xml:space="preserve">维持家数</t>
  </si>
  <si>
    <t xml:space="preserve">下调家数</t>
  </si>
  <si>
    <r>
      <rPr>
        <b val="true"/>
        <sz val="10"/>
        <color rgb="FF000000"/>
        <rFont val="Arial"/>
        <family val="0"/>
        <charset val="1"/>
      </rPr>
      <t xml:space="preserve">2026E EPS</t>
    </r>
    <r>
      <rPr>
        <b val="true"/>
        <sz val="10"/>
        <color rgb="FF000000"/>
        <rFont val="Noto Sans CJK SC"/>
        <family val="2"/>
        <charset val="1"/>
      </rPr>
      <t xml:space="preserve">一致预期</t>
    </r>
  </si>
  <si>
    <t xml:space="preserve">2025-12-05</t>
  </si>
  <si>
    <t xml:space="preserve">2025-12-12</t>
  </si>
  <si>
    <t xml:space="preserve">2025-12-19</t>
  </si>
  <si>
    <t xml:space="preserve">2025-12-26</t>
  </si>
  <si>
    <t xml:space="preserve">2026-01-02</t>
  </si>
  <si>
    <t xml:space="preserve">2026-01-09</t>
  </si>
  <si>
    <t xml:space="preserve">2026-01-16</t>
  </si>
  <si>
    <t xml:space="preserve">2026-01-23</t>
  </si>
  <si>
    <t xml:space="preserve">2026-01-30</t>
  </si>
  <si>
    <t xml:space="preserve">2026-02-06</t>
  </si>
  <si>
    <t xml:space="preserve">2026-02-13</t>
  </si>
  <si>
    <t xml:space="preserve">2026-02-20</t>
  </si>
  <si>
    <t xml:space="preserve">2026-02-27</t>
  </si>
  <si>
    <t xml:space="preserve">2026-03-06</t>
  </si>
  <si>
    <t xml:space="preserve">2026-03-13</t>
  </si>
  <si>
    <t xml:space="preserve">2026-03-20</t>
  </si>
  <si>
    <t xml:space="preserve">2026-03-27</t>
  </si>
  <si>
    <t xml:space="preserve">2026-04-03</t>
  </si>
  <si>
    <t xml:space="preserve">2026-04-10</t>
  </si>
  <si>
    <t xml:space="preserve">2026-04-17</t>
  </si>
  <si>
    <t xml:space="preserve">2026-04-24</t>
  </si>
  <si>
    <t xml:space="preserve">2026-05-01</t>
  </si>
  <si>
    <t xml:space="preserve">2026-05-08</t>
  </si>
  <si>
    <t xml:space="preserve">2026-05-15</t>
  </si>
  <si>
    <t xml:space="preserve">2026-05-22</t>
  </si>
  <si>
    <t xml:space="preserve">2026-05-29</t>
  </si>
  <si>
    <t xml:space="preserve">2026-06-05</t>
  </si>
  <si>
    <t xml:space="preserve">2026-06-12</t>
  </si>
  <si>
    <t xml:space="preserve">2026-06-19</t>
  </si>
  <si>
    <t xml:space="preserve">2026-06-26</t>
  </si>
  <si>
    <t xml:space="preserve">2026-07-03</t>
  </si>
  <si>
    <t xml:space="preserve">2026-07-10</t>
  </si>
  <si>
    <t xml:space="preserve">2026-07-17</t>
  </si>
  <si>
    <t xml:space="preserve">2026-07-24</t>
  </si>
  <si>
    <t xml:space="preserve">2026-07-31</t>
  </si>
  <si>
    <t xml:space="preserve">2026-08-07</t>
  </si>
  <si>
    <t xml:space="preserve">2026-08-14</t>
  </si>
  <si>
    <t xml:space="preserve">2026-08-21</t>
  </si>
  <si>
    <t xml:space="preserve">2026-08-28</t>
  </si>
  <si>
    <t xml:space="preserve">2026-09-04</t>
  </si>
  <si>
    <t xml:space="preserve">2026-09-11</t>
  </si>
  <si>
    <t xml:space="preserve">2026-09-18</t>
  </si>
  <si>
    <t xml:space="preserve">2026-09-25</t>
  </si>
  <si>
    <t xml:space="preserve">2026-10-02</t>
  </si>
  <si>
    <t xml:space="preserve">2026-10-06</t>
  </si>
  <si>
    <t xml:space="preserve">近期卖方预测明细</t>
  </si>
  <si>
    <t xml:space="preserve">机构</t>
  </si>
  <si>
    <t xml:space="preserve">评级</t>
  </si>
  <si>
    <t xml:space="preserve">目标价</t>
  </si>
  <si>
    <t xml:space="preserve">EPS 2026E</t>
  </si>
  <si>
    <t xml:space="preserve">EPS 2027E</t>
  </si>
  <si>
    <r>
      <rPr>
        <b val="true"/>
        <sz val="10"/>
        <color rgb="FF000000"/>
        <rFont val="Noto Sans CJK SC"/>
        <family val="2"/>
        <charset val="1"/>
      </rPr>
      <t xml:space="preserve">收入</t>
    </r>
    <r>
      <rPr>
        <b val="true"/>
        <sz val="10"/>
        <color rgb="FF000000"/>
        <rFont val="Arial"/>
        <family val="0"/>
        <charset val="1"/>
      </rPr>
      <t xml:space="preserve">2026E</t>
    </r>
  </si>
  <si>
    <r>
      <rPr>
        <b val="true"/>
        <sz val="10"/>
        <color rgb="FF000000"/>
        <rFont val="Noto Sans CJK SC"/>
        <family val="2"/>
        <charset val="1"/>
      </rPr>
      <t xml:space="preserve">收入</t>
    </r>
    <r>
      <rPr>
        <b val="true"/>
        <sz val="10"/>
        <color rgb="FF000000"/>
        <rFont val="Arial"/>
        <family val="0"/>
        <charset val="1"/>
      </rPr>
      <t xml:space="preserve">2027E</t>
    </r>
  </si>
  <si>
    <r>
      <rPr>
        <b val="true"/>
        <sz val="10"/>
        <color rgb="FF000000"/>
        <rFont val="Noto Sans CJK SC"/>
        <family val="2"/>
        <charset val="1"/>
      </rPr>
      <t xml:space="preserve">归母净利</t>
    </r>
    <r>
      <rPr>
        <b val="true"/>
        <sz val="10"/>
        <color rgb="FF000000"/>
        <rFont val="Arial"/>
        <family val="0"/>
        <charset val="1"/>
      </rPr>
      <t xml:space="preserve">2026E</t>
    </r>
  </si>
  <si>
    <r>
      <rPr>
        <b val="true"/>
        <sz val="10"/>
        <color rgb="FF000000"/>
        <rFont val="Noto Sans CJK SC"/>
        <family val="2"/>
        <charset val="1"/>
      </rPr>
      <t xml:space="preserve">归母净利</t>
    </r>
    <r>
      <rPr>
        <b val="true"/>
        <sz val="10"/>
        <color rgb="FF000000"/>
        <rFont val="Arial"/>
        <family val="0"/>
        <charset val="1"/>
      </rPr>
      <t xml:space="preserve">2027E</t>
    </r>
  </si>
  <si>
    <t xml:space="preserve">2026-09-24</t>
  </si>
  <si>
    <t xml:space="preserve">兴业证券</t>
  </si>
  <si>
    <t xml:space="preserve">增持</t>
  </si>
  <si>
    <t xml:space="preserve">2026-09-02</t>
  </si>
  <si>
    <t xml:space="preserve">****</t>
  </si>
  <si>
    <t xml:space="preserve">买入</t>
  </si>
  <si>
    <t xml:space="preserve">中原证券</t>
  </si>
  <si>
    <t xml:space="preserve">2026-08-31</t>
  </si>
  <si>
    <t xml:space="preserve">东吴证券</t>
  </si>
  <si>
    <t xml:space="preserve">2026-08-29</t>
  </si>
  <si>
    <t xml:space="preserve">国泰海通</t>
  </si>
  <si>
    <t xml:space="preserve">2026-08-24</t>
  </si>
  <si>
    <t xml:space="preserve">光大证券</t>
  </si>
  <si>
    <t xml:space="preserve">持有</t>
  </si>
  <si>
    <t xml:space="preserve">银河证券</t>
  </si>
  <si>
    <t xml:space="preserve">推荐</t>
  </si>
  <si>
    <t xml:space="preserve">2026-08-05</t>
  </si>
  <si>
    <t xml:space="preserve">浙商证券</t>
  </si>
  <si>
    <t xml:space="preserve">2026-06-02</t>
  </si>
  <si>
    <t xml:space="preserve">中信建投</t>
  </si>
  <si>
    <t xml:space="preserve">2026-05-06</t>
  </si>
  <si>
    <t xml:space="preserve">东方证券</t>
  </si>
  <si>
    <t xml:space="preserve">2026-05-05</t>
  </si>
  <si>
    <t xml:space="preserve">2026-04-29</t>
  </si>
  <si>
    <t xml:space="preserve">中银证券</t>
  </si>
  <si>
    <t xml:space="preserve">2026-04-25</t>
  </si>
  <si>
    <t xml:space="preserve">国海证券</t>
  </si>
  <si>
    <r>
      <rPr>
        <b val="true"/>
        <sz val="14"/>
        <color rgb="FF1F3864"/>
        <rFont val="Noto Sans CJK SC"/>
        <family val="2"/>
        <charset val="1"/>
      </rPr>
      <t xml:space="preserve">历史财务数据原表（</t>
    </r>
    <r>
      <rPr>
        <b val="true"/>
        <sz val="14"/>
        <color rgb="FF1F3864"/>
        <rFont val="Arial"/>
        <family val="0"/>
        <charset val="1"/>
      </rPr>
      <t xml:space="preserve">Wind</t>
    </r>
    <r>
      <rPr>
        <b val="true"/>
        <sz val="14"/>
        <color rgb="FF1F3864"/>
        <rFont val="Noto Sans CJK SC"/>
        <family val="2"/>
        <charset val="1"/>
      </rPr>
      <t xml:space="preserve">，单位：万元，累计口径）</t>
    </r>
  </si>
  <si>
    <r>
      <rPr>
        <i val="true"/>
        <sz val="9"/>
        <color rgb="FF808080"/>
        <rFont val="Arial"/>
        <family val="0"/>
        <charset val="1"/>
      </rPr>
      <t xml:space="preserve">2011</t>
    </r>
    <r>
      <rPr>
        <i val="true"/>
        <sz val="9"/>
        <color rgb="FF808080"/>
        <rFont val="Noto Sans CJK SC"/>
        <family val="2"/>
        <charset val="1"/>
      </rPr>
      <t xml:space="preserve">年报–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Noto Sans CJK SC"/>
        <family val="2"/>
        <charset val="1"/>
      </rPr>
      <t xml:space="preserve">中报。用于追溯模型历史列（模型中已换算为百万元）。</t>
    </r>
  </si>
  <si>
    <t xml:space="preserve">利润表（万元）</t>
  </si>
  <si>
    <t xml:space="preserve">2011A</t>
  </si>
  <si>
    <t xml:space="preserve">2012A</t>
  </si>
  <si>
    <t xml:space="preserve">2013A</t>
  </si>
  <si>
    <t xml:space="preserve">2014A</t>
  </si>
  <si>
    <t xml:space="preserve">2015A</t>
  </si>
  <si>
    <t xml:space="preserve">2016A</t>
  </si>
  <si>
    <t xml:space="preserve">2017A</t>
  </si>
  <si>
    <t xml:space="preserve">2018A</t>
  </si>
  <si>
    <t xml:space="preserve">2019A</t>
  </si>
  <si>
    <t xml:space="preserve">2025H1</t>
  </si>
  <si>
    <t xml:space="preserve">2026H1</t>
  </si>
  <si>
    <t xml:space="preserve">营业总收入</t>
  </si>
  <si>
    <t xml:space="preserve">营业总成本</t>
  </si>
  <si>
    <t xml:space="preserve">其中：利息费用</t>
  </si>
  <si>
    <t xml:space="preserve">减：利息收入</t>
  </si>
  <si>
    <t xml:space="preserve">其中：对联营企业和合营企业的投资收益</t>
  </si>
  <si>
    <t xml:space="preserve">加：营业外收入</t>
  </si>
  <si>
    <t xml:space="preserve">减：营业外支出</t>
  </si>
  <si>
    <t xml:space="preserve">其中：非流动资产处置净损失</t>
  </si>
  <si>
    <t xml:space="preserve">持续经营净利润</t>
  </si>
  <si>
    <t xml:space="preserve">终止经营净利润</t>
  </si>
  <si>
    <t xml:space="preserve">归属于母公司所有者的净利润</t>
  </si>
  <si>
    <t xml:space="preserve">加：其他综合收益</t>
  </si>
  <si>
    <t xml:space="preserve">综合收益总额</t>
  </si>
  <si>
    <t xml:space="preserve">减：归属于少数股东的综合收益总额</t>
  </si>
  <si>
    <t xml:space="preserve">归属于母公司普通股东综合收益总额</t>
  </si>
  <si>
    <t xml:space="preserve">每股收益：</t>
  </si>
  <si>
    <t xml:space="preserve">基本每股收益</t>
  </si>
  <si>
    <t xml:space="preserve">稀释每股收益</t>
  </si>
  <si>
    <r>
      <rPr>
        <b val="true"/>
        <sz val="10"/>
        <color rgb="FF000000"/>
        <rFont val="Noto Sans CJK SC"/>
        <family val="2"/>
        <charset val="1"/>
      </rPr>
      <t xml:space="preserve">数据来源：</t>
    </r>
    <r>
      <rPr>
        <b val="true"/>
        <sz val="10"/>
        <color rgb="FF000000"/>
        <rFont val="Arial"/>
        <family val="0"/>
        <charset val="1"/>
      </rPr>
      <t xml:space="preserve">Wind</t>
    </r>
  </si>
  <si>
    <t xml:space="preserve">资产负债表（万元）</t>
  </si>
  <si>
    <t xml:space="preserve">流动资产：</t>
  </si>
  <si>
    <t xml:space="preserve">衍生金融资产</t>
  </si>
  <si>
    <t xml:space="preserve">应收票据及应收账款</t>
  </si>
  <si>
    <r>
      <rPr>
        <sz val="10"/>
        <color rgb="FF000000"/>
        <rFont val="Noto Sans CJK SC"/>
        <family val="2"/>
        <charset val="1"/>
      </rPr>
      <t xml:space="preserve">其他应收款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</si>
  <si>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应收股利</t>
  </si>
  <si>
    <t xml:space="preserve">应收利息</t>
  </si>
  <si>
    <t xml:space="preserve">买入返售金融资产</t>
  </si>
  <si>
    <t xml:space="preserve">合同资产</t>
  </si>
  <si>
    <t xml:space="preserve">划分为持有待售的资产</t>
  </si>
  <si>
    <t xml:space="preserve">一年内到期的非流动资产</t>
  </si>
  <si>
    <t xml:space="preserve">其他金融类流动资产</t>
  </si>
  <si>
    <t xml:space="preserve">非流动资产：</t>
  </si>
  <si>
    <t xml:space="preserve">发放贷款及垫款</t>
  </si>
  <si>
    <t xml:space="preserve">债权投资</t>
  </si>
  <si>
    <t xml:space="preserve">其他债权投资</t>
  </si>
  <si>
    <t xml:space="preserve">长期应收款</t>
  </si>
  <si>
    <t xml:space="preserve">其他权益工具投资</t>
  </si>
  <si>
    <t xml:space="preserve">投资性房地产</t>
  </si>
  <si>
    <r>
      <rPr>
        <sz val="10"/>
        <color rgb="FF000000"/>
        <rFont val="Noto Sans CJK SC"/>
        <family val="2"/>
        <charset val="1"/>
      </rPr>
      <t xml:space="preserve">固定资产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</si>
  <si>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固定资产清理</t>
  </si>
  <si>
    <r>
      <rPr>
        <sz val="10"/>
        <color rgb="FF000000"/>
        <rFont val="Noto Sans CJK SC"/>
        <family val="2"/>
        <charset val="1"/>
      </rPr>
      <t xml:space="preserve">在建工程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</si>
  <si>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工程物资</t>
  </si>
  <si>
    <t xml:space="preserve">生产性生物资产</t>
  </si>
  <si>
    <t xml:space="preserve">油气资产</t>
  </si>
  <si>
    <t xml:space="preserve">其他非流动资产</t>
  </si>
  <si>
    <t xml:space="preserve">流动负债：</t>
  </si>
  <si>
    <t xml:space="preserve">交易性金融负债</t>
  </si>
  <si>
    <t xml:space="preserve">衍生金融负债</t>
  </si>
  <si>
    <t xml:space="preserve">应付票据及应付账款</t>
  </si>
  <si>
    <t xml:space="preserve">应付手续费及佣金</t>
  </si>
  <si>
    <r>
      <rPr>
        <sz val="10"/>
        <color rgb="FF000000"/>
        <rFont val="Noto Sans CJK SC"/>
        <family val="2"/>
        <charset val="1"/>
      </rPr>
      <t xml:space="preserve">其他应付款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</si>
  <si>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应付利息</t>
  </si>
  <si>
    <t xml:space="preserve">应付股利</t>
  </si>
  <si>
    <t xml:space="preserve">划分为持有待售的负债</t>
  </si>
  <si>
    <t xml:space="preserve">其他金融类流动负债</t>
  </si>
  <si>
    <t xml:space="preserve">非流动负债：</t>
  </si>
  <si>
    <r>
      <rPr>
        <sz val="10"/>
        <color rgb="FF000000"/>
        <rFont val="Noto Sans CJK SC"/>
        <family val="2"/>
        <charset val="1"/>
      </rPr>
      <t xml:space="preserve">长期应付款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</si>
  <si>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长期应付款</t>
  </si>
  <si>
    <t xml:space="preserve">专项应付款</t>
  </si>
  <si>
    <t xml:space="preserve">长期应付职工薪酬</t>
  </si>
  <si>
    <r>
      <rPr>
        <sz val="10"/>
        <color rgb="FF000000"/>
        <rFont val="Noto Sans CJK SC"/>
        <family val="2"/>
        <charset val="1"/>
      </rPr>
      <t xml:space="preserve">递延收益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非流动负债</t>
    </r>
  </si>
  <si>
    <r>
      <rPr>
        <b val="true"/>
        <sz val="10"/>
        <color rgb="FF000000"/>
        <rFont val="Noto Sans CJK SC"/>
        <family val="2"/>
        <charset val="1"/>
      </rPr>
      <t xml:space="preserve">所有者权益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或股东权益</t>
    </r>
    <r>
      <rPr>
        <b val="true"/>
        <sz val="10"/>
        <color rgb="FF000000"/>
        <rFont val="Arial"/>
        <family val="0"/>
        <charset val="1"/>
      </rPr>
      <t xml:space="preserve">)</t>
    </r>
    <r>
      <rPr>
        <b val="true"/>
        <sz val="10"/>
        <color rgb="FF000000"/>
        <rFont val="Noto Sans CJK SC"/>
        <family val="2"/>
        <charset val="1"/>
      </rPr>
      <t xml:space="preserve">：</t>
    </r>
  </si>
  <si>
    <r>
      <rPr>
        <sz val="10"/>
        <color rgb="FF000000"/>
        <rFont val="Noto Sans CJK SC"/>
        <family val="2"/>
        <charset val="1"/>
      </rPr>
      <t xml:space="preserve">实收资本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或股本</t>
    </r>
    <r>
      <rPr>
        <sz val="10"/>
        <color rgb="FF000000"/>
        <rFont val="Arial"/>
        <family val="0"/>
        <charset val="1"/>
      </rPr>
      <t xml:space="preserve">)</t>
    </r>
  </si>
  <si>
    <t xml:space="preserve">归属于母公司所有者权益合计</t>
  </si>
  <si>
    <t xml:space="preserve">所有者权益合计</t>
  </si>
  <si>
    <t xml:space="preserve">负债和所有者权益总计</t>
  </si>
  <si>
    <t xml:space="preserve">现金流量表（万元）</t>
  </si>
  <si>
    <t xml:space="preserve">经营活动产生的现金流量：</t>
  </si>
  <si>
    <t xml:space="preserve">销售商品、提供劳务收到的现金</t>
  </si>
  <si>
    <t xml:space="preserve">收到的税费返还</t>
  </si>
  <si>
    <t xml:space="preserve">收到其他与经营活动有关的现金</t>
  </si>
  <si>
    <r>
      <rPr>
        <sz val="10"/>
        <color rgb="FF000000"/>
        <rFont val="Noto Sans CJK SC"/>
        <family val="2"/>
        <charset val="1"/>
      </rPr>
      <t xml:space="preserve">经营活动现金流入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金融类</t>
    </r>
    <r>
      <rPr>
        <sz val="10"/>
        <color rgb="FF000000"/>
        <rFont val="Arial"/>
        <family val="0"/>
        <charset val="1"/>
      </rPr>
      <t xml:space="preserve">)</t>
    </r>
  </si>
  <si>
    <t xml:space="preserve">经营活动现金流入小计</t>
  </si>
  <si>
    <t xml:space="preserve">购买商品、接受劳务支付的现金</t>
  </si>
  <si>
    <t xml:space="preserve">支付给职工以及为职工支付的现金</t>
  </si>
  <si>
    <t xml:space="preserve">支付的各项税费</t>
  </si>
  <si>
    <t xml:space="preserve">支付其他与经营活动有关的现金</t>
  </si>
  <si>
    <t xml:space="preserve">经营活动现金流出小计</t>
  </si>
  <si>
    <t xml:space="preserve">经营活动产生的现金流量净额</t>
  </si>
  <si>
    <t xml:space="preserve">投资活动产生的现金流量：</t>
  </si>
  <si>
    <t xml:space="preserve">收回投资收到的现金</t>
  </si>
  <si>
    <t xml:space="preserve">取得投资收益收到的现金</t>
  </si>
  <si>
    <t xml:space="preserve">处置固定资产、无形资产和其他长期资产收回的现金净额</t>
  </si>
  <si>
    <t xml:space="preserve">收到其他与投资活动有关的现金</t>
  </si>
  <si>
    <t xml:space="preserve">投资活动现金流入小计</t>
  </si>
  <si>
    <t xml:space="preserve">购建固定资产、无形资产和其他长期资产支付的现金</t>
  </si>
  <si>
    <t xml:space="preserve">投资支付的现金</t>
  </si>
  <si>
    <t xml:space="preserve">取得子公司及其他营业单位支付的现金净额</t>
  </si>
  <si>
    <t xml:space="preserve">支付其他与投资活动有关的现金</t>
  </si>
  <si>
    <t xml:space="preserve">投资活动现金流出小计</t>
  </si>
  <si>
    <t xml:space="preserve">投资活动产生的现金流量净额</t>
  </si>
  <si>
    <t xml:space="preserve">筹资活动产生的现金流量：</t>
  </si>
  <si>
    <t xml:space="preserve">吸收投资收到的现金</t>
  </si>
  <si>
    <t xml:space="preserve">其中：子公司吸收少数股东投资收到的现金</t>
  </si>
  <si>
    <t xml:space="preserve">取得借款收到的现金</t>
  </si>
  <si>
    <t xml:space="preserve">收到其他与筹资活动有关的现金</t>
  </si>
  <si>
    <t xml:space="preserve">筹资活动现金流入小计</t>
  </si>
  <si>
    <t xml:space="preserve">偿还债务支付的现金</t>
  </si>
  <si>
    <t xml:space="preserve">分配股利、利润或偿付利息支付的现金</t>
  </si>
  <si>
    <t xml:space="preserve">其中：子公司支付给少数股东的股利、利润</t>
  </si>
  <si>
    <t xml:space="preserve">支付其他与筹资活动有关的现金</t>
  </si>
  <si>
    <t xml:space="preserve">筹资活动现金流出小计</t>
  </si>
  <si>
    <t xml:space="preserve">筹资活动产生的现金流量净额</t>
  </si>
  <si>
    <t xml:space="preserve">汇率变动对现金的影响</t>
  </si>
  <si>
    <t xml:space="preserve">期初现金及现金等价物余额</t>
  </si>
  <si>
    <t xml:space="preserve">期末现金及现金等价物余额</t>
  </si>
  <si>
    <t xml:space="preserve">补充资料：</t>
  </si>
  <si>
    <t xml:space="preserve">加：资产减值准备</t>
  </si>
  <si>
    <t xml:space="preserve">固定资产折旧、油气资产折耗、生产性生物资产折旧</t>
  </si>
  <si>
    <t xml:space="preserve">长期待摊费用摊销</t>
  </si>
  <si>
    <t xml:space="preserve">处置固定资产、无形资产和其他长期资产的损失</t>
  </si>
  <si>
    <t xml:space="preserve">固定资产报废损失</t>
  </si>
  <si>
    <t xml:space="preserve">公允价值变动损失</t>
  </si>
  <si>
    <t xml:space="preserve">投资损失</t>
  </si>
  <si>
    <t xml:space="preserve">递延所得税资产减少</t>
  </si>
  <si>
    <t xml:space="preserve">递延所得税负债增加</t>
  </si>
  <si>
    <t xml:space="preserve">存货的减少</t>
  </si>
  <si>
    <t xml:space="preserve">经营性应收项目的减少</t>
  </si>
  <si>
    <t xml:space="preserve">经营性应付项目的增加</t>
  </si>
  <si>
    <r>
      <rPr>
        <b val="true"/>
        <sz val="10"/>
        <color rgb="FF000000"/>
        <rFont val="Noto Sans CJK SC"/>
        <family val="2"/>
        <charset val="1"/>
      </rPr>
      <t xml:space="preserve">间接法</t>
    </r>
    <r>
      <rPr>
        <b val="true"/>
        <sz val="10"/>
        <color rgb="FF000000"/>
        <rFont val="Arial"/>
        <family val="0"/>
        <charset val="1"/>
      </rPr>
      <t xml:space="preserve">-</t>
    </r>
    <r>
      <rPr>
        <b val="true"/>
        <sz val="10"/>
        <color rgb="FF000000"/>
        <rFont val="Noto Sans CJK SC"/>
        <family val="2"/>
        <charset val="1"/>
      </rPr>
      <t xml:space="preserve">经营活动现金流量净额差额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特殊报表科目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</si>
  <si>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经营活动产生的现金流量净额</t>
    </r>
  </si>
  <si>
    <t xml:space="preserve">现金的期末余额</t>
  </si>
  <si>
    <t xml:space="preserve">减：现金的期初余额</t>
  </si>
  <si>
    <r>
      <rPr>
        <sz val="10"/>
        <color rgb="FF000000"/>
        <rFont val="Noto Sans CJK SC"/>
        <family val="2"/>
        <charset val="1"/>
      </rPr>
      <t xml:space="preserve">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现金及现金等价物净增加额</t>
    </r>
  </si>
  <si>
    <t xml:space="preserve">底稿：定期报告附注与管理层披露摘录</t>
  </si>
  <si>
    <r>
      <rPr>
        <i val="true"/>
        <sz val="9"/>
        <color rgb="FF808080"/>
        <rFont val="Noto Sans CJK SC"/>
        <family val="2"/>
        <charset val="1"/>
      </rPr>
      <t xml:space="preserve">数据由年报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  <charset val="1"/>
      </rPr>
      <t xml:space="preserve">半年报原文整理（百万元，除注明外），每张表注明出处。用于支撑“业务拆分”“资本开支”“营运资本”等假设。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</si>
  <si>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  <charset val="1"/>
      </rPr>
      <t xml:space="preserve">分产品、分地区收入与毛利率（报告口径）</t>
    </r>
  </si>
  <si>
    <t xml:space="preserve">项目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</si>
  <si>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</si>
  <si>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</si>
  <si>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</si>
  <si>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</si>
  <si>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</si>
  <si>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</si>
  <si>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石英玻璃材料 收入</t>
  </si>
  <si>
    <r>
      <rPr>
        <sz val="10"/>
        <color rgb="FF000000"/>
        <rFont val="Noto Sans CJK SC"/>
        <family val="2"/>
        <charset val="1"/>
      </rPr>
      <t xml:space="preserve">石英玻璃材料 毛利率</t>
    </r>
    <r>
      <rPr>
        <sz val="10"/>
        <color rgb="FF000000"/>
        <rFont val="Arial"/>
        <family val="0"/>
        <charset val="1"/>
      </rPr>
      <t xml:space="preserve">(%)</t>
    </r>
  </si>
  <si>
    <t xml:space="preserve">石英玻璃制品 收入</t>
  </si>
  <si>
    <r>
      <rPr>
        <sz val="10"/>
        <color rgb="FF000000"/>
        <rFont val="Noto Sans CJK SC"/>
        <family val="2"/>
        <charset val="1"/>
      </rPr>
      <t xml:space="preserve">石英玻璃制品 毛利率</t>
    </r>
    <r>
      <rPr>
        <sz val="10"/>
        <color rgb="FF000000"/>
        <rFont val="Arial"/>
        <family val="0"/>
        <charset val="1"/>
      </rPr>
      <t xml:space="preserve">(%)</t>
    </r>
  </si>
  <si>
    <t xml:space="preserve">其他 收入</t>
  </si>
  <si>
    <t xml:space="preserve">合计 收入</t>
  </si>
  <si>
    <r>
      <rPr>
        <sz val="10"/>
        <color rgb="FF000000"/>
        <rFont val="Noto Sans CJK SC"/>
        <family val="2"/>
        <charset val="1"/>
      </rPr>
      <t xml:space="preserve">综合毛利率</t>
    </r>
    <r>
      <rPr>
        <sz val="10"/>
        <color rgb="FF000000"/>
        <rFont val="Arial"/>
        <family val="0"/>
        <charset val="1"/>
      </rPr>
      <t xml:space="preserve">(%)</t>
    </r>
  </si>
  <si>
    <t xml:space="preserve">境内 收入</t>
  </si>
  <si>
    <r>
      <rPr>
        <sz val="10"/>
        <color rgb="FF000000"/>
        <rFont val="Noto Sans CJK SC"/>
        <family val="2"/>
        <charset val="1"/>
      </rPr>
      <t xml:space="preserve">境内 毛利率</t>
    </r>
    <r>
      <rPr>
        <sz val="10"/>
        <color rgb="FF000000"/>
        <rFont val="Arial"/>
        <family val="0"/>
        <charset val="1"/>
      </rPr>
      <t xml:space="preserve">(%)</t>
    </r>
  </si>
  <si>
    <t xml:space="preserve">境外 收入</t>
  </si>
  <si>
    <r>
      <rPr>
        <sz val="10"/>
        <color rgb="FF000000"/>
        <rFont val="Noto Sans CJK SC"/>
        <family val="2"/>
        <charset val="1"/>
      </rPr>
      <t xml:space="preserve">境外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</si>
  <si>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来源：各期年报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半年报“营业收入构成”；</t>
    </r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  <charset val="1"/>
      </rPr>
      <t xml:space="preserve">年成本来自</t>
    </r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Noto Sans CJK SC"/>
        <family val="2"/>
        <charset val="1"/>
      </rPr>
      <t xml:space="preserve">年报营业成本构成（</t>
    </r>
    <r>
      <rPr>
        <sz val="10"/>
        <color rgb="FF000000"/>
        <rFont val="Arial"/>
        <family val="0"/>
        <charset val="1"/>
      </rPr>
      <t xml:space="preserve">segments.json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</si>
  <si>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  <charset val="1"/>
      </rPr>
      <t xml:space="preserve">产销量（年报“产销量情况分析表”）</t>
    </r>
  </si>
  <si>
    <t xml:space="preserve">类别</t>
  </si>
  <si>
    <t xml:space="preserve">石英玻璃制品一（吨）销售量</t>
  </si>
  <si>
    <t xml:space="preserve">石英玻璃制品一（吨）生产量</t>
  </si>
  <si>
    <t xml:space="preserve">石英玻璃制品一（吨）库存量</t>
  </si>
  <si>
    <t xml:space="preserve">石英玻璃制品二（件）销售量</t>
  </si>
  <si>
    <t xml:space="preserve">石英玻璃制品二（件）生产量</t>
  </si>
  <si>
    <t xml:space="preserve">石英玻璃制品二（件）库存量</t>
  </si>
  <si>
    <t xml:space="preserve">石英玻璃材料一（吨）销售量</t>
  </si>
  <si>
    <t xml:space="preserve">石英玻璃材料一（吨）生产量</t>
  </si>
  <si>
    <t xml:space="preserve">石英玻璃材料一（吨）库存量</t>
  </si>
  <si>
    <t xml:space="preserve">石英玻璃制品三（米）销售量</t>
  </si>
  <si>
    <t xml:space="preserve">石英玻璃制品三（米）生产量</t>
  </si>
  <si>
    <t xml:space="preserve">石英玻璃制品三（米）库存量</t>
  </si>
  <si>
    <t xml:space="preserve">石英玻璃材料二（吨）销售量</t>
  </si>
  <si>
    <t xml:space="preserve">石英玻璃材料二（吨）生产量</t>
  </si>
  <si>
    <t xml:space="preserve">石英玻璃材料二（吨）库存量</t>
  </si>
  <si>
    <r>
      <rPr>
        <sz val="10"/>
        <color rgb="FF000000"/>
        <rFont val="Noto Sans CJK SC"/>
        <family val="2"/>
        <charset val="1"/>
      </rPr>
      <t xml:space="preserve">注：制品一＝光通讯用（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  <charset val="1"/>
      </rPr>
      <t xml:space="preserve">年报注释）；制品二＝光伏等件数产品；制品三＝中益新材玻纤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电子布（米）；材料二＝高纯石英砂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</si>
  <si>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  <charset val="1"/>
      </rPr>
      <t xml:space="preserve">营业成本构成</t>
    </r>
  </si>
  <si>
    <r>
      <rPr>
        <sz val="10"/>
        <color rgb="FF000000"/>
        <rFont val="Noto Sans CJK SC"/>
        <family val="2"/>
        <charset val="1"/>
      </rPr>
      <t xml:space="preserve">石英玻璃材料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直接材料</t>
    </r>
  </si>
  <si>
    <r>
      <rPr>
        <sz val="10"/>
        <color rgb="FF000000"/>
        <rFont val="Noto Sans CJK SC"/>
        <family val="2"/>
        <charset val="1"/>
      </rPr>
      <t xml:space="preserve">石英玻璃材料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直接人工</t>
    </r>
  </si>
  <si>
    <r>
      <rPr>
        <sz val="10"/>
        <color rgb="FF000000"/>
        <rFont val="Noto Sans CJK SC"/>
        <family val="2"/>
        <charset val="1"/>
      </rPr>
      <t xml:space="preserve">石英玻璃材料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燃料动力</t>
    </r>
  </si>
  <si>
    <r>
      <rPr>
        <sz val="10"/>
        <color rgb="FF000000"/>
        <rFont val="Noto Sans CJK SC"/>
        <family val="2"/>
        <charset val="1"/>
      </rPr>
      <t xml:space="preserve">石英玻璃材料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制造费用</t>
    </r>
  </si>
  <si>
    <r>
      <rPr>
        <sz val="10"/>
        <color rgb="FF000000"/>
        <rFont val="Noto Sans CJK SC"/>
        <family val="2"/>
        <charset val="1"/>
      </rPr>
      <t xml:space="preserve">石英玻璃材料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合同履约成本</t>
    </r>
  </si>
  <si>
    <r>
      <rPr>
        <sz val="10"/>
        <color rgb="FF000000"/>
        <rFont val="Noto Sans CJK SC"/>
        <family val="2"/>
        <charset val="1"/>
      </rPr>
      <t xml:space="preserve">石英玻璃制品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直接材料</t>
    </r>
  </si>
  <si>
    <r>
      <rPr>
        <sz val="10"/>
        <color rgb="FF000000"/>
        <rFont val="Noto Sans CJK SC"/>
        <family val="2"/>
        <charset val="1"/>
      </rPr>
      <t xml:space="preserve">石英玻璃制品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直接人工</t>
    </r>
  </si>
  <si>
    <r>
      <rPr>
        <sz val="10"/>
        <color rgb="FF000000"/>
        <rFont val="Noto Sans CJK SC"/>
        <family val="2"/>
        <charset val="1"/>
      </rPr>
      <t xml:space="preserve">石英玻璃制品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燃料动力</t>
    </r>
  </si>
  <si>
    <r>
      <rPr>
        <sz val="10"/>
        <color rgb="FF000000"/>
        <rFont val="Noto Sans CJK SC"/>
        <family val="2"/>
        <charset val="1"/>
      </rPr>
      <t xml:space="preserve">石英玻璃制品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制造费用</t>
    </r>
  </si>
  <si>
    <r>
      <rPr>
        <sz val="10"/>
        <color rgb="FF000000"/>
        <rFont val="Noto Sans CJK SC"/>
        <family val="2"/>
        <charset val="1"/>
      </rPr>
      <t xml:space="preserve">石英玻璃制品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合同履约成本</t>
    </r>
  </si>
  <si>
    <t xml:space="preserve">来源：各期年报“营业成本构成”</t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</si>
  <si>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  <charset val="1"/>
      </rPr>
      <t xml:space="preserve">客户与供应商集中度</t>
    </r>
  </si>
  <si>
    <r>
      <rPr>
        <sz val="10"/>
        <color rgb="FF000000"/>
        <rFont val="Noto Sans CJK SC"/>
        <family val="2"/>
        <charset val="1"/>
      </rPr>
      <t xml:space="preserve">前五大客户占比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</si>
  <si>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第一大客户占比</t>
    </r>
    <r>
      <rPr>
        <sz val="10"/>
        <color rgb="FF000000"/>
        <rFont val="Arial"/>
        <family val="0"/>
        <charset val="1"/>
      </rPr>
      <t xml:space="preserve">(%)</t>
    </r>
  </si>
  <si>
    <t xml:space="preserve">前五大客户金额</t>
  </si>
  <si>
    <r>
      <rPr>
        <sz val="10"/>
        <color rgb="FF000000"/>
        <rFont val="Noto Sans CJK SC"/>
        <family val="2"/>
        <charset val="1"/>
      </rPr>
      <t xml:space="preserve">前五大供应商占比</t>
    </r>
    <r>
      <rPr>
        <sz val="10"/>
        <color rgb="FF000000"/>
        <rFont val="Arial"/>
        <family val="0"/>
        <charset val="1"/>
      </rPr>
      <t xml:space="preserve">(%)</t>
    </r>
  </si>
  <si>
    <t xml:space="preserve">来源：各期年报</t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</si>
  <si>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5 </t>
    </r>
    <r>
      <rPr>
        <b val="true"/>
        <sz val="10"/>
        <color rgb="FF000000"/>
        <rFont val="Noto Sans CJK SC"/>
        <family val="2"/>
        <charset val="1"/>
      </rPr>
      <t xml:space="preserve">应用拆分估算（两种独立方法取均值；与报告收入、毛利勾稽）</t>
    </r>
  </si>
  <si>
    <t xml:space="preserve">半导体 收入</t>
  </si>
  <si>
    <t xml:space="preserve">航空航天 收入</t>
  </si>
  <si>
    <t xml:space="preserve">光学 收入</t>
  </si>
  <si>
    <t xml:space="preserve">光通讯 收入</t>
  </si>
  <si>
    <t xml:space="preserve">光伏 收入</t>
  </si>
  <si>
    <t xml:space="preserve">石英电子布 收入</t>
  </si>
  <si>
    <t xml:space="preserve">玻纤工业布及其他 收入</t>
  </si>
  <si>
    <r>
      <rPr>
        <sz val="10"/>
        <color rgb="FF000000"/>
        <rFont val="Noto Sans CJK SC"/>
        <family val="2"/>
        <charset val="1"/>
      </rPr>
      <t xml:space="preserve">半导体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</si>
  <si>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航空航天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</si>
  <si>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光学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</si>
  <si>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光通讯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</si>
  <si>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光伏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</si>
  <si>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石英电子布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</si>
  <si>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玻纤工业布及其他 毛利率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</si>
  <si>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半导体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</si>
  <si>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375/380</t>
  </si>
  <si>
    <t xml:space="preserve">484/490</t>
  </si>
  <si>
    <t xml:space="preserve">643/667</t>
  </si>
  <si>
    <t xml:space="preserve">700/753</t>
  </si>
  <si>
    <t xml:space="preserve">777/836</t>
  </si>
  <si>
    <t xml:space="preserve">867/928</t>
  </si>
  <si>
    <t xml:space="preserve">408/436</t>
  </si>
  <si>
    <t xml:space="preserve">559/558</t>
  </si>
  <si>
    <r>
      <rPr>
        <sz val="10"/>
        <color rgb="FF000000"/>
        <rFont val="Noto Sans CJK SC"/>
        <family val="2"/>
        <charset val="1"/>
      </rPr>
      <t xml:space="preserve">航空航天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</si>
  <si>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318/295</t>
  </si>
  <si>
    <t xml:space="preserve">459/403</t>
  </si>
  <si>
    <t xml:space="preserve">603/488</t>
  </si>
  <si>
    <t xml:space="preserve">593/504</t>
  </si>
  <si>
    <t xml:space="preserve">339/306</t>
  </si>
  <si>
    <t xml:space="preserve">476/378</t>
  </si>
  <si>
    <t xml:space="preserve">222/178</t>
  </si>
  <si>
    <t xml:space="preserve">252/223</t>
  </si>
  <si>
    <r>
      <rPr>
        <sz val="10"/>
        <color rgb="FF000000"/>
        <rFont val="Noto Sans CJK SC"/>
        <family val="2"/>
        <charset val="1"/>
      </rPr>
      <t xml:space="preserve">光学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</si>
  <si>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85/60</t>
  </si>
  <si>
    <t xml:space="preserve">100/75</t>
  </si>
  <si>
    <t xml:space="preserve">113/95</t>
  </si>
  <si>
    <t xml:space="preserve">125/120</t>
  </si>
  <si>
    <t xml:space="preserve">127/130</t>
  </si>
  <si>
    <t xml:space="preserve">178/190</t>
  </si>
  <si>
    <t xml:space="preserve">78/85</t>
  </si>
  <si>
    <t xml:space="preserve">120/118</t>
  </si>
  <si>
    <r>
      <rPr>
        <sz val="10"/>
        <color rgb="FF000000"/>
        <rFont val="Noto Sans CJK SC"/>
        <family val="2"/>
        <charset val="1"/>
      </rPr>
      <t xml:space="preserve">光通讯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</si>
  <si>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64/60</t>
  </si>
  <si>
    <t xml:space="preserve">76/71</t>
  </si>
  <si>
    <t xml:space="preserve">114/106</t>
  </si>
  <si>
    <t xml:space="preserve">157/137</t>
  </si>
  <si>
    <t xml:space="preserve">143/132</t>
  </si>
  <si>
    <t xml:space="preserve">176/159</t>
  </si>
  <si>
    <t xml:space="preserve">76/70</t>
  </si>
  <si>
    <t xml:space="preserve">110/125</t>
  </si>
  <si>
    <r>
      <rPr>
        <sz val="10"/>
        <color rgb="FF000000"/>
        <rFont val="Noto Sans CJK SC"/>
        <family val="2"/>
        <charset val="1"/>
      </rPr>
      <t xml:space="preserve">光伏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</si>
  <si>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3/50</t>
  </si>
  <si>
    <t xml:space="preserve">10/90</t>
  </si>
  <si>
    <t xml:space="preserve">110/227</t>
  </si>
  <si>
    <t xml:space="preserve">320/380</t>
  </si>
  <si>
    <t xml:space="preserve">190/171</t>
  </si>
  <si>
    <t xml:space="preserve">68/110</t>
  </si>
  <si>
    <t xml:space="preserve">35/50</t>
  </si>
  <si>
    <t xml:space="preserve">25/42</t>
  </si>
  <si>
    <r>
      <rPr>
        <sz val="10"/>
        <color rgb="FF000000"/>
        <rFont val="Noto Sans CJK SC"/>
        <family val="2"/>
        <charset val="1"/>
      </rPr>
      <t xml:space="preserve">石英电子布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</si>
  <si>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0/0</t>
  </si>
  <si>
    <t xml:space="preserve">5/0</t>
  </si>
  <si>
    <t xml:space="preserve">98/98</t>
  </si>
  <si>
    <t xml:space="preserve">13/13</t>
  </si>
  <si>
    <t xml:space="preserve">153/153</t>
  </si>
  <si>
    <r>
      <rPr>
        <sz val="10"/>
        <color rgb="FF000000"/>
        <rFont val="Noto Sans CJK SC"/>
        <family val="2"/>
        <charset val="1"/>
      </rPr>
      <t xml:space="preserve">玻纤工业布及其他 收入（方法</t>
    </r>
    <r>
      <rPr>
        <sz val="10"/>
        <color rgb="FF000000"/>
        <rFont val="Arial"/>
        <family val="0"/>
        <charset val="1"/>
      </rPr>
      <t xml:space="preserve">A/</t>
    </r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</si>
  <si>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19/19</t>
  </si>
  <si>
    <t xml:space="preserve">95/95</t>
  </si>
  <si>
    <t xml:space="preserve">136/136</t>
  </si>
  <si>
    <t xml:space="preserve">196/196</t>
  </si>
  <si>
    <t xml:space="preserve">161/166</t>
  </si>
  <si>
    <t xml:space="preserve">75/75</t>
  </si>
  <si>
    <t xml:space="preserve">88/88</t>
  </si>
  <si>
    <r>
      <rPr>
        <sz val="10"/>
        <color rgb="FF000000"/>
        <rFont val="Noto Sans CJK SC"/>
        <family val="2"/>
        <charset val="1"/>
      </rPr>
      <t xml:space="preserve">方法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  <charset val="1"/>
      </rPr>
      <t xml:space="preserve">：产销量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分产品自下而上；方法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  <charset val="1"/>
      </rPr>
      <t xml:space="preserve">：子公司收入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  <charset val="1"/>
      </rPr>
      <t xml:space="preserve">公司披露增速。航空航天为两法残差，不确定性最大。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</si>
  <si>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6 </t>
    </r>
    <r>
      <rPr>
        <b val="true"/>
        <sz val="10"/>
        <color rgb="FF000000"/>
        <rFont val="Noto Sans CJK SC"/>
        <family val="2"/>
        <charset val="1"/>
      </rPr>
      <t xml:space="preserve">主要子公司经营数据</t>
    </r>
  </si>
  <si>
    <t xml:space="preserve">上海石创 营业收入</t>
  </si>
  <si>
    <t xml:space="preserve">上海石创 净利润</t>
  </si>
  <si>
    <t xml:space="preserve">上海石创 净资产</t>
  </si>
  <si>
    <t xml:space="preserve">潜江菲利华 营业收入</t>
  </si>
  <si>
    <t xml:space="preserve">潜江菲利华 净利润</t>
  </si>
  <si>
    <t xml:space="preserve">潜江菲利华 净资产</t>
  </si>
  <si>
    <t xml:space="preserve">中益新材 营业收入</t>
  </si>
  <si>
    <t xml:space="preserve">中益新材 净利润</t>
  </si>
  <si>
    <t xml:space="preserve">中益新材 净资产</t>
  </si>
  <si>
    <r>
      <rPr>
        <sz val="10"/>
        <color rgb="FF000000"/>
        <rFont val="Noto Sans CJK SC"/>
        <family val="2"/>
        <charset val="1"/>
      </rPr>
      <t xml:space="preserve">来源：年报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半年报“主要控股参股公司分析”；子公司收入含集团内部交易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</si>
  <si>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  <charset val="1"/>
      </rPr>
      <t xml:space="preserve">关键子公司穿透持股比例（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Noto Sans CJK SC"/>
        <family val="2"/>
        <charset val="1"/>
      </rPr>
      <t xml:space="preserve">）</t>
    </r>
  </si>
  <si>
    <t xml:space="preserve">子公司</t>
  </si>
  <si>
    <t xml:space="preserve">上海菲利华石创科技有限公司</t>
  </si>
  <si>
    <t xml:space="preserve">江苏中益新材料股份有限公司</t>
  </si>
  <si>
    <t xml:space="preserve">济南光微半导体科技有限公司</t>
  </si>
  <si>
    <t xml:space="preserve">合肥光微光电科技有限公司</t>
  </si>
  <si>
    <t xml:space="preserve">湖北石创半导体科技有限公司</t>
  </si>
  <si>
    <t xml:space="preserve">湖北菲利华融鉴科技有限公司</t>
  </si>
  <si>
    <t xml:space="preserve">湖北瑛泽材料科技有限公司</t>
  </si>
  <si>
    <t xml:space="preserve">武汉海凌汇智新材料有限公司</t>
  </si>
  <si>
    <t xml:space="preserve">湖北嘉殷新材料有限公司</t>
  </si>
  <si>
    <t xml:space="preserve">本颢（上海）国际贸易有限公司</t>
  </si>
  <si>
    <t xml:space="preserve">中志（常熟）环保科技有限公司</t>
  </si>
  <si>
    <r>
      <rPr>
        <sz val="10"/>
        <color rgb="FF000000"/>
        <rFont val="Noto Sans CJK SC"/>
        <family val="2"/>
        <charset val="1"/>
      </rPr>
      <t xml:space="preserve">来源：附注“在子公司中的权益”；中益新材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  <charset val="1"/>
      </rPr>
      <t xml:space="preserve">年两次增资（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月注册资本</t>
    </r>
    <r>
      <rPr>
        <sz val="10"/>
        <color rgb="FF000000"/>
        <rFont val="Arial"/>
        <family val="0"/>
        <charset val="1"/>
      </rPr>
      <t xml:space="preserve">8,000→12,020</t>
    </r>
    <r>
      <rPr>
        <sz val="10"/>
        <color rgb="FF000000"/>
        <rFont val="Noto Sans CJK SC"/>
        <family val="2"/>
        <charset val="1"/>
      </rPr>
      <t xml:space="preserve">万元、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  <charset val="1"/>
      </rPr>
      <t xml:space="preserve">月→</t>
    </r>
    <r>
      <rPr>
        <sz val="10"/>
        <color rgb="FF000000"/>
        <rFont val="Arial"/>
        <family val="0"/>
        <charset val="1"/>
      </rPr>
      <t xml:space="preserve">13,950</t>
    </r>
    <r>
      <rPr>
        <sz val="10"/>
        <color rgb="FF000000"/>
        <rFont val="Noto Sans CJK SC"/>
        <family val="2"/>
        <charset val="1"/>
      </rPr>
      <t xml:space="preserve">万元，核心团队认缴占比</t>
    </r>
    <r>
      <rPr>
        <sz val="10"/>
        <color rgb="FF000000"/>
        <rFont val="Arial"/>
        <family val="0"/>
        <charset val="1"/>
      </rPr>
      <t xml:space="preserve">68.91%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</si>
  <si>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8 </t>
    </r>
    <r>
      <rPr>
        <b val="true"/>
        <sz val="10"/>
        <color rgb="FF000000"/>
        <rFont val="Noto Sans CJK SC"/>
        <family val="2"/>
        <charset val="1"/>
      </rPr>
      <t xml:space="preserve">重要非全资子公司（少数股东）</t>
    </r>
  </si>
  <si>
    <r>
      <rPr>
        <b val="true"/>
        <sz val="10"/>
        <color rgb="FF000000"/>
        <rFont val="Noto Sans CJK SC"/>
        <family val="2"/>
        <charset val="1"/>
      </rPr>
      <t xml:space="preserve">期间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子公司</t>
    </r>
  </si>
  <si>
    <r>
      <rPr>
        <b val="true"/>
        <sz val="10"/>
        <color rgb="FF000000"/>
        <rFont val="Noto Sans CJK SC"/>
        <family val="2"/>
        <charset val="1"/>
      </rPr>
      <t xml:space="preserve">少数股东持股</t>
    </r>
    <r>
      <rPr>
        <b val="true"/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</si>
  <si>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Arial"/>
        <family val="0"/>
        <charset val="1"/>
      </rPr>
      <t xml:space="preserve">2024A </t>
    </r>
    <r>
      <rPr>
        <sz val="10"/>
        <color rgb="FF000000"/>
        <rFont val="Noto Sans CJK SC"/>
        <family val="2"/>
        <charset val="1"/>
      </rPr>
      <t xml:space="preserve">上海菲利华石创科技有限公司</t>
    </r>
  </si>
  <si>
    <r>
      <rPr>
        <sz val="10"/>
        <color rgb="FF000000"/>
        <rFont val="Arial"/>
        <family val="0"/>
        <charset val="1"/>
      </rPr>
      <t xml:space="preserve">2025A </t>
    </r>
    <r>
      <rPr>
        <sz val="10"/>
        <color rgb="FF000000"/>
        <rFont val="Noto Sans CJK SC"/>
        <family val="2"/>
        <charset val="1"/>
      </rPr>
      <t xml:space="preserve">上海菲利华石创科技有限公司</t>
    </r>
  </si>
  <si>
    <r>
      <rPr>
        <sz val="10"/>
        <color rgb="FF000000"/>
        <rFont val="Arial"/>
        <family val="0"/>
        <charset val="1"/>
      </rPr>
      <t xml:space="preserve">2025A </t>
    </r>
    <r>
      <rPr>
        <sz val="10"/>
        <color rgb="FF000000"/>
        <rFont val="Noto Sans CJK SC"/>
        <family val="2"/>
        <charset val="1"/>
      </rPr>
      <t xml:space="preserve">江苏中益新材料股份有限公司</t>
    </r>
  </si>
  <si>
    <r>
      <rPr>
        <sz val="10"/>
        <color rgb="FF000000"/>
        <rFont val="Arial"/>
        <family val="0"/>
        <charset val="1"/>
      </rPr>
      <t xml:space="preserve">2026H1 </t>
    </r>
    <r>
      <rPr>
        <sz val="10"/>
        <color rgb="FF000000"/>
        <rFont val="Noto Sans CJK SC"/>
        <family val="2"/>
        <charset val="1"/>
      </rPr>
      <t xml:space="preserve">上海菲利华石创科技有限公司</t>
    </r>
  </si>
  <si>
    <r>
      <rPr>
        <sz val="10"/>
        <color rgb="FF000000"/>
        <rFont val="Arial"/>
        <family val="0"/>
        <charset val="1"/>
      </rPr>
      <t xml:space="preserve">2026H1 </t>
    </r>
    <r>
      <rPr>
        <sz val="10"/>
        <color rgb="FF000000"/>
        <rFont val="Noto Sans CJK SC"/>
        <family val="2"/>
        <charset val="1"/>
      </rPr>
      <t xml:space="preserve">江苏中益新材料股份有限公司</t>
    </r>
  </si>
  <si>
    <t xml:space="preserve">来源：附注“重要的非全资子公司”</t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</si>
  <si>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9 </t>
    </r>
    <r>
      <rPr>
        <b val="true"/>
        <sz val="10"/>
        <color rgb="FF000000"/>
        <rFont val="Noto Sans CJK SC"/>
        <family val="2"/>
        <charset val="1"/>
      </rPr>
      <t xml:space="preserve">固定资产变动</t>
    </r>
  </si>
  <si>
    <t xml:space="preserve">固定资产原值（期末）</t>
  </si>
  <si>
    <t xml:space="preserve">本期增加</t>
  </si>
  <si>
    <t xml:space="preserve">其中：在建工程转入</t>
  </si>
  <si>
    <t xml:space="preserve">其中：购置</t>
  </si>
  <si>
    <t xml:space="preserve">本期折旧</t>
  </si>
  <si>
    <t xml:space="preserve">账面价值（期末）</t>
  </si>
  <si>
    <t xml:space="preserve">来源：各期附注“固定资产”</t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</si>
  <si>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10 </t>
    </r>
    <r>
      <rPr>
        <b val="true"/>
        <sz val="10"/>
        <color rgb="FF000000"/>
        <rFont val="Noto Sans CJK SC"/>
        <family val="2"/>
        <charset val="1"/>
      </rPr>
      <t xml:space="preserve">主要投资项目（预算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累计投入）</t>
    </r>
  </si>
  <si>
    <t xml:space="preserve">主体</t>
  </si>
  <si>
    <r>
      <rPr>
        <b val="true"/>
        <sz val="10"/>
        <color rgb="FF000000"/>
        <rFont val="Noto Sans CJK SC"/>
        <family val="2"/>
        <charset val="1"/>
      </rPr>
      <t xml:space="preserve">预算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总投资</t>
    </r>
  </si>
  <si>
    <t xml:space="preserve">累计投入</t>
  </si>
  <si>
    <t xml:space="preserve">最新状态</t>
  </si>
  <si>
    <t xml:space="preserve">集成电路及光学用高性能石英玻璃项目</t>
  </si>
  <si>
    <r>
      <rPr>
        <sz val="10"/>
        <color rgb="FF0000FF"/>
        <rFont val="Noto Sans CJK SC"/>
        <family val="2"/>
        <charset val="1"/>
      </rPr>
      <t xml:space="preserve">菲利华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母公司</t>
    </r>
    <r>
      <rPr>
        <sz val="10"/>
        <color rgb="FF0000FF"/>
        <rFont val="Arial"/>
        <family val="0"/>
        <charset val="1"/>
      </rPr>
      <t xml:space="preserve">)</t>
    </r>
  </si>
  <si>
    <t xml:space="preserve">completed; transferred to FA 2021 (80.28mn) and 2022 (43.47m</t>
  </si>
  <si>
    <t xml:space="preserve">高性能纤维增强复合材料制品生产建设项目</t>
  </si>
  <si>
    <t xml:space="preserve">completed; transferred to FA 2021 (247.01mn) and 2022 (14.29</t>
  </si>
  <si>
    <r>
      <rPr>
        <sz val="10"/>
        <color rgb="FF000000"/>
        <rFont val="Noto Sans CJK SC"/>
        <family val="2"/>
        <charset val="1"/>
      </rPr>
      <t xml:space="preserve">合肥光微 </t>
    </r>
    <r>
      <rPr>
        <sz val="10"/>
        <color rgb="FF000000"/>
        <rFont val="Arial"/>
        <family val="0"/>
        <charset val="1"/>
      </rPr>
      <t xml:space="preserve">TFT-LCD</t>
    </r>
    <r>
      <rPr>
        <sz val="10"/>
        <color rgb="FF000000"/>
        <rFont val="Noto Sans CJK SC"/>
        <family val="2"/>
        <charset val="1"/>
      </rPr>
      <t xml:space="preserve">及半导体用光掩膜基板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版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  <charset val="1"/>
      </rPr>
      <t xml:space="preserve">精密加</t>
    </r>
  </si>
  <si>
    <r>
      <rPr>
        <sz val="10"/>
        <color rgb="FF0000FF"/>
        <rFont val="Noto Sans CJK SC"/>
        <family val="2"/>
        <charset val="1"/>
      </rPr>
      <t xml:space="preserve">合肥光微光电科技有限公司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上海石创子公司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</si>
  <si>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IR 2026-07-09: </t>
    </r>
    <r>
      <rPr>
        <sz val="10"/>
        <color rgb="FF0000FF"/>
        <rFont val="Noto Sans CJK SC"/>
        <family val="2"/>
        <charset val="1"/>
      </rPr>
      <t xml:space="preserve">产品得到客户认可并实现小批量出货，为规模化量产奠定基础</t>
    </r>
  </si>
  <si>
    <r>
      <rPr>
        <sz val="10"/>
        <color rgb="FF000000"/>
        <rFont val="Noto Sans CJK SC"/>
        <family val="2"/>
        <charset val="1"/>
      </rPr>
      <t xml:space="preserve">半导体用高纯石英制品加工项目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荆州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</si>
  <si>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  <charset val="1"/>
      </rPr>
      <t xml:space="preserve">上海菲利华石创荆州分公司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  <charset val="1"/>
      </rPr>
      <t xml:space="preserve">湖北石创半导体</t>
    </r>
  </si>
  <si>
    <r>
      <rPr>
        <sz val="10"/>
        <color rgb="FF0000FF"/>
        <rFont val="Arial"/>
        <family val="0"/>
        <charset val="1"/>
      </rPr>
      <t xml:space="preserve">2023: </t>
    </r>
    <r>
      <rPr>
        <sz val="10"/>
        <color rgb="FF0000FF"/>
        <rFont val="Noto Sans CJK SC"/>
        <family val="2"/>
        <charset val="1"/>
      </rPr>
      <t xml:space="preserve">稳定量产</t>
    </r>
    <r>
      <rPr>
        <sz val="10"/>
        <color rgb="FF0000FF"/>
        <rFont val="Arial"/>
        <family val="0"/>
        <charset val="1"/>
      </rPr>
      <t xml:space="preserve">; IR 2024-05-18: </t>
    </r>
    <r>
      <rPr>
        <sz val="10"/>
        <color rgb="FF0000FF"/>
        <rFont val="Noto Sans CJK SC"/>
        <family val="2"/>
        <charset val="1"/>
      </rPr>
      <t xml:space="preserve">石创高纯石英制品项目已建成投产，根据市场需求合理安排产能</t>
    </r>
  </si>
  <si>
    <r>
      <rPr>
        <sz val="10"/>
        <color rgb="FF000000"/>
        <rFont val="Noto Sans CJK SC"/>
        <family val="2"/>
        <charset val="1"/>
      </rPr>
      <t xml:space="preserve">年产</t>
    </r>
    <r>
      <rPr>
        <sz val="10"/>
        <color rgb="FF000000"/>
        <rFont val="Arial"/>
        <family val="0"/>
        <charset val="1"/>
      </rPr>
      <t xml:space="preserve">20,000</t>
    </r>
    <r>
      <rPr>
        <sz val="10"/>
        <color rgb="FF000000"/>
        <rFont val="Noto Sans CJK SC"/>
        <family val="2"/>
        <charset val="1"/>
      </rPr>
      <t xml:space="preserve">吨超高纯石英砂项目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一期 </t>
    </r>
    <r>
      <rPr>
        <sz val="10"/>
        <color rgb="FF000000"/>
        <rFont val="Arial"/>
        <family val="0"/>
        <charset val="1"/>
      </rPr>
      <t xml:space="preserve">10,000</t>
    </r>
  </si>
  <si>
    <r>
      <rPr>
        <sz val="10"/>
        <color rgb="FF0000FF"/>
        <rFont val="Noto Sans CJK SC"/>
        <family val="2"/>
        <charset val="1"/>
      </rPr>
      <t xml:space="preserve">湖北菲利华融鉴科技有限公司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潜江</t>
    </r>
    <r>
      <rPr>
        <sz val="10"/>
        <color rgb="FF0000FF"/>
        <rFont val="Arial"/>
        <family val="0"/>
        <charset val="1"/>
      </rPr>
      <t xml:space="preserve">; 70%</t>
    </r>
  </si>
  <si>
    <r>
      <rPr>
        <sz val="10"/>
        <color rgb="FF0000FF"/>
        <rFont val="Arial"/>
        <family val="0"/>
        <charset val="1"/>
      </rPr>
      <t xml:space="preserve">IR 2025-12-05: </t>
    </r>
    <r>
      <rPr>
        <sz val="10"/>
        <color rgb="FF0000FF"/>
        <rFont val="Noto Sans CJK SC"/>
        <family val="2"/>
        <charset val="1"/>
      </rPr>
      <t xml:space="preserve">一期</t>
    </r>
    <r>
      <rPr>
        <sz val="10"/>
        <color rgb="FF0000FF"/>
        <rFont val="Arial"/>
        <family val="0"/>
        <charset val="1"/>
      </rPr>
      <t xml:space="preserve">10,000</t>
    </r>
    <r>
      <rPr>
        <sz val="10"/>
        <color rgb="FF0000FF"/>
        <rFont val="Noto Sans CJK SC"/>
        <family val="2"/>
        <charset val="1"/>
      </rPr>
      <t xml:space="preserve">吨产能已全部建成</t>
    </r>
    <r>
      <rPr>
        <sz val="10"/>
        <color rgb="FF0000FF"/>
        <rFont val="Arial"/>
        <family val="0"/>
        <charset val="1"/>
      </rPr>
      <t xml:space="preserve">; </t>
    </r>
    <r>
      <rPr>
        <sz val="10"/>
        <color rgb="FF0000FF"/>
        <rFont val="Noto Sans CJK SC"/>
        <family val="2"/>
        <charset val="1"/>
      </rPr>
      <t xml:space="preserve">二期 </t>
    </r>
    <r>
      <rPr>
        <sz val="10"/>
        <color rgb="FF0000FF"/>
        <rFont val="Arial"/>
        <family val="0"/>
        <charset val="1"/>
      </rPr>
      <t xml:space="preserve">no disclosure; sand used</t>
    </r>
  </si>
  <si>
    <t xml:space="preserve">光通迅、光伏用石英制品项目</t>
  </si>
  <si>
    <t xml:space="preserve">not disclosed</t>
  </si>
  <si>
    <t xml:space="preserve">completed (2025H1 progress 100%; nil balance at 2025-12-31)</t>
  </si>
  <si>
    <t xml:space="preserve">半导体用石英玻璃材料扩产项目</t>
  </si>
  <si>
    <r>
      <rPr>
        <sz val="10"/>
        <color rgb="FF0000FF"/>
        <rFont val="Arial"/>
        <family val="0"/>
        <charset val="1"/>
      </rPr>
      <t xml:space="preserve">completed; 2024 realised benefit 15.38mn (</t>
    </r>
    <r>
      <rPr>
        <sz val="10"/>
        <color rgb="FF0000FF"/>
        <rFont val="Noto Sans CJK SC"/>
        <family val="2"/>
        <charset val="1"/>
      </rPr>
      <t xml:space="preserve">募集资金表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</si>
  <si>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新材料研发项目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半导体及光电领域用先进陶瓷</t>
    </r>
    <r>
      <rPr>
        <sz val="10"/>
        <color rgb="FF000000"/>
        <rFont val="Arial"/>
        <family val="0"/>
        <charset val="1"/>
      </rPr>
      <t xml:space="preserve">)</t>
    </r>
  </si>
  <si>
    <t xml:space="preserve">武汉菲利华新材料科技有限公司</t>
  </si>
  <si>
    <t xml:space="preserve">completed; CIP balance transferred 2024</t>
  </si>
  <si>
    <r>
      <rPr>
        <sz val="10"/>
        <color rgb="FF000000"/>
        <rFont val="Noto Sans CJK SC"/>
        <family val="2"/>
        <charset val="1"/>
      </rPr>
      <t xml:space="preserve">高端电子专用材料精密加工项目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济南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</si>
  <si>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  <charset val="1"/>
      </rPr>
      <t xml:space="preserve">济南光微半导体科技有限公司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上海石创子公司</t>
    </r>
  </si>
  <si>
    <r>
      <rPr>
        <sz val="10"/>
        <color rgb="FF0000FF"/>
        <rFont val="Arial"/>
        <family val="0"/>
        <charset val="1"/>
      </rPr>
      <t xml:space="preserve">2026H1: </t>
    </r>
    <r>
      <rPr>
        <sz val="10"/>
        <color rgb="FF0000FF"/>
        <rFont val="Noto Sans CJK SC"/>
        <family val="2"/>
        <charset val="1"/>
      </rPr>
      <t xml:space="preserve">建设完成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重大非股权投资表</t>
    </r>
    <r>
      <rPr>
        <sz val="10"/>
        <color rgb="FF0000FF"/>
        <rFont val="Arial"/>
        <family val="0"/>
        <charset val="1"/>
      </rPr>
      <t xml:space="preserve">); </t>
    </r>
    <r>
      <rPr>
        <sz val="10"/>
        <color rgb="FF0000FF"/>
        <rFont val="Noto Sans CJK SC"/>
        <family val="2"/>
        <charset val="1"/>
      </rPr>
      <t xml:space="preserve">基础规格量产线通线、量产工艺优化中 </t>
    </r>
    <r>
      <rPr>
        <sz val="10"/>
        <color rgb="FF0000FF"/>
        <rFont val="Arial"/>
        <family val="0"/>
        <charset val="1"/>
      </rPr>
      <t xml:space="preserve">(IR 2026-07-09)</t>
    </r>
  </si>
  <si>
    <r>
      <rPr>
        <sz val="10"/>
        <color rgb="FF000000"/>
        <rFont val="Noto Sans CJK SC"/>
        <family val="2"/>
        <charset val="1"/>
      </rPr>
      <t xml:space="preserve">合成石英材料五期项目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合成石英玻璃材料扩产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</si>
  <si>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  <charset val="1"/>
      </rPr>
      <t xml:space="preserve">竣工投产 </t>
    </r>
    <r>
      <rPr>
        <sz val="10"/>
        <color rgb="FF0000FF"/>
        <rFont val="Arial"/>
        <family val="0"/>
        <charset val="1"/>
      </rPr>
      <t xml:space="preserve">(2025); residual CIP 0.06mn at 2026H1</t>
    </r>
  </si>
  <si>
    <t xml:space="preserve">合成六期项目</t>
  </si>
  <si>
    <r>
      <rPr>
        <sz val="10"/>
        <color rgb="FF0000FF"/>
        <rFont val="Noto Sans CJK SC"/>
        <family val="2"/>
        <charset val="1"/>
      </rPr>
      <t xml:space="preserve">竣工投产 </t>
    </r>
    <r>
      <rPr>
        <sz val="10"/>
        <color rgb="FF0000FF"/>
        <rFont val="Arial"/>
        <family val="0"/>
        <charset val="1"/>
      </rPr>
      <t xml:space="preserve">(2026-2 L411-412); 100% progress, 95.19% of budget</t>
    </r>
  </si>
  <si>
    <t xml:space="preserve">石英电子纱智能制造（一期）建设项目</t>
  </si>
  <si>
    <r>
      <rPr>
        <sz val="10"/>
        <color rgb="FF0000FF"/>
        <rFont val="Noto Sans CJK SC"/>
        <family val="2"/>
        <charset val="1"/>
      </rPr>
      <t xml:space="preserve">湖北鼎益新材料有限公司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荆州</t>
    </r>
    <r>
      <rPr>
        <sz val="10"/>
        <color rgb="FF0000FF"/>
        <rFont val="Arial"/>
        <family val="0"/>
        <charset val="1"/>
      </rPr>
      <t xml:space="preserve">; 100%;</t>
    </r>
  </si>
  <si>
    <r>
      <rPr>
        <sz val="10"/>
        <color rgb="FF0000FF"/>
        <rFont val="Arial"/>
        <family val="0"/>
        <charset val="1"/>
      </rPr>
      <t xml:space="preserve">2026H1: </t>
    </r>
    <r>
      <rPr>
        <sz val="10"/>
        <color rgb="FF0000FF"/>
        <rFont val="Noto Sans CJK SC"/>
        <family val="2"/>
        <charset val="1"/>
      </rPr>
      <t xml:space="preserve">建设中</t>
    </r>
    <r>
      <rPr>
        <sz val="10"/>
        <color rgb="FF0000FF"/>
        <rFont val="Arial"/>
        <family val="0"/>
        <charset val="1"/>
      </rPr>
      <t xml:space="preserve">; CIP 140.40mn, 36.84% of budget, progress 40%; I</t>
    </r>
  </si>
  <si>
    <t xml:space="preserve">超薄石英电子布基材项目</t>
  </si>
  <si>
    <t xml:space="preserve">not disclosed (likely </t>
  </si>
  <si>
    <t xml:space="preserve">2026H1: CIP 67.08mn; 49.38% of budget; progress 50%</t>
  </si>
  <si>
    <r>
      <rPr>
        <sz val="10"/>
        <color rgb="FF000000"/>
        <rFont val="Noto Sans CJK SC"/>
        <family val="2"/>
        <charset val="1"/>
      </rPr>
      <t xml:space="preserve">嘉殷基地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基建工程</t>
    </r>
  </si>
  <si>
    <r>
      <rPr>
        <sz val="10"/>
        <color rgb="FF0000FF"/>
        <rFont val="Noto Sans CJK SC"/>
        <family val="2"/>
        <charset val="1"/>
      </rPr>
      <t xml:space="preserve">湖北嘉殷新材料有限公司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  <charset val="1"/>
      </rPr>
      <t xml:space="preserve">荆州</t>
    </r>
    <r>
      <rPr>
        <sz val="10"/>
        <color rgb="FF0000FF"/>
        <rFont val="Arial"/>
        <family val="0"/>
        <charset val="1"/>
      </rPr>
      <t xml:space="preserve">; 74.04</t>
    </r>
  </si>
  <si>
    <t xml:space="preserve">2026H1: 21.83% of budget, progress 25%; 42.29mn 'other decre</t>
  </si>
  <si>
    <r>
      <rPr>
        <sz val="10"/>
        <color rgb="FF000000"/>
        <rFont val="Noto Sans CJK SC"/>
        <family val="2"/>
        <charset val="1"/>
      </rPr>
      <t xml:space="preserve">来源：附注“重要在建工程项目本期变动情况”、募集资金使用表、投资者关系记录（</t>
    </r>
    <r>
      <rPr>
        <sz val="10"/>
        <color rgb="FF000000"/>
        <rFont val="Arial"/>
        <family val="0"/>
        <charset val="1"/>
      </rPr>
      <t xml:space="preserve">capex_da.json</t>
    </r>
    <r>
      <rPr>
        <sz val="10"/>
        <color rgb="FF000000"/>
        <rFont val="Noto Sans CJK SC"/>
        <family val="2"/>
        <charset val="1"/>
      </rPr>
      <t xml:space="preserve">）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</si>
  <si>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11 </t>
    </r>
    <r>
      <rPr>
        <b val="true"/>
        <sz val="10"/>
        <color rgb="FF000000"/>
        <rFont val="Noto Sans CJK SC"/>
        <family val="2"/>
        <charset val="1"/>
      </rPr>
      <t xml:space="preserve">分红历史（按所属年度）</t>
    </r>
  </si>
  <si>
    <t xml:space="preserve">年度</t>
  </si>
  <si>
    <r>
      <rPr>
        <b val="true"/>
        <sz val="10"/>
        <color rgb="FF000000"/>
        <rFont val="Noto Sans CJK SC"/>
        <family val="2"/>
        <charset val="1"/>
      </rPr>
      <t xml:space="preserve">每股派息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</si>
  <si>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现金分红</t>
  </si>
  <si>
    <r>
      <rPr>
        <b val="true"/>
        <sz val="10"/>
        <color rgb="FF000000"/>
        <rFont val="Noto Sans CJK SC"/>
        <family val="2"/>
        <charset val="1"/>
      </rPr>
      <t xml:space="preserve">分红率</t>
    </r>
    <r>
      <rPr>
        <b val="true"/>
        <sz val="10"/>
        <color rgb="FF000000"/>
        <rFont val="Arial"/>
        <family val="0"/>
        <charset val="1"/>
      </rPr>
      <t xml:space="preserve">(%)</t>
    </r>
  </si>
  <si>
    <t xml:space="preserve">送转</t>
  </si>
  <si>
    <t xml:space="preserve">2018</t>
  </si>
  <si>
    <t xml:space="preserve">2019</t>
  </si>
  <si>
    <r>
      <rPr>
        <sz val="10"/>
        <color rgb="FF0000FF"/>
        <rFont val="Noto Sans CJK SC"/>
        <family val="2"/>
        <charset val="1"/>
      </rPr>
      <t xml:space="preserve">资本公积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  <charset val="1"/>
      </rPr>
      <t xml:space="preserve">转</t>
    </r>
    <r>
      <rPr>
        <sz val="10"/>
        <color rgb="FF0000FF"/>
        <rFont val="Arial"/>
        <family val="0"/>
        <charset val="1"/>
      </rPr>
      <t xml:space="preserve">5 (+168,974,422 sh)</t>
    </r>
  </si>
  <si>
    <t xml:space="preserve">2026 interim</t>
  </si>
  <si>
    <r>
      <rPr>
        <sz val="10"/>
        <color rgb="FF000000"/>
        <rFont val="Noto Sans CJK SC"/>
        <family val="2"/>
        <charset val="1"/>
      </rPr>
      <t xml:space="preserve">来源：年报利润分配方案、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  <charset val="1"/>
      </rPr>
      <t xml:space="preserve">现金流量表；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年为中期分红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</si>
  <si>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12 </t>
    </r>
    <r>
      <rPr>
        <b val="true"/>
        <sz val="10"/>
        <color rgb="FF000000"/>
        <rFont val="Noto Sans CJK SC"/>
        <family val="2"/>
        <charset val="1"/>
      </rPr>
      <t xml:space="preserve">股份支付费用</t>
    </r>
  </si>
  <si>
    <t xml:space="preserve">期间</t>
  </si>
  <si>
    <t xml:space="preserve">费用</t>
  </si>
  <si>
    <t xml:space="preserve">2021H1</t>
  </si>
  <si>
    <t xml:space="preserve">2021 plan first grant</t>
  </si>
  <si>
    <t xml:space="preserve">2022H1</t>
  </si>
  <si>
    <t xml:space="preserve">2023H1</t>
  </si>
  <si>
    <t xml:space="preserve">2024H1</t>
  </si>
  <si>
    <t xml:space="preserve">net REVERSAL: FY2024 revenue target missed -&gt; 4th/</t>
  </si>
  <si>
    <t xml:space="preserve">gap 2.15mn presumably minority share (INFERRED by </t>
  </si>
  <si>
    <r>
      <rPr>
        <sz val="10"/>
        <color rgb="FF000000"/>
        <rFont val="Noto Sans CJK SC"/>
        <family val="2"/>
        <charset val="1"/>
      </rPr>
      <t xml:space="preserve">来源：各期附注“股份支付”；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  <charset val="1"/>
      </rPr>
      <t xml:space="preserve">年因收入考核未达标冲回；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  <charset val="1"/>
      </rPr>
      <t xml:space="preserve">年计划首次授予</t>
    </r>
    <r>
      <rPr>
        <sz val="10"/>
        <color rgb="FF000000"/>
        <rFont val="Arial"/>
        <family val="0"/>
        <charset val="1"/>
      </rPr>
      <t xml:space="preserve">141.2</t>
    </r>
    <r>
      <rPr>
        <sz val="10"/>
        <color rgb="FF000000"/>
        <rFont val="Noto Sans CJK SC"/>
        <family val="2"/>
        <charset val="1"/>
      </rPr>
      <t xml:space="preserve">万股（</t>
    </r>
    <r>
      <rPr>
        <sz val="10"/>
        <color rgb="FF000000"/>
        <rFont val="Arial"/>
        <family val="0"/>
        <charset val="1"/>
      </rPr>
      <t xml:space="preserve">38.90</t>
    </r>
    <r>
      <rPr>
        <sz val="10"/>
        <color rgb="FF000000"/>
        <rFont val="Noto Sans CJK SC"/>
        <family val="2"/>
        <charset val="1"/>
      </rPr>
      <t xml:space="preserve">元），总成本</t>
    </r>
    <r>
      <rPr>
        <sz val="10"/>
        <color rgb="FF000000"/>
        <rFont val="Arial"/>
        <family val="0"/>
        <charset val="1"/>
      </rPr>
      <t xml:space="preserve">7,543</t>
    </r>
    <r>
      <rPr>
        <sz val="10"/>
        <color rgb="FF000000"/>
        <rFont val="Noto Sans CJK SC"/>
        <family val="2"/>
        <charset val="1"/>
      </rPr>
      <t xml:space="preserve">万元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</si>
  <si>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13 </t>
    </r>
    <r>
      <rPr>
        <b val="true"/>
        <sz val="10"/>
        <color rgb="FF000000"/>
        <rFont val="Noto Sans CJK SC"/>
        <family val="2"/>
        <charset val="1"/>
      </rPr>
      <t xml:space="preserve">股东户数</t>
    </r>
  </si>
  <si>
    <t xml:space="preserve">期末</t>
  </si>
  <si>
    <t xml:space="preserve">股东户数</t>
  </si>
  <si>
    <r>
      <rPr>
        <sz val="10"/>
        <color rgb="FF000000"/>
        <rFont val="Noto Sans CJK SC"/>
        <family val="2"/>
        <charset val="1"/>
      </rPr>
      <t xml:space="preserve">来源：定期报告。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  <charset val="1"/>
      </rPr>
      <t xml:space="preserve">年三季度以来股东户数大幅增加（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  <charset val="1"/>
      </rPr>
      <t xml:space="preserve">为</t>
    </r>
    <r>
      <rPr>
        <sz val="10"/>
        <color rgb="FF000000"/>
        <rFont val="Arial"/>
        <family val="0"/>
        <charset val="1"/>
      </rPr>
      <t xml:space="preserve">16.55</t>
    </r>
    <r>
      <rPr>
        <sz val="10"/>
        <color rgb="FF000000"/>
        <rFont val="Noto Sans CJK SC"/>
        <family val="2"/>
        <charset val="1"/>
      </rPr>
      <t xml:space="preserve">万户）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</si>
  <si>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14 2026</t>
    </r>
    <r>
      <rPr>
        <b val="true"/>
        <sz val="10"/>
        <color rgb="FF000000"/>
        <rFont val="Noto Sans CJK SC"/>
        <family val="2"/>
        <charset val="1"/>
      </rPr>
      <t xml:space="preserve">年上半年实控人及董监高减持（股）</t>
    </r>
  </si>
  <si>
    <t xml:space="preserve">人员</t>
  </si>
  <si>
    <t xml:space="preserve">股数变动</t>
  </si>
  <si>
    <t xml:space="preserve">邓家贵</t>
  </si>
  <si>
    <t xml:space="preserve">吴学民</t>
  </si>
  <si>
    <t xml:space="preserve">商春利</t>
  </si>
  <si>
    <t xml:space="preserve">蔡绍学</t>
  </si>
  <si>
    <t xml:space="preserve">卢晓辉</t>
  </si>
  <si>
    <t xml:space="preserve">刘俊龙</t>
  </si>
  <si>
    <t xml:space="preserve">魏学兵</t>
  </si>
  <si>
    <t xml:space="preserve">controllers_total</t>
  </si>
  <si>
    <t xml:space="preserve">controllers_pct_of_shares</t>
  </si>
  <si>
    <t xml:space="preserve">directors_total</t>
  </si>
  <si>
    <r>
      <rPr>
        <sz val="10"/>
        <color rgb="FF000000"/>
        <rFont val="Noto Sans CJK SC"/>
        <family val="2"/>
        <charset val="1"/>
      </rPr>
      <t xml:space="preserve">来源：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年半年报“董事、监事和高级管理人员持股变动”；董事长商春利</t>
    </r>
    <r>
      <rPr>
        <sz val="10"/>
        <color rgb="FF000000"/>
        <rFont val="Arial"/>
        <family val="0"/>
        <charset val="1"/>
      </rPr>
      <t xml:space="preserve">2026-06-12</t>
    </r>
    <r>
      <rPr>
        <sz val="10"/>
        <color rgb="FF000000"/>
        <rFont val="Noto Sans CJK SC"/>
        <family val="2"/>
        <charset val="1"/>
      </rPr>
      <t xml:space="preserve">至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  <charset val="1"/>
      </rPr>
      <t xml:space="preserve">另减持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  <charset val="1"/>
      </rPr>
      <t xml:space="preserve">万股（均价</t>
    </r>
    <r>
      <rPr>
        <sz val="10"/>
        <color rgb="FF000000"/>
        <rFont val="Arial"/>
        <family val="0"/>
        <charset val="1"/>
      </rPr>
      <t xml:space="preserve">125.89</t>
    </r>
    <r>
      <rPr>
        <sz val="10"/>
        <color rgb="FF000000"/>
        <rFont val="Noto Sans CJK SC"/>
        <family val="2"/>
        <charset val="1"/>
      </rPr>
      <t xml:space="preserve">元）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</si>
  <si>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15 </t>
    </r>
    <r>
      <rPr>
        <b val="true"/>
        <sz val="10"/>
        <color rgb="FF000000"/>
        <rFont val="Noto Sans CJK SC"/>
        <family val="2"/>
        <charset val="1"/>
      </rPr>
      <t xml:space="preserve">存货构成与应收账款质量</t>
    </r>
  </si>
  <si>
    <r>
      <rPr>
        <sz val="10"/>
        <color rgb="FF000000"/>
        <rFont val="Noto Sans CJK SC"/>
        <family val="2"/>
        <charset val="1"/>
      </rPr>
      <t xml:space="preserve">存货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原材料（账面余额）</t>
    </r>
  </si>
  <si>
    <r>
      <rPr>
        <sz val="10"/>
        <color rgb="FF000000"/>
        <rFont val="Noto Sans CJK SC"/>
        <family val="2"/>
        <charset val="1"/>
      </rPr>
      <t xml:space="preserve">存货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在产品（账面余额）</t>
    </r>
  </si>
  <si>
    <r>
      <rPr>
        <sz val="10"/>
        <color rgb="FF000000"/>
        <rFont val="Noto Sans CJK SC"/>
        <family val="2"/>
        <charset val="1"/>
      </rPr>
      <t xml:space="preserve">存货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库存商品（账面余额）</t>
    </r>
  </si>
  <si>
    <r>
      <rPr>
        <sz val="10"/>
        <color rgb="FF000000"/>
        <rFont val="Noto Sans CJK SC"/>
        <family val="2"/>
        <charset val="1"/>
      </rPr>
      <t xml:space="preserve">存货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发出商品（账面余额）</t>
    </r>
  </si>
  <si>
    <r>
      <rPr>
        <sz val="10"/>
        <color rgb="FF000000"/>
        <rFont val="Noto Sans CJK SC"/>
        <family val="2"/>
        <charset val="1"/>
      </rPr>
      <t xml:space="preserve">存货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合同履约成本（账面余额）</t>
    </r>
  </si>
  <si>
    <t xml:space="preserve">存货跌价准备</t>
  </si>
  <si>
    <t xml:space="preserve">应收账款余额</t>
  </si>
  <si>
    <t xml:space="preserve">应收账款坏账准备</t>
  </si>
  <si>
    <r>
      <rPr>
        <sz val="10"/>
        <color rgb="FF000000"/>
        <rFont val="Noto Sans CJK SC"/>
        <family val="2"/>
        <charset val="1"/>
      </rPr>
      <t xml:space="preserve">应收账款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年以内占比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</si>
  <si>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前五大应收占比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</si>
  <si>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  <charset val="1"/>
      </rPr>
      <t xml:space="preserve">来源：各期附注“存货”“应收账款”（</t>
    </r>
    <r>
      <rPr>
        <sz val="10"/>
        <color rgb="FF000000"/>
        <rFont val="Arial"/>
        <family val="0"/>
        <charset val="1"/>
      </rPr>
      <t xml:space="preserve">working_capital.json</t>
    </r>
    <r>
      <rPr>
        <sz val="10"/>
        <color rgb="FF000000"/>
        <rFont val="Noto Sans CJK SC"/>
        <family val="2"/>
        <charset val="1"/>
      </rPr>
      <t xml:space="preserve">）；原材料占存货六成以上，含进口高纯石英砂等战略储备</t>
    </r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</si>
  <si>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16 </t>
    </r>
    <r>
      <rPr>
        <b val="true"/>
        <sz val="10"/>
        <color rgb="FF000000"/>
        <rFont val="Noto Sans CJK SC"/>
        <family val="2"/>
        <charset val="1"/>
      </rPr>
      <t xml:space="preserve">经营现金流与净利润</t>
    </r>
  </si>
  <si>
    <t xml:space="preserve">经营现金流</t>
  </si>
  <si>
    <r>
      <rPr>
        <b val="true"/>
        <sz val="10"/>
        <color rgb="FF000000"/>
        <rFont val="Arial"/>
        <family val="0"/>
        <charset val="1"/>
      </rPr>
      <t xml:space="preserve">OCF/</t>
    </r>
    <r>
      <rPr>
        <b val="true"/>
        <sz val="10"/>
        <color rgb="FF000000"/>
        <rFont val="Noto Sans CJK SC"/>
        <family val="2"/>
        <charset val="1"/>
      </rPr>
      <t xml:space="preserve">净利润</t>
    </r>
  </si>
  <si>
    <t xml:space="preserve">存货变动</t>
  </si>
  <si>
    <t xml:space="preserve">经营性应收变动</t>
  </si>
  <si>
    <t xml:space="preserve">经营性应付变动</t>
  </si>
  <si>
    <t xml:space="preserve">来源：现金流量表补充资料</t>
  </si>
  <si>
    <r>
      <rPr>
        <b val="true"/>
        <sz val="10"/>
        <color rgb="FF000000"/>
        <rFont val="Noto Sans CJK SC"/>
        <family val="2"/>
        <charset val="1"/>
      </rPr>
      <t xml:space="preserve">表</t>
    </r>
    <r>
      <rPr>
        <b val="true"/>
        <sz val="10"/>
        <color rgb="FF000000"/>
        <rFont val="Arial"/>
        <family val="0"/>
        <charset val="1"/>
      </rPr>
      <t xml:space="preserve">17 </t>
    </r>
    <r>
      <rPr>
        <b val="true"/>
        <sz val="10"/>
        <color rgb="FF000000"/>
        <rFont val="Noto Sans CJK SC"/>
        <family val="2"/>
        <charset val="1"/>
      </rPr>
      <t xml:space="preserve">扣非净利润、所得税、研发与员工</t>
    </r>
  </si>
  <si>
    <t xml:space="preserve">非经常性损益（税后）</t>
  </si>
  <si>
    <t xml:space="preserve">扣非归母净利润</t>
  </si>
  <si>
    <t xml:space="preserve">当期所得税</t>
  </si>
  <si>
    <t xml:space="preserve">递延所得税</t>
  </si>
  <si>
    <r>
      <rPr>
        <sz val="10"/>
        <color rgb="FF000000"/>
        <rFont val="Noto Sans CJK SC"/>
        <family val="2"/>
        <charset val="1"/>
      </rPr>
      <t xml:space="preserve">有效税率</t>
    </r>
    <r>
      <rPr>
        <sz val="10"/>
        <color rgb="FF000000"/>
        <rFont val="Arial"/>
        <family val="0"/>
        <charset val="1"/>
      </rPr>
      <t xml:space="preserve">(%)</t>
    </r>
  </si>
  <si>
    <t xml:space="preserve">研发投入</t>
  </si>
  <si>
    <t xml:space="preserve">研发人员（人）</t>
  </si>
  <si>
    <t xml:space="preserve">员工总数（人）</t>
  </si>
  <si>
    <t xml:space="preserve">来源：各期“非经常性损益”“所得税费用”“研发投入”“员工情况”；研发投入未资本化</t>
  </si>
  <si>
    <t xml:space="preserve">模型完整性检查</t>
  </si>
  <si>
    <t xml:space="preserve">检查项</t>
  </si>
  <si>
    <t xml:space="preserve">结果</t>
  </si>
  <si>
    <t xml:space="preserve">标准</t>
  </si>
  <si>
    <r>
      <rPr>
        <sz val="10"/>
        <color rgb="FF000000"/>
        <rFont val="Noto Sans CJK SC"/>
        <family val="2"/>
        <charset val="1"/>
      </rPr>
      <t xml:space="preserve">资产负债表平衡（各年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  <charset val="1"/>
      </rPr>
      <t xml:space="preserve">资产−负债−权益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  <charset val="1"/>
      </rPr>
      <t xml:space="preserve">最大值）</t>
    </r>
  </si>
  <si>
    <r>
      <rPr>
        <sz val="10"/>
        <color rgb="FF000000"/>
        <rFont val="Noto Sans CJK SC"/>
        <family val="2"/>
        <charset val="1"/>
      </rPr>
      <t xml:space="preserve">应为 </t>
    </r>
    <r>
      <rPr>
        <sz val="10"/>
        <color rgb="FF000000"/>
        <rFont val="Arial"/>
        <family val="0"/>
        <charset val="1"/>
      </rPr>
      <t xml:space="preserve">0</t>
    </r>
  </si>
  <si>
    <t xml:space="preserve">历史资产总计与报告值差异（最大绝对值）</t>
  </si>
  <si>
    <r>
      <rPr>
        <sz val="10"/>
        <color rgb="FF000000"/>
        <rFont val="Noto Sans CJK SC"/>
        <family val="2"/>
        <charset val="1"/>
      </rPr>
      <t xml:space="preserve">应为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（历史科目映射完整）</t>
    </r>
  </si>
  <si>
    <t xml:space="preserve">历史分业务收入加总与报告收入差异（最大绝对值）</t>
  </si>
  <si>
    <t xml:space="preserve">现金勾稽：期末现金 − 期初现金 − 现金流量表净增加额（预测期最大绝对值）</t>
  </si>
  <si>
    <t xml:space="preserve">预测期现金余额最小值 − 最低现金要求</t>
  </si>
  <si>
    <r>
      <rPr>
        <sz val="10"/>
        <color rgb="FF000000"/>
        <rFont val="Noto Sans CJK SC"/>
        <family val="2"/>
        <charset val="1"/>
      </rPr>
      <t xml:space="preserve">应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（不足部分由循环贷款补足）</t>
    </r>
  </si>
  <si>
    <t xml:space="preserve">预测期循环贷款最大余额（信息项）</t>
  </si>
  <si>
    <r>
      <rPr>
        <sz val="10"/>
        <color rgb="FF000000"/>
        <rFont val="Arial"/>
        <family val="0"/>
        <charset val="1"/>
      </rPr>
      <t xml:space="preserve">&gt;0 </t>
    </r>
    <r>
      <rPr>
        <sz val="10"/>
        <color rgb="FF000000"/>
        <rFont val="Noto Sans CJK SC"/>
        <family val="2"/>
        <charset val="1"/>
      </rPr>
      <t xml:space="preserve">表示该情景需要外部融资</t>
    </r>
  </si>
  <si>
    <t xml:space="preserve">电子布产能利用率最大值（预测期）</t>
  </si>
  <si>
    <r>
      <rPr>
        <sz val="10"/>
        <color rgb="FF000000"/>
        <rFont val="Noto Sans CJK SC"/>
        <family val="2"/>
        <charset val="1"/>
      </rPr>
      <t xml:space="preserve">应 ≤ 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</si>
  <si>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WACC − </t>
    </r>
    <r>
      <rPr>
        <sz val="10"/>
        <color rgb="FF000000"/>
        <rFont val="Noto Sans CJK SC"/>
        <family val="2"/>
        <charset val="1"/>
      </rPr>
      <t xml:space="preserve">永续增长率</t>
    </r>
  </si>
  <si>
    <r>
      <rPr>
        <sz val="10"/>
        <color rgb="FF000000"/>
        <rFont val="Noto Sans CJK SC"/>
        <family val="2"/>
        <charset val="1"/>
      </rPr>
      <t xml:space="preserve">应 </t>
    </r>
    <r>
      <rPr>
        <sz val="10"/>
        <color rgb="FF000000"/>
        <rFont val="Arial"/>
        <family val="0"/>
        <charset val="1"/>
      </rPr>
      <t xml:space="preserve">&gt; 0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</si>
  <si>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敏感性表一（</t>
    </r>
    <r>
      <rPr>
        <sz val="10"/>
        <color rgb="FF000000"/>
        <rFont val="Arial"/>
        <family val="0"/>
        <charset val="1"/>
      </rPr>
      <t xml:space="preserve">WACC×g</t>
    </r>
    <r>
      <rPr>
        <sz val="10"/>
        <color rgb="FF000000"/>
        <rFont val="Noto Sans CJK SC"/>
        <family val="2"/>
        <charset val="1"/>
      </rPr>
      <t xml:space="preserve">）中心值 − </t>
    </r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每股价值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</si>
  <si>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敏感性表二（起始增速</t>
    </r>
    <r>
      <rPr>
        <sz val="10"/>
        <color rgb="FF000000"/>
        <rFont val="Arial"/>
        <family val="0"/>
        <charset val="1"/>
      </rPr>
      <t xml:space="preserve">×RONIC</t>
    </r>
    <r>
      <rPr>
        <sz val="10"/>
        <color rgb="FF000000"/>
        <rFont val="Noto Sans CJK SC"/>
        <family val="2"/>
        <charset val="1"/>
      </rPr>
      <t xml:space="preserve">）中心值 − </t>
    </r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  <charset val="1"/>
      </rPr>
      <t xml:space="preserve">每股价值</t>
    </r>
  </si>
  <si>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  <charset val="1"/>
      </rPr>
      <t xml:space="preserve">分部利润合计 − 利润表归母净利润（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  <charset val="1"/>
      </rPr>
      <t xml:space="preserve">、</t>
    </r>
    <r>
      <rPr>
        <sz val="10"/>
        <color rgb="FF000000"/>
        <rFont val="Arial"/>
        <family val="0"/>
        <charset val="1"/>
      </rPr>
      <t xml:space="preserve">2028E</t>
    </r>
    <r>
      <rPr>
        <sz val="10"/>
        <color rgb="FF000000"/>
        <rFont val="Noto Sans CJK SC"/>
        <family val="2"/>
        <charset val="1"/>
      </rPr>
      <t xml:space="preserve">最大绝对值）</t>
    </r>
  </si>
  <si>
    <r>
      <rPr>
        <sz val="10"/>
        <color rgb="FF000000"/>
        <rFont val="Noto Sans CJK SC"/>
        <family val="2"/>
        <charset val="1"/>
      </rPr>
      <t xml:space="preserve">季度：</t>
    </r>
    <r>
      <rPr>
        <sz val="10"/>
        <color rgb="FF000000"/>
        <rFont val="Arial"/>
        <family val="0"/>
        <charset val="1"/>
      </rPr>
      <t xml:space="preserve">2026Q3E+Q4E+H1A − 2026E</t>
    </r>
    <r>
      <rPr>
        <sz val="10"/>
        <color rgb="FF000000"/>
        <rFont val="Noto Sans CJK SC"/>
        <family val="2"/>
        <charset val="1"/>
      </rPr>
      <t xml:space="preserve">归母净利润</t>
    </r>
  </si>
  <si>
    <t xml:space="preserve">预测期少数股东损益占比最大值</t>
  </si>
  <si>
    <r>
      <rPr>
        <sz val="10"/>
        <color rgb="FF000000"/>
        <rFont val="Noto Sans CJK SC"/>
        <family val="2"/>
        <charset val="1"/>
      </rPr>
      <t xml:space="preserve">应 ≤ </t>
    </r>
    <r>
      <rPr>
        <sz val="10"/>
        <color rgb="FF000000"/>
        <rFont val="Arial"/>
        <family val="0"/>
        <charset val="1"/>
      </rPr>
      <t xml:space="preserve">30%</t>
    </r>
  </si>
  <si>
    <t xml:space="preserve">预测期少数股东损益占比最小值</t>
  </si>
  <si>
    <r>
      <rPr>
        <sz val="10"/>
        <color rgb="FF000000"/>
        <rFont val="Noto Sans CJK SC"/>
        <family val="2"/>
        <charset val="1"/>
      </rPr>
      <t xml:space="preserve">应 ≥ </t>
    </r>
    <r>
      <rPr>
        <sz val="10"/>
        <color rgb="FF000000"/>
        <rFont val="Arial"/>
        <family val="0"/>
        <charset val="1"/>
      </rPr>
      <t xml:space="preserve">0</t>
    </r>
  </si>
  <si>
    <t xml:space="preserve">总体状态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</si>
</sst>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#,##0.00;\(#,##0.00\);\-"/>
    <numFmt numFmtId="168" formatCode="0.0\x;\(0.0&quot;x)&quot;;\-"/>
    <numFmt numFmtId="169" formatCode="@"/>
    <numFmt numFmtId="170" formatCode="0.00"/>
    <numFmt numFmtId="171" formatCode="#,##0.0;\(#,##0.0\);\-"/>
    <numFmt numFmtId="172" formatCode="0"/>
    <numFmt numFmtId="173" formatCode="0;\(0\);\-"/>
    <numFmt numFmtId="174" formatCode="0%"/>
    <numFmt numFmtId="175" formatCode="yyyy\-mm\-dd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  <charset val="1"/>
    </font>
    <font>
      <b val="true"/>
      <sz val="18"/>
      <color rgb="FF1F3864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  <charset val="1"/>
    </font>
    <font>
      <b val="true"/>
      <sz val="14"/>
      <color rgb="FF1F3864"/>
      <name val="Noto Sans CJK SC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Noto Sans CJK SC"/>
      <family val="2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Noto Sans CJK SC"/>
      <family val="2"/>
      <charset val="1"/>
    </font>
    <font>
      <b val="true"/>
      <sz val="10"/>
      <color rgb="FF1F3864"/>
      <name val="Arial"/>
      <family val="0"/>
      <charset val="1"/>
    </font>
    <font>
      <sz val="9"/>
      <color rgb="FF808080"/>
      <name val="Noto Sans CJK SC"/>
      <family val="2"/>
      <charset val="1"/>
    </font>
    <font>
      <sz val="10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6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6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2" shrinkToFit="false"/>
      <protection locked="true" hidden="false"/>
    </xf>
    <xf numFmtId="171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B050"/>
      <rgbColor rgb="FFBFBFBF"/>
      <rgbColor rgb="FF808080"/>
      <rgbColor rgb="FF93A9CE"/>
      <rgbColor rgb="FFAB4744"/>
      <rgbColor rgb="FFFFF2CC"/>
      <rgbColor rgb="FFD9E1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0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BE4B48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分业务收入（百万元）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"半导体"</c:f>
              <c:strCache>
                <c:ptCount val="1"/>
                <c:pt idx="0">
                  <c:v>半导体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业务拆分!$C$6:$M$6</c:f>
              <c:numCache>
                <c:formatCode>#,##0.0;\(#,##0.0\);\-</c:formatCode>
                <c:ptCount val="11"/>
                <c:pt idx="0">
                  <c:v>377.5</c:v>
                </c:pt>
                <c:pt idx="1">
                  <c:v>487</c:v>
                </c:pt>
                <c:pt idx="2">
                  <c:v>654.78</c:v>
                </c:pt>
                <c:pt idx="3">
                  <c:v>726.52</c:v>
                </c:pt>
                <c:pt idx="4">
                  <c:v>806.46</c:v>
                </c:pt>
                <c:pt idx="5">
                  <c:v>897.5</c:v>
                </c:pt>
                <c:pt idx="6">
                  <c:v>1148.8</c:v>
                </c:pt>
                <c:pt idx="7">
                  <c:v>1355.584</c:v>
                </c:pt>
                <c:pt idx="8">
                  <c:v>1545.36576</c:v>
                </c:pt>
                <c:pt idx="9">
                  <c:v>1715.3559936</c:v>
                </c:pt>
                <c:pt idx="10">
                  <c:v>1869.738033024</c:v>
                </c:pt>
              </c:numCache>
            </c:numRef>
          </c:val>
        </c:ser>
        <c:ser>
          <c:idx val="1"/>
          <c:order val="1"/>
          <c:tx>
            <c:strRef>
              <c:f>"航空航天"</c:f>
              <c:strCache>
                <c:ptCount val="1"/>
                <c:pt idx="0">
                  <c:v>航空航天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业务拆分!$C$11:$M$11</c:f>
              <c:numCache>
                <c:formatCode>#,##0.0;\(#,##0.0\);\-</c:formatCode>
                <c:ptCount val="11"/>
                <c:pt idx="0">
                  <c:v>306.14</c:v>
                </c:pt>
                <c:pt idx="1">
                  <c:v>430.71</c:v>
                </c:pt>
                <c:pt idx="2">
                  <c:v>545.74</c:v>
                </c:pt>
                <c:pt idx="3">
                  <c:v>548.59</c:v>
                </c:pt>
                <c:pt idx="4">
                  <c:v>322.58</c:v>
                </c:pt>
                <c:pt idx="5">
                  <c:v>426.94</c:v>
                </c:pt>
                <c:pt idx="6">
                  <c:v>490.981</c:v>
                </c:pt>
                <c:pt idx="7">
                  <c:v>549.89872</c:v>
                </c:pt>
                <c:pt idx="8">
                  <c:v>604.888592</c:v>
                </c:pt>
                <c:pt idx="9">
                  <c:v>647.23079344</c:v>
                </c:pt>
                <c:pt idx="10">
                  <c:v>686.0646410464</c:v>
                </c:pt>
              </c:numCache>
            </c:numRef>
          </c:val>
        </c:ser>
        <c:ser>
          <c:idx val="2"/>
          <c:order val="2"/>
          <c:tx>
            <c:strRef>
              <c:f>"光学（合成石英/光掩膜基板）"</c:f>
              <c:strCache>
                <c:ptCount val="1"/>
                <c:pt idx="0">
                  <c:v>光学（合成石英/光掩膜基板）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业务拆分!$C$16:$M$16</c:f>
              <c:numCache>
                <c:formatCode>#,##0.0;\(#,##0.0\);\-</c:formatCode>
                <c:ptCount val="11"/>
                <c:pt idx="0">
                  <c:v>72.5</c:v>
                </c:pt>
                <c:pt idx="1">
                  <c:v>87.5</c:v>
                </c:pt>
                <c:pt idx="2">
                  <c:v>104</c:v>
                </c:pt>
                <c:pt idx="3">
                  <c:v>122.5</c:v>
                </c:pt>
                <c:pt idx="4">
                  <c:v>128.5</c:v>
                </c:pt>
                <c:pt idx="5">
                  <c:v>184</c:v>
                </c:pt>
                <c:pt idx="6">
                  <c:v>253.92</c:v>
                </c:pt>
                <c:pt idx="7">
                  <c:v>325.0176</c:v>
                </c:pt>
                <c:pt idx="8">
                  <c:v>396.521472</c:v>
                </c:pt>
                <c:pt idx="9">
                  <c:v>459.96490752</c:v>
                </c:pt>
                <c:pt idx="10">
                  <c:v>515.1606964224</c:v>
                </c:pt>
              </c:numCache>
            </c:numRef>
          </c:val>
        </c:ser>
        <c:ser>
          <c:idx val="3"/>
          <c:order val="3"/>
          <c:tx>
            <c:strRef>
              <c:f>"光通讯"</c:f>
              <c:strCache>
                <c:ptCount val="1"/>
                <c:pt idx="0">
                  <c:v>光通讯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业务拆分!$C$21:$M$21</c:f>
              <c:numCache>
                <c:formatCode>#,##0.0;\(#,##0.0\);\-</c:formatCode>
                <c:ptCount val="11"/>
                <c:pt idx="0">
                  <c:v>62.27</c:v>
                </c:pt>
                <c:pt idx="1">
                  <c:v>73.76</c:v>
                </c:pt>
                <c:pt idx="2">
                  <c:v>110.12</c:v>
                </c:pt>
                <c:pt idx="3">
                  <c:v>146.83</c:v>
                </c:pt>
                <c:pt idx="4">
                  <c:v>137.81</c:v>
                </c:pt>
                <c:pt idx="5">
                  <c:v>167.26</c:v>
                </c:pt>
                <c:pt idx="6">
                  <c:v>242.527</c:v>
                </c:pt>
                <c:pt idx="7">
                  <c:v>261.92916</c:v>
                </c:pt>
                <c:pt idx="8">
                  <c:v>248.832702</c:v>
                </c:pt>
                <c:pt idx="9">
                  <c:v>248.832702</c:v>
                </c:pt>
                <c:pt idx="10">
                  <c:v>256.29768306</c:v>
                </c:pt>
              </c:numCache>
            </c:numRef>
          </c:val>
        </c:ser>
        <c:ser>
          <c:idx val="4"/>
          <c:order val="4"/>
          <c:tx>
            <c:strRef>
              <c:f>"光伏"</c:f>
              <c:strCache>
                <c:ptCount val="1"/>
                <c:pt idx="0">
                  <c:v>光伏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业务拆分!$C$26:$M$26</c:f>
              <c:numCache>
                <c:formatCode>#,##0.0;\(#,##0.0\);\-</c:formatCode>
                <c:ptCount val="11"/>
                <c:pt idx="0">
                  <c:v>26.5</c:v>
                </c:pt>
                <c:pt idx="1">
                  <c:v>50</c:v>
                </c:pt>
                <c:pt idx="2">
                  <c:v>168.45</c:v>
                </c:pt>
                <c:pt idx="3">
                  <c:v>349.8</c:v>
                </c:pt>
                <c:pt idx="4">
                  <c:v>180.34</c:v>
                </c:pt>
                <c:pt idx="5">
                  <c:v>89.05</c:v>
                </c:pt>
                <c:pt idx="6">
                  <c:v>66.7875</c:v>
                </c:pt>
                <c:pt idx="7">
                  <c:v>66.7875</c:v>
                </c:pt>
                <c:pt idx="8">
                  <c:v>68.791125</c:v>
                </c:pt>
                <c:pt idx="9">
                  <c:v>70.85485875</c:v>
                </c:pt>
                <c:pt idx="10">
                  <c:v>72.9805045125</c:v>
                </c:pt>
              </c:numCache>
            </c:numRef>
          </c:val>
        </c:ser>
        <c:ser>
          <c:idx val="5"/>
          <c:order val="5"/>
          <c:tx>
            <c:strRef>
              <c:f>"石英电子布"</c:f>
              <c:strCache>
                <c:ptCount val="1"/>
                <c:pt idx="0">
                  <c:v>石英电子布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业务拆分!$C$35:$M$35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</c:v>
                </c:pt>
                <c:pt idx="5">
                  <c:v>98.39</c:v>
                </c:pt>
                <c:pt idx="6">
                  <c:v>361.8</c:v>
                </c:pt>
                <c:pt idx="7">
                  <c:v>768</c:v>
                </c:pt>
                <c:pt idx="8">
                  <c:v>1365</c:v>
                </c:pt>
                <c:pt idx="9">
                  <c:v>1805</c:v>
                </c:pt>
                <c:pt idx="10">
                  <c:v>2100</c:v>
                </c:pt>
              </c:numCache>
            </c:numRef>
          </c:val>
        </c:ser>
        <c:ser>
          <c:idx val="6"/>
          <c:order val="6"/>
          <c:tx>
            <c:strRef>
              <c:f>"玻纤工业布及其他"</c:f>
              <c:strCache>
                <c:ptCount val="1"/>
                <c:pt idx="0">
                  <c:v>玻纤工业布及其他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业务拆分!$C$4:$M$4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业务拆分!$C$40:$M$40</c:f>
              <c:numCache>
                <c:formatCode>#,##0.0;\(#,##0.0\);\-</c:formatCode>
                <c:ptCount val="11"/>
                <c:pt idx="0">
                  <c:v>18.67</c:v>
                </c:pt>
                <c:pt idx="1">
                  <c:v>94.58</c:v>
                </c:pt>
                <c:pt idx="2">
                  <c:v>136.28</c:v>
                </c:pt>
                <c:pt idx="3">
                  <c:v>196.31</c:v>
                </c:pt>
                <c:pt idx="4">
                  <c:v>163.62</c:v>
                </c:pt>
                <c:pt idx="5">
                  <c:v>153.21</c:v>
                </c:pt>
                <c:pt idx="6">
                  <c:v>176.1915</c:v>
                </c:pt>
                <c:pt idx="7">
                  <c:v>183.23916</c:v>
                </c:pt>
                <c:pt idx="8">
                  <c:v>190.5687264</c:v>
                </c:pt>
                <c:pt idx="9">
                  <c:v>196.285788192</c:v>
                </c:pt>
                <c:pt idx="10">
                  <c:v>202.17436183776</c:v>
                </c:pt>
              </c:numCache>
            </c:numRef>
          </c:val>
        </c:ser>
        <c:gapWidth val="150"/>
        <c:overlap val="100"/>
        <c:axId val="82462366"/>
        <c:axId val="59937440"/>
      </c:barChart>
      <c:catAx>
        <c:axId val="824623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37440"/>
        <c:crosses val="autoZero"/>
        <c:auto val="1"/>
        <c:lblAlgn val="ctr"/>
        <c:lblOffset val="100"/>
        <c:noMultiLvlLbl val="0"/>
      </c:catAx>
      <c:valAx>
        <c:axId val="59937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62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毛利率 / EBIT率 / 归母净利率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"毛利率"</c:f>
              <c:strCache>
                <c:ptCount val="1"/>
                <c:pt idx="0">
                  <c:v>毛利率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利润表!$C$9:$M$9</c:f>
              <c:numCache>
                <c:formatCode>0.0%;\(0.0%\);\-</c:formatCode>
                <c:ptCount val="11"/>
                <c:pt idx="0">
                  <c:v>0.520708313305233</c:v>
                </c:pt>
                <c:pt idx="1">
                  <c:v>0.507925309697598</c:v>
                </c:pt>
                <c:pt idx="2">
                  <c:v>0.512168735298353</c:v>
                </c:pt>
                <c:pt idx="3">
                  <c:v>0.494783698739265</c:v>
                </c:pt>
                <c:pt idx="4">
                  <c:v>0.421719825694102</c:v>
                </c:pt>
                <c:pt idx="5">
                  <c:v>0.47376552738467</c:v>
                </c:pt>
                <c:pt idx="6">
                  <c:v>0.502340034155331</c:v>
                </c:pt>
                <c:pt idx="7">
                  <c:v>0.502109679000291</c:v>
                </c:pt>
                <c:pt idx="8">
                  <c:v>0.492543156879464</c:v>
                </c:pt>
                <c:pt idx="9">
                  <c:v>0.478517979751192</c:v>
                </c:pt>
                <c:pt idx="10">
                  <c:v>0.467286836832113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"EBIT率"</c:f>
              <c:strCache>
                <c:ptCount val="1"/>
                <c:pt idx="0">
                  <c:v>EBIT率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利润表!$C$34:$M$34</c:f>
              <c:numCache>
                <c:formatCode>0.0%;\(0.0%\);\-</c:formatCode>
                <c:ptCount val="11"/>
                <c:pt idx="0">
                  <c:v>0.31618626822837</c:v>
                </c:pt>
                <c:pt idx="1">
                  <c:v>0.329490357716948</c:v>
                </c:pt>
                <c:pt idx="2">
                  <c:v>0.311412956363197</c:v>
                </c:pt>
                <c:pt idx="3">
                  <c:v>0.294080780750414</c:v>
                </c:pt>
                <c:pt idx="4">
                  <c:v>0.185257026105123</c:v>
                </c:pt>
                <c:pt idx="5">
                  <c:v>0.217496882607965</c:v>
                </c:pt>
                <c:pt idx="6">
                  <c:v>0.269647644095765</c:v>
                </c:pt>
                <c:pt idx="7">
                  <c:v>0.279204993246262</c:v>
                </c:pt>
                <c:pt idx="8">
                  <c:v>0.30187338297648</c:v>
                </c:pt>
                <c:pt idx="9">
                  <c:v>0.303463080673206</c:v>
                </c:pt>
                <c:pt idx="10">
                  <c:v>0.300533194140934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"归母净利率"</c:f>
              <c:strCache>
                <c:ptCount val="1"/>
                <c:pt idx="0">
                  <c:v>归母净利率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利润表!$C$4:$M$4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  <c:lvl>
                  <c:pt idx="0">
                    <c:v>2020A</c:v>
                  </c:pt>
                </c:lvl>
              </c:multiLvlStrCache>
            </c:multiLvlStrRef>
          </c:cat>
          <c:val>
            <c:numRef>
              <c:f>利润表!$C$35:$M$35</c:f>
              <c:numCache>
                <c:formatCode>0.0%;\(0.0%\);\-</c:formatCode>
                <c:ptCount val="11"/>
                <c:pt idx="0">
                  <c:v>0.275729253502549</c:v>
                </c:pt>
                <c:pt idx="1">
                  <c:v>0.302500252544158</c:v>
                </c:pt>
                <c:pt idx="2">
                  <c:v>0.284256189435496</c:v>
                </c:pt>
                <c:pt idx="3">
                  <c:v>0.257181173921067</c:v>
                </c:pt>
                <c:pt idx="4">
                  <c:v>0.180392377728151</c:v>
                </c:pt>
                <c:pt idx="5">
                  <c:v>0.219795641518192</c:v>
                </c:pt>
                <c:pt idx="6">
                  <c:v>0.225436534840757</c:v>
                </c:pt>
                <c:pt idx="7">
                  <c:v>0.213999403935048</c:v>
                </c:pt>
                <c:pt idx="8">
                  <c:v>0.218267077811773</c:v>
                </c:pt>
                <c:pt idx="9">
                  <c:v>0.215869100660281</c:v>
                </c:pt>
                <c:pt idx="10">
                  <c:v>0.211701740455011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706570"/>
        <c:axId val="24206190"/>
      </c:lineChart>
      <c:catAx>
        <c:axId val="69706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6190"/>
        <c:crosses val="autoZero"/>
        <c:auto val="1"/>
        <c:lblAlgn val="ctr"/>
        <c:lblOffset val="100"/>
        <c:noMultiLvlLbl val="0"/>
      </c:catAx>
      <c:valAx>
        <c:axId val="24206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06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估值区间（元/股）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相对估值!$A$74:$A$78</c:f>
              <c:strCache>
                <c:ptCount val="5"/>
                <c:pt idx="0">
                  <c:v>DCF（WACC ±0.5%）</c:v>
                </c:pt>
                <c:pt idx="1">
                  <c:v>PE（2027E）</c:v>
                </c:pt>
                <c:pt idx="2">
                  <c:v>SOTP（2027E / 2028E折现）</c:v>
                </c:pt>
                <c:pt idx="3">
                  <c:v>卖方目标价（近3个月）</c:v>
                </c:pt>
                <c:pt idx="4">
                  <c:v>52周股价区间</c:v>
                </c:pt>
              </c:strCache>
            </c:strRef>
          </c:cat>
          <c:val>
            <c:numRef>
              <c:f>相对估值!$B$74:$B$78</c:f>
              <c:numCache>
                <c:formatCode>#,##0.00;\(#,##0.00\);\-</c:formatCode>
                <c:ptCount val="5"/>
                <c:pt idx="0">
                  <c:v>27.3445014097457</c:v>
                </c:pt>
                <c:pt idx="1">
                  <c:v>49.9291569156446</c:v>
                </c:pt>
                <c:pt idx="2">
                  <c:v>49.5465714758021</c:v>
                </c:pt>
                <c:pt idx="3">
                  <c:v>107.05</c:v>
                </c:pt>
                <c:pt idx="4">
                  <c:v>75.36</c:v>
                </c:pt>
              </c:numCache>
            </c:numRef>
          </c:val>
        </c:ser>
        <c:ser>
          <c:idx val="1"/>
          <c:order val="1"/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相对估值!$A$74:$A$78</c:f>
              <c:strCache>
                <c:ptCount val="5"/>
                <c:pt idx="0">
                  <c:v>DCF（WACC ±0.5%）</c:v>
                </c:pt>
                <c:pt idx="1">
                  <c:v>PE（2027E）</c:v>
                </c:pt>
                <c:pt idx="2">
                  <c:v>SOTP（2027E / 2028E折现）</c:v>
                </c:pt>
                <c:pt idx="3">
                  <c:v>卖方目标价（近3个月）</c:v>
                </c:pt>
                <c:pt idx="4">
                  <c:v>52周股价区间</c:v>
                </c:pt>
              </c:strCache>
            </c:strRef>
          </c:cat>
          <c:val>
            <c:numRef>
              <c:f>相对估值!$F$74:$F$78</c:f>
              <c:numCache>
                <c:formatCode>#,##0.00;\(#,##0.00\);\-</c:formatCode>
                <c:ptCount val="5"/>
                <c:pt idx="0">
                  <c:v>5.08133533723456</c:v>
                </c:pt>
                <c:pt idx="1">
                  <c:v>28.5309468089398</c:v>
                </c:pt>
                <c:pt idx="2">
                  <c:v>3.60625688832289</c:v>
                </c:pt>
                <c:pt idx="3">
                  <c:v>35.54</c:v>
                </c:pt>
                <c:pt idx="4">
                  <c:v>74.64</c:v>
                </c:pt>
              </c:numCache>
            </c:numRef>
          </c:val>
        </c:ser>
        <c:gapWidth val="150"/>
        <c:overlap val="100"/>
        <c:axId val="23154926"/>
        <c:axId val="35311424"/>
      </c:barChart>
      <c:catAx>
        <c:axId val="231549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11424"/>
        <c:crosses val="autoZero"/>
        <c:auto val="1"/>
        <c:lblAlgn val="ctr"/>
        <c:lblOffset val="100"/>
        <c:noMultiLvlLbl val="0"/>
      </c:catAx>
      <c:valAx>
        <c:axId val="35311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54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160560</xdr:rowOff>
    </xdr:from>
    <xdr:to>
      <xdr:col>24</xdr:col>
      <xdr:colOff>330840</xdr:colOff>
      <xdr:row>21</xdr:row>
      <xdr:rowOff>161640</xdr:rowOff>
    </xdr:to>
    <xdr:graphicFrame>
      <xdr:nvGraphicFramePr>
        <xdr:cNvPr id="0" name="Chart 1"/>
        <xdr:cNvGraphicFramePr/>
      </xdr:nvGraphicFramePr>
      <xdr:xfrm>
        <a:off x="19869120" y="95256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160560</xdr:rowOff>
    </xdr:from>
    <xdr:to>
      <xdr:col>22</xdr:col>
      <xdr:colOff>408600</xdr:colOff>
      <xdr:row>19</xdr:row>
      <xdr:rowOff>182520</xdr:rowOff>
    </xdr:to>
    <xdr:graphicFrame>
      <xdr:nvGraphicFramePr>
        <xdr:cNvPr id="1" name="Chart 1"/>
        <xdr:cNvGraphicFramePr/>
      </xdr:nvGraphicFramePr>
      <xdr:xfrm>
        <a:off x="19869120" y="952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79</xdr:row>
      <xdr:rowOff>106560</xdr:rowOff>
    </xdr:from>
    <xdr:to>
      <xdr:col>3</xdr:col>
      <xdr:colOff>958680</xdr:colOff>
      <xdr:row>92</xdr:row>
      <xdr:rowOff>149400</xdr:rowOff>
    </xdr:to>
    <xdr:graphicFrame>
      <xdr:nvGraphicFramePr>
        <xdr:cNvPr id="2" name="Chart 1"/>
        <xdr:cNvGraphicFramePr/>
      </xdr:nvGraphicFramePr>
      <xdr:xfrm>
        <a:off x="0" y="15239880"/>
        <a:ext cx="57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40"/>
  </cols>
  <sheetData>
    <row r="2" customFormat="false" ht="27.6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customFormat="false" ht="15" hidden="false" customHeight="false" outlineLevel="0" collapsed="false">
      <c r="B6" s="6" t="s">
        <v>7</v>
      </c>
      <c r="C6" s="7" t="n">
        <f aca="false">利润表!H5</f>
        <v>2016.3489</v>
      </c>
      <c r="D6" s="7" t="n">
        <f aca="false">利润表!I5</f>
        <v>2741.007</v>
      </c>
      <c r="E6" s="7" t="n">
        <f aca="false">利润表!J5</f>
        <v>3510.45614</v>
      </c>
      <c r="F6" s="7" t="n">
        <f aca="false">利润表!K5</f>
        <v>4419.9683774</v>
      </c>
    </row>
    <row r="7" customFormat="false" ht="15" hidden="false" customHeight="false" outlineLevel="0" collapsed="false">
      <c r="B7" s="6" t="s">
        <v>8</v>
      </c>
      <c r="C7" s="8" t="n">
        <f aca="false">利润表!H6</f>
        <v>0.157616088630491</v>
      </c>
      <c r="D7" s="8" t="n">
        <f aca="false">利润表!I6</f>
        <v>0.359391224405657</v>
      </c>
      <c r="E7" s="8" t="n">
        <f aca="false">利润表!J6</f>
        <v>0.280717685142723</v>
      </c>
      <c r="F7" s="8" t="n">
        <f aca="false">利润表!K6</f>
        <v>0.259086626104378</v>
      </c>
    </row>
    <row r="8" customFormat="false" ht="15" hidden="false" customHeight="false" outlineLevel="0" collapsed="false">
      <c r="B8" s="6" t="s">
        <v>9</v>
      </c>
      <c r="C8" s="8" t="n">
        <f aca="false">利润表!H9</f>
        <v>0.47376552738467</v>
      </c>
      <c r="D8" s="8" t="n">
        <f aca="false">利润表!I9</f>
        <v>0.502340034155331</v>
      </c>
      <c r="E8" s="8" t="n">
        <f aca="false">利润表!J9</f>
        <v>0.502109679000291</v>
      </c>
      <c r="F8" s="8" t="n">
        <f aca="false">利润表!K9</f>
        <v>0.492543156879464</v>
      </c>
    </row>
    <row r="9" customFormat="false" ht="15" hidden="false" customHeight="false" outlineLevel="0" collapsed="false">
      <c r="B9" s="6" t="s">
        <v>10</v>
      </c>
      <c r="C9" s="7" t="n">
        <f aca="false">利润表!H27</f>
        <v>443.1847</v>
      </c>
      <c r="D9" s="7" t="n">
        <f aca="false">利润表!I27</f>
        <v>617.923120054259</v>
      </c>
      <c r="E9" s="7" t="n">
        <f aca="false">利润表!J27</f>
        <v>751.23552150013</v>
      </c>
      <c r="F9" s="7" t="n">
        <f aca="false">利润表!K27</f>
        <v>964.733581755544</v>
      </c>
    </row>
    <row r="10" customFormat="false" ht="15" hidden="false" customHeight="false" outlineLevel="0" collapsed="false">
      <c r="B10" s="6" t="s">
        <v>8</v>
      </c>
      <c r="C10" s="8" t="n">
        <f aca="false">利润表!H28</f>
        <v>0.41047517659396</v>
      </c>
      <c r="D10" s="8" t="n">
        <f aca="false">利润表!I28</f>
        <v>0.394278999374886</v>
      </c>
      <c r="E10" s="8" t="n">
        <f aca="false">利润表!J28</f>
        <v>0.215742698596817</v>
      </c>
      <c r="F10" s="8" t="n">
        <f aca="false">利润表!K28</f>
        <v>0.28419590680308</v>
      </c>
    </row>
    <row r="11" customFormat="false" ht="15" hidden="false" customHeight="false" outlineLevel="0" collapsed="false">
      <c r="B11" s="9" t="s">
        <v>11</v>
      </c>
      <c r="C11" s="10" t="n">
        <f aca="false">利润表!H29</f>
        <v>0.848573917705402</v>
      </c>
      <c r="D11" s="10" t="n">
        <f aca="false">利润表!I29</f>
        <v>1.17536210612721</v>
      </c>
      <c r="E11" s="10" t="n">
        <f aca="false">利润表!J29</f>
        <v>1.42654734044699</v>
      </c>
      <c r="F11" s="10" t="n">
        <f aca="false">利润表!K29</f>
        <v>1.8289065649442</v>
      </c>
    </row>
    <row r="12" customFormat="false" ht="15" hidden="false" customHeight="false" outlineLevel="0" collapsed="false">
      <c r="B12" s="9" t="s">
        <v>12</v>
      </c>
      <c r="C12" s="8" t="n">
        <f aca="false">利润表!H37</f>
        <v>0.0957714804943042</v>
      </c>
      <c r="D12" s="8" t="n">
        <f aca="false">利润表!I37</f>
        <v>0.112021744383007</v>
      </c>
      <c r="E12" s="8" t="n">
        <f aca="false">利润表!J37</f>
        <v>0.119549396336601</v>
      </c>
      <c r="F12" s="8" t="n">
        <f aca="false">利润表!K37</f>
        <v>0.134366741099417</v>
      </c>
    </row>
    <row r="13" customFormat="false" ht="15" hidden="false" customHeight="false" outlineLevel="0" collapsed="false">
      <c r="B13" s="9" t="s">
        <v>13</v>
      </c>
      <c r="C13" s="11" t="n">
        <f aca="false">DCF!$C$5/利润表!H29</f>
        <v>114.816161523627</v>
      </c>
      <c r="D13" s="11" t="n">
        <f aca="false">DCF!$C$5/利润表!I29</f>
        <v>82.8936031645851</v>
      </c>
      <c r="E13" s="11" t="n">
        <f aca="false">DCF!$C$5/利润表!J29</f>
        <v>68.2977684914905</v>
      </c>
      <c r="F13" s="11" t="n">
        <f aca="false">DCF!$C$5/利润表!K29</f>
        <v>53.2722676311093</v>
      </c>
    </row>
    <row r="14" customFormat="false" ht="15" hidden="false" customHeight="false" outlineLevel="0" collapsed="false">
      <c r="B14" s="6" t="s">
        <v>14</v>
      </c>
      <c r="C14" s="12" t="n">
        <v>443.18</v>
      </c>
      <c r="D14" s="12" t="n">
        <v>739.39</v>
      </c>
      <c r="E14" s="12" t="n">
        <v>1105.27</v>
      </c>
      <c r="F14" s="12" t="n">
        <v>1553.36</v>
      </c>
    </row>
    <row r="15" customFormat="false" ht="15" hidden="false" customHeight="false" outlineLevel="0" collapsed="false">
      <c r="B15" s="6" t="s">
        <v>15</v>
      </c>
      <c r="D15" s="13" t="n">
        <f aca="false">D9/D14-1</f>
        <v>-0.164279852237305</v>
      </c>
      <c r="E15" s="13" t="n">
        <f aca="false">E9/E14-1</f>
        <v>-0.320314926217006</v>
      </c>
      <c r="F15" s="13" t="n">
        <f aca="false">F9/F14-1</f>
        <v>-0.378937540714616</v>
      </c>
    </row>
    <row r="17" customFormat="false" ht="15" hidden="false" customHeight="false" outlineLevel="0" collapsed="false"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</row>
    <row r="18" customFormat="false" ht="15" hidden="false" customHeight="false" outlineLevel="0" collapsed="false">
      <c r="B18" s="14" t="str">
        <f aca="false">相对估值!A74</f>
        <v>DCF（WACC ±0.5%）</v>
      </c>
      <c r="C18" s="10" t="n">
        <f aca="false">相对估值!B74</f>
        <v>27.3445014097457</v>
      </c>
      <c r="D18" s="10" t="n">
        <f aca="false">相对估值!C74</f>
        <v>29.685689156103</v>
      </c>
      <c r="E18" s="10" t="n">
        <f aca="false">相对估值!D74</f>
        <v>32.4258367469802</v>
      </c>
      <c r="F18" s="8" t="n">
        <f aca="false">IFERROR(D18/DCF!$C$5-1,0)</f>
        <v>-0.695312643373674</v>
      </c>
    </row>
    <row r="19" customFormat="false" ht="15" hidden="false" customHeight="false" outlineLevel="0" collapsed="false">
      <c r="B19" s="14" t="str">
        <f aca="false">相对估值!A75</f>
        <v>PE（2027E）</v>
      </c>
      <c r="C19" s="10" t="n">
        <f aca="false">相对估值!B75</f>
        <v>49.9291569156446</v>
      </c>
      <c r="D19" s="10" t="n">
        <f aca="false">相对估值!C75</f>
        <v>64.1946303201145</v>
      </c>
      <c r="E19" s="10" t="n">
        <f aca="false">相对估值!D75</f>
        <v>78.4601037245844</v>
      </c>
      <c r="F19" s="8" t="n">
        <f aca="false">IFERROR(D19/DCF!$C$5-1,0)</f>
        <v>-0.341120493481325</v>
      </c>
    </row>
    <row r="20" customFormat="false" ht="15" hidden="false" customHeight="false" outlineLevel="0" collapsed="false">
      <c r="B20" s="14" t="str">
        <f aca="false">相对估值!A76</f>
        <v>SOTP（2027E / 2028E折现）</v>
      </c>
      <c r="C20" s="10" t="n">
        <f aca="false">相对估值!B76</f>
        <v>49.5465714758021</v>
      </c>
      <c r="D20" s="10" t="n">
        <f aca="false">相对估值!C76</f>
        <v>51.3496999199636</v>
      </c>
      <c r="E20" s="10" t="n">
        <f aca="false">相对估值!D76</f>
        <v>53.152828364125</v>
      </c>
      <c r="F20" s="8" t="n">
        <f aca="false">IFERROR(D20/DCF!$C$5-1,0)</f>
        <v>-0.472958021964861</v>
      </c>
    </row>
    <row r="21" customFormat="false" ht="15" hidden="false" customHeight="false" outlineLevel="0" collapsed="false">
      <c r="B21" s="14" t="str">
        <f aca="false">相对估值!A77</f>
        <v>卖方目标价（近3个月）</v>
      </c>
      <c r="C21" s="10" t="n">
        <f aca="false">相对估值!B77</f>
        <v>107.05</v>
      </c>
      <c r="D21" s="10" t="n">
        <f aca="false">相对估值!C77</f>
        <v>124.7</v>
      </c>
      <c r="E21" s="10" t="n">
        <f aca="false">相对估值!D77</f>
        <v>142.59</v>
      </c>
      <c r="F21" s="8" t="n">
        <f aca="false">IFERROR(D21/DCF!$C$5-1,0)</f>
        <v>0.279893256697116</v>
      </c>
    </row>
    <row r="22" customFormat="false" ht="15" hidden="false" customHeight="false" outlineLevel="0" collapsed="false">
      <c r="B22" s="14" t="str">
        <f aca="false">相对估值!A78</f>
        <v>52周股价区间</v>
      </c>
      <c r="C22" s="10" t="n">
        <f aca="false">相对估值!B78</f>
        <v>75.36</v>
      </c>
      <c r="D22" s="10" t="n">
        <f aca="false">相对估值!C78</f>
        <v>97.43</v>
      </c>
      <c r="E22" s="10" t="n">
        <f aca="false">相对估值!D78</f>
        <v>150</v>
      </c>
      <c r="F22" s="8" t="n">
        <f aca="false">IFERROR(D22/DCF!$C$5-1,0)</f>
        <v>0</v>
      </c>
    </row>
    <row r="24" customFormat="false" ht="15" hidden="false" customHeight="false" outlineLevel="0" collapsed="false">
      <c r="B24" s="4" t="s">
        <v>21</v>
      </c>
      <c r="C24" s="15" t="str">
        <f aca="false">假设!C5</f>
        <v>基准</v>
      </c>
      <c r="D24" s="16" t="n">
        <f aca="false">DCF!C5</f>
        <v>97.43</v>
      </c>
      <c r="E24" s="17" t="n">
        <f aca="false">DCF!C7/100</f>
        <v>512.21591353</v>
      </c>
      <c r="F24" s="4" t="s">
        <v>22</v>
      </c>
      <c r="G24" s="15" t="str">
        <f aca="false">检查!B19</f>
        <v>通过</v>
      </c>
    </row>
    <row r="26" customFormat="false" ht="15" hidden="false" customHeight="false" outlineLevel="0" collapsed="false">
      <c r="B26" s="4" t="s">
        <v>23</v>
      </c>
    </row>
    <row r="27" customFormat="false" ht="15" hidden="false" customHeight="false" outlineLevel="0" collapsed="false">
      <c r="B27" s="4" t="s">
        <v>24</v>
      </c>
      <c r="C27" s="5" t="s">
        <v>25</v>
      </c>
      <c r="D27" s="5" t="s">
        <v>26</v>
      </c>
      <c r="E27" s="5" t="s">
        <v>27</v>
      </c>
      <c r="F27" s="5" t="s">
        <v>28</v>
      </c>
      <c r="G27" s="5" t="s">
        <v>29</v>
      </c>
      <c r="H27" s="5" t="s">
        <v>30</v>
      </c>
    </row>
    <row r="28" customFormat="false" ht="15" hidden="false" customHeight="false" outlineLevel="0" collapsed="false">
      <c r="B28" s="18" t="s">
        <v>31</v>
      </c>
      <c r="C28" s="19" t="n">
        <v>566.19</v>
      </c>
      <c r="D28" s="19" t="n">
        <v>506.01</v>
      </c>
      <c r="E28" s="19" t="n">
        <v>568.58</v>
      </c>
      <c r="F28" s="18" t="n">
        <v>17.49</v>
      </c>
      <c r="G28" s="18" t="n">
        <v>33.48</v>
      </c>
      <c r="H28" s="19" t="n">
        <v>595</v>
      </c>
    </row>
    <row r="29" customFormat="false" ht="15" hidden="false" customHeight="false" outlineLevel="0" collapsed="false">
      <c r="B29" s="18" t="s">
        <v>18</v>
      </c>
      <c r="C29" s="19" t="n">
        <v>617.92</v>
      </c>
      <c r="D29" s="19" t="n">
        <v>751.24</v>
      </c>
      <c r="E29" s="19" t="n">
        <v>964.73</v>
      </c>
      <c r="F29" s="18" t="n">
        <v>29.69</v>
      </c>
      <c r="G29" s="18" t="n">
        <v>49.55</v>
      </c>
      <c r="H29" s="19" t="n">
        <v>1365</v>
      </c>
    </row>
    <row r="30" customFormat="false" ht="15" hidden="false" customHeight="false" outlineLevel="0" collapsed="false">
      <c r="B30" s="18" t="s">
        <v>32</v>
      </c>
      <c r="C30" s="19" t="n">
        <v>699.05</v>
      </c>
      <c r="D30" s="19" t="n">
        <v>1053.39</v>
      </c>
      <c r="E30" s="19" t="n">
        <v>1544.96</v>
      </c>
      <c r="F30" s="18" t="n">
        <v>43.64</v>
      </c>
      <c r="G30" s="18" t="n">
        <v>69.43</v>
      </c>
      <c r="H30" s="19" t="n">
        <v>3055</v>
      </c>
    </row>
    <row r="32" customFormat="false" ht="15" hidden="false" customHeight="false" outlineLevel="0" collapsed="false">
      <c r="B32" s="4" t="s">
        <v>33</v>
      </c>
    </row>
    <row r="33" customFormat="false" ht="15" hidden="false" customHeight="false" outlineLevel="0" collapsed="false">
      <c r="B33" s="6" t="s">
        <v>34</v>
      </c>
      <c r="C33" s="6" t="s">
        <v>35</v>
      </c>
    </row>
    <row r="34" customFormat="false" ht="15" hidden="false" customHeight="false" outlineLevel="0" collapsed="false">
      <c r="B34" s="6" t="s">
        <v>36</v>
      </c>
      <c r="C34" s="6" t="s">
        <v>37</v>
      </c>
    </row>
    <row r="35" customFormat="false" ht="15" hidden="false" customHeight="false" outlineLevel="0" collapsed="false">
      <c r="B35" s="6" t="s">
        <v>38</v>
      </c>
      <c r="C35" s="6" t="s">
        <v>39</v>
      </c>
    </row>
    <row r="36" customFormat="false" ht="15" hidden="false" customHeight="false" outlineLevel="0" collapsed="false">
      <c r="B36" s="6" t="s">
        <v>40</v>
      </c>
      <c r="C36" s="6" t="s">
        <v>41</v>
      </c>
    </row>
    <row r="37" customFormat="false" ht="15" hidden="false" customHeight="false" outlineLevel="0" collapsed="false">
      <c r="B37" s="6" t="s">
        <v>42</v>
      </c>
      <c r="C37" s="6" t="s">
        <v>43</v>
      </c>
    </row>
    <row r="38" customFormat="false" ht="15" hidden="false" customHeight="false" outlineLevel="0" collapsed="false">
      <c r="B38" s="6" t="s">
        <v>44</v>
      </c>
      <c r="C38" s="6" t="s">
        <v>45</v>
      </c>
    </row>
    <row r="39" customFormat="false" ht="15" hidden="false" customHeight="false" outlineLevel="0" collapsed="false">
      <c r="B39" s="6" t="s">
        <v>46</v>
      </c>
      <c r="C39" s="6" t="s">
        <v>47</v>
      </c>
    </row>
    <row r="41" customFormat="false" ht="15" hidden="false" customHeight="false" outlineLevel="0" collapsed="false">
      <c r="B41" s="4" t="s">
        <v>48</v>
      </c>
    </row>
    <row r="42" customFormat="false" ht="15" hidden="false" customHeight="false" outlineLevel="0" collapsed="false">
      <c r="B42" s="6" t="s">
        <v>49</v>
      </c>
      <c r="C42" s="6" t="s">
        <v>50</v>
      </c>
    </row>
    <row r="43" customFormat="false" ht="15" hidden="false" customHeight="false" outlineLevel="0" collapsed="false">
      <c r="B43" s="6" t="s">
        <v>51</v>
      </c>
      <c r="C43" s="6" t="s">
        <v>52</v>
      </c>
    </row>
    <row r="44" customFormat="false" ht="15" hidden="false" customHeight="false" outlineLevel="0" collapsed="false">
      <c r="B44" s="6" t="s">
        <v>53</v>
      </c>
      <c r="C44" s="6" t="s">
        <v>54</v>
      </c>
    </row>
    <row r="45" customFormat="false" ht="15" hidden="false" customHeight="false" outlineLevel="0" collapsed="false">
      <c r="B45" s="6" t="s">
        <v>55</v>
      </c>
      <c r="C45" s="6" t="s">
        <v>56</v>
      </c>
    </row>
    <row r="46" customFormat="false" ht="15" hidden="false" customHeight="false" outlineLevel="0" collapsed="false">
      <c r="B46" s="6" t="s">
        <v>57</v>
      </c>
      <c r="C46" s="6" t="s">
        <v>58</v>
      </c>
    </row>
    <row r="47" customFormat="false" ht="15" hidden="false" customHeight="false" outlineLevel="0" collapsed="false">
      <c r="B47" s="6" t="s">
        <v>59</v>
      </c>
      <c r="C47" s="6" t="s">
        <v>60</v>
      </c>
    </row>
    <row r="48" customFormat="false" ht="15" hidden="false" customHeight="false" outlineLevel="0" collapsed="false">
      <c r="B48" s="6" t="s">
        <v>61</v>
      </c>
      <c r="C48" s="6" t="s">
        <v>62</v>
      </c>
    </row>
    <row r="49" customFormat="false" ht="15" hidden="false" customHeight="false" outlineLevel="0" collapsed="false">
      <c r="B49" s="6" t="s">
        <v>63</v>
      </c>
      <c r="C49" s="6" t="s">
        <v>64</v>
      </c>
    </row>
    <row r="50" customFormat="false" ht="15" hidden="false" customHeight="false" outlineLevel="0" collapsed="false">
      <c r="B50" s="9" t="s">
        <v>65</v>
      </c>
      <c r="C50" s="9" t="s">
        <v>66</v>
      </c>
    </row>
    <row r="51" customFormat="false" ht="15" hidden="false" customHeight="false" outlineLevel="0" collapsed="false">
      <c r="B51" s="6" t="s">
        <v>67</v>
      </c>
      <c r="C51" s="6" t="s">
        <v>68</v>
      </c>
    </row>
    <row r="52" customFormat="false" ht="15" hidden="false" customHeight="false" outlineLevel="0" collapsed="false">
      <c r="B52" s="6" t="s">
        <v>69</v>
      </c>
      <c r="C52" s="6" t="s">
        <v>70</v>
      </c>
    </row>
    <row r="53" customFormat="false" ht="15" hidden="false" customHeight="false" outlineLevel="0" collapsed="false">
      <c r="B53" s="6" t="s">
        <v>71</v>
      </c>
      <c r="C53" s="9" t="s">
        <v>72</v>
      </c>
    </row>
    <row r="54" customFormat="false" ht="15" hidden="false" customHeight="false" outlineLevel="0" collapsed="false">
      <c r="B54" s="6" t="s">
        <v>73</v>
      </c>
      <c r="C54" s="6" t="s">
        <v>74</v>
      </c>
    </row>
    <row r="56" customFormat="false" ht="15" hidden="false" customHeight="false" outlineLevel="0" collapsed="false">
      <c r="B56" s="4" t="s">
        <v>75</v>
      </c>
    </row>
    <row r="57" customFormat="false" ht="15" hidden="false" customHeight="false" outlineLevel="0" collapsed="false">
      <c r="B57" s="6" t="s">
        <v>76</v>
      </c>
    </row>
    <row r="58" customFormat="false" ht="15" hidden="false" customHeight="false" outlineLevel="0" collapsed="false">
      <c r="B58" s="9" t="s">
        <v>77</v>
      </c>
    </row>
    <row r="59" customFormat="false" ht="15" hidden="false" customHeight="false" outlineLevel="0" collapsed="false">
      <c r="B59" s="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21.6" hidden="false" customHeight="false" outlineLevel="0" collapsed="false">
      <c r="A1" s="20" t="s">
        <v>79</v>
      </c>
    </row>
    <row r="2" customFormat="false" ht="15" hidden="false" customHeight="false" outlineLevel="0" collapsed="false">
      <c r="A2" s="21" t="s">
        <v>80</v>
      </c>
    </row>
    <row r="4" customFormat="false" ht="15" hidden="false" customHeight="false" outlineLevel="0" collapsed="false">
      <c r="A4" s="22" t="s">
        <v>81</v>
      </c>
      <c r="B4" s="23"/>
      <c r="C4" s="24" t="n">
        <v>2</v>
      </c>
      <c r="D4" s="21" t="s">
        <v>82</v>
      </c>
    </row>
    <row r="5" customFormat="false" ht="15" hidden="false" customHeight="false" outlineLevel="0" collapsed="false">
      <c r="A5" s="25" t="s">
        <v>83</v>
      </c>
      <c r="B5" s="23"/>
      <c r="C5" s="26" t="str">
        <f aca="false">CHOOSE(C4,"悲观","基准","乐观")</f>
        <v>基准</v>
      </c>
    </row>
    <row r="7" customFormat="false" ht="15" hidden="false" customHeight="false" outlineLevel="0" collapsed="false">
      <c r="A7" s="27" t="s">
        <v>84</v>
      </c>
      <c r="B7" s="27" t="s">
        <v>44</v>
      </c>
      <c r="C7" s="28" t="s">
        <v>85</v>
      </c>
      <c r="D7" s="28" t="s">
        <v>86</v>
      </c>
      <c r="E7" s="28" t="s">
        <v>87</v>
      </c>
      <c r="F7" s="28" t="s">
        <v>88</v>
      </c>
      <c r="G7" s="28" t="s">
        <v>89</v>
      </c>
      <c r="H7" s="28" t="s">
        <v>3</v>
      </c>
      <c r="I7" s="28" t="s">
        <v>4</v>
      </c>
      <c r="J7" s="28" t="s">
        <v>5</v>
      </c>
      <c r="K7" s="28" t="s">
        <v>6</v>
      </c>
      <c r="L7" s="28" t="s">
        <v>90</v>
      </c>
      <c r="M7" s="28" t="s">
        <v>91</v>
      </c>
      <c r="N7" s="29" t="s">
        <v>92</v>
      </c>
    </row>
    <row r="8" customFormat="false" ht="15" hidden="false" customHeight="false" outlineLevel="0" collapsed="false">
      <c r="A8" s="30" t="s">
        <v>93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customFormat="false" ht="15" hidden="false" customHeight="false" outlineLevel="0" collapsed="false">
      <c r="A9" s="32" t="s">
        <v>31</v>
      </c>
      <c r="B9" s="23" t="s">
        <v>94</v>
      </c>
      <c r="I9" s="33" t="n">
        <v>0.24</v>
      </c>
      <c r="J9" s="33" t="n">
        <v>0.1</v>
      </c>
      <c r="K9" s="33" t="n">
        <v>0.08</v>
      </c>
      <c r="L9" s="33" t="n">
        <v>0.06</v>
      </c>
      <c r="M9" s="33" t="n">
        <v>0.05</v>
      </c>
    </row>
    <row r="10" customFormat="false" ht="15" hidden="false" customHeight="false" outlineLevel="0" collapsed="false">
      <c r="A10" s="32" t="s">
        <v>18</v>
      </c>
      <c r="B10" s="23" t="s">
        <v>94</v>
      </c>
      <c r="I10" s="33" t="n">
        <v>0.28</v>
      </c>
      <c r="J10" s="33" t="n">
        <v>0.18</v>
      </c>
      <c r="K10" s="33" t="n">
        <v>0.14</v>
      </c>
      <c r="L10" s="33" t="n">
        <v>0.11</v>
      </c>
      <c r="M10" s="33" t="n">
        <v>0.09</v>
      </c>
    </row>
    <row r="11" customFormat="false" ht="15" hidden="false" customHeight="false" outlineLevel="0" collapsed="false">
      <c r="A11" s="32" t="s">
        <v>32</v>
      </c>
      <c r="B11" s="23" t="s">
        <v>94</v>
      </c>
      <c r="I11" s="33" t="n">
        <v>0.33</v>
      </c>
      <c r="J11" s="33" t="n">
        <v>0.26</v>
      </c>
      <c r="K11" s="33" t="n">
        <v>0.2</v>
      </c>
      <c r="L11" s="33" t="n">
        <v>0.15</v>
      </c>
      <c r="M11" s="33" t="n">
        <v>0.12</v>
      </c>
    </row>
    <row r="12" customFormat="false" ht="15" hidden="false" customHeight="false" outlineLevel="0" collapsed="false">
      <c r="A12" s="34" t="s">
        <v>95</v>
      </c>
      <c r="B12" s="23" t="s">
        <v>94</v>
      </c>
      <c r="I12" s="35" t="n">
        <f aca="false">CHOOSE($C$4,I9,I10,I11)</f>
        <v>0.28</v>
      </c>
      <c r="J12" s="35" t="n">
        <f aca="false">CHOOSE($C$4,J9,J10,J11)</f>
        <v>0.18</v>
      </c>
      <c r="K12" s="35" t="n">
        <f aca="false">CHOOSE($C$4,K9,K10,K11)</f>
        <v>0.14</v>
      </c>
      <c r="L12" s="35" t="n">
        <f aca="false">CHOOSE($C$4,L9,L10,L11)</f>
        <v>0.11</v>
      </c>
      <c r="M12" s="35" t="n">
        <f aca="false">CHOOSE($C$4,M9,M10,M11)</f>
        <v>0.09</v>
      </c>
      <c r="N12" s="36" t="s">
        <v>96</v>
      </c>
    </row>
    <row r="13" customFormat="false" ht="15" hidden="false" customHeight="false" outlineLevel="0" collapsed="false">
      <c r="A13" s="30" t="s">
        <v>97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5" hidden="false" customHeight="false" outlineLevel="0" collapsed="false">
      <c r="A14" s="32" t="s">
        <v>31</v>
      </c>
      <c r="B14" s="23" t="s">
        <v>94</v>
      </c>
      <c r="I14" s="33" t="n">
        <v>0.5</v>
      </c>
      <c r="J14" s="33" t="n">
        <v>0.46</v>
      </c>
      <c r="K14" s="33" t="n">
        <v>0.45</v>
      </c>
      <c r="L14" s="33" t="n">
        <v>0.45</v>
      </c>
      <c r="M14" s="33" t="n">
        <v>0.44</v>
      </c>
    </row>
    <row r="15" customFormat="false" ht="15" hidden="false" customHeight="false" outlineLevel="0" collapsed="false">
      <c r="A15" s="32" t="s">
        <v>18</v>
      </c>
      <c r="B15" s="23" t="s">
        <v>94</v>
      </c>
      <c r="I15" s="33" t="n">
        <v>0.51</v>
      </c>
      <c r="J15" s="33" t="n">
        <v>0.51</v>
      </c>
      <c r="K15" s="33" t="n">
        <v>0.51</v>
      </c>
      <c r="L15" s="33" t="n">
        <v>0.5</v>
      </c>
      <c r="M15" s="33" t="n">
        <v>0.5</v>
      </c>
    </row>
    <row r="16" customFormat="false" ht="15" hidden="false" customHeight="false" outlineLevel="0" collapsed="false">
      <c r="A16" s="32" t="s">
        <v>32</v>
      </c>
      <c r="B16" s="23" t="s">
        <v>94</v>
      </c>
      <c r="I16" s="33" t="n">
        <v>0.53</v>
      </c>
      <c r="J16" s="33" t="n">
        <v>0.54</v>
      </c>
      <c r="K16" s="33" t="n">
        <v>0.54</v>
      </c>
      <c r="L16" s="33" t="n">
        <v>0.54</v>
      </c>
      <c r="M16" s="33" t="n">
        <v>0.53</v>
      </c>
    </row>
    <row r="17" customFormat="false" ht="15" hidden="false" customHeight="false" outlineLevel="0" collapsed="false">
      <c r="A17" s="34" t="s">
        <v>98</v>
      </c>
      <c r="B17" s="23" t="s">
        <v>94</v>
      </c>
      <c r="I17" s="35" t="n">
        <f aca="false">CHOOSE($C$4,I14,I15,I16)</f>
        <v>0.51</v>
      </c>
      <c r="J17" s="35" t="n">
        <f aca="false">CHOOSE($C$4,J14,J15,J16)</f>
        <v>0.51</v>
      </c>
      <c r="K17" s="35" t="n">
        <f aca="false">CHOOSE($C$4,K14,K15,K16)</f>
        <v>0.51</v>
      </c>
      <c r="L17" s="35" t="n">
        <f aca="false">CHOOSE($C$4,L14,L15,L16)</f>
        <v>0.5</v>
      </c>
      <c r="M17" s="35" t="n">
        <f aca="false">CHOOSE($C$4,M14,M15,M16)</f>
        <v>0.5</v>
      </c>
      <c r="N17" s="21" t="s">
        <v>99</v>
      </c>
    </row>
    <row r="18" customFormat="false" ht="15" hidden="false" customHeight="false" outlineLevel="0" collapsed="false">
      <c r="A18" s="30" t="s">
        <v>100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customFormat="false" ht="15" hidden="false" customHeight="false" outlineLevel="0" collapsed="false">
      <c r="A19" s="32" t="s">
        <v>31</v>
      </c>
      <c r="B19" s="23" t="s">
        <v>94</v>
      </c>
      <c r="I19" s="33" t="n">
        <v>0.1</v>
      </c>
      <c r="J19" s="33" t="n">
        <v>0.03</v>
      </c>
      <c r="K19" s="33" t="n">
        <v>0.03</v>
      </c>
      <c r="L19" s="33" t="n">
        <v>0.03</v>
      </c>
      <c r="M19" s="33" t="n">
        <v>0.03</v>
      </c>
    </row>
    <row r="20" customFormat="false" ht="15" hidden="false" customHeight="false" outlineLevel="0" collapsed="false">
      <c r="A20" s="32" t="s">
        <v>18</v>
      </c>
      <c r="B20" s="23" t="s">
        <v>94</v>
      </c>
      <c r="I20" s="33" t="n">
        <v>0.15</v>
      </c>
      <c r="J20" s="33" t="n">
        <v>0.12</v>
      </c>
      <c r="K20" s="33" t="n">
        <v>0.1</v>
      </c>
      <c r="L20" s="33" t="n">
        <v>0.07</v>
      </c>
      <c r="M20" s="33" t="n">
        <v>0.06</v>
      </c>
    </row>
    <row r="21" customFormat="false" ht="15" hidden="false" customHeight="false" outlineLevel="0" collapsed="false">
      <c r="A21" s="32" t="s">
        <v>32</v>
      </c>
      <c r="B21" s="23" t="s">
        <v>94</v>
      </c>
      <c r="I21" s="33" t="n">
        <v>0.2</v>
      </c>
      <c r="J21" s="33" t="n">
        <v>0.18</v>
      </c>
      <c r="K21" s="33" t="n">
        <v>0.14</v>
      </c>
      <c r="L21" s="33" t="n">
        <v>0.1</v>
      </c>
      <c r="M21" s="33" t="n">
        <v>0.08</v>
      </c>
    </row>
    <row r="22" customFormat="false" ht="15" hidden="false" customHeight="false" outlineLevel="0" collapsed="false">
      <c r="A22" s="34" t="s">
        <v>101</v>
      </c>
      <c r="B22" s="23" t="s">
        <v>94</v>
      </c>
      <c r="I22" s="35" t="n">
        <f aca="false">CHOOSE($C$4,I19,I20,I21)</f>
        <v>0.15</v>
      </c>
      <c r="J22" s="35" t="n">
        <f aca="false">CHOOSE($C$4,J19,J20,J21)</f>
        <v>0.12</v>
      </c>
      <c r="K22" s="35" t="n">
        <f aca="false">CHOOSE($C$4,K19,K20,K21)</f>
        <v>0.1</v>
      </c>
      <c r="L22" s="35" t="n">
        <f aca="false">CHOOSE($C$4,L19,L20,L21)</f>
        <v>0.07</v>
      </c>
      <c r="M22" s="35" t="n">
        <f aca="false">CHOOSE($C$4,M19,M20,M21)</f>
        <v>0.06</v>
      </c>
      <c r="N22" s="36" t="s">
        <v>102</v>
      </c>
    </row>
    <row r="23" customFormat="false" ht="15" hidden="false" customHeight="false" outlineLevel="0" collapsed="false">
      <c r="A23" s="30" t="s">
        <v>103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15" hidden="false" customHeight="false" outlineLevel="0" collapsed="false">
      <c r="A24" s="32" t="s">
        <v>31</v>
      </c>
      <c r="B24" s="23" t="s">
        <v>94</v>
      </c>
      <c r="I24" s="33" t="n">
        <v>0.59</v>
      </c>
      <c r="J24" s="33" t="n">
        <v>0.54</v>
      </c>
      <c r="K24" s="33" t="n">
        <v>0.53</v>
      </c>
      <c r="L24" s="33" t="n">
        <v>0.53</v>
      </c>
      <c r="M24" s="33" t="n">
        <v>0.53</v>
      </c>
    </row>
    <row r="25" customFormat="false" ht="15" hidden="false" customHeight="false" outlineLevel="0" collapsed="false">
      <c r="A25" s="32" t="s">
        <v>18</v>
      </c>
      <c r="B25" s="23" t="s">
        <v>94</v>
      </c>
      <c r="I25" s="33" t="n">
        <v>0.61</v>
      </c>
      <c r="J25" s="33" t="n">
        <v>0.61</v>
      </c>
      <c r="K25" s="33" t="n">
        <v>0.6</v>
      </c>
      <c r="L25" s="33" t="n">
        <v>0.6</v>
      </c>
      <c r="M25" s="33" t="n">
        <v>0.59</v>
      </c>
    </row>
    <row r="26" customFormat="false" ht="15" hidden="false" customHeight="false" outlineLevel="0" collapsed="false">
      <c r="A26" s="32" t="s">
        <v>32</v>
      </c>
      <c r="B26" s="23" t="s">
        <v>94</v>
      </c>
      <c r="I26" s="33" t="n">
        <v>0.64</v>
      </c>
      <c r="J26" s="33" t="n">
        <v>0.64</v>
      </c>
      <c r="K26" s="33" t="n">
        <v>0.64</v>
      </c>
      <c r="L26" s="33" t="n">
        <v>0.63</v>
      </c>
      <c r="M26" s="33" t="n">
        <v>0.63</v>
      </c>
    </row>
    <row r="27" customFormat="false" ht="15" hidden="false" customHeight="false" outlineLevel="0" collapsed="false">
      <c r="A27" s="34" t="s">
        <v>104</v>
      </c>
      <c r="B27" s="23" t="s">
        <v>94</v>
      </c>
      <c r="I27" s="35" t="n">
        <f aca="false">CHOOSE($C$4,I24,I25,I26)</f>
        <v>0.61</v>
      </c>
      <c r="J27" s="35" t="n">
        <f aca="false">CHOOSE($C$4,J24,J25,J26)</f>
        <v>0.61</v>
      </c>
      <c r="K27" s="35" t="n">
        <f aca="false">CHOOSE($C$4,K24,K25,K26)</f>
        <v>0.6</v>
      </c>
      <c r="L27" s="35" t="n">
        <f aca="false">CHOOSE($C$4,L24,L25,L26)</f>
        <v>0.6</v>
      </c>
      <c r="M27" s="35" t="n">
        <f aca="false">CHOOSE($C$4,M24,M25,M26)</f>
        <v>0.59</v>
      </c>
      <c r="N27" s="21" t="s">
        <v>105</v>
      </c>
    </row>
    <row r="28" customFormat="false" ht="15" hidden="false" customHeight="false" outlineLevel="0" collapsed="false">
      <c r="A28" s="30" t="s">
        <v>106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customFormat="false" ht="15" hidden="false" customHeight="false" outlineLevel="0" collapsed="false">
      <c r="A29" s="32" t="s">
        <v>31</v>
      </c>
      <c r="B29" s="23" t="s">
        <v>94</v>
      </c>
      <c r="I29" s="33" t="n">
        <v>0.3</v>
      </c>
      <c r="J29" s="33" t="n">
        <v>0.12</v>
      </c>
      <c r="K29" s="33" t="n">
        <v>0.1</v>
      </c>
      <c r="L29" s="33" t="n">
        <v>0.08</v>
      </c>
      <c r="M29" s="33" t="n">
        <v>0.06</v>
      </c>
    </row>
    <row r="30" customFormat="false" ht="15" hidden="false" customHeight="false" outlineLevel="0" collapsed="false">
      <c r="A30" s="32" t="s">
        <v>18</v>
      </c>
      <c r="B30" s="23" t="s">
        <v>94</v>
      </c>
      <c r="I30" s="33" t="n">
        <v>0.38</v>
      </c>
      <c r="J30" s="33" t="n">
        <v>0.28</v>
      </c>
      <c r="K30" s="33" t="n">
        <v>0.22</v>
      </c>
      <c r="L30" s="33" t="n">
        <v>0.16</v>
      </c>
      <c r="M30" s="33" t="n">
        <v>0.12</v>
      </c>
    </row>
    <row r="31" customFormat="false" ht="15" hidden="false" customHeight="false" outlineLevel="0" collapsed="false">
      <c r="A31" s="32" t="s">
        <v>32</v>
      </c>
      <c r="B31" s="23" t="s">
        <v>94</v>
      </c>
      <c r="I31" s="33" t="n">
        <v>0.45</v>
      </c>
      <c r="J31" s="33" t="n">
        <v>0.4</v>
      </c>
      <c r="K31" s="33" t="n">
        <v>0.32</v>
      </c>
      <c r="L31" s="33" t="n">
        <v>0.22</v>
      </c>
      <c r="M31" s="33" t="n">
        <v>0.15</v>
      </c>
    </row>
    <row r="32" customFormat="false" ht="15" hidden="false" customHeight="false" outlineLevel="0" collapsed="false">
      <c r="A32" s="34" t="s">
        <v>107</v>
      </c>
      <c r="B32" s="23" t="s">
        <v>94</v>
      </c>
      <c r="I32" s="35" t="n">
        <f aca="false">CHOOSE($C$4,I29,I30,I31)</f>
        <v>0.38</v>
      </c>
      <c r="J32" s="35" t="n">
        <f aca="false">CHOOSE($C$4,J29,J30,J31)</f>
        <v>0.28</v>
      </c>
      <c r="K32" s="35" t="n">
        <f aca="false">CHOOSE($C$4,K29,K30,K31)</f>
        <v>0.22</v>
      </c>
      <c r="L32" s="35" t="n">
        <f aca="false">CHOOSE($C$4,L29,L30,L31)</f>
        <v>0.16</v>
      </c>
      <c r="M32" s="35" t="n">
        <f aca="false">CHOOSE($C$4,M29,M30,M31)</f>
        <v>0.12</v>
      </c>
      <c r="N32" s="36" t="s">
        <v>108</v>
      </c>
    </row>
    <row r="33" customFormat="false" ht="15" hidden="false" customHeight="false" outlineLevel="0" collapsed="false">
      <c r="A33" s="30" t="s">
        <v>109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customFormat="false" ht="15" hidden="false" customHeight="false" outlineLevel="0" collapsed="false">
      <c r="A34" s="32" t="s">
        <v>31</v>
      </c>
      <c r="B34" s="23" t="s">
        <v>94</v>
      </c>
      <c r="I34" s="33" t="n">
        <v>0.47</v>
      </c>
      <c r="J34" s="33" t="n">
        <v>0.45</v>
      </c>
      <c r="K34" s="33" t="n">
        <v>0.45</v>
      </c>
      <c r="L34" s="33" t="n">
        <v>0.45</v>
      </c>
      <c r="M34" s="33" t="n">
        <v>0.45</v>
      </c>
    </row>
    <row r="35" customFormat="false" ht="15" hidden="false" customHeight="false" outlineLevel="0" collapsed="false">
      <c r="A35" s="32" t="s">
        <v>18</v>
      </c>
      <c r="B35" s="23" t="s">
        <v>94</v>
      </c>
      <c r="I35" s="33" t="n">
        <v>0.49</v>
      </c>
      <c r="J35" s="33" t="n">
        <v>0.5</v>
      </c>
      <c r="K35" s="33" t="n">
        <v>0.5</v>
      </c>
      <c r="L35" s="33" t="n">
        <v>0.5</v>
      </c>
      <c r="M35" s="33" t="n">
        <v>0.5</v>
      </c>
    </row>
    <row r="36" customFormat="false" ht="15" hidden="false" customHeight="false" outlineLevel="0" collapsed="false">
      <c r="A36" s="32" t="s">
        <v>32</v>
      </c>
      <c r="B36" s="23" t="s">
        <v>94</v>
      </c>
      <c r="I36" s="33" t="n">
        <v>0.51</v>
      </c>
      <c r="J36" s="33" t="n">
        <v>0.53</v>
      </c>
      <c r="K36" s="33" t="n">
        <v>0.54</v>
      </c>
      <c r="L36" s="33" t="n">
        <v>0.54</v>
      </c>
      <c r="M36" s="33" t="n">
        <v>0.54</v>
      </c>
    </row>
    <row r="37" customFormat="false" ht="15" hidden="false" customHeight="false" outlineLevel="0" collapsed="false">
      <c r="A37" s="34" t="s">
        <v>110</v>
      </c>
      <c r="B37" s="23" t="s">
        <v>94</v>
      </c>
      <c r="I37" s="35" t="n">
        <f aca="false">CHOOSE($C$4,I34,I35,I36)</f>
        <v>0.49</v>
      </c>
      <c r="J37" s="35" t="n">
        <f aca="false">CHOOSE($C$4,J34,J35,J36)</f>
        <v>0.5</v>
      </c>
      <c r="K37" s="35" t="n">
        <f aca="false">CHOOSE($C$4,K34,K35,K36)</f>
        <v>0.5</v>
      </c>
      <c r="L37" s="35" t="n">
        <f aca="false">CHOOSE($C$4,L34,L35,L36)</f>
        <v>0.5</v>
      </c>
      <c r="M37" s="35" t="n">
        <f aca="false">CHOOSE($C$4,M34,M35,M36)</f>
        <v>0.5</v>
      </c>
      <c r="N37" s="21" t="s">
        <v>111</v>
      </c>
    </row>
    <row r="38" customFormat="false" ht="15" hidden="false" customHeight="false" outlineLevel="0" collapsed="false">
      <c r="A38" s="30" t="s">
        <v>112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customFormat="false" ht="15" hidden="false" customHeight="false" outlineLevel="0" collapsed="false">
      <c r="A39" s="32" t="s">
        <v>31</v>
      </c>
      <c r="B39" s="23" t="s">
        <v>94</v>
      </c>
      <c r="I39" s="33" t="n">
        <v>0.4</v>
      </c>
      <c r="J39" s="33" t="n">
        <v>-0.08</v>
      </c>
      <c r="K39" s="33" t="n">
        <v>-0.1</v>
      </c>
      <c r="L39" s="33" t="n">
        <v>0</v>
      </c>
      <c r="M39" s="33" t="n">
        <v>0</v>
      </c>
    </row>
    <row r="40" customFormat="false" ht="15" hidden="false" customHeight="false" outlineLevel="0" collapsed="false">
      <c r="A40" s="32" t="s">
        <v>18</v>
      </c>
      <c r="B40" s="23" t="s">
        <v>94</v>
      </c>
      <c r="I40" s="33" t="n">
        <v>0.45</v>
      </c>
      <c r="J40" s="33" t="n">
        <v>0.08</v>
      </c>
      <c r="K40" s="33" t="n">
        <v>-0.05</v>
      </c>
      <c r="L40" s="33" t="n">
        <v>0</v>
      </c>
      <c r="M40" s="33" t="n">
        <v>0.03</v>
      </c>
    </row>
    <row r="41" customFormat="false" ht="15" hidden="false" customHeight="false" outlineLevel="0" collapsed="false">
      <c r="A41" s="32" t="s">
        <v>32</v>
      </c>
      <c r="B41" s="23" t="s">
        <v>94</v>
      </c>
      <c r="I41" s="33" t="n">
        <v>0.55</v>
      </c>
      <c r="J41" s="33" t="n">
        <v>0.2</v>
      </c>
      <c r="K41" s="33" t="n">
        <v>0.05</v>
      </c>
      <c r="L41" s="33" t="n">
        <v>0.03</v>
      </c>
      <c r="M41" s="33" t="n">
        <v>0.03</v>
      </c>
    </row>
    <row r="42" customFormat="false" ht="15" hidden="false" customHeight="false" outlineLevel="0" collapsed="false">
      <c r="A42" s="34" t="s">
        <v>113</v>
      </c>
      <c r="B42" s="23" t="s">
        <v>94</v>
      </c>
      <c r="I42" s="35" t="n">
        <f aca="false">CHOOSE($C$4,I39,I40,I41)</f>
        <v>0.45</v>
      </c>
      <c r="J42" s="35" t="n">
        <f aca="false">CHOOSE($C$4,J39,J40,J41)</f>
        <v>0.08</v>
      </c>
      <c r="K42" s="35" t="n">
        <f aca="false">CHOOSE($C$4,K39,K40,K41)</f>
        <v>-0.05</v>
      </c>
      <c r="L42" s="35" t="n">
        <f aca="false">CHOOSE($C$4,L39,L40,L41)</f>
        <v>0</v>
      </c>
      <c r="M42" s="35" t="n">
        <f aca="false">CHOOSE($C$4,M39,M40,M41)</f>
        <v>0.03</v>
      </c>
      <c r="N42" s="21" t="s">
        <v>114</v>
      </c>
    </row>
    <row r="43" customFormat="false" ht="15" hidden="false" customHeight="false" outlineLevel="0" collapsed="false">
      <c r="A43" s="30" t="s">
        <v>115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15" hidden="false" customHeight="false" outlineLevel="0" collapsed="false">
      <c r="A44" s="32" t="s">
        <v>31</v>
      </c>
      <c r="B44" s="23" t="s">
        <v>94</v>
      </c>
      <c r="I44" s="33" t="n">
        <v>0.33</v>
      </c>
      <c r="J44" s="33" t="n">
        <v>0.25</v>
      </c>
      <c r="K44" s="33" t="n">
        <v>0.23</v>
      </c>
      <c r="L44" s="33" t="n">
        <v>0.23</v>
      </c>
      <c r="M44" s="33" t="n">
        <v>0.23</v>
      </c>
    </row>
    <row r="45" customFormat="false" ht="15" hidden="false" customHeight="false" outlineLevel="0" collapsed="false">
      <c r="A45" s="32" t="s">
        <v>18</v>
      </c>
      <c r="B45" s="23" t="s">
        <v>94</v>
      </c>
      <c r="I45" s="33" t="n">
        <v>0.34</v>
      </c>
      <c r="J45" s="33" t="n">
        <v>0.3</v>
      </c>
      <c r="K45" s="33" t="n">
        <v>0.27</v>
      </c>
      <c r="L45" s="33" t="n">
        <v>0.27</v>
      </c>
      <c r="M45" s="33" t="n">
        <v>0.27</v>
      </c>
    </row>
    <row r="46" customFormat="false" ht="15" hidden="false" customHeight="false" outlineLevel="0" collapsed="false">
      <c r="A46" s="32" t="s">
        <v>32</v>
      </c>
      <c r="B46" s="23" t="s">
        <v>94</v>
      </c>
      <c r="I46" s="33" t="n">
        <v>0.36</v>
      </c>
      <c r="J46" s="33" t="n">
        <v>0.34</v>
      </c>
      <c r="K46" s="33" t="n">
        <v>0.3</v>
      </c>
      <c r="L46" s="33" t="n">
        <v>0.29</v>
      </c>
      <c r="M46" s="33" t="n">
        <v>0.29</v>
      </c>
    </row>
    <row r="47" customFormat="false" ht="15" hidden="false" customHeight="false" outlineLevel="0" collapsed="false">
      <c r="A47" s="34" t="s">
        <v>116</v>
      </c>
      <c r="B47" s="23" t="s">
        <v>94</v>
      </c>
      <c r="I47" s="35" t="n">
        <f aca="false">CHOOSE($C$4,I44,I45,I46)</f>
        <v>0.34</v>
      </c>
      <c r="J47" s="35" t="n">
        <f aca="false">CHOOSE($C$4,J44,J45,J46)</f>
        <v>0.3</v>
      </c>
      <c r="K47" s="35" t="n">
        <f aca="false">CHOOSE($C$4,K44,K45,K46)</f>
        <v>0.27</v>
      </c>
      <c r="L47" s="35" t="n">
        <f aca="false">CHOOSE($C$4,L44,L45,L46)</f>
        <v>0.27</v>
      </c>
      <c r="M47" s="35" t="n">
        <f aca="false">CHOOSE($C$4,M44,M45,M46)</f>
        <v>0.27</v>
      </c>
      <c r="N47" s="21" t="s">
        <v>117</v>
      </c>
    </row>
    <row r="48" customFormat="false" ht="15" hidden="false" customHeight="false" outlineLevel="0" collapsed="false">
      <c r="A48" s="30" t="s">
        <v>118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32" t="s">
        <v>31</v>
      </c>
      <c r="B49" s="23" t="s">
        <v>94</v>
      </c>
      <c r="I49" s="33" t="n">
        <v>-0.35</v>
      </c>
      <c r="J49" s="33" t="n">
        <v>-0.1</v>
      </c>
      <c r="K49" s="33" t="n">
        <v>0</v>
      </c>
      <c r="L49" s="33" t="n">
        <v>0</v>
      </c>
      <c r="M49" s="33" t="n">
        <v>0</v>
      </c>
    </row>
    <row r="50" customFormat="false" ht="15" hidden="false" customHeight="false" outlineLevel="0" collapsed="false">
      <c r="A50" s="32" t="s">
        <v>18</v>
      </c>
      <c r="B50" s="23" t="s">
        <v>94</v>
      </c>
      <c r="I50" s="33" t="n">
        <v>-0.25</v>
      </c>
      <c r="J50" s="33" t="n">
        <v>0</v>
      </c>
      <c r="K50" s="33" t="n">
        <v>0.03</v>
      </c>
      <c r="L50" s="33" t="n">
        <v>0.03</v>
      </c>
      <c r="M50" s="33" t="n">
        <v>0.03</v>
      </c>
    </row>
    <row r="51" customFormat="false" ht="15" hidden="false" customHeight="false" outlineLevel="0" collapsed="false">
      <c r="A51" s="32" t="s">
        <v>32</v>
      </c>
      <c r="B51" s="23" t="s">
        <v>94</v>
      </c>
      <c r="I51" s="33" t="n">
        <v>-0.15</v>
      </c>
      <c r="J51" s="33" t="n">
        <v>0.1</v>
      </c>
      <c r="K51" s="33" t="n">
        <v>0.08</v>
      </c>
      <c r="L51" s="33" t="n">
        <v>0.05</v>
      </c>
      <c r="M51" s="33" t="n">
        <v>0.05</v>
      </c>
    </row>
    <row r="52" customFormat="false" ht="15" hidden="false" customHeight="false" outlineLevel="0" collapsed="false">
      <c r="A52" s="34" t="s">
        <v>119</v>
      </c>
      <c r="B52" s="23" t="s">
        <v>94</v>
      </c>
      <c r="I52" s="35" t="n">
        <f aca="false">CHOOSE($C$4,I49,I50,I51)</f>
        <v>-0.25</v>
      </c>
      <c r="J52" s="35" t="n">
        <f aca="false">CHOOSE($C$4,J49,J50,J51)</f>
        <v>0</v>
      </c>
      <c r="K52" s="35" t="n">
        <f aca="false">CHOOSE($C$4,K49,K50,K51)</f>
        <v>0.03</v>
      </c>
      <c r="L52" s="35" t="n">
        <f aca="false">CHOOSE($C$4,L49,L50,L51)</f>
        <v>0.03</v>
      </c>
      <c r="M52" s="35" t="n">
        <f aca="false">CHOOSE($C$4,M49,M50,M51)</f>
        <v>0.03</v>
      </c>
      <c r="N52" s="21" t="s">
        <v>120</v>
      </c>
    </row>
    <row r="53" customFormat="false" ht="15" hidden="false" customHeight="false" outlineLevel="0" collapsed="false">
      <c r="A53" s="30" t="s">
        <v>121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customFormat="false" ht="15" hidden="false" customHeight="false" outlineLevel="0" collapsed="false">
      <c r="A54" s="32" t="s">
        <v>31</v>
      </c>
      <c r="B54" s="23" t="s">
        <v>94</v>
      </c>
      <c r="I54" s="33" t="n">
        <v>0.02</v>
      </c>
      <c r="J54" s="33" t="n">
        <v>0.03</v>
      </c>
      <c r="K54" s="33" t="n">
        <v>0.05</v>
      </c>
      <c r="L54" s="33" t="n">
        <v>0.05</v>
      </c>
      <c r="M54" s="33" t="n">
        <v>0.05</v>
      </c>
    </row>
    <row r="55" customFormat="false" ht="15" hidden="false" customHeight="false" outlineLevel="0" collapsed="false">
      <c r="A55" s="32" t="s">
        <v>18</v>
      </c>
      <c r="B55" s="23" t="s">
        <v>94</v>
      </c>
      <c r="I55" s="33" t="n">
        <v>0.03</v>
      </c>
      <c r="J55" s="33" t="n">
        <v>0.08</v>
      </c>
      <c r="K55" s="33" t="n">
        <v>0.1</v>
      </c>
      <c r="L55" s="33" t="n">
        <v>0.12</v>
      </c>
      <c r="M55" s="33" t="n">
        <v>0.12</v>
      </c>
    </row>
    <row r="56" customFormat="false" ht="15" hidden="false" customHeight="false" outlineLevel="0" collapsed="false">
      <c r="A56" s="32" t="s">
        <v>32</v>
      </c>
      <c r="B56" s="23" t="s">
        <v>94</v>
      </c>
      <c r="I56" s="33" t="n">
        <v>0.06</v>
      </c>
      <c r="J56" s="33" t="n">
        <v>0.12</v>
      </c>
      <c r="K56" s="33" t="n">
        <v>0.15</v>
      </c>
      <c r="L56" s="33" t="n">
        <v>0.15</v>
      </c>
      <c r="M56" s="33" t="n">
        <v>0.15</v>
      </c>
    </row>
    <row r="57" customFormat="false" ht="15" hidden="false" customHeight="false" outlineLevel="0" collapsed="false">
      <c r="A57" s="34" t="s">
        <v>122</v>
      </c>
      <c r="B57" s="23" t="s">
        <v>94</v>
      </c>
      <c r="I57" s="35" t="n">
        <f aca="false">CHOOSE($C$4,I54,I55,I56)</f>
        <v>0.03</v>
      </c>
      <c r="J57" s="35" t="n">
        <f aca="false">CHOOSE($C$4,J54,J55,J56)</f>
        <v>0.08</v>
      </c>
      <c r="K57" s="35" t="n">
        <f aca="false">CHOOSE($C$4,K54,K55,K56)</f>
        <v>0.1</v>
      </c>
      <c r="L57" s="35" t="n">
        <f aca="false">CHOOSE($C$4,L54,L55,L56)</f>
        <v>0.12</v>
      </c>
      <c r="M57" s="35" t="n">
        <f aca="false">CHOOSE($C$4,M54,M55,M56)</f>
        <v>0.12</v>
      </c>
      <c r="N57" s="21" t="s">
        <v>123</v>
      </c>
    </row>
    <row r="58" customFormat="false" ht="15" hidden="false" customHeight="false" outlineLevel="0" collapsed="false">
      <c r="A58" s="30" t="s">
        <v>124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customFormat="false" ht="15" hidden="false" customHeight="false" outlineLevel="0" collapsed="false">
      <c r="A59" s="32" t="s">
        <v>31</v>
      </c>
      <c r="B59" s="23" t="s">
        <v>94</v>
      </c>
      <c r="I59" s="33" t="n">
        <v>0.1</v>
      </c>
      <c r="J59" s="33" t="n">
        <v>0</v>
      </c>
      <c r="K59" s="33" t="n">
        <v>0</v>
      </c>
      <c r="L59" s="33" t="n">
        <v>0</v>
      </c>
      <c r="M59" s="33" t="n">
        <v>0</v>
      </c>
    </row>
    <row r="60" customFormat="false" ht="15" hidden="false" customHeight="false" outlineLevel="0" collapsed="false">
      <c r="A60" s="32" t="s">
        <v>18</v>
      </c>
      <c r="B60" s="23" t="s">
        <v>94</v>
      </c>
      <c r="I60" s="33" t="n">
        <v>0.15</v>
      </c>
      <c r="J60" s="33" t="n">
        <v>0.04</v>
      </c>
      <c r="K60" s="33" t="n">
        <v>0.04</v>
      </c>
      <c r="L60" s="33" t="n">
        <v>0.03</v>
      </c>
      <c r="M60" s="33" t="n">
        <v>0.03</v>
      </c>
    </row>
    <row r="61" customFormat="false" ht="15" hidden="false" customHeight="false" outlineLevel="0" collapsed="false">
      <c r="A61" s="32" t="s">
        <v>32</v>
      </c>
      <c r="B61" s="23" t="s">
        <v>94</v>
      </c>
      <c r="I61" s="33" t="n">
        <v>0.18</v>
      </c>
      <c r="J61" s="33" t="n">
        <v>0.06</v>
      </c>
      <c r="K61" s="33" t="n">
        <v>0.05</v>
      </c>
      <c r="L61" s="33" t="n">
        <v>0.04</v>
      </c>
      <c r="M61" s="33" t="n">
        <v>0.04</v>
      </c>
    </row>
    <row r="62" customFormat="false" ht="15" hidden="false" customHeight="false" outlineLevel="0" collapsed="false">
      <c r="A62" s="34" t="s">
        <v>125</v>
      </c>
      <c r="B62" s="23" t="s">
        <v>94</v>
      </c>
      <c r="I62" s="35" t="n">
        <f aca="false">CHOOSE($C$4,I59,I60,I61)</f>
        <v>0.15</v>
      </c>
      <c r="J62" s="35" t="n">
        <f aca="false">CHOOSE($C$4,J59,J60,J61)</f>
        <v>0.04</v>
      </c>
      <c r="K62" s="35" t="n">
        <f aca="false">CHOOSE($C$4,K59,K60,K61)</f>
        <v>0.04</v>
      </c>
      <c r="L62" s="35" t="n">
        <f aca="false">CHOOSE($C$4,L59,L60,L61)</f>
        <v>0.03</v>
      </c>
      <c r="M62" s="35" t="n">
        <f aca="false">CHOOSE($C$4,M59,M60,M61)</f>
        <v>0.03</v>
      </c>
      <c r="N62" s="21" t="s">
        <v>126</v>
      </c>
    </row>
    <row r="63" customFormat="false" ht="15" hidden="false" customHeight="false" outlineLevel="0" collapsed="false">
      <c r="A63" s="30" t="s">
        <v>127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5" hidden="false" customHeight="false" outlineLevel="0" collapsed="false">
      <c r="A64" s="32" t="s">
        <v>31</v>
      </c>
      <c r="B64" s="23" t="s">
        <v>94</v>
      </c>
      <c r="I64" s="33" t="n">
        <v>0.27</v>
      </c>
      <c r="J64" s="33" t="n">
        <v>0.2</v>
      </c>
      <c r="K64" s="33" t="n">
        <v>0.2</v>
      </c>
      <c r="L64" s="33" t="n">
        <v>0.2</v>
      </c>
      <c r="M64" s="33" t="n">
        <v>0.2</v>
      </c>
    </row>
    <row r="65" customFormat="false" ht="15" hidden="false" customHeight="false" outlineLevel="0" collapsed="false">
      <c r="A65" s="32" t="s">
        <v>18</v>
      </c>
      <c r="B65" s="23" t="s">
        <v>94</v>
      </c>
      <c r="I65" s="33" t="n">
        <v>0.29</v>
      </c>
      <c r="J65" s="33" t="n">
        <v>0.24</v>
      </c>
      <c r="K65" s="33" t="n">
        <v>0.23</v>
      </c>
      <c r="L65" s="33" t="n">
        <v>0.22</v>
      </c>
      <c r="M65" s="33" t="n">
        <v>0.22</v>
      </c>
    </row>
    <row r="66" customFormat="false" ht="15" hidden="false" customHeight="false" outlineLevel="0" collapsed="false">
      <c r="A66" s="32" t="s">
        <v>32</v>
      </c>
      <c r="B66" s="23" t="s">
        <v>94</v>
      </c>
      <c r="I66" s="33" t="n">
        <v>0.3</v>
      </c>
      <c r="J66" s="33" t="n">
        <v>0.27</v>
      </c>
      <c r="K66" s="33" t="n">
        <v>0.26</v>
      </c>
      <c r="L66" s="33" t="n">
        <v>0.25</v>
      </c>
      <c r="M66" s="33" t="n">
        <v>0.25</v>
      </c>
    </row>
    <row r="67" customFormat="false" ht="15" hidden="false" customHeight="false" outlineLevel="0" collapsed="false">
      <c r="A67" s="34" t="s">
        <v>128</v>
      </c>
      <c r="B67" s="23" t="s">
        <v>94</v>
      </c>
      <c r="I67" s="35" t="n">
        <f aca="false">CHOOSE($C$4,I64,I65,I66)</f>
        <v>0.29</v>
      </c>
      <c r="J67" s="35" t="n">
        <f aca="false">CHOOSE($C$4,J64,J65,J66)</f>
        <v>0.24</v>
      </c>
      <c r="K67" s="35" t="n">
        <f aca="false">CHOOSE($C$4,K64,K65,K66)</f>
        <v>0.23</v>
      </c>
      <c r="L67" s="35" t="n">
        <f aca="false">CHOOSE($C$4,L64,L65,L66)</f>
        <v>0.22</v>
      </c>
      <c r="M67" s="35" t="n">
        <f aca="false">CHOOSE($C$4,M64,M65,M66)</f>
        <v>0.22</v>
      </c>
      <c r="N67" s="21" t="s">
        <v>129</v>
      </c>
    </row>
    <row r="68" customFormat="false" ht="15" hidden="false" customHeight="false" outlineLevel="0" collapsed="false">
      <c r="A68" s="30" t="s">
        <v>130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customFormat="false" ht="15" hidden="false" customHeight="false" outlineLevel="0" collapsed="false">
      <c r="A69" s="32" t="s">
        <v>31</v>
      </c>
      <c r="B69" s="37" t="s">
        <v>131</v>
      </c>
      <c r="I69" s="38" t="n">
        <v>200</v>
      </c>
      <c r="J69" s="38" t="n">
        <v>600</v>
      </c>
      <c r="K69" s="38" t="n">
        <v>700</v>
      </c>
      <c r="L69" s="38" t="n">
        <v>750</v>
      </c>
      <c r="M69" s="38" t="n">
        <v>800</v>
      </c>
    </row>
    <row r="70" customFormat="false" ht="15" hidden="false" customHeight="false" outlineLevel="0" collapsed="false">
      <c r="A70" s="32" t="s">
        <v>18</v>
      </c>
      <c r="B70" s="37" t="s">
        <v>131</v>
      </c>
      <c r="I70" s="38" t="n">
        <v>250</v>
      </c>
      <c r="J70" s="38" t="n">
        <v>700</v>
      </c>
      <c r="K70" s="38" t="n">
        <v>1100</v>
      </c>
      <c r="L70" s="38" t="n">
        <v>1400</v>
      </c>
      <c r="M70" s="38" t="n">
        <v>1600</v>
      </c>
    </row>
    <row r="71" customFormat="false" ht="15" hidden="false" customHeight="false" outlineLevel="0" collapsed="false">
      <c r="A71" s="32" t="s">
        <v>32</v>
      </c>
      <c r="B71" s="37" t="s">
        <v>131</v>
      </c>
      <c r="I71" s="38" t="n">
        <v>300</v>
      </c>
      <c r="J71" s="38" t="n">
        <v>1100</v>
      </c>
      <c r="K71" s="38" t="n">
        <v>1900</v>
      </c>
      <c r="L71" s="38" t="n">
        <v>2400</v>
      </c>
      <c r="M71" s="38" t="n">
        <v>2700</v>
      </c>
    </row>
    <row r="72" customFormat="false" ht="15" hidden="false" customHeight="false" outlineLevel="0" collapsed="false">
      <c r="A72" s="34" t="s">
        <v>132</v>
      </c>
      <c r="B72" s="37" t="s">
        <v>131</v>
      </c>
      <c r="I72" s="39" t="n">
        <f aca="false">CHOOSE($C$4,I69,I70,I71)</f>
        <v>250</v>
      </c>
      <c r="J72" s="39" t="n">
        <f aca="false">CHOOSE($C$4,J69,J70,J71)</f>
        <v>700</v>
      </c>
      <c r="K72" s="39" t="n">
        <f aca="false">CHOOSE($C$4,K69,K70,K71)</f>
        <v>1100</v>
      </c>
      <c r="L72" s="39" t="n">
        <f aca="false">CHOOSE($C$4,L69,L70,L71)</f>
        <v>1400</v>
      </c>
      <c r="M72" s="39" t="n">
        <f aca="false">CHOOSE($C$4,M69,M70,M71)</f>
        <v>1600</v>
      </c>
      <c r="N72" s="21" t="s">
        <v>133</v>
      </c>
    </row>
    <row r="73" customFormat="false" ht="15" hidden="false" customHeight="false" outlineLevel="0" collapsed="false">
      <c r="A73" s="30" t="s">
        <v>134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customFormat="false" ht="15" hidden="false" customHeight="false" outlineLevel="0" collapsed="false">
      <c r="A74" s="32" t="s">
        <v>31</v>
      </c>
      <c r="B74" s="37" t="s">
        <v>135</v>
      </c>
      <c r="I74" s="40" t="n">
        <v>125</v>
      </c>
      <c r="J74" s="40" t="n">
        <v>220</v>
      </c>
      <c r="K74" s="40" t="n">
        <v>350</v>
      </c>
      <c r="L74" s="40" t="n">
        <v>450</v>
      </c>
      <c r="M74" s="40" t="n">
        <v>500</v>
      </c>
    </row>
    <row r="75" customFormat="false" ht="15" hidden="false" customHeight="false" outlineLevel="0" collapsed="false">
      <c r="A75" s="32" t="s">
        <v>18</v>
      </c>
      <c r="B75" s="37" t="s">
        <v>135</v>
      </c>
      <c r="I75" s="40" t="n">
        <v>134</v>
      </c>
      <c r="J75" s="40" t="n">
        <v>320</v>
      </c>
      <c r="K75" s="40" t="n">
        <v>650</v>
      </c>
      <c r="L75" s="40" t="n">
        <v>950</v>
      </c>
      <c r="M75" s="40" t="n">
        <v>1200</v>
      </c>
    </row>
    <row r="76" customFormat="false" ht="15" hidden="false" customHeight="false" outlineLevel="0" collapsed="false">
      <c r="A76" s="32" t="s">
        <v>32</v>
      </c>
      <c r="B76" s="37" t="s">
        <v>135</v>
      </c>
      <c r="I76" s="40" t="n">
        <v>160</v>
      </c>
      <c r="J76" s="40" t="n">
        <v>600</v>
      </c>
      <c r="K76" s="40" t="n">
        <v>1300</v>
      </c>
      <c r="L76" s="40" t="n">
        <v>1800</v>
      </c>
      <c r="M76" s="40" t="n">
        <v>2200</v>
      </c>
    </row>
    <row r="77" customFormat="false" ht="15" hidden="false" customHeight="false" outlineLevel="0" collapsed="false">
      <c r="A77" s="34" t="s">
        <v>136</v>
      </c>
      <c r="B77" s="37" t="s">
        <v>135</v>
      </c>
      <c r="I77" s="41" t="n">
        <f aca="false">CHOOSE($C$4,I74,I75,I76)</f>
        <v>134</v>
      </c>
      <c r="J77" s="41" t="n">
        <f aca="false">CHOOSE($C$4,J74,J75,J76)</f>
        <v>320</v>
      </c>
      <c r="K77" s="41" t="n">
        <f aca="false">CHOOSE($C$4,K74,K75,K76)</f>
        <v>650</v>
      </c>
      <c r="L77" s="41" t="n">
        <f aca="false">CHOOSE($C$4,L74,L75,L76)</f>
        <v>950</v>
      </c>
      <c r="M77" s="41" t="n">
        <f aca="false">CHOOSE($C$4,M74,M75,M76)</f>
        <v>1200</v>
      </c>
      <c r="N77" s="36" t="s">
        <v>137</v>
      </c>
    </row>
    <row r="78" customFormat="false" ht="15" hidden="false" customHeight="false" outlineLevel="0" collapsed="false">
      <c r="A78" s="30" t="s">
        <v>138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customFormat="false" ht="15" hidden="false" customHeight="false" outlineLevel="0" collapsed="false">
      <c r="A79" s="32" t="s">
        <v>31</v>
      </c>
      <c r="B79" s="37" t="s">
        <v>139</v>
      </c>
      <c r="I79" s="40" t="n">
        <v>265</v>
      </c>
      <c r="J79" s="40" t="n">
        <v>210</v>
      </c>
      <c r="K79" s="40" t="n">
        <v>170</v>
      </c>
      <c r="L79" s="40" t="n">
        <v>150</v>
      </c>
      <c r="M79" s="40" t="n">
        <v>140</v>
      </c>
    </row>
    <row r="80" customFormat="false" ht="15" hidden="false" customHeight="false" outlineLevel="0" collapsed="false">
      <c r="A80" s="32" t="s">
        <v>18</v>
      </c>
      <c r="B80" s="37" t="s">
        <v>139</v>
      </c>
      <c r="I80" s="40" t="n">
        <v>270</v>
      </c>
      <c r="J80" s="40" t="n">
        <v>240</v>
      </c>
      <c r="K80" s="40" t="n">
        <v>210</v>
      </c>
      <c r="L80" s="40" t="n">
        <v>190</v>
      </c>
      <c r="M80" s="40" t="n">
        <v>175</v>
      </c>
    </row>
    <row r="81" customFormat="false" ht="15" hidden="false" customHeight="false" outlineLevel="0" collapsed="false">
      <c r="A81" s="32" t="s">
        <v>32</v>
      </c>
      <c r="B81" s="37" t="s">
        <v>139</v>
      </c>
      <c r="I81" s="40" t="n">
        <v>275</v>
      </c>
      <c r="J81" s="40" t="n">
        <v>260</v>
      </c>
      <c r="K81" s="40" t="n">
        <v>235</v>
      </c>
      <c r="L81" s="40" t="n">
        <v>215</v>
      </c>
      <c r="M81" s="40" t="n">
        <v>200</v>
      </c>
    </row>
    <row r="82" customFormat="false" ht="15" hidden="false" customHeight="false" outlineLevel="0" collapsed="false">
      <c r="A82" s="34" t="s">
        <v>140</v>
      </c>
      <c r="B82" s="37" t="s">
        <v>139</v>
      </c>
      <c r="I82" s="41" t="n">
        <f aca="false">CHOOSE($C$4,I79,I80,I81)</f>
        <v>270</v>
      </c>
      <c r="J82" s="41" t="n">
        <f aca="false">CHOOSE($C$4,J79,J80,J81)</f>
        <v>240</v>
      </c>
      <c r="K82" s="41" t="n">
        <f aca="false">CHOOSE($C$4,K79,K80,K81)</f>
        <v>210</v>
      </c>
      <c r="L82" s="41" t="n">
        <f aca="false">CHOOSE($C$4,L79,L80,L81)</f>
        <v>190</v>
      </c>
      <c r="M82" s="41" t="n">
        <f aca="false">CHOOSE($C$4,M79,M80,M81)</f>
        <v>175</v>
      </c>
      <c r="N82" s="21" t="s">
        <v>141</v>
      </c>
    </row>
    <row r="83" customFormat="false" ht="15" hidden="false" customHeight="false" outlineLevel="0" collapsed="false">
      <c r="A83" s="30" t="s">
        <v>142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customFormat="false" ht="15" hidden="false" customHeight="false" outlineLevel="0" collapsed="false">
      <c r="A84" s="32" t="s">
        <v>31</v>
      </c>
      <c r="B84" s="23" t="s">
        <v>94</v>
      </c>
      <c r="I84" s="33" t="n">
        <v>0.62</v>
      </c>
      <c r="J84" s="33" t="n">
        <v>0.5</v>
      </c>
      <c r="K84" s="33" t="n">
        <v>0.42</v>
      </c>
      <c r="L84" s="33" t="n">
        <v>0.38</v>
      </c>
      <c r="M84" s="33" t="n">
        <v>0.35</v>
      </c>
    </row>
    <row r="85" customFormat="false" ht="15" hidden="false" customHeight="false" outlineLevel="0" collapsed="false">
      <c r="A85" s="32" t="s">
        <v>18</v>
      </c>
      <c r="B85" s="23" t="s">
        <v>94</v>
      </c>
      <c r="I85" s="33" t="n">
        <v>0.64</v>
      </c>
      <c r="J85" s="33" t="n">
        <v>0.58</v>
      </c>
      <c r="K85" s="33" t="n">
        <v>0.52</v>
      </c>
      <c r="L85" s="33" t="n">
        <v>0.48</v>
      </c>
      <c r="M85" s="33" t="n">
        <v>0.45</v>
      </c>
    </row>
    <row r="86" customFormat="false" ht="15" hidden="false" customHeight="false" outlineLevel="0" collapsed="false">
      <c r="A86" s="32" t="s">
        <v>32</v>
      </c>
      <c r="B86" s="23" t="s">
        <v>94</v>
      </c>
      <c r="I86" s="33" t="n">
        <v>0.66</v>
      </c>
      <c r="J86" s="33" t="n">
        <v>0.62</v>
      </c>
      <c r="K86" s="33" t="n">
        <v>0.58</v>
      </c>
      <c r="L86" s="33" t="n">
        <v>0.55</v>
      </c>
      <c r="M86" s="33" t="n">
        <v>0.52</v>
      </c>
    </row>
    <row r="87" customFormat="false" ht="15" hidden="false" customHeight="false" outlineLevel="0" collapsed="false">
      <c r="A87" s="34" t="s">
        <v>143</v>
      </c>
      <c r="B87" s="23" t="s">
        <v>94</v>
      </c>
      <c r="I87" s="35" t="n">
        <f aca="false">CHOOSE($C$4,I84,I85,I86)</f>
        <v>0.64</v>
      </c>
      <c r="J87" s="35" t="n">
        <f aca="false">CHOOSE($C$4,J84,J85,J86)</f>
        <v>0.58</v>
      </c>
      <c r="K87" s="35" t="n">
        <f aca="false">CHOOSE($C$4,K84,K85,K86)</f>
        <v>0.52</v>
      </c>
      <c r="L87" s="35" t="n">
        <f aca="false">CHOOSE($C$4,L84,L85,L86)</f>
        <v>0.48</v>
      </c>
      <c r="M87" s="35" t="n">
        <f aca="false">CHOOSE($C$4,M84,M85,M86)</f>
        <v>0.45</v>
      </c>
      <c r="N87" s="2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17.35" hidden="false" customHeight="false" outlineLevel="0" collapsed="false">
      <c r="A1" s="20" t="s">
        <v>145</v>
      </c>
    </row>
    <row r="2" customFormat="false" ht="15" hidden="false" customHeight="false" outlineLevel="0" collapsed="false">
      <c r="A2" s="21" t="s">
        <v>146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148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4" t="s">
        <v>149</v>
      </c>
      <c r="B6" s="37" t="s">
        <v>147</v>
      </c>
      <c r="C6" s="42" t="n">
        <v>377.5</v>
      </c>
      <c r="D6" s="42" t="n">
        <v>487</v>
      </c>
      <c r="E6" s="42" t="n">
        <v>654.78</v>
      </c>
      <c r="F6" s="42" t="n">
        <v>726.52</v>
      </c>
      <c r="G6" s="42" t="n">
        <v>806.46</v>
      </c>
      <c r="H6" s="42" t="n">
        <v>897.5</v>
      </c>
      <c r="I6" s="43" t="n">
        <f aca="false">H6*(1+假设!I12)</f>
        <v>1148.8</v>
      </c>
      <c r="J6" s="43" t="n">
        <f aca="false">I6*(1+假设!J12)</f>
        <v>1355.584</v>
      </c>
      <c r="K6" s="43" t="n">
        <f aca="false">J6*(1+假设!K12)</f>
        <v>1545.36576</v>
      </c>
      <c r="L6" s="43" t="n">
        <f aca="false">K6*(1+假设!L12)</f>
        <v>1715.3559936</v>
      </c>
      <c r="M6" s="43" t="n">
        <f aca="false">L6*(1+假设!M12)</f>
        <v>1869.738033024</v>
      </c>
      <c r="N6" s="21" t="s">
        <v>150</v>
      </c>
    </row>
    <row r="7" customFormat="false" ht="15" hidden="false" customHeight="false" outlineLevel="0" collapsed="false">
      <c r="A7" s="32" t="s">
        <v>151</v>
      </c>
      <c r="B7" s="23" t="s">
        <v>94</v>
      </c>
      <c r="D7" s="13" t="n">
        <f aca="false">IFERROR(D6/C6-1,0)</f>
        <v>0.290066225165563</v>
      </c>
      <c r="E7" s="13" t="n">
        <f aca="false">IFERROR(E6/D6-1,0)</f>
        <v>0.344517453798768</v>
      </c>
      <c r="F7" s="13" t="n">
        <f aca="false">IFERROR(F6/E6-1,0)</f>
        <v>0.109563517517334</v>
      </c>
      <c r="G7" s="13" t="n">
        <f aca="false">IFERROR(G6/F6-1,0)</f>
        <v>0.110031382480868</v>
      </c>
      <c r="H7" s="13" t="n">
        <f aca="false">IFERROR(H6/G6-1,0)</f>
        <v>0.11288842596037</v>
      </c>
      <c r="I7" s="13" t="n">
        <f aca="false">IFERROR(I6/H6-1,0)</f>
        <v>0.28</v>
      </c>
      <c r="J7" s="13" t="n">
        <f aca="false">IFERROR(J6/I6-1,0)</f>
        <v>0.18</v>
      </c>
      <c r="K7" s="13" t="n">
        <f aca="false">IFERROR(K6/J6-1,0)</f>
        <v>0.14</v>
      </c>
      <c r="L7" s="13" t="n">
        <f aca="false">IFERROR(L6/K6-1,0)</f>
        <v>0.11</v>
      </c>
      <c r="M7" s="13" t="n">
        <f aca="false">IFERROR(M6/L6-1,0)</f>
        <v>0.0900000000000001</v>
      </c>
    </row>
    <row r="8" customFormat="false" ht="15" hidden="false" customHeight="false" outlineLevel="0" collapsed="false">
      <c r="A8" s="32" t="s">
        <v>152</v>
      </c>
      <c r="B8" s="23" t="s">
        <v>94</v>
      </c>
      <c r="C8" s="8" t="n">
        <v>0.5052</v>
      </c>
      <c r="D8" s="8" t="n">
        <v>0.5118</v>
      </c>
      <c r="E8" s="8" t="n">
        <v>0.548</v>
      </c>
      <c r="F8" s="8" t="n">
        <v>0.554</v>
      </c>
      <c r="G8" s="8" t="n">
        <v>0.4911</v>
      </c>
      <c r="H8" s="8" t="n">
        <v>0.5136</v>
      </c>
      <c r="I8" s="8" t="n">
        <f aca="false">假设!I17</f>
        <v>0.51</v>
      </c>
      <c r="J8" s="8" t="n">
        <f aca="false">假设!J17</f>
        <v>0.51</v>
      </c>
      <c r="K8" s="8" t="n">
        <f aca="false">假设!K17</f>
        <v>0.51</v>
      </c>
      <c r="L8" s="8" t="n">
        <f aca="false">假设!L17</f>
        <v>0.5</v>
      </c>
      <c r="M8" s="8" t="n">
        <f aca="false">假设!M17</f>
        <v>0.5</v>
      </c>
    </row>
    <row r="9" customFormat="false" ht="15" hidden="false" customHeight="false" outlineLevel="0" collapsed="false">
      <c r="A9" s="32" t="s">
        <v>153</v>
      </c>
      <c r="B9" s="37" t="s">
        <v>147</v>
      </c>
      <c r="C9" s="44" t="n">
        <f aca="false">C6*C8</f>
        <v>190.713</v>
      </c>
      <c r="D9" s="44" t="n">
        <f aca="false">D6*D8</f>
        <v>249.2466</v>
      </c>
      <c r="E9" s="44" t="n">
        <f aca="false">E6*E8</f>
        <v>358.81944</v>
      </c>
      <c r="F9" s="44" t="n">
        <f aca="false">F6*F8</f>
        <v>402.49208</v>
      </c>
      <c r="G9" s="44" t="n">
        <f aca="false">G6*G8</f>
        <v>396.052506</v>
      </c>
      <c r="H9" s="44" t="n">
        <f aca="false">H6*H8</f>
        <v>460.956</v>
      </c>
      <c r="I9" s="44" t="n">
        <f aca="false">I6*I8</f>
        <v>585.888</v>
      </c>
      <c r="J9" s="44" t="n">
        <f aca="false">J6*J8</f>
        <v>691.34784</v>
      </c>
      <c r="K9" s="44" t="n">
        <f aca="false">K6*K8</f>
        <v>788.1365376</v>
      </c>
      <c r="L9" s="44" t="n">
        <f aca="false">L6*L8</f>
        <v>857.6779968</v>
      </c>
      <c r="M9" s="44" t="n">
        <f aca="false">M6*M8</f>
        <v>934.869016512</v>
      </c>
    </row>
    <row r="10" customFormat="false" ht="15" hidden="false" customHeight="false" outlineLevel="0" collapsed="false">
      <c r="A10" s="30" t="s">
        <v>154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customFormat="false" ht="15" hidden="false" customHeight="false" outlineLevel="0" collapsed="false">
      <c r="A11" s="34" t="s">
        <v>149</v>
      </c>
      <c r="B11" s="37" t="s">
        <v>147</v>
      </c>
      <c r="C11" s="42" t="n">
        <v>306.14</v>
      </c>
      <c r="D11" s="42" t="n">
        <v>430.71</v>
      </c>
      <c r="E11" s="42" t="n">
        <v>545.74</v>
      </c>
      <c r="F11" s="42" t="n">
        <v>548.59</v>
      </c>
      <c r="G11" s="42" t="n">
        <v>322.58</v>
      </c>
      <c r="H11" s="42" t="n">
        <v>426.94</v>
      </c>
      <c r="I11" s="43" t="n">
        <f aca="false">H11*(1+假设!I22)</f>
        <v>490.981</v>
      </c>
      <c r="J11" s="43" t="n">
        <f aca="false">I11*(1+假设!J22)</f>
        <v>549.89872</v>
      </c>
      <c r="K11" s="43" t="n">
        <f aca="false">J11*(1+假设!K22)</f>
        <v>604.888592</v>
      </c>
      <c r="L11" s="43" t="n">
        <f aca="false">K11*(1+假设!L22)</f>
        <v>647.23079344</v>
      </c>
      <c r="M11" s="43" t="n">
        <f aca="false">L11*(1+假设!M22)</f>
        <v>686.0646410464</v>
      </c>
      <c r="N11" s="21" t="s">
        <v>150</v>
      </c>
    </row>
    <row r="12" customFormat="false" ht="15" hidden="false" customHeight="false" outlineLevel="0" collapsed="false">
      <c r="A12" s="32" t="s">
        <v>151</v>
      </c>
      <c r="B12" s="23" t="s">
        <v>94</v>
      </c>
      <c r="D12" s="13" t="n">
        <f aca="false">IFERROR(D11/C11-1,0)</f>
        <v>0.406905337427321</v>
      </c>
      <c r="E12" s="13" t="n">
        <f aca="false">IFERROR(E11/D11-1,0)</f>
        <v>0.267070650785912</v>
      </c>
      <c r="F12" s="13" t="n">
        <f aca="false">IFERROR(F11/E11-1,0)</f>
        <v>0.00522226701359618</v>
      </c>
      <c r="G12" s="13" t="n">
        <f aca="false">IFERROR(G11/F11-1,0)</f>
        <v>-0.411983448477005</v>
      </c>
      <c r="H12" s="13" t="n">
        <f aca="false">IFERROR(H11/G11-1,0)</f>
        <v>0.323516647033294</v>
      </c>
      <c r="I12" s="13" t="n">
        <f aca="false">IFERROR(I11/H11-1,0)</f>
        <v>0.15</v>
      </c>
      <c r="J12" s="13" t="n">
        <f aca="false">IFERROR(J11/I11-1,0)</f>
        <v>0.12</v>
      </c>
      <c r="K12" s="13" t="n">
        <f aca="false">IFERROR(K11/J11-1,0)</f>
        <v>0.1</v>
      </c>
      <c r="L12" s="13" t="n">
        <f aca="false">IFERROR(L11/K11-1,0)</f>
        <v>0.0700000000000001</v>
      </c>
      <c r="M12" s="13" t="n">
        <f aca="false">IFERROR(M11/L11-1,0)</f>
        <v>0.0600000000000001</v>
      </c>
    </row>
    <row r="13" customFormat="false" ht="15" hidden="false" customHeight="false" outlineLevel="0" collapsed="false">
      <c r="A13" s="32" t="s">
        <v>152</v>
      </c>
      <c r="B13" s="23" t="s">
        <v>94</v>
      </c>
      <c r="C13" s="8" t="n">
        <v>0.6307</v>
      </c>
      <c r="D13" s="8" t="n">
        <v>0.6288</v>
      </c>
      <c r="E13" s="8" t="n">
        <v>0.673</v>
      </c>
      <c r="F13" s="8" t="n">
        <v>0.6935</v>
      </c>
      <c r="G13" s="8" t="n">
        <v>0.5821</v>
      </c>
      <c r="H13" s="8" t="n">
        <v>0.6366</v>
      </c>
      <c r="I13" s="8" t="n">
        <f aca="false">假设!I27</f>
        <v>0.61</v>
      </c>
      <c r="J13" s="8" t="n">
        <f aca="false">假设!J27</f>
        <v>0.61</v>
      </c>
      <c r="K13" s="8" t="n">
        <f aca="false">假设!K27</f>
        <v>0.6</v>
      </c>
      <c r="L13" s="8" t="n">
        <f aca="false">假设!L27</f>
        <v>0.6</v>
      </c>
      <c r="M13" s="8" t="n">
        <f aca="false">假设!M27</f>
        <v>0.59</v>
      </c>
    </row>
    <row r="14" customFormat="false" ht="15" hidden="false" customHeight="false" outlineLevel="0" collapsed="false">
      <c r="A14" s="32" t="s">
        <v>153</v>
      </c>
      <c r="B14" s="37" t="s">
        <v>147</v>
      </c>
      <c r="C14" s="44" t="n">
        <f aca="false">C11*C13</f>
        <v>193.082498</v>
      </c>
      <c r="D14" s="44" t="n">
        <f aca="false">D11*D13</f>
        <v>270.830448</v>
      </c>
      <c r="E14" s="44" t="n">
        <f aca="false">E11*E13</f>
        <v>367.28302</v>
      </c>
      <c r="F14" s="44" t="n">
        <f aca="false">F11*F13</f>
        <v>380.447165</v>
      </c>
      <c r="G14" s="44" t="n">
        <f aca="false">G11*G13</f>
        <v>187.773818</v>
      </c>
      <c r="H14" s="44" t="n">
        <f aca="false">H11*H13</f>
        <v>271.790004</v>
      </c>
      <c r="I14" s="44" t="n">
        <f aca="false">I11*I13</f>
        <v>299.49841</v>
      </c>
      <c r="J14" s="44" t="n">
        <f aca="false">J11*J13</f>
        <v>335.4382192</v>
      </c>
      <c r="K14" s="44" t="n">
        <f aca="false">K11*K13</f>
        <v>362.9331552</v>
      </c>
      <c r="L14" s="44" t="n">
        <f aca="false">L11*L13</f>
        <v>388.338476064</v>
      </c>
      <c r="M14" s="44" t="n">
        <f aca="false">M11*M13</f>
        <v>404.778138217376</v>
      </c>
    </row>
    <row r="15" customFormat="false" ht="15" hidden="false" customHeight="false" outlineLevel="0" collapsed="false">
      <c r="A15" s="30" t="s">
        <v>155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customFormat="false" ht="15" hidden="false" customHeight="false" outlineLevel="0" collapsed="false">
      <c r="A16" s="34" t="s">
        <v>149</v>
      </c>
      <c r="B16" s="37" t="s">
        <v>147</v>
      </c>
      <c r="C16" s="42" t="n">
        <v>72.5</v>
      </c>
      <c r="D16" s="42" t="n">
        <v>87.5</v>
      </c>
      <c r="E16" s="42" t="n">
        <v>104</v>
      </c>
      <c r="F16" s="42" t="n">
        <v>122.5</v>
      </c>
      <c r="G16" s="42" t="n">
        <v>128.5</v>
      </c>
      <c r="H16" s="42" t="n">
        <v>184</v>
      </c>
      <c r="I16" s="43" t="n">
        <f aca="false">H16*(1+假设!I32)</f>
        <v>253.92</v>
      </c>
      <c r="J16" s="43" t="n">
        <f aca="false">I16*(1+假设!J32)</f>
        <v>325.0176</v>
      </c>
      <c r="K16" s="43" t="n">
        <f aca="false">J16*(1+假设!K32)</f>
        <v>396.521472</v>
      </c>
      <c r="L16" s="43" t="n">
        <f aca="false">K16*(1+假设!L32)</f>
        <v>459.96490752</v>
      </c>
      <c r="M16" s="43" t="n">
        <f aca="false">L16*(1+假设!M32)</f>
        <v>515.1606964224</v>
      </c>
      <c r="N16" s="21" t="s">
        <v>150</v>
      </c>
    </row>
    <row r="17" customFormat="false" ht="15" hidden="false" customHeight="false" outlineLevel="0" collapsed="false">
      <c r="A17" s="32" t="s">
        <v>151</v>
      </c>
      <c r="B17" s="23" t="s">
        <v>94</v>
      </c>
      <c r="D17" s="13" t="n">
        <f aca="false">IFERROR(D16/C16-1,0)</f>
        <v>0.206896551724138</v>
      </c>
      <c r="E17" s="13" t="n">
        <f aca="false">IFERROR(E16/D16-1,0)</f>
        <v>0.188571428571429</v>
      </c>
      <c r="F17" s="13" t="n">
        <f aca="false">IFERROR(F16/E16-1,0)</f>
        <v>0.177884615384615</v>
      </c>
      <c r="G17" s="13" t="n">
        <f aca="false">IFERROR(G16/F16-1,0)</f>
        <v>0.0489795918367346</v>
      </c>
      <c r="H17" s="13" t="n">
        <f aca="false">IFERROR(H16/G16-1,0)</f>
        <v>0.431906614785992</v>
      </c>
      <c r="I17" s="13" t="n">
        <f aca="false">IFERROR(I16/H16-1,0)</f>
        <v>0.38</v>
      </c>
      <c r="J17" s="13" t="n">
        <f aca="false">IFERROR(J16/I16-1,0)</f>
        <v>0.28</v>
      </c>
      <c r="K17" s="13" t="n">
        <f aca="false">IFERROR(K16/J16-1,0)</f>
        <v>0.22</v>
      </c>
      <c r="L17" s="13" t="n">
        <f aca="false">IFERROR(L16/K16-1,0)</f>
        <v>0.16</v>
      </c>
      <c r="M17" s="13" t="n">
        <f aca="false">IFERROR(M16/L16-1,0)</f>
        <v>0.12</v>
      </c>
    </row>
    <row r="18" customFormat="false" ht="15" hidden="false" customHeight="false" outlineLevel="0" collapsed="false">
      <c r="A18" s="32" t="s">
        <v>152</v>
      </c>
      <c r="B18" s="23" t="s">
        <v>94</v>
      </c>
      <c r="C18" s="8" t="n">
        <v>0.5045</v>
      </c>
      <c r="D18" s="8" t="n">
        <v>0.5045</v>
      </c>
      <c r="E18" s="8" t="n">
        <v>0.5025</v>
      </c>
      <c r="F18" s="8" t="n">
        <v>0.4975</v>
      </c>
      <c r="G18" s="8" t="n">
        <v>0.4725</v>
      </c>
      <c r="H18" s="8" t="n">
        <v>0.487</v>
      </c>
      <c r="I18" s="8" t="n">
        <f aca="false">假设!I37</f>
        <v>0.49</v>
      </c>
      <c r="J18" s="8" t="n">
        <f aca="false">假设!J37</f>
        <v>0.5</v>
      </c>
      <c r="K18" s="8" t="n">
        <f aca="false">假设!K37</f>
        <v>0.5</v>
      </c>
      <c r="L18" s="8" t="n">
        <f aca="false">假设!L37</f>
        <v>0.5</v>
      </c>
      <c r="M18" s="8" t="n">
        <f aca="false">假设!M37</f>
        <v>0.5</v>
      </c>
    </row>
    <row r="19" customFormat="false" ht="15" hidden="false" customHeight="false" outlineLevel="0" collapsed="false">
      <c r="A19" s="32" t="s">
        <v>153</v>
      </c>
      <c r="B19" s="37" t="s">
        <v>147</v>
      </c>
      <c r="C19" s="44" t="n">
        <f aca="false">C16*C18</f>
        <v>36.57625</v>
      </c>
      <c r="D19" s="44" t="n">
        <f aca="false">D16*D18</f>
        <v>44.14375</v>
      </c>
      <c r="E19" s="44" t="n">
        <f aca="false">E16*E18</f>
        <v>52.26</v>
      </c>
      <c r="F19" s="44" t="n">
        <f aca="false">F16*F18</f>
        <v>60.94375</v>
      </c>
      <c r="G19" s="44" t="n">
        <f aca="false">G16*G18</f>
        <v>60.71625</v>
      </c>
      <c r="H19" s="44" t="n">
        <f aca="false">H16*H18</f>
        <v>89.608</v>
      </c>
      <c r="I19" s="44" t="n">
        <f aca="false">I16*I18</f>
        <v>124.4208</v>
      </c>
      <c r="J19" s="44" t="n">
        <f aca="false">J16*J18</f>
        <v>162.5088</v>
      </c>
      <c r="K19" s="44" t="n">
        <f aca="false">K16*K18</f>
        <v>198.260736</v>
      </c>
      <c r="L19" s="44" t="n">
        <f aca="false">L16*L18</f>
        <v>229.98245376</v>
      </c>
      <c r="M19" s="44" t="n">
        <f aca="false">M16*M18</f>
        <v>257.5803482112</v>
      </c>
    </row>
    <row r="20" customFormat="false" ht="15" hidden="false" customHeight="false" outlineLevel="0" collapsed="false">
      <c r="A20" s="30" t="s">
        <v>156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customFormat="false" ht="15" hidden="false" customHeight="false" outlineLevel="0" collapsed="false">
      <c r="A21" s="34" t="s">
        <v>149</v>
      </c>
      <c r="B21" s="37" t="s">
        <v>147</v>
      </c>
      <c r="C21" s="42" t="n">
        <v>62.27</v>
      </c>
      <c r="D21" s="42" t="n">
        <v>73.76</v>
      </c>
      <c r="E21" s="42" t="n">
        <v>110.12</v>
      </c>
      <c r="F21" s="42" t="n">
        <v>146.83</v>
      </c>
      <c r="G21" s="42" t="n">
        <v>137.81</v>
      </c>
      <c r="H21" s="42" t="n">
        <v>167.26</v>
      </c>
      <c r="I21" s="43" t="n">
        <f aca="false">H21*(1+假设!I42)</f>
        <v>242.527</v>
      </c>
      <c r="J21" s="43" t="n">
        <f aca="false">I21*(1+假设!J42)</f>
        <v>261.92916</v>
      </c>
      <c r="K21" s="43" t="n">
        <f aca="false">J21*(1+假设!K42)</f>
        <v>248.832702</v>
      </c>
      <c r="L21" s="43" t="n">
        <f aca="false">K21*(1+假设!L42)</f>
        <v>248.832702</v>
      </c>
      <c r="M21" s="43" t="n">
        <f aca="false">L21*(1+假设!M42)</f>
        <v>256.29768306</v>
      </c>
      <c r="N21" s="21" t="s">
        <v>150</v>
      </c>
    </row>
    <row r="22" customFormat="false" ht="15" hidden="false" customHeight="false" outlineLevel="0" collapsed="false">
      <c r="A22" s="32" t="s">
        <v>151</v>
      </c>
      <c r="B22" s="23" t="s">
        <v>94</v>
      </c>
      <c r="D22" s="13" t="n">
        <f aca="false">IFERROR(D21/C21-1,0)</f>
        <v>0.184519030030512</v>
      </c>
      <c r="E22" s="13" t="n">
        <f aca="false">IFERROR(E21/D21-1,0)</f>
        <v>0.49295010845987</v>
      </c>
      <c r="F22" s="13" t="n">
        <f aca="false">IFERROR(F21/E21-1,0)</f>
        <v>0.333363603341809</v>
      </c>
      <c r="G22" s="13" t="n">
        <f aca="false">IFERROR(G21/F21-1,0)</f>
        <v>-0.0614315875502283</v>
      </c>
      <c r="H22" s="13" t="n">
        <f aca="false">IFERROR(H21/G21-1,0)</f>
        <v>0.213700021769102</v>
      </c>
      <c r="I22" s="13" t="n">
        <f aca="false">IFERROR(I21/H21-1,0)</f>
        <v>0.45</v>
      </c>
      <c r="J22" s="13" t="n">
        <f aca="false">IFERROR(J21/I21-1,0)</f>
        <v>0.0800000000000001</v>
      </c>
      <c r="K22" s="13" t="n">
        <f aca="false">IFERROR(K21/J21-1,0)</f>
        <v>-0.05</v>
      </c>
      <c r="L22" s="13" t="n">
        <f aca="false">IFERROR(L21/K21-1,0)</f>
        <v>0</v>
      </c>
      <c r="M22" s="13" t="n">
        <f aca="false">IFERROR(M21/L21-1,0)</f>
        <v>0.03</v>
      </c>
    </row>
    <row r="23" customFormat="false" ht="15" hidden="false" customHeight="false" outlineLevel="0" collapsed="false">
      <c r="A23" s="32" t="s">
        <v>152</v>
      </c>
      <c r="B23" s="23" t="s">
        <v>94</v>
      </c>
      <c r="C23" s="8" t="n">
        <v>0.31</v>
      </c>
      <c r="D23" s="8" t="n">
        <v>0.31</v>
      </c>
      <c r="E23" s="8" t="n">
        <v>0.31</v>
      </c>
      <c r="F23" s="8" t="n">
        <v>0.315</v>
      </c>
      <c r="G23" s="8" t="n">
        <v>0.23</v>
      </c>
      <c r="H23" s="8" t="n">
        <v>0.26</v>
      </c>
      <c r="I23" s="8" t="n">
        <f aca="false">假设!I47</f>
        <v>0.34</v>
      </c>
      <c r="J23" s="8" t="n">
        <f aca="false">假设!J47</f>
        <v>0.3</v>
      </c>
      <c r="K23" s="8" t="n">
        <f aca="false">假设!K47</f>
        <v>0.27</v>
      </c>
      <c r="L23" s="8" t="n">
        <f aca="false">假设!L47</f>
        <v>0.27</v>
      </c>
      <c r="M23" s="8" t="n">
        <f aca="false">假设!M47</f>
        <v>0.27</v>
      </c>
    </row>
    <row r="24" customFormat="false" ht="15" hidden="false" customHeight="false" outlineLevel="0" collapsed="false">
      <c r="A24" s="32" t="s">
        <v>153</v>
      </c>
      <c r="B24" s="37" t="s">
        <v>147</v>
      </c>
      <c r="C24" s="44" t="n">
        <f aca="false">C21*C23</f>
        <v>19.3037</v>
      </c>
      <c r="D24" s="44" t="n">
        <f aca="false">D21*D23</f>
        <v>22.8656</v>
      </c>
      <c r="E24" s="44" t="n">
        <f aca="false">E21*E23</f>
        <v>34.1372</v>
      </c>
      <c r="F24" s="44" t="n">
        <f aca="false">F21*F23</f>
        <v>46.25145</v>
      </c>
      <c r="G24" s="44" t="n">
        <f aca="false">G21*G23</f>
        <v>31.6963</v>
      </c>
      <c r="H24" s="44" t="n">
        <f aca="false">H21*H23</f>
        <v>43.4876</v>
      </c>
      <c r="I24" s="44" t="n">
        <f aca="false">I21*I23</f>
        <v>82.45918</v>
      </c>
      <c r="J24" s="44" t="n">
        <f aca="false">J21*J23</f>
        <v>78.578748</v>
      </c>
      <c r="K24" s="44" t="n">
        <f aca="false">K21*K23</f>
        <v>67.18482954</v>
      </c>
      <c r="L24" s="44" t="n">
        <f aca="false">L21*L23</f>
        <v>67.18482954</v>
      </c>
      <c r="M24" s="44" t="n">
        <f aca="false">M21*M23</f>
        <v>69.2003744262</v>
      </c>
    </row>
    <row r="25" customFormat="false" ht="15" hidden="false" customHeight="false" outlineLevel="0" collapsed="false">
      <c r="A25" s="30" t="s">
        <v>157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customFormat="false" ht="15" hidden="false" customHeight="false" outlineLevel="0" collapsed="false">
      <c r="A26" s="34" t="s">
        <v>149</v>
      </c>
      <c r="B26" s="37" t="s">
        <v>147</v>
      </c>
      <c r="C26" s="42" t="n">
        <v>26.5</v>
      </c>
      <c r="D26" s="42" t="n">
        <v>50</v>
      </c>
      <c r="E26" s="42" t="n">
        <v>168.45</v>
      </c>
      <c r="F26" s="42" t="n">
        <v>349.8</v>
      </c>
      <c r="G26" s="42" t="n">
        <v>180.34</v>
      </c>
      <c r="H26" s="42" t="n">
        <v>89.05</v>
      </c>
      <c r="I26" s="43" t="n">
        <f aca="false">H26*(1+假设!I52)</f>
        <v>66.7875</v>
      </c>
      <c r="J26" s="43" t="n">
        <f aca="false">I26*(1+假设!J52)</f>
        <v>66.7875</v>
      </c>
      <c r="K26" s="43" t="n">
        <f aca="false">J26*(1+假设!K52)</f>
        <v>68.791125</v>
      </c>
      <c r="L26" s="43" t="n">
        <f aca="false">K26*(1+假设!L52)</f>
        <v>70.85485875</v>
      </c>
      <c r="M26" s="43" t="n">
        <f aca="false">L26*(1+假设!M52)</f>
        <v>72.9805045125</v>
      </c>
      <c r="N26" s="21" t="s">
        <v>150</v>
      </c>
    </row>
    <row r="27" customFormat="false" ht="15" hidden="false" customHeight="false" outlineLevel="0" collapsed="false">
      <c r="A27" s="32" t="s">
        <v>151</v>
      </c>
      <c r="B27" s="23" t="s">
        <v>94</v>
      </c>
      <c r="D27" s="13" t="n">
        <f aca="false">IFERROR(D26/C26-1,0)</f>
        <v>0.886792452830189</v>
      </c>
      <c r="E27" s="13" t="n">
        <f aca="false">IFERROR(E26/D26-1,0)</f>
        <v>2.369</v>
      </c>
      <c r="F27" s="13" t="n">
        <f aca="false">IFERROR(F26/E26-1,0)</f>
        <v>1.07658058771149</v>
      </c>
      <c r="G27" s="13" t="n">
        <f aca="false">IFERROR(G26/F26-1,0)</f>
        <v>-0.484448256146369</v>
      </c>
      <c r="H27" s="13" t="n">
        <f aca="false">IFERROR(H26/G26-1,0)</f>
        <v>-0.506210491294222</v>
      </c>
      <c r="I27" s="13" t="n">
        <f aca="false">IFERROR(I26/H26-1,0)</f>
        <v>-0.25</v>
      </c>
      <c r="J27" s="13" t="n">
        <f aca="false">IFERROR(J26/I26-1,0)</f>
        <v>0</v>
      </c>
      <c r="K27" s="13" t="n">
        <f aca="false">IFERROR(K26/J26-1,0)</f>
        <v>0.03</v>
      </c>
      <c r="L27" s="13" t="n">
        <f aca="false">IFERROR(L26/K26-1,0)</f>
        <v>0.03</v>
      </c>
      <c r="M27" s="13" t="n">
        <f aca="false">IFERROR(M26/L26-1,0)</f>
        <v>0.03</v>
      </c>
    </row>
    <row r="28" customFormat="false" ht="15" hidden="false" customHeight="false" outlineLevel="0" collapsed="false">
      <c r="A28" s="32" t="s">
        <v>152</v>
      </c>
      <c r="B28" s="23" t="s">
        <v>94</v>
      </c>
      <c r="C28" s="8" t="n">
        <v>0.24</v>
      </c>
      <c r="D28" s="8" t="n">
        <v>0.24</v>
      </c>
      <c r="E28" s="8" t="n">
        <v>0.265</v>
      </c>
      <c r="F28" s="8" t="n">
        <v>0.3</v>
      </c>
      <c r="G28" s="8" t="n">
        <v>0.126</v>
      </c>
      <c r="H28" s="8" t="n">
        <v>0.045</v>
      </c>
      <c r="I28" s="8" t="n">
        <f aca="false">假设!I57</f>
        <v>0.03</v>
      </c>
      <c r="J28" s="8" t="n">
        <f aca="false">假设!J57</f>
        <v>0.08</v>
      </c>
      <c r="K28" s="8" t="n">
        <f aca="false">假设!K57</f>
        <v>0.1</v>
      </c>
      <c r="L28" s="8" t="n">
        <f aca="false">假设!L57</f>
        <v>0.12</v>
      </c>
      <c r="M28" s="8" t="n">
        <f aca="false">假设!M57</f>
        <v>0.12</v>
      </c>
    </row>
    <row r="29" customFormat="false" ht="15" hidden="false" customHeight="false" outlineLevel="0" collapsed="false">
      <c r="A29" s="32" t="s">
        <v>153</v>
      </c>
      <c r="B29" s="37" t="s">
        <v>147</v>
      </c>
      <c r="C29" s="44" t="n">
        <f aca="false">C26*C28</f>
        <v>6.36</v>
      </c>
      <c r="D29" s="44" t="n">
        <f aca="false">D26*D28</f>
        <v>12</v>
      </c>
      <c r="E29" s="44" t="n">
        <f aca="false">E26*E28</f>
        <v>44.63925</v>
      </c>
      <c r="F29" s="44" t="n">
        <f aca="false">F26*F28</f>
        <v>104.94</v>
      </c>
      <c r="G29" s="44" t="n">
        <f aca="false">G26*G28</f>
        <v>22.72284</v>
      </c>
      <c r="H29" s="44" t="n">
        <f aca="false">H26*H28</f>
        <v>4.00725</v>
      </c>
      <c r="I29" s="44" t="n">
        <f aca="false">I26*I28</f>
        <v>2.003625</v>
      </c>
      <c r="J29" s="44" t="n">
        <f aca="false">J26*J28</f>
        <v>5.343</v>
      </c>
      <c r="K29" s="44" t="n">
        <f aca="false">K26*K28</f>
        <v>6.8791125</v>
      </c>
      <c r="L29" s="44" t="n">
        <f aca="false">L26*L28</f>
        <v>8.50258305</v>
      </c>
      <c r="M29" s="44" t="n">
        <f aca="false">M26*M28</f>
        <v>8.7576605415</v>
      </c>
    </row>
    <row r="30" customFormat="false" ht="15" hidden="false" customHeight="false" outlineLevel="0" collapsed="false">
      <c r="A30" s="30" t="s">
        <v>158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5" hidden="false" customHeight="false" outlineLevel="0" collapsed="false">
      <c r="A31" s="32" t="s">
        <v>159</v>
      </c>
      <c r="B31" s="37" t="s">
        <v>131</v>
      </c>
      <c r="H31" s="7" t="n">
        <v>100</v>
      </c>
      <c r="I31" s="7" t="n">
        <f aca="false">假设!I72</f>
        <v>250</v>
      </c>
      <c r="J31" s="7" t="n">
        <f aca="false">假设!J72</f>
        <v>700</v>
      </c>
      <c r="K31" s="7" t="n">
        <f aca="false">假设!K72</f>
        <v>1100</v>
      </c>
      <c r="L31" s="7" t="n">
        <f aca="false">假设!L72</f>
        <v>1400</v>
      </c>
      <c r="M31" s="7" t="n">
        <f aca="false">假设!M72</f>
        <v>1600</v>
      </c>
      <c r="N31" s="21" t="s">
        <v>133</v>
      </c>
    </row>
    <row r="32" customFormat="false" ht="15" hidden="false" customHeight="false" outlineLevel="0" collapsed="false">
      <c r="A32" s="32" t="s">
        <v>160</v>
      </c>
      <c r="B32" s="37" t="s">
        <v>135</v>
      </c>
      <c r="H32" s="7" t="n">
        <v>37.8</v>
      </c>
      <c r="I32" s="7" t="n">
        <f aca="false">假设!I77</f>
        <v>134</v>
      </c>
      <c r="J32" s="7" t="n">
        <f aca="false">假设!J77</f>
        <v>320</v>
      </c>
      <c r="K32" s="7" t="n">
        <f aca="false">假设!K77</f>
        <v>650</v>
      </c>
      <c r="L32" s="7" t="n">
        <f aca="false">假设!L77</f>
        <v>950</v>
      </c>
      <c r="M32" s="7" t="n">
        <f aca="false">假设!M77</f>
        <v>1200</v>
      </c>
    </row>
    <row r="33" customFormat="false" ht="15" hidden="false" customHeight="false" outlineLevel="0" collapsed="false">
      <c r="A33" s="32" t="s">
        <v>161</v>
      </c>
      <c r="B33" s="23" t="s">
        <v>94</v>
      </c>
      <c r="I33" s="13" t="n">
        <f aca="false">IFERROR(I32/AVERAGE(I31,H31),0)</f>
        <v>0.765714285714286</v>
      </c>
      <c r="J33" s="13" t="n">
        <f aca="false">IFERROR(J32/AVERAGE(J31,I31),0)</f>
        <v>0.673684210526316</v>
      </c>
      <c r="K33" s="13" t="n">
        <f aca="false">IFERROR(K32/AVERAGE(K31,J31),0)</f>
        <v>0.722222222222222</v>
      </c>
      <c r="L33" s="13" t="n">
        <f aca="false">IFERROR(L32/AVERAGE(L31,K31),0)</f>
        <v>0.76</v>
      </c>
      <c r="M33" s="13" t="n">
        <f aca="false">IFERROR(M32/AVERAGE(M31,L31),0)</f>
        <v>0.8</v>
      </c>
      <c r="N33" s="36" t="s">
        <v>162</v>
      </c>
    </row>
    <row r="34" customFormat="false" ht="15" hidden="false" customHeight="false" outlineLevel="0" collapsed="false">
      <c r="A34" s="32" t="s">
        <v>163</v>
      </c>
      <c r="B34" s="37" t="s">
        <v>139</v>
      </c>
      <c r="H34" s="45" t="n">
        <v>260</v>
      </c>
      <c r="I34" s="45" t="n">
        <f aca="false">假设!I82</f>
        <v>270</v>
      </c>
      <c r="J34" s="45" t="n">
        <f aca="false">假设!J82</f>
        <v>240</v>
      </c>
      <c r="K34" s="45" t="n">
        <f aca="false">假设!K82</f>
        <v>210</v>
      </c>
      <c r="L34" s="45" t="n">
        <f aca="false">假设!L82</f>
        <v>190</v>
      </c>
      <c r="M34" s="45" t="n">
        <f aca="false">假设!M82</f>
        <v>175</v>
      </c>
    </row>
    <row r="35" customFormat="false" ht="15" hidden="false" customHeight="false" outlineLevel="0" collapsed="false">
      <c r="A35" s="34" t="s">
        <v>149</v>
      </c>
      <c r="B35" s="37" t="s">
        <v>147</v>
      </c>
      <c r="C35" s="42" t="n">
        <v>0</v>
      </c>
      <c r="D35" s="42" t="n">
        <v>0</v>
      </c>
      <c r="E35" s="42" t="n">
        <v>0</v>
      </c>
      <c r="F35" s="42" t="n">
        <v>0</v>
      </c>
      <c r="G35" s="42" t="n">
        <v>2.5</v>
      </c>
      <c r="H35" s="42" t="n">
        <v>98.39</v>
      </c>
      <c r="I35" s="43" t="n">
        <f aca="false">I32*I34/100</f>
        <v>361.8</v>
      </c>
      <c r="J35" s="43" t="n">
        <f aca="false">J32*J34/100</f>
        <v>768</v>
      </c>
      <c r="K35" s="43" t="n">
        <f aca="false">K32*K34/100</f>
        <v>1365</v>
      </c>
      <c r="L35" s="43" t="n">
        <f aca="false">L32*L34/100</f>
        <v>1805</v>
      </c>
      <c r="M35" s="43" t="n">
        <f aca="false">M32*M34/100</f>
        <v>2100</v>
      </c>
      <c r="N35" s="21" t="s">
        <v>164</v>
      </c>
    </row>
    <row r="36" customFormat="false" ht="15" hidden="false" customHeight="false" outlineLevel="0" collapsed="false">
      <c r="A36" s="32" t="s">
        <v>152</v>
      </c>
      <c r="B36" s="23" t="s">
        <v>94</v>
      </c>
      <c r="C36" s="8" t="n">
        <v>0.6</v>
      </c>
      <c r="D36" s="8" t="n">
        <v>0.6</v>
      </c>
      <c r="E36" s="8" t="n">
        <v>0.6</v>
      </c>
      <c r="F36" s="8" t="n">
        <v>0.6</v>
      </c>
      <c r="G36" s="8" t="n">
        <v>0.45</v>
      </c>
      <c r="H36" s="8" t="n">
        <v>0.54</v>
      </c>
      <c r="I36" s="8" t="n">
        <f aca="false">假设!I87</f>
        <v>0.64</v>
      </c>
      <c r="J36" s="8" t="n">
        <f aca="false">假设!J87</f>
        <v>0.58</v>
      </c>
      <c r="K36" s="8" t="n">
        <f aca="false">假设!K87</f>
        <v>0.52</v>
      </c>
      <c r="L36" s="8" t="n">
        <f aca="false">假设!L87</f>
        <v>0.48</v>
      </c>
      <c r="M36" s="8" t="n">
        <f aca="false">假设!M87</f>
        <v>0.45</v>
      </c>
    </row>
    <row r="37" customFormat="false" ht="15" hidden="false" customHeight="false" outlineLevel="0" collapsed="false">
      <c r="A37" s="32" t="s">
        <v>153</v>
      </c>
      <c r="B37" s="37" t="s">
        <v>147</v>
      </c>
      <c r="C37" s="44" t="n">
        <f aca="false">C35*C36</f>
        <v>0</v>
      </c>
      <c r="D37" s="44" t="n">
        <f aca="false">D35*D36</f>
        <v>0</v>
      </c>
      <c r="E37" s="44" t="n">
        <f aca="false">E35*E36</f>
        <v>0</v>
      </c>
      <c r="F37" s="44" t="n">
        <f aca="false">F35*F36</f>
        <v>0</v>
      </c>
      <c r="G37" s="44" t="n">
        <f aca="false">G35*G36</f>
        <v>1.125</v>
      </c>
      <c r="H37" s="44" t="n">
        <f aca="false">H35*H36</f>
        <v>53.1306</v>
      </c>
      <c r="I37" s="44" t="n">
        <f aca="false">I35*I36</f>
        <v>231.552</v>
      </c>
      <c r="J37" s="44" t="n">
        <f aca="false">J35*J36</f>
        <v>445.44</v>
      </c>
      <c r="K37" s="44" t="n">
        <f aca="false">K35*K36</f>
        <v>709.8</v>
      </c>
      <c r="L37" s="44" t="n">
        <f aca="false">L35*L36</f>
        <v>866.4</v>
      </c>
      <c r="M37" s="44" t="n">
        <f aca="false">M35*M36</f>
        <v>945</v>
      </c>
    </row>
    <row r="38" customFormat="false" ht="15" hidden="false" customHeight="false" outlineLevel="0" collapsed="false">
      <c r="A38" s="32" t="s">
        <v>165</v>
      </c>
      <c r="B38" s="23" t="s">
        <v>94</v>
      </c>
      <c r="D38" s="13" t="n">
        <f aca="false">IFERROR(D35/C35-1,0)</f>
        <v>0</v>
      </c>
      <c r="E38" s="13" t="n">
        <f aca="false">IFERROR(E35/D35-1,0)</f>
        <v>0</v>
      </c>
      <c r="F38" s="13" t="n">
        <f aca="false">IFERROR(F35/E35-1,0)</f>
        <v>0</v>
      </c>
      <c r="G38" s="13" t="n">
        <f aca="false">IFERROR(G35/F35-1,0)</f>
        <v>0</v>
      </c>
      <c r="H38" s="13" t="n">
        <f aca="false">IFERROR(H35/G35-1,0)</f>
        <v>38.356</v>
      </c>
      <c r="I38" s="13" t="n">
        <f aca="false">IFERROR(I35/H35-1,0)</f>
        <v>2.67720296778128</v>
      </c>
      <c r="J38" s="13" t="n">
        <f aca="false">IFERROR(J35/I35-1,0)</f>
        <v>1.12271973466003</v>
      </c>
      <c r="K38" s="13" t="n">
        <f aca="false">IFERROR(K35/J35-1,0)</f>
        <v>0.77734375</v>
      </c>
      <c r="L38" s="13" t="n">
        <f aca="false">IFERROR(L35/K35-1,0)</f>
        <v>0.322344322344322</v>
      </c>
      <c r="M38" s="13" t="n">
        <f aca="false">IFERROR(M35/L35-1,0)</f>
        <v>0.163434903047091</v>
      </c>
    </row>
    <row r="39" customFormat="false" ht="15" hidden="false" customHeight="false" outlineLevel="0" collapsed="false">
      <c r="A39" s="30" t="s">
        <v>166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customFormat="false" ht="15" hidden="false" customHeight="false" outlineLevel="0" collapsed="false">
      <c r="A40" s="34" t="s">
        <v>149</v>
      </c>
      <c r="B40" s="37" t="s">
        <v>147</v>
      </c>
      <c r="C40" s="42" t="n">
        <v>18.67</v>
      </c>
      <c r="D40" s="42" t="n">
        <v>94.58</v>
      </c>
      <c r="E40" s="42" t="n">
        <v>136.28</v>
      </c>
      <c r="F40" s="42" t="n">
        <v>196.31</v>
      </c>
      <c r="G40" s="42" t="n">
        <v>163.62</v>
      </c>
      <c r="H40" s="42" t="n">
        <v>153.21</v>
      </c>
      <c r="I40" s="43" t="n">
        <f aca="false">H40*(1+假设!I62)</f>
        <v>176.1915</v>
      </c>
      <c r="J40" s="43" t="n">
        <f aca="false">I40*(1+假设!J62)</f>
        <v>183.23916</v>
      </c>
      <c r="K40" s="43" t="n">
        <f aca="false">J40*(1+假设!K62)</f>
        <v>190.5687264</v>
      </c>
      <c r="L40" s="43" t="n">
        <f aca="false">K40*(1+假设!L62)</f>
        <v>196.285788192</v>
      </c>
      <c r="M40" s="43" t="n">
        <f aca="false">L40*(1+假设!M62)</f>
        <v>202.17436183776</v>
      </c>
      <c r="N40" s="21" t="s">
        <v>150</v>
      </c>
    </row>
    <row r="41" customFormat="false" ht="15" hidden="false" customHeight="false" outlineLevel="0" collapsed="false">
      <c r="A41" s="32" t="s">
        <v>151</v>
      </c>
      <c r="B41" s="23" t="s">
        <v>94</v>
      </c>
      <c r="D41" s="13" t="n">
        <f aca="false">IFERROR(D40/C40-1,0)</f>
        <v>4.06588109266202</v>
      </c>
      <c r="E41" s="13" t="n">
        <f aca="false">IFERROR(E40/D40-1,0)</f>
        <v>0.44089659547473</v>
      </c>
      <c r="F41" s="13" t="n">
        <f aca="false">IFERROR(F40/E40-1,0)</f>
        <v>0.440490167302612</v>
      </c>
      <c r="G41" s="13" t="n">
        <f aca="false">IFERROR(G40/F40-1,0)</f>
        <v>-0.166522337119861</v>
      </c>
      <c r="H41" s="13" t="n">
        <f aca="false">IFERROR(H40/G40-1,0)</f>
        <v>-0.0636230289695636</v>
      </c>
      <c r="I41" s="13" t="n">
        <f aca="false">IFERROR(I40/H40-1,0)</f>
        <v>0.15</v>
      </c>
      <c r="J41" s="13" t="n">
        <f aca="false">IFERROR(J40/I40-1,0)</f>
        <v>0.04</v>
      </c>
      <c r="K41" s="13" t="n">
        <f aca="false">IFERROR(K40/J40-1,0)</f>
        <v>0.04</v>
      </c>
      <c r="L41" s="13" t="n">
        <f aca="false">IFERROR(L40/K40-1,0)</f>
        <v>0.03</v>
      </c>
      <c r="M41" s="13" t="n">
        <f aca="false">IFERROR(M40/L40-1,0)</f>
        <v>0.03</v>
      </c>
    </row>
    <row r="42" customFormat="false" ht="15" hidden="false" customHeight="false" outlineLevel="0" collapsed="false">
      <c r="A42" s="32" t="s">
        <v>152</v>
      </c>
      <c r="B42" s="23" t="s">
        <v>94</v>
      </c>
      <c r="C42" s="8" t="n">
        <v>0.1955</v>
      </c>
      <c r="D42" s="8" t="n">
        <v>0.237</v>
      </c>
      <c r="E42" s="8" t="n">
        <v>0.1725</v>
      </c>
      <c r="F42" s="8" t="n">
        <v>0.2</v>
      </c>
      <c r="G42" s="8" t="n">
        <v>0.2105</v>
      </c>
      <c r="H42" s="8" t="n">
        <v>0.211</v>
      </c>
      <c r="I42" s="8" t="n">
        <f aca="false">假设!I67</f>
        <v>0.29</v>
      </c>
      <c r="J42" s="8" t="n">
        <f aca="false">假设!J67</f>
        <v>0.24</v>
      </c>
      <c r="K42" s="8" t="n">
        <f aca="false">假设!K67</f>
        <v>0.23</v>
      </c>
      <c r="L42" s="8" t="n">
        <f aca="false">假设!L67</f>
        <v>0.22</v>
      </c>
      <c r="M42" s="8" t="n">
        <f aca="false">假设!M67</f>
        <v>0.22</v>
      </c>
    </row>
    <row r="43" customFormat="false" ht="15" hidden="false" customHeight="false" outlineLevel="0" collapsed="false">
      <c r="A43" s="32" t="s">
        <v>153</v>
      </c>
      <c r="B43" s="37" t="s">
        <v>147</v>
      </c>
      <c r="C43" s="44" t="n">
        <f aca="false">C40*C42</f>
        <v>3.649985</v>
      </c>
      <c r="D43" s="44" t="n">
        <f aca="false">D40*D42</f>
        <v>22.41546</v>
      </c>
      <c r="E43" s="44" t="n">
        <f aca="false">E40*E42</f>
        <v>23.5083</v>
      </c>
      <c r="F43" s="44" t="n">
        <f aca="false">F40*F42</f>
        <v>39.262</v>
      </c>
      <c r="G43" s="44" t="n">
        <f aca="false">G40*G42</f>
        <v>34.44201</v>
      </c>
      <c r="H43" s="44" t="n">
        <f aca="false">H40*H42</f>
        <v>32.32731</v>
      </c>
      <c r="I43" s="44" t="n">
        <f aca="false">I40*I42</f>
        <v>51.095535</v>
      </c>
      <c r="J43" s="44" t="n">
        <f aca="false">J40*J42</f>
        <v>43.9773984</v>
      </c>
      <c r="K43" s="44" t="n">
        <f aca="false">K40*K42</f>
        <v>43.830807072</v>
      </c>
      <c r="L43" s="44" t="n">
        <f aca="false">L40*L42</f>
        <v>43.18287340224</v>
      </c>
      <c r="M43" s="44" t="n">
        <f aca="false">M40*M42</f>
        <v>44.4783596043072</v>
      </c>
    </row>
    <row r="44" customFormat="false" ht="15" hidden="false" customHeight="false" outlineLevel="0" collapsed="false">
      <c r="A44" s="30" t="s">
        <v>167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customFormat="false" ht="15" hidden="false" customHeight="false" outlineLevel="0" collapsed="false">
      <c r="A45" s="22" t="s">
        <v>168</v>
      </c>
      <c r="B45" s="37" t="s">
        <v>147</v>
      </c>
      <c r="C45" s="46" t="n">
        <f aca="false">C6+C11+C16+C21+C26+C35+C40</f>
        <v>863.58</v>
      </c>
      <c r="D45" s="46" t="n">
        <f aca="false">D6+D11+D16+D21+D26+D35+D40</f>
        <v>1223.55</v>
      </c>
      <c r="E45" s="46" t="n">
        <f aca="false">E6+E11+E16+E21+E26+E35+E40</f>
        <v>1719.37</v>
      </c>
      <c r="F45" s="46" t="n">
        <f aca="false">F6+F11+F16+F21+F26+F35+F40</f>
        <v>2090.55</v>
      </c>
      <c r="G45" s="46" t="n">
        <f aca="false">G6+G11+G16+G21+G26+G35+G40</f>
        <v>1741.81</v>
      </c>
      <c r="H45" s="46" t="n">
        <f aca="false">H6+H11+H16+H21+H26+H35+H40</f>
        <v>2016.35</v>
      </c>
      <c r="I45" s="46" t="n">
        <f aca="false">I6+I11+I16+I21+I26+I35+I40</f>
        <v>2741.007</v>
      </c>
      <c r="J45" s="46" t="n">
        <f aca="false">J6+J11+J16+J21+J26+J35+J40</f>
        <v>3510.45614</v>
      </c>
      <c r="K45" s="46" t="n">
        <f aca="false">K6+K11+K16+K21+K26+K35+K40</f>
        <v>4419.9683774</v>
      </c>
      <c r="L45" s="46" t="n">
        <f aca="false">L6+L11+L16+L21+L26+L35+L40</f>
        <v>5143.525043502</v>
      </c>
      <c r="M45" s="46" t="n">
        <f aca="false">M6+M11+M16+M21+M26+M35+M40</f>
        <v>5702.41591990306</v>
      </c>
    </row>
    <row r="46" customFormat="false" ht="15" hidden="false" customHeight="false" outlineLevel="0" collapsed="false">
      <c r="A46" s="25" t="s">
        <v>169</v>
      </c>
      <c r="B46" s="37" t="s">
        <v>147</v>
      </c>
      <c r="C46" s="19" t="n">
        <v>863.5783</v>
      </c>
      <c r="D46" s="19" t="n">
        <v>1223.5484</v>
      </c>
      <c r="E46" s="19" t="n">
        <v>1719.3652</v>
      </c>
      <c r="F46" s="19" t="n">
        <v>2090.5426</v>
      </c>
      <c r="G46" s="19" t="n">
        <v>1741.8114</v>
      </c>
      <c r="H46" s="19" t="n">
        <v>2016.3489</v>
      </c>
      <c r="N46" s="21" t="s">
        <v>170</v>
      </c>
    </row>
    <row r="47" customFormat="false" ht="15" hidden="false" customHeight="false" outlineLevel="0" collapsed="false">
      <c r="A47" s="25" t="s">
        <v>171</v>
      </c>
      <c r="B47" s="37" t="s">
        <v>147</v>
      </c>
      <c r="C47" s="44" t="n">
        <f aca="false">C45-C46</f>
        <v>0.00169999999991433</v>
      </c>
      <c r="D47" s="44" t="n">
        <f aca="false">D45-D46</f>
        <v>0.00160000000005311</v>
      </c>
      <c r="E47" s="44" t="n">
        <f aca="false">E45-E46</f>
        <v>0.00479999999993197</v>
      </c>
      <c r="F47" s="44" t="n">
        <f aca="false">F45-F46</f>
        <v>0.00739999999996144</v>
      </c>
      <c r="G47" s="44" t="n">
        <f aca="false">G45-G46</f>
        <v>-0.00140000000010332</v>
      </c>
      <c r="H47" s="44" t="n">
        <f aca="false">H45-H46</f>
        <v>0.00110000000017862</v>
      </c>
    </row>
    <row r="48" customFormat="false" ht="15" hidden="false" customHeight="false" outlineLevel="0" collapsed="false">
      <c r="A48" s="25" t="s">
        <v>165</v>
      </c>
      <c r="B48" s="23" t="s">
        <v>94</v>
      </c>
      <c r="D48" s="13" t="n">
        <f aca="false">IFERROR(D45/C45-1,0)</f>
        <v>0.416834572361565</v>
      </c>
      <c r="E48" s="13" t="n">
        <f aca="false">IFERROR(E45/D45-1,0)</f>
        <v>0.405230681214499</v>
      </c>
      <c r="F48" s="13" t="n">
        <f aca="false">IFERROR(F45/E45-1,0)</f>
        <v>0.215881398419189</v>
      </c>
      <c r="G48" s="13" t="n">
        <f aca="false">IFERROR(G45/F45-1,0)</f>
        <v>-0.166817344717897</v>
      </c>
      <c r="H48" s="13" t="n">
        <f aca="false">IFERROR(H45/G45-1,0)</f>
        <v>0.157617650604831</v>
      </c>
      <c r="I48" s="13" t="n">
        <f aca="false">I45/H45-1</f>
        <v>0.359390482803085</v>
      </c>
      <c r="J48" s="13" t="n">
        <f aca="false">J45/I45-1</f>
        <v>0.280717685142723</v>
      </c>
      <c r="K48" s="13" t="n">
        <f aca="false">K45/J45-1</f>
        <v>0.259086626104378</v>
      </c>
      <c r="L48" s="13" t="n">
        <f aca="false">L45/K45-1</f>
        <v>0.163701774384102</v>
      </c>
      <c r="M48" s="13" t="n">
        <f aca="false">M45/L45-1</f>
        <v>0.10865911445442</v>
      </c>
    </row>
    <row r="49" customFormat="false" ht="15" hidden="false" customHeight="false" outlineLevel="0" collapsed="false">
      <c r="A49" s="22" t="s">
        <v>172</v>
      </c>
      <c r="B49" s="37" t="s">
        <v>147</v>
      </c>
      <c r="C49" s="46" t="n">
        <f aca="false">C9+C14+C19+C24+C29+C37+C43</f>
        <v>449.685433</v>
      </c>
      <c r="D49" s="46" t="n">
        <f aca="false">D9+D14+D19+D24+D29+D37+D43</f>
        <v>621.501858</v>
      </c>
      <c r="E49" s="46" t="n">
        <f aca="false">E9+E14+E19+E24+E29+E37+E43</f>
        <v>880.64721</v>
      </c>
      <c r="F49" s="46" t="n">
        <f aca="false">F9+F14+F19+F24+F29+F37+F43</f>
        <v>1034.336445</v>
      </c>
      <c r="G49" s="46" t="n">
        <f aca="false">G9+G14+G19+G24+G29+G37+G43</f>
        <v>734.528724</v>
      </c>
      <c r="H49" s="46" t="n">
        <f aca="false">H9+H14+H19+H24+H29+H37+H43</f>
        <v>955.306764</v>
      </c>
      <c r="I49" s="46" t="n">
        <f aca="false">I9+I14+I19+I24+I29+I37+I43</f>
        <v>1376.91755</v>
      </c>
      <c r="J49" s="46" t="n">
        <f aca="false">J9+J14+J19+J24+J29+J37+J43</f>
        <v>1762.6340056</v>
      </c>
      <c r="K49" s="46" t="n">
        <f aca="false">K9+K14+K19+K24+K29+K37+K43</f>
        <v>2177.025177912</v>
      </c>
      <c r="L49" s="46" t="n">
        <f aca="false">L9+L14+L19+L24+L29+L37+L43</f>
        <v>2461.26921261624</v>
      </c>
      <c r="M49" s="46" t="n">
        <f aca="false">M9+M14+M19+M24+M29+M37+M43</f>
        <v>2664.66389751258</v>
      </c>
    </row>
    <row r="50" customFormat="false" ht="15" hidden="false" customHeight="false" outlineLevel="0" collapsed="false">
      <c r="A50" s="25" t="s">
        <v>173</v>
      </c>
      <c r="B50" s="37" t="s">
        <v>147</v>
      </c>
      <c r="C50" s="44" t="n">
        <f aca="false">C45-C49</f>
        <v>413.894567</v>
      </c>
      <c r="D50" s="44" t="n">
        <f aca="false">D45-D49</f>
        <v>602.048142</v>
      </c>
      <c r="E50" s="44" t="n">
        <f aca="false">E45-E49</f>
        <v>838.72279</v>
      </c>
      <c r="F50" s="44" t="n">
        <f aca="false">F45-F49</f>
        <v>1056.213555</v>
      </c>
      <c r="G50" s="44" t="n">
        <f aca="false">G45-G49</f>
        <v>1007.281276</v>
      </c>
      <c r="H50" s="44" t="n">
        <f aca="false">H45-H49</f>
        <v>1061.043236</v>
      </c>
      <c r="I50" s="44" t="n">
        <f aca="false">I45-I49</f>
        <v>1364.08945</v>
      </c>
      <c r="J50" s="44" t="n">
        <f aca="false">J45-J49</f>
        <v>1747.8221344</v>
      </c>
      <c r="K50" s="44" t="n">
        <f aca="false">K45-K49</f>
        <v>2242.943199488</v>
      </c>
      <c r="L50" s="44" t="n">
        <f aca="false">L45-L49</f>
        <v>2682.25583088576</v>
      </c>
      <c r="M50" s="44" t="n">
        <f aca="false">M45-M49</f>
        <v>3037.75202239048</v>
      </c>
    </row>
    <row r="51" customFormat="false" ht="15" hidden="false" customHeight="false" outlineLevel="0" collapsed="false">
      <c r="A51" s="22" t="s">
        <v>9</v>
      </c>
      <c r="B51" s="23" t="s">
        <v>94</v>
      </c>
      <c r="C51" s="47" t="n">
        <f aca="false">IFERROR(C49/C45,0)</f>
        <v>0.520722380092175</v>
      </c>
      <c r="D51" s="47" t="n">
        <f aca="false">IFERROR(D49/D45,0)</f>
        <v>0.507949702096359</v>
      </c>
      <c r="E51" s="47" t="n">
        <f aca="false">IFERROR(E49/E45,0)</f>
        <v>0.512191796995411</v>
      </c>
      <c r="F51" s="47" t="n">
        <f aca="false">IFERROR(F49/F45,0)</f>
        <v>0.494767618569276</v>
      </c>
      <c r="G51" s="47" t="n">
        <f aca="false">IFERROR(G49/G45,0)</f>
        <v>0.421704275437619</v>
      </c>
      <c r="H51" s="47" t="n">
        <f aca="false">IFERROR(H49/H45,0)</f>
        <v>0.473780228630942</v>
      </c>
      <c r="I51" s="47" t="n">
        <f aca="false">I49/I45</f>
        <v>0.502340034155331</v>
      </c>
      <c r="J51" s="47" t="n">
        <f aca="false">J49/J45</f>
        <v>0.502109679000291</v>
      </c>
      <c r="K51" s="47" t="n">
        <f aca="false">K49/K45</f>
        <v>0.492543156879464</v>
      </c>
      <c r="L51" s="47" t="n">
        <f aca="false">L49/L45</f>
        <v>0.478517979751192</v>
      </c>
      <c r="M51" s="47" t="n">
        <f aca="false">M49/M45</f>
        <v>0.467286836832113</v>
      </c>
    </row>
    <row r="52" customFormat="false" ht="15" hidden="false" customHeight="false" outlineLevel="0" collapsed="false">
      <c r="A52" s="25" t="s">
        <v>174</v>
      </c>
      <c r="B52" s="23" t="s">
        <v>94</v>
      </c>
      <c r="C52" s="48" t="n">
        <v>0.5207</v>
      </c>
      <c r="D52" s="48" t="n">
        <v>0.5079</v>
      </c>
      <c r="E52" s="48" t="n">
        <v>0.5122</v>
      </c>
      <c r="F52" s="48" t="n">
        <v>0.4948</v>
      </c>
      <c r="G52" s="48" t="n">
        <v>0.4217</v>
      </c>
      <c r="H52" s="48" t="n">
        <v>0.4738</v>
      </c>
      <c r="N52" s="21" t="s">
        <v>175</v>
      </c>
    </row>
    <row r="54" customFormat="false" ht="15" hidden="false" customHeight="false" outlineLevel="0" collapsed="false">
      <c r="A54" s="30" t="s">
        <v>176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customFormat="false" ht="15" hidden="false" customHeight="false" outlineLevel="0" collapsed="false">
      <c r="A55" s="32" t="s">
        <v>177</v>
      </c>
      <c r="B55" s="23" t="s">
        <v>94</v>
      </c>
      <c r="C55" s="13" t="n">
        <f aca="false">IFERROR(C6/C45,0)</f>
        <v>0.437133791889576</v>
      </c>
      <c r="D55" s="13" t="n">
        <f aca="false">IFERROR(D6/D45,0)</f>
        <v>0.398022148665768</v>
      </c>
      <c r="E55" s="13" t="n">
        <f aca="false">IFERROR(E6/E45,0)</f>
        <v>0.380825534934307</v>
      </c>
      <c r="F55" s="13" t="n">
        <f aca="false">IFERROR(F6/F45,0)</f>
        <v>0.347525770730191</v>
      </c>
      <c r="G55" s="13" t="n">
        <f aca="false">IFERROR(G6/G45,0)</f>
        <v>0.4630011310074</v>
      </c>
      <c r="H55" s="13" t="n">
        <f aca="false">IFERROR(H6/H45,0)</f>
        <v>0.445111215810747</v>
      </c>
      <c r="I55" s="13" t="n">
        <f aca="false">I6/I45</f>
        <v>0.419116040199824</v>
      </c>
      <c r="J55" s="13" t="n">
        <f aca="false">J6/J45</f>
        <v>0.386156085117759</v>
      </c>
      <c r="K55" s="13" t="n">
        <f aca="false">K6/K45</f>
        <v>0.349632763868108</v>
      </c>
      <c r="L55" s="13" t="n">
        <f aca="false">L6/L45</f>
        <v>0.333498131941065</v>
      </c>
      <c r="M55" s="13" t="n">
        <f aca="false">M6/M45</f>
        <v>0.327885243603168</v>
      </c>
    </row>
    <row r="56" customFormat="false" ht="15" hidden="false" customHeight="false" outlineLevel="0" collapsed="false">
      <c r="A56" s="32" t="s">
        <v>178</v>
      </c>
      <c r="B56" s="23" t="s">
        <v>94</v>
      </c>
      <c r="C56" s="13" t="n">
        <f aca="false">IFERROR(C11/C45,0)</f>
        <v>0.354501030593576</v>
      </c>
      <c r="D56" s="13" t="n">
        <f aca="false">IFERROR(D11/D45,0)</f>
        <v>0.352016672796371</v>
      </c>
      <c r="E56" s="13" t="n">
        <f aca="false">IFERROR(E11/E45,0)</f>
        <v>0.317406957199439</v>
      </c>
      <c r="F56" s="13" t="n">
        <f aca="false">IFERROR(F11/F45,0)</f>
        <v>0.262414197220827</v>
      </c>
      <c r="G56" s="13" t="n">
        <f aca="false">IFERROR(G11/G45,0)</f>
        <v>0.185198155941234</v>
      </c>
      <c r="H56" s="13" t="n">
        <f aca="false">IFERROR(H11/H45,0)</f>
        <v>0.211739033401939</v>
      </c>
      <c r="I56" s="13" t="n">
        <f aca="false">I11/I45</f>
        <v>0.179124314531119</v>
      </c>
      <c r="J56" s="13" t="n">
        <f aca="false">J11/J45</f>
        <v>0.156645945161987</v>
      </c>
      <c r="K56" s="13" t="n">
        <f aca="false">K11/K45</f>
        <v>0.136853601734549</v>
      </c>
      <c r="L56" s="13" t="n">
        <f aca="false">L11/L45</f>
        <v>0.125834090038634</v>
      </c>
      <c r="M56" s="13" t="n">
        <f aca="false">M11/M45</f>
        <v>0.120311224344727</v>
      </c>
    </row>
    <row r="57" customFormat="false" ht="15" hidden="false" customHeight="false" outlineLevel="0" collapsed="false">
      <c r="A57" s="32" t="s">
        <v>179</v>
      </c>
      <c r="B57" s="23" t="s">
        <v>94</v>
      </c>
      <c r="C57" s="13" t="n">
        <f aca="false">IFERROR(C16/C45,0)</f>
        <v>0.0839528474489914</v>
      </c>
      <c r="D57" s="13" t="n">
        <f aca="false">IFERROR(D16/D45,0)</f>
        <v>0.0715132197294757</v>
      </c>
      <c r="E57" s="13" t="n">
        <f aca="false">IFERROR(E16/E45,0)</f>
        <v>0.0604872715006078</v>
      </c>
      <c r="F57" s="13" t="n">
        <f aca="false">IFERROR(F16/F45,0)</f>
        <v>0.0585970199229868</v>
      </c>
      <c r="G57" s="13" t="n">
        <f aca="false">IFERROR(G16/G45,0)</f>
        <v>0.0737738329668563</v>
      </c>
      <c r="H57" s="13" t="n">
        <f aca="false">IFERROR(H16/H45,0)</f>
        <v>0.0912539985617576</v>
      </c>
      <c r="I57" s="13" t="n">
        <f aca="false">I16/I45</f>
        <v>0.0926374868798219</v>
      </c>
      <c r="J57" s="13" t="n">
        <f aca="false">J16/J45</f>
        <v>0.0925855749332906</v>
      </c>
      <c r="K57" s="13" t="n">
        <f aca="false">K16/K45</f>
        <v>0.0897113821056905</v>
      </c>
      <c r="L57" s="13" t="n">
        <f aca="false">L16/L45</f>
        <v>0.0894260071895811</v>
      </c>
      <c r="M57" s="13" t="n">
        <f aca="false">M16/M45</f>
        <v>0.0903407790063755</v>
      </c>
    </row>
    <row r="58" customFormat="false" ht="15" hidden="false" customHeight="false" outlineLevel="0" collapsed="false">
      <c r="A58" s="32" t="s">
        <v>180</v>
      </c>
      <c r="B58" s="23" t="s">
        <v>94</v>
      </c>
      <c r="C58" s="13" t="n">
        <f aca="false">IFERROR(C21/C45,0)</f>
        <v>0.0721068111813613</v>
      </c>
      <c r="D58" s="13" t="n">
        <f aca="false">IFERROR(D21/D45,0)</f>
        <v>0.0602836009970986</v>
      </c>
      <c r="E58" s="13" t="n">
        <f aca="false">IFERROR(E21/E45,0)</f>
        <v>0.0640467147850666</v>
      </c>
      <c r="F58" s="13" t="n">
        <f aca="false">IFERROR(F21/F45,0)</f>
        <v>0.0702351055942216</v>
      </c>
      <c r="G58" s="13" t="n">
        <f aca="false">IFERROR(G21/G45,0)</f>
        <v>0.0791188476355056</v>
      </c>
      <c r="H58" s="13" t="n">
        <f aca="false">IFERROR(H21/H45,0)</f>
        <v>0.0829518684752151</v>
      </c>
      <c r="I58" s="13" t="n">
        <f aca="false">I21/I45</f>
        <v>0.0884809852729307</v>
      </c>
      <c r="J58" s="13" t="n">
        <f aca="false">J21/J45</f>
        <v>0.0746139958894345</v>
      </c>
      <c r="K58" s="13" t="n">
        <f aca="false">K21/K45</f>
        <v>0.0562973941787279</v>
      </c>
      <c r="L58" s="13" t="n">
        <f aca="false">L21/L45</f>
        <v>0.048377853688952</v>
      </c>
      <c r="M58" s="13" t="n">
        <f aca="false">M21/M45</f>
        <v>0.0449454558664246</v>
      </c>
    </row>
    <row r="59" customFormat="false" ht="15" hidden="false" customHeight="false" outlineLevel="0" collapsed="false">
      <c r="A59" s="32" t="s">
        <v>181</v>
      </c>
      <c r="B59" s="23" t="s">
        <v>94</v>
      </c>
      <c r="C59" s="13" t="n">
        <f aca="false">IFERROR(C26/C45,0)</f>
        <v>0.0306862132054934</v>
      </c>
      <c r="D59" s="13" t="n">
        <f aca="false">IFERROR(D26/D45,0)</f>
        <v>0.0408646969882718</v>
      </c>
      <c r="E59" s="13" t="n">
        <f aca="false">IFERROR(E26/E45,0)</f>
        <v>0.0979719315795902</v>
      </c>
      <c r="F59" s="13" t="n">
        <f aca="false">IFERROR(F26/F45,0)</f>
        <v>0.167324388318863</v>
      </c>
      <c r="G59" s="13" t="n">
        <f aca="false">IFERROR(G26/G45,0)</f>
        <v>0.103535976943524</v>
      </c>
      <c r="H59" s="13" t="n">
        <f aca="false">IFERROR(H26/H45,0)</f>
        <v>0.0441639596300245</v>
      </c>
      <c r="I59" s="13" t="n">
        <f aca="false">I26/I45</f>
        <v>0.0243660450338142</v>
      </c>
      <c r="J59" s="13" t="n">
        <f aca="false">J26/J45</f>
        <v>0.019025305355332</v>
      </c>
      <c r="K59" s="13" t="n">
        <f aca="false">K26/K45</f>
        <v>0.0155637142907492</v>
      </c>
      <c r="L59" s="13" t="n">
        <f aca="false">L26/L45</f>
        <v>0.0137755446217791</v>
      </c>
      <c r="M59" s="13" t="n">
        <f aca="false">M26/M45</f>
        <v>0.0127981728336892</v>
      </c>
    </row>
    <row r="60" customFormat="false" ht="15" hidden="false" customHeight="false" outlineLevel="0" collapsed="false">
      <c r="A60" s="32" t="s">
        <v>182</v>
      </c>
      <c r="B60" s="23" t="s">
        <v>94</v>
      </c>
      <c r="C60" s="13" t="n">
        <f aca="false">IFERROR(C35/C45,0)</f>
        <v>0</v>
      </c>
      <c r="D60" s="13" t="n">
        <f aca="false">IFERROR(D35/D45,0)</f>
        <v>0</v>
      </c>
      <c r="E60" s="13" t="n">
        <f aca="false">IFERROR(E35/E45,0)</f>
        <v>0</v>
      </c>
      <c r="F60" s="13" t="n">
        <f aca="false">IFERROR(F35/F45,0)</f>
        <v>0</v>
      </c>
      <c r="G60" s="13" t="n">
        <f aca="false">IFERROR(G35/G45,0)</f>
        <v>0.00143528857912172</v>
      </c>
      <c r="H60" s="13" t="n">
        <f aca="false">IFERROR(H35/H45,0)</f>
        <v>0.0487960919483225</v>
      </c>
      <c r="I60" s="13" t="n">
        <f aca="false">I35/I45</f>
        <v>0.131995284944548</v>
      </c>
      <c r="J60" s="13" t="n">
        <f aca="false">J35/J45</f>
        <v>0.218774988027624</v>
      </c>
      <c r="K60" s="13" t="n">
        <f aca="false">K35/K45</f>
        <v>0.308825738885251</v>
      </c>
      <c r="L60" s="13" t="n">
        <f aca="false">L35/L45</f>
        <v>0.350926647529465</v>
      </c>
      <c r="M60" s="13" t="n">
        <f aca="false">M35/M45</f>
        <v>0.368264965147561</v>
      </c>
    </row>
    <row r="61" customFormat="false" ht="15" hidden="false" customHeight="false" outlineLevel="0" collapsed="false">
      <c r="A61" s="32" t="s">
        <v>183</v>
      </c>
      <c r="B61" s="23" t="s">
        <v>94</v>
      </c>
      <c r="C61" s="13" t="n">
        <f aca="false">IFERROR(C40/C45,0)</f>
        <v>0.0216193056810023</v>
      </c>
      <c r="D61" s="13" t="n">
        <f aca="false">IFERROR(D40/D45,0)</f>
        <v>0.077299660823015</v>
      </c>
      <c r="E61" s="13" t="n">
        <f aca="false">IFERROR(E40/E45,0)</f>
        <v>0.0792615900009887</v>
      </c>
      <c r="F61" s="13" t="n">
        <f aca="false">IFERROR(F40/F45,0)</f>
        <v>0.0939035182129105</v>
      </c>
      <c r="G61" s="13" t="n">
        <f aca="false">IFERROR(G40/G45,0)</f>
        <v>0.0939367669263582</v>
      </c>
      <c r="H61" s="13" t="n">
        <f aca="false">IFERROR(H40/H45,0)</f>
        <v>0.075983832171994</v>
      </c>
      <c r="I61" s="13" t="n">
        <f aca="false">I40/I45</f>
        <v>0.0642798431379416</v>
      </c>
      <c r="J61" s="13" t="n">
        <f aca="false">J40/J45</f>
        <v>0.0521981055145728</v>
      </c>
      <c r="K61" s="13" t="n">
        <f aca="false">K40/K45</f>
        <v>0.043115404936924</v>
      </c>
      <c r="L61" s="13" t="n">
        <f aca="false">L40/L45</f>
        <v>0.0381617249905247</v>
      </c>
      <c r="M61" s="13" t="n">
        <f aca="false">M40/M45</f>
        <v>0.0354541591980539</v>
      </c>
    </row>
    <row r="62" customFormat="false" ht="15" hidden="false" customHeight="false" outlineLevel="0" collapsed="false">
      <c r="A62" s="30" t="s">
        <v>184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customFormat="false" ht="15" hidden="false" customHeight="false" outlineLevel="0" collapsed="false">
      <c r="A63" s="32" t="s">
        <v>185</v>
      </c>
      <c r="B63" s="23" t="s">
        <v>94</v>
      </c>
      <c r="C63" s="13" t="n">
        <f aca="false">IFERROR(C9/C49,0)</f>
        <v>0.424103130776753</v>
      </c>
      <c r="D63" s="13" t="n">
        <f aca="false">IFERROR(D9/D49,0)</f>
        <v>0.401039187239244</v>
      </c>
      <c r="E63" s="13" t="n">
        <f aca="false">IFERROR(E9/E49,0)</f>
        <v>0.407449698273614</v>
      </c>
      <c r="F63" s="13" t="n">
        <f aca="false">IFERROR(F9/F49,0)</f>
        <v>0.389130714619652</v>
      </c>
      <c r="G63" s="13" t="n">
        <f aca="false">IFERROR(G9/G49,0)</f>
        <v>0.539192672879053</v>
      </c>
      <c r="H63" s="13" t="n">
        <f aca="false">IFERROR(H9/H49,0)</f>
        <v>0.482521444807859</v>
      </c>
      <c r="I63" s="13" t="n">
        <f aca="false">I9/I49</f>
        <v>0.42550695936732</v>
      </c>
      <c r="J63" s="13" t="n">
        <f aca="false">J9/J49</f>
        <v>0.392224272199188</v>
      </c>
      <c r="K63" s="13" t="n">
        <f aca="false">K9/K49</f>
        <v>0.362024539539734</v>
      </c>
      <c r="L63" s="13" t="n">
        <f aca="false">L9/L49</f>
        <v>0.348469802654509</v>
      </c>
      <c r="M63" s="13" t="n">
        <f aca="false">M9/M49</f>
        <v>0.350839375046393</v>
      </c>
    </row>
    <row r="64" customFormat="false" ht="15" hidden="false" customHeight="false" outlineLevel="0" collapsed="false">
      <c r="A64" s="32" t="s">
        <v>186</v>
      </c>
      <c r="B64" s="23" t="s">
        <v>94</v>
      </c>
      <c r="C64" s="13" t="n">
        <f aca="false">IFERROR(C14/C49,0)</f>
        <v>0.429372365281844</v>
      </c>
      <c r="D64" s="13" t="n">
        <f aca="false">IFERROR(D14/D49,0)</f>
        <v>0.435767720584996</v>
      </c>
      <c r="E64" s="13" t="n">
        <f aca="false">IFERROR(E14/E49,0)</f>
        <v>0.417060334523742</v>
      </c>
      <c r="F64" s="13" t="n">
        <f aca="false">IFERROR(F14/F49,0)</f>
        <v>0.367817615669532</v>
      </c>
      <c r="G64" s="13" t="n">
        <f aca="false">IFERROR(G14/G49,0)</f>
        <v>0.255638495629478</v>
      </c>
      <c r="H64" s="13" t="n">
        <f aca="false">IFERROR(H14/H49,0)</f>
        <v>0.284505474306471</v>
      </c>
      <c r="I64" s="13" t="n">
        <f aca="false">I14/I49</f>
        <v>0.217513684824483</v>
      </c>
      <c r="J64" s="13" t="n">
        <f aca="false">J14/J49</f>
        <v>0.190305087802852</v>
      </c>
      <c r="K64" s="13" t="n">
        <f aca="false">K14/K49</f>
        <v>0.1667105915367</v>
      </c>
      <c r="L64" s="13" t="n">
        <f aca="false">L14/L49</f>
        <v>0.157779764226283</v>
      </c>
      <c r="M64" s="13" t="n">
        <f aca="false">M14/M49</f>
        <v>0.151905888992315</v>
      </c>
    </row>
    <row r="65" customFormat="false" ht="15" hidden="false" customHeight="false" outlineLevel="0" collapsed="false">
      <c r="A65" s="32" t="s">
        <v>187</v>
      </c>
      <c r="B65" s="23" t="s">
        <v>94</v>
      </c>
      <c r="C65" s="13" t="n">
        <f aca="false">IFERROR(C19/C49,0)</f>
        <v>0.081337413480325</v>
      </c>
      <c r="D65" s="13" t="n">
        <f aca="false">IFERROR(D19/D49,0)</f>
        <v>0.0710275430906274</v>
      </c>
      <c r="E65" s="13" t="n">
        <f aca="false">IFERROR(E19/E49,0)</f>
        <v>0.0593427190895205</v>
      </c>
      <c r="F65" s="13" t="n">
        <f aca="false">IFERROR(F19/F49,0)</f>
        <v>0.0589206251936719</v>
      </c>
      <c r="G65" s="13" t="n">
        <f aca="false">IFERROR(G19/G49,0)</f>
        <v>0.0826601438666135</v>
      </c>
      <c r="H65" s="13" t="n">
        <f aca="false">IFERROR(H19/H49,0)</f>
        <v>0.0938002360883525</v>
      </c>
      <c r="I65" s="13" t="n">
        <f aca="false">I19/I49</f>
        <v>0.0903618375697223</v>
      </c>
      <c r="J65" s="13" t="n">
        <f aca="false">J19/J49</f>
        <v>0.092196564620732</v>
      </c>
      <c r="K65" s="13" t="n">
        <f aca="false">K19/K49</f>
        <v>0.0910695650245778</v>
      </c>
      <c r="L65" s="13" t="n">
        <f aca="false">L19/L49</f>
        <v>0.0934405925939068</v>
      </c>
      <c r="M65" s="13" t="n">
        <f aca="false">M19/M49</f>
        <v>0.096665229881955</v>
      </c>
    </row>
    <row r="66" customFormat="false" ht="15" hidden="false" customHeight="false" outlineLevel="0" collapsed="false">
      <c r="A66" s="32" t="s">
        <v>188</v>
      </c>
      <c r="B66" s="23" t="s">
        <v>94</v>
      </c>
      <c r="C66" s="13" t="n">
        <f aca="false">IFERROR(C24/C49,0)</f>
        <v>0.0429271187888357</v>
      </c>
      <c r="D66" s="13" t="n">
        <f aca="false">IFERROR(D24/D49,0)</f>
        <v>0.0367908795535733</v>
      </c>
      <c r="E66" s="13" t="n">
        <f aca="false">IFERROR(E24/E49,0)</f>
        <v>0.0387637633008569</v>
      </c>
      <c r="F66" s="13" t="n">
        <f aca="false">IFERROR(F24/F49,0)</f>
        <v>0.0447160594829471</v>
      </c>
      <c r="G66" s="13" t="n">
        <f aca="false">IFERROR(G24/G49,0)</f>
        <v>0.0431518863243257</v>
      </c>
      <c r="H66" s="13" t="n">
        <f aca="false">IFERROR(H24/H49,0)</f>
        <v>0.0455221313600999</v>
      </c>
      <c r="I66" s="13" t="n">
        <f aca="false">I24/I49</f>
        <v>0.0598867956908531</v>
      </c>
      <c r="J66" s="13" t="n">
        <f aca="false">J24/J49</f>
        <v>0.0445802972995814</v>
      </c>
      <c r="K66" s="13" t="n">
        <f aca="false">K24/K49</f>
        <v>0.030860841767773</v>
      </c>
      <c r="L66" s="13" t="n">
        <f aca="false">L24/L49</f>
        <v>0.0272968227919224</v>
      </c>
      <c r="M66" s="13" t="n">
        <f aca="false">M24/M49</f>
        <v>0.0259696446110135</v>
      </c>
    </row>
    <row r="67" customFormat="false" ht="15" hidden="false" customHeight="false" outlineLevel="0" collapsed="false">
      <c r="A67" s="32" t="s">
        <v>189</v>
      </c>
      <c r="B67" s="23" t="s">
        <v>94</v>
      </c>
      <c r="C67" s="13" t="n">
        <f aca="false">IFERROR(C29/C49,0)</f>
        <v>0.0141432199783977</v>
      </c>
      <c r="D67" s="13" t="n">
        <f aca="false">IFERROR(D29/D49,0)</f>
        <v>0.0193080677805472</v>
      </c>
      <c r="E67" s="13" t="n">
        <f aca="false">IFERROR(E29/E49,0)</f>
        <v>0.0506891403198791</v>
      </c>
      <c r="F67" s="13" t="n">
        <f aca="false">IFERROR(F29/F49,0)</f>
        <v>0.101456349630995</v>
      </c>
      <c r="G67" s="13" t="n">
        <f aca="false">IFERROR(G29/G49,0)</f>
        <v>0.0309352640101791</v>
      </c>
      <c r="H67" s="13" t="n">
        <f aca="false">IFERROR(H29/H49,0)</f>
        <v>0.00419472587341588</v>
      </c>
      <c r="I67" s="13" t="n">
        <f aca="false">I29/I49</f>
        <v>0.00145515248897801</v>
      </c>
      <c r="J67" s="13" t="n">
        <f aca="false">J29/J49</f>
        <v>0.00303125889040206</v>
      </c>
      <c r="K67" s="13" t="n">
        <f aca="false">K29/K49</f>
        <v>0.00315986814015528</v>
      </c>
      <c r="L67" s="13" t="n">
        <f aca="false">L29/L49</f>
        <v>0.00345455223118891</v>
      </c>
      <c r="M67" s="13" t="n">
        <f aca="false">M29/M49</f>
        <v>0.00328659105926084</v>
      </c>
    </row>
    <row r="68" customFormat="false" ht="15" hidden="false" customHeight="false" outlineLevel="0" collapsed="false">
      <c r="A68" s="32" t="s">
        <v>190</v>
      </c>
      <c r="B68" s="23" t="s">
        <v>94</v>
      </c>
      <c r="C68" s="13" t="n">
        <f aca="false">IFERROR(C37/C49,0)</f>
        <v>0</v>
      </c>
      <c r="D68" s="13" t="n">
        <f aca="false">IFERROR(D37/D49,0)</f>
        <v>0</v>
      </c>
      <c r="E68" s="13" t="n">
        <f aca="false">IFERROR(E37/E49,0)</f>
        <v>0</v>
      </c>
      <c r="F68" s="13" t="n">
        <f aca="false">IFERROR(F37/F49,0)</f>
        <v>0</v>
      </c>
      <c r="G68" s="13" t="n">
        <f aca="false">IFERROR(G37/G49,0)</f>
        <v>0.00153159429065432</v>
      </c>
      <c r="H68" s="13" t="n">
        <f aca="false">IFERROR(H37/H49,0)</f>
        <v>0.0556162711311023</v>
      </c>
      <c r="I68" s="13" t="n">
        <f aca="false">I37/I49</f>
        <v>0.168166931999668</v>
      </c>
      <c r="J68" s="13" t="n">
        <f aca="false">J37/J49</f>
        <v>0.25271270075626</v>
      </c>
      <c r="K68" s="13" t="n">
        <f aca="false">K37/K49</f>
        <v>0.326041245274331</v>
      </c>
      <c r="L68" s="13" t="n">
        <f aca="false">L37/L49</f>
        <v>0.352013504072985</v>
      </c>
      <c r="M68" s="13" t="n">
        <f aca="false">M37/M49</f>
        <v>0.354641349283165</v>
      </c>
    </row>
    <row r="69" customFormat="false" ht="15" hidden="false" customHeight="false" outlineLevel="0" collapsed="false">
      <c r="A69" s="32" t="s">
        <v>191</v>
      </c>
      <c r="B69" s="23" t="s">
        <v>94</v>
      </c>
      <c r="C69" s="13" t="n">
        <f aca="false">IFERROR(C43/C49,0)</f>
        <v>0.00811675169384462</v>
      </c>
      <c r="D69" s="13" t="n">
        <f aca="false">IFERROR(D43/D49,0)</f>
        <v>0.036066601751012</v>
      </c>
      <c r="E69" s="13" t="n">
        <f aca="false">IFERROR(E43/E49,0)</f>
        <v>0.0266943444923876</v>
      </c>
      <c r="F69" s="13" t="n">
        <f aca="false">IFERROR(F43/F49,0)</f>
        <v>0.0379586354032029</v>
      </c>
      <c r="G69" s="13" t="n">
        <f aca="false">IFERROR(G43/G49,0)</f>
        <v>0.0468899429996968</v>
      </c>
      <c r="H69" s="13" t="n">
        <f aca="false">IFERROR(H43/H49,0)</f>
        <v>0.0338397164326997</v>
      </c>
      <c r="I69" s="13" t="n">
        <f aca="false">I43/I49</f>
        <v>0.0371086380589746</v>
      </c>
      <c r="J69" s="13" t="n">
        <f aca="false">J43/J49</f>
        <v>0.0249498184309851</v>
      </c>
      <c r="K69" s="13" t="n">
        <f aca="false">K43/K49</f>
        <v>0.0201333487167284</v>
      </c>
      <c r="L69" s="13" t="n">
        <f aca="false">L43/L49</f>
        <v>0.0175449614292043</v>
      </c>
      <c r="M69" s="13" t="n">
        <f aca="false">M43/M49</f>
        <v>0.0166919211258977</v>
      </c>
    </row>
    <row r="71" customFormat="false" ht="15" hidden="false" customHeight="false" outlineLevel="0" collapsed="false">
      <c r="A71" s="30" t="s">
        <v>192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customFormat="false" ht="15" hidden="false" customHeight="false" outlineLevel="0" collapsed="false">
      <c r="A72" s="21" t="s">
        <v>193</v>
      </c>
    </row>
    <row r="73" customFormat="false" ht="15" hidden="false" customHeight="false" outlineLevel="0" collapsed="false">
      <c r="A73" s="32" t="s">
        <v>194</v>
      </c>
      <c r="B73" s="23" t="s">
        <v>195</v>
      </c>
      <c r="I73" s="49" t="n">
        <v>1.2</v>
      </c>
      <c r="J73" s="49" t="n">
        <v>1.2</v>
      </c>
      <c r="K73" s="49" t="n">
        <v>1.2</v>
      </c>
      <c r="L73" s="49" t="n">
        <v>1.2</v>
      </c>
      <c r="M73" s="49" t="n">
        <v>1.2</v>
      </c>
    </row>
    <row r="74" customFormat="false" ht="15" hidden="false" customHeight="false" outlineLevel="0" collapsed="false">
      <c r="A74" s="32" t="s">
        <v>196</v>
      </c>
      <c r="B74" s="23" t="s">
        <v>195</v>
      </c>
      <c r="I74" s="49" t="n">
        <v>1</v>
      </c>
      <c r="J74" s="49" t="n">
        <v>1</v>
      </c>
      <c r="K74" s="49" t="n">
        <v>1</v>
      </c>
      <c r="L74" s="49" t="n">
        <v>1</v>
      </c>
      <c r="M74" s="49" t="n">
        <v>1</v>
      </c>
    </row>
    <row r="75" customFormat="false" ht="15" hidden="false" customHeight="false" outlineLevel="0" collapsed="false">
      <c r="A75" s="32" t="s">
        <v>197</v>
      </c>
      <c r="B75" s="23" t="s">
        <v>195</v>
      </c>
      <c r="I75" s="49" t="n">
        <v>1.8</v>
      </c>
      <c r="J75" s="49" t="n">
        <v>1.8</v>
      </c>
      <c r="K75" s="49" t="n">
        <v>1.8</v>
      </c>
      <c r="L75" s="49" t="n">
        <v>1.8</v>
      </c>
      <c r="M75" s="49" t="n">
        <v>1.8</v>
      </c>
    </row>
    <row r="76" customFormat="false" ht="15" hidden="false" customHeight="false" outlineLevel="0" collapsed="false">
      <c r="A76" s="32" t="s">
        <v>198</v>
      </c>
      <c r="B76" s="23" t="s">
        <v>195</v>
      </c>
      <c r="I76" s="49" t="n">
        <v>0.6</v>
      </c>
      <c r="J76" s="49" t="n">
        <v>0.6</v>
      </c>
      <c r="K76" s="49" t="n">
        <v>0.6</v>
      </c>
      <c r="L76" s="49" t="n">
        <v>0.6</v>
      </c>
      <c r="M76" s="49" t="n">
        <v>0.6</v>
      </c>
    </row>
    <row r="77" customFormat="false" ht="15" hidden="false" customHeight="false" outlineLevel="0" collapsed="false">
      <c r="A77" s="32" t="s">
        <v>199</v>
      </c>
      <c r="B77" s="23" t="s">
        <v>195</v>
      </c>
      <c r="I77" s="49" t="n">
        <v>0.6</v>
      </c>
      <c r="J77" s="49" t="n">
        <v>0.6</v>
      </c>
      <c r="K77" s="49" t="n">
        <v>0.6</v>
      </c>
      <c r="L77" s="49" t="n">
        <v>0.6</v>
      </c>
      <c r="M77" s="49" t="n">
        <v>0.6</v>
      </c>
    </row>
    <row r="78" customFormat="false" ht="15" hidden="false" customHeight="false" outlineLevel="0" collapsed="false">
      <c r="A78" s="32" t="s">
        <v>200</v>
      </c>
      <c r="B78" s="23" t="s">
        <v>195</v>
      </c>
      <c r="I78" s="49" t="n">
        <v>0.5</v>
      </c>
      <c r="J78" s="49" t="n">
        <v>0.5</v>
      </c>
      <c r="K78" s="49" t="n">
        <v>0.5</v>
      </c>
      <c r="L78" s="49" t="n">
        <v>0.5</v>
      </c>
      <c r="M78" s="49" t="n">
        <v>0.5</v>
      </c>
    </row>
    <row r="79" customFormat="false" ht="15" hidden="false" customHeight="false" outlineLevel="0" collapsed="false">
      <c r="A79" s="32" t="s">
        <v>201</v>
      </c>
      <c r="B79" s="23" t="s">
        <v>195</v>
      </c>
      <c r="I79" s="49" t="n">
        <v>0.5</v>
      </c>
      <c r="J79" s="49" t="n">
        <v>0.5</v>
      </c>
      <c r="K79" s="49" t="n">
        <v>0.5</v>
      </c>
      <c r="L79" s="49" t="n">
        <v>0.5</v>
      </c>
      <c r="M79" s="49" t="n">
        <v>0.5</v>
      </c>
    </row>
    <row r="80" customFormat="false" ht="15" hidden="false" customHeight="false" outlineLevel="0" collapsed="false">
      <c r="A80" s="32" t="s">
        <v>202</v>
      </c>
      <c r="B80" s="37" t="s">
        <v>147</v>
      </c>
      <c r="I80" s="44" t="n">
        <f aca="false">I6*I73+I11*I74+I16*I75+I21*I76+I26*I77+I35*I78+I40*I79</f>
        <v>2781.18145</v>
      </c>
      <c r="J80" s="44" t="n">
        <f aca="false">J6*J73+J11*J74+J16*J75+J21*J76+J26*J77+J35*J78+J40*J79</f>
        <v>3434.480776</v>
      </c>
      <c r="K80" s="44" t="n">
        <f aca="false">K6*K73+K11*K74+K16*K75+K21*K76+K26*K77+K35*K78+K40*K79</f>
        <v>4141.424813</v>
      </c>
      <c r="L80" s="44" t="n">
        <f aca="false">L6*L73+L11*L74+L16*L75+L21*L76+L26*L77+L35*L78+L40*L79</f>
        <v>4726.050249842</v>
      </c>
      <c r="M80" s="44" t="n">
        <f aca="false">M6*M73+M11*M74+M16*M75+M21*M76+M26*M77+M35*M78+M40*M79</f>
        <v>5205.6936276979</v>
      </c>
    </row>
    <row r="81" customFormat="false" ht="15" hidden="false" customHeight="false" outlineLevel="0" collapsed="false">
      <c r="A81" s="32" t="s">
        <v>203</v>
      </c>
      <c r="B81" s="37" t="s">
        <v>147</v>
      </c>
      <c r="I81" s="44" t="n">
        <f aca="false">I9-(利润表!I31)*I6*I73/I80</f>
        <v>262.423136345426</v>
      </c>
      <c r="J81" s="44" t="n">
        <f aca="false">J9-(利润表!J31)*J6*J73/J80</f>
        <v>314.076681035135</v>
      </c>
      <c r="K81" s="44" t="n">
        <f aca="false">K9-(利润表!K31)*K6*K73/K80</f>
        <v>402.853014027184</v>
      </c>
      <c r="L81" s="44" t="n">
        <f aca="false">L9-(利润表!L31)*L6*L73/L80</f>
        <v>458.789087213798</v>
      </c>
      <c r="M81" s="44" t="n">
        <f aca="false">M9-(利润表!M31)*M6*M73/M80</f>
        <v>520.110368482576</v>
      </c>
    </row>
    <row r="82" customFormat="false" ht="15" hidden="false" customHeight="false" outlineLevel="0" collapsed="false">
      <c r="A82" s="32" t="s">
        <v>204</v>
      </c>
      <c r="B82" s="37" t="s">
        <v>147</v>
      </c>
      <c r="I82" s="44" t="n">
        <f aca="false">I14-(利润表!I31)*I11*I74/I80</f>
        <v>184.294790119845</v>
      </c>
      <c r="J82" s="44" t="n">
        <f aca="false">J14-(利润表!J31)*J11*J74/J80</f>
        <v>207.903439966046</v>
      </c>
      <c r="K82" s="44" t="n">
        <f aca="false">K14-(利润表!K31)*K11*K74/K80</f>
        <v>237.259774110616</v>
      </c>
      <c r="L82" s="44" t="n">
        <f aca="false">L14-(利润表!L31)*L11*L74/L80</f>
        <v>262.915927037666</v>
      </c>
      <c r="M82" s="44" t="n">
        <f aca="false">M14-(利润表!M31)*M11*M74/M80</f>
        <v>277.95500490701</v>
      </c>
    </row>
    <row r="83" customFormat="false" ht="15" hidden="false" customHeight="false" outlineLevel="0" collapsed="false">
      <c r="A83" s="32" t="s">
        <v>205</v>
      </c>
      <c r="B83" s="37" t="s">
        <v>147</v>
      </c>
      <c r="I83" s="44" t="n">
        <f aca="false">I19-(利润表!I31)*I16*I75/I80</f>
        <v>17.1773309290093</v>
      </c>
      <c r="J83" s="44" t="n">
        <f aca="false">J19-(利润表!J31)*J16*J75/J80</f>
        <v>26.8258397747626</v>
      </c>
      <c r="K83" s="44" t="n">
        <f aca="false">K19-(利润表!K31)*K16*K75/K80</f>
        <v>49.9723561302016</v>
      </c>
      <c r="L83" s="44" t="n">
        <f aca="false">L19-(利润表!L31)*L16*L75/L80</f>
        <v>69.5420835746421</v>
      </c>
      <c r="M83" s="44" t="n">
        <f aca="false">M19-(利润表!M31)*M16*M75/M80</f>
        <v>86.1654091725378</v>
      </c>
    </row>
    <row r="84" customFormat="false" ht="15" hidden="false" customHeight="false" outlineLevel="0" collapsed="false">
      <c r="A84" s="32" t="s">
        <v>206</v>
      </c>
      <c r="B84" s="37" t="s">
        <v>147</v>
      </c>
      <c r="I84" s="44" t="n">
        <f aca="false">I24-(利润表!I31)*I21*I76/I80</f>
        <v>48.3153068334119</v>
      </c>
      <c r="J84" s="44" t="n">
        <f aca="false">J24-(利润表!J31)*J21*J76/J80</f>
        <v>42.1301333217899</v>
      </c>
      <c r="K84" s="44" t="n">
        <f aca="false">K24-(利润表!K31)*K21*K76/K80</f>
        <v>36.1659139252576</v>
      </c>
      <c r="L84" s="44" t="n">
        <f aca="false">L24-(利润表!L31)*L21*L76/L80</f>
        <v>38.2530493321321</v>
      </c>
      <c r="M84" s="44" t="n">
        <f aca="false">M24-(利润表!M31)*M21*M76/M80</f>
        <v>40.7734828934023</v>
      </c>
    </row>
    <row r="85" customFormat="false" ht="15" hidden="false" customHeight="false" outlineLevel="0" collapsed="false">
      <c r="A85" s="32" t="s">
        <v>207</v>
      </c>
      <c r="B85" s="37" t="s">
        <v>147</v>
      </c>
      <c r="I85" s="44" t="n">
        <f aca="false">I29-(利润表!I31)*I26*I77/I80</f>
        <v>-7.39897318128911</v>
      </c>
      <c r="J85" s="44" t="n">
        <f aca="false">J29-(利润表!J31)*J26*J77/J80</f>
        <v>-3.95077948152453</v>
      </c>
      <c r="K85" s="44" t="n">
        <f aca="false">K29-(利润表!K31)*K26*K77/K80</f>
        <v>-1.69623183483826</v>
      </c>
      <c r="L85" s="44" t="n">
        <f aca="false">L29-(利润表!L31)*L26*L77/L80</f>
        <v>0.264288068922591</v>
      </c>
      <c r="M85" s="44" t="n">
        <f aca="false">M29-(利润表!M31)*M26*M77/M80</f>
        <v>0.663132097011411</v>
      </c>
    </row>
    <row r="86" customFormat="false" ht="15" hidden="false" customHeight="false" outlineLevel="0" collapsed="false">
      <c r="A86" s="32" t="s">
        <v>208</v>
      </c>
      <c r="B86" s="37" t="s">
        <v>147</v>
      </c>
      <c r="I86" s="44" t="n">
        <f aca="false">I37-(利润表!I31)*I35*I78/I80</f>
        <v>189.105683673462</v>
      </c>
      <c r="J86" s="44" t="n">
        <f aca="false">J37-(利润表!J31)*J35*J78/J80</f>
        <v>356.38113616806</v>
      </c>
      <c r="K86" s="44" t="n">
        <f aca="false">K37-(利润表!K31)*K35*K78/K80</f>
        <v>568.001851170794</v>
      </c>
      <c r="L86" s="44" t="n">
        <f aca="false">L37-(利润表!L31)*L35*L78/L80</f>
        <v>691.510529901325</v>
      </c>
      <c r="M86" s="44" t="n">
        <f aca="false">M37-(利润表!M31)*M35*M78/M80</f>
        <v>750.901248936573</v>
      </c>
    </row>
    <row r="87" customFormat="false" ht="15" hidden="false" customHeight="false" outlineLevel="0" collapsed="false">
      <c r="A87" s="32" t="s">
        <v>209</v>
      </c>
      <c r="B87" s="37" t="s">
        <v>147</v>
      </c>
      <c r="I87" s="44" t="n">
        <f aca="false">I43-(利润表!I31)*I40*I79/I80</f>
        <v>30.4247772801348</v>
      </c>
      <c r="J87" s="44" t="n">
        <f aca="false">J43-(利润表!J31)*J40*J79/J80</f>
        <v>22.7286075157304</v>
      </c>
      <c r="K87" s="44" t="n">
        <f aca="false">K43-(利润表!K31)*K40*K79/K80</f>
        <v>24.0342556959858</v>
      </c>
      <c r="L87" s="44" t="n">
        <f aca="false">L43-(利润表!L31)*L40*L79/L80</f>
        <v>24.1644149619078</v>
      </c>
      <c r="M87" s="44" t="n">
        <f aca="false">M43-(利润表!M31)*M40*M79/M80</f>
        <v>25.7917923996622</v>
      </c>
    </row>
    <row r="88" customFormat="false" ht="15" hidden="false" customHeight="false" outlineLevel="0" collapsed="false">
      <c r="A88" s="32" t="s">
        <v>210</v>
      </c>
      <c r="B88" s="23" t="s">
        <v>94</v>
      </c>
      <c r="I88" s="33" t="n">
        <v>0</v>
      </c>
      <c r="J88" s="33" t="n">
        <v>0.03</v>
      </c>
      <c r="K88" s="33" t="n">
        <v>0.06</v>
      </c>
      <c r="L88" s="33" t="n">
        <v>0.08</v>
      </c>
      <c r="M88" s="33" t="n">
        <v>0.1</v>
      </c>
      <c r="N88" s="21" t="s">
        <v>211</v>
      </c>
    </row>
    <row r="89" customFormat="false" ht="15" hidden="false" customHeight="false" outlineLevel="0" collapsed="false">
      <c r="A89" s="32" t="s">
        <v>212</v>
      </c>
      <c r="B89" s="23" t="s">
        <v>94</v>
      </c>
      <c r="I89" s="33" t="n">
        <v>0</v>
      </c>
      <c r="J89" s="33" t="n">
        <v>0</v>
      </c>
      <c r="K89" s="33" t="n">
        <v>0</v>
      </c>
      <c r="L89" s="33" t="n">
        <v>0</v>
      </c>
      <c r="M89" s="33" t="n">
        <v>0</v>
      </c>
      <c r="N89" s="21" t="s">
        <v>213</v>
      </c>
    </row>
    <row r="90" customFormat="false" ht="15" hidden="false" customHeight="false" outlineLevel="0" collapsed="false">
      <c r="A90" s="32" t="s">
        <v>214</v>
      </c>
      <c r="B90" s="23" t="s">
        <v>94</v>
      </c>
      <c r="I90" s="33" t="n">
        <v>0</v>
      </c>
      <c r="J90" s="33" t="n">
        <v>0.08</v>
      </c>
      <c r="K90" s="33" t="n">
        <v>0.14</v>
      </c>
      <c r="L90" s="33" t="n">
        <v>0.15</v>
      </c>
      <c r="M90" s="33" t="n">
        <v>0.15</v>
      </c>
      <c r="N90" s="21" t="s">
        <v>215</v>
      </c>
    </row>
    <row r="91" customFormat="false" ht="15" hidden="false" customHeight="false" outlineLevel="0" collapsed="false">
      <c r="A91" s="32" t="s">
        <v>216</v>
      </c>
      <c r="B91" s="23" t="s">
        <v>94</v>
      </c>
      <c r="I91" s="33" t="n">
        <v>0</v>
      </c>
      <c r="J91" s="33" t="n">
        <v>0.05</v>
      </c>
      <c r="K91" s="33" t="n">
        <v>0.08</v>
      </c>
      <c r="L91" s="33" t="n">
        <v>0.08</v>
      </c>
      <c r="M91" s="33" t="n">
        <v>0.08</v>
      </c>
      <c r="N91" s="36" t="s">
        <v>217</v>
      </c>
    </row>
    <row r="92" customFormat="false" ht="15" hidden="false" customHeight="false" outlineLevel="0" collapsed="false">
      <c r="A92" s="32" t="s">
        <v>218</v>
      </c>
      <c r="B92" s="23" t="s">
        <v>94</v>
      </c>
      <c r="I92" s="33" t="n">
        <v>0</v>
      </c>
      <c r="J92" s="33" t="n">
        <v>0</v>
      </c>
      <c r="K92" s="33" t="n">
        <v>0.1</v>
      </c>
      <c r="L92" s="33" t="n">
        <v>0.15</v>
      </c>
      <c r="M92" s="33" t="n">
        <v>0.15</v>
      </c>
      <c r="N92" s="21" t="s">
        <v>219</v>
      </c>
    </row>
    <row r="93" customFormat="false" ht="15" hidden="false" customHeight="false" outlineLevel="0" collapsed="false">
      <c r="A93" s="32" t="s">
        <v>220</v>
      </c>
      <c r="B93" s="23" t="s">
        <v>94</v>
      </c>
      <c r="I93" s="33" t="n">
        <v>0.5</v>
      </c>
      <c r="J93" s="33" t="n">
        <v>0.44</v>
      </c>
      <c r="K93" s="33" t="n">
        <v>0.38</v>
      </c>
      <c r="L93" s="33" t="n">
        <v>0.35</v>
      </c>
      <c r="M93" s="33" t="n">
        <v>0.35</v>
      </c>
      <c r="N93" s="21" t="s">
        <v>221</v>
      </c>
    </row>
    <row r="94" customFormat="false" ht="15" hidden="false" customHeight="false" outlineLevel="0" collapsed="false">
      <c r="A94" s="32" t="s">
        <v>222</v>
      </c>
      <c r="B94" s="23" t="s">
        <v>94</v>
      </c>
      <c r="I94" s="33" t="n">
        <v>0.45</v>
      </c>
      <c r="J94" s="33" t="n">
        <v>0.45</v>
      </c>
      <c r="K94" s="33" t="n">
        <v>0.45</v>
      </c>
      <c r="L94" s="33" t="n">
        <v>0.45</v>
      </c>
      <c r="M94" s="33" t="n">
        <v>0.45</v>
      </c>
      <c r="N94" s="21" t="s">
        <v>223</v>
      </c>
    </row>
    <row r="95" customFormat="false" ht="15" hidden="false" customHeight="false" outlineLevel="0" collapsed="false">
      <c r="A95" s="32" t="s">
        <v>224</v>
      </c>
      <c r="B95" s="37" t="s">
        <v>147</v>
      </c>
      <c r="I95" s="44" t="n">
        <f aca="false">I81*(1-费用税率!I23)*(1-I88)</f>
        <v>231.707505503655</v>
      </c>
      <c r="J95" s="44" t="n">
        <f aca="false">J81*(1-费用税率!J23)*(1-J88)</f>
        <v>267.38627134486</v>
      </c>
      <c r="K95" s="44" t="n">
        <f aca="false">K81*(1-费用税率!K23)*(1-K88)</f>
        <v>330.538484724817</v>
      </c>
      <c r="L95" s="44" t="n">
        <f aca="false">L81*(1-费用税率!L23)*(1-L88)</f>
        <v>367.721246356568</v>
      </c>
      <c r="M95" s="44" t="n">
        <f aca="false">M81*(1-费用税率!M23)*(1-M88)</f>
        <v>407.124993114089</v>
      </c>
    </row>
    <row r="96" customFormat="false" ht="15" hidden="false" customHeight="false" outlineLevel="0" collapsed="false">
      <c r="A96" s="32" t="s">
        <v>225</v>
      </c>
      <c r="B96" s="37" t="s">
        <v>147</v>
      </c>
      <c r="I96" s="44" t="n">
        <f aca="false">I82*(1-费用税率!I23)*(1-I89)</f>
        <v>162.723785298335</v>
      </c>
      <c r="J96" s="44" t="n">
        <f aca="false">J82*(1-费用税率!J23)*(1-J89)</f>
        <v>182.470790349589</v>
      </c>
      <c r="K96" s="44" t="n">
        <f aca="false">K82*(1-费用税率!K23)*(1-K89)</f>
        <v>207.095982294582</v>
      </c>
      <c r="L96" s="44" t="n">
        <f aca="false">L82*(1-费用税率!L23)*(1-L89)</f>
        <v>229.052329347955</v>
      </c>
      <c r="M96" s="44" t="n">
        <f aca="false">M82*(1-费用税率!M23)*(1-M89)</f>
        <v>241.748752478878</v>
      </c>
    </row>
    <row r="97" customFormat="false" ht="15" hidden="false" customHeight="false" outlineLevel="0" collapsed="false">
      <c r="A97" s="32" t="s">
        <v>226</v>
      </c>
      <c r="B97" s="37" t="s">
        <v>147</v>
      </c>
      <c r="I97" s="44" t="n">
        <f aca="false">I83*(1-费用税率!I23)*(1-I90)</f>
        <v>15.1667896215238</v>
      </c>
      <c r="J97" s="44" t="n">
        <f aca="false">J83*(1-费用税率!J23)*(1-J90)</f>
        <v>21.6607171646051</v>
      </c>
      <c r="K97" s="44" t="n">
        <f aca="false">K83*(1-费用税率!K23)*(1-K90)</f>
        <v>37.5124853274079</v>
      </c>
      <c r="L97" s="44" t="n">
        <f aca="false">L83*(1-费用税率!L23)*(1-L90)</f>
        <v>51.497297818591</v>
      </c>
      <c r="M97" s="44" t="n">
        <f aca="false">M83*(1-费用税率!M23)*(1-M90)</f>
        <v>63.7003214030005</v>
      </c>
    </row>
    <row r="98" customFormat="false" ht="15" hidden="false" customHeight="false" outlineLevel="0" collapsed="false">
      <c r="A98" s="32" t="s">
        <v>227</v>
      </c>
      <c r="B98" s="37" t="s">
        <v>147</v>
      </c>
      <c r="I98" s="44" t="n">
        <f aca="false">I84*(1-费用税率!I23)*(1-I91)</f>
        <v>42.6601837776895</v>
      </c>
      <c r="J98" s="44" t="n">
        <f aca="false">J84*(1-费用税率!J23)*(1-J91)</f>
        <v>35.1275707112649</v>
      </c>
      <c r="K98" s="44" t="n">
        <f aca="false">K84*(1-费用税率!K23)*(1-K91)</f>
        <v>29.0425558153207</v>
      </c>
      <c r="L98" s="44" t="n">
        <f aca="false">L84*(1-费用税率!L23)*(1-L91)</f>
        <v>30.6599685332006</v>
      </c>
      <c r="M98" s="44" t="n">
        <f aca="false">M84*(1-费用税率!M23)*(1-M91)</f>
        <v>32.6253651623823</v>
      </c>
    </row>
    <row r="99" customFormat="false" ht="15" hidden="false" customHeight="false" outlineLevel="0" collapsed="false">
      <c r="A99" s="32" t="s">
        <v>228</v>
      </c>
      <c r="B99" s="37" t="s">
        <v>147</v>
      </c>
      <c r="I99" s="44" t="n">
        <f aca="false">I85*(1-费用税率!I23)*(1-I92)</f>
        <v>-6.5329514881961</v>
      </c>
      <c r="J99" s="44" t="n">
        <f aca="false">J85*(1-费用税率!J23)*(1-J92)</f>
        <v>-3.46748401377319</v>
      </c>
      <c r="K99" s="44" t="n">
        <f aca="false">K85*(1-费用税率!K23)*(1-K92)</f>
        <v>-1.33252473756574</v>
      </c>
      <c r="L99" s="44" t="n">
        <f aca="false">L85*(1-费用税率!L23)*(1-L92)</f>
        <v>0.195710578337773</v>
      </c>
      <c r="M99" s="44" t="n">
        <f aca="false">M85*(1-费用税率!M23)*(1-M92)</f>
        <v>0.490239971212667</v>
      </c>
    </row>
    <row r="100" customFormat="false" ht="15" hidden="false" customHeight="false" outlineLevel="0" collapsed="false">
      <c r="A100" s="32" t="s">
        <v>229</v>
      </c>
      <c r="B100" s="37" t="s">
        <v>147</v>
      </c>
      <c r="I100" s="44" t="n">
        <f aca="false">I86*(1-费用税率!I23)*(1-I93)</f>
        <v>83.4857910219942</v>
      </c>
      <c r="J100" s="44" t="n">
        <f aca="false">J86*(1-费用税率!J23)*(1-J93)</f>
        <v>175.159788852068</v>
      </c>
      <c r="K100" s="44" t="n">
        <f aca="false">K86*(1-费用税率!K23)*(1-K93)</f>
        <v>307.389480950442</v>
      </c>
      <c r="L100" s="44" t="n">
        <f aca="false">L86*(1-费用税率!L23)*(1-L93)</f>
        <v>391.588537931745</v>
      </c>
      <c r="M100" s="44" t="n">
        <f aca="false">M86*(1-费用税率!M23)*(1-M93)</f>
        <v>424.508046354072</v>
      </c>
    </row>
    <row r="101" customFormat="false" ht="15" hidden="false" customHeight="false" outlineLevel="0" collapsed="false">
      <c r="A101" s="32" t="s">
        <v>230</v>
      </c>
      <c r="B101" s="37" t="s">
        <v>147</v>
      </c>
      <c r="I101" s="44" t="n">
        <f aca="false">I87*(1-费用税率!I23)*(1-I94)</f>
        <v>14.7750199963035</v>
      </c>
      <c r="J101" s="44" t="n">
        <f aca="false">J87*(1-费用税率!J23)*(1-J94)</f>
        <v>10.9715300414944</v>
      </c>
      <c r="K101" s="44" t="n">
        <f aca="false">K87*(1-费用税率!K23)*(1-K94)</f>
        <v>11.5382761191002</v>
      </c>
      <c r="L101" s="44" t="n">
        <f aca="false">L87*(1-费用税率!L23)*(1-L94)</f>
        <v>11.578619744324</v>
      </c>
      <c r="M101" s="44" t="n">
        <f aca="false">M87*(1-费用税率!M23)*(1-M94)</f>
        <v>12.3376929348481</v>
      </c>
    </row>
    <row r="102" customFormat="false" ht="15" hidden="false" customHeight="false" outlineLevel="0" collapsed="false">
      <c r="A102" s="34" t="s">
        <v>231</v>
      </c>
      <c r="B102" s="37" t="s">
        <v>147</v>
      </c>
      <c r="I102" s="46" t="n">
        <f aca="false">I95+I96+I97+I98+I99+I100+I101</f>
        <v>543.986123731305</v>
      </c>
      <c r="J102" s="46" t="n">
        <f aca="false">J95+J96+J97+J98+J99+J100+J101</f>
        <v>689.309184450108</v>
      </c>
      <c r="K102" s="46" t="n">
        <f aca="false">K95+K96+K97+K98+K99+K100+K101</f>
        <v>921.784740494104</v>
      </c>
      <c r="L102" s="46" t="n">
        <f aca="false">L95+L96+L97+L98+L99+L100+L101</f>
        <v>1082.29371031072</v>
      </c>
      <c r="M102" s="46" t="n">
        <f aca="false">M95+M96+M97+M98+M99+M100+M101</f>
        <v>1182.53541141848</v>
      </c>
    </row>
    <row r="103" customFormat="false" ht="15" hidden="false" customHeight="false" outlineLevel="0" collapsed="false">
      <c r="A103" s="32" t="s">
        <v>232</v>
      </c>
      <c r="B103" s="37" t="s">
        <v>147</v>
      </c>
      <c r="I103" s="44" t="n">
        <f aca="false">利润表!I27-I102</f>
        <v>73.9369963229539</v>
      </c>
      <c r="J103" s="44" t="n">
        <f aca="false">利润表!J27-J102</f>
        <v>61.9263370500212</v>
      </c>
      <c r="K103" s="44" t="n">
        <f aca="false">利润表!K27-K102</f>
        <v>42.9488412614395</v>
      </c>
      <c r="L103" s="44" t="n">
        <f aca="false">利润表!L27-L102</f>
        <v>28.0344150536857</v>
      </c>
      <c r="M103" s="44" t="n">
        <f aca="false">利润表!M27-M102</f>
        <v>24.6759636233578</v>
      </c>
      <c r="N103" s="21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17.35" hidden="false" customHeight="false" outlineLevel="0" collapsed="false">
      <c r="A1" s="20" t="s">
        <v>234</v>
      </c>
    </row>
    <row r="2" customFormat="false" ht="15" hidden="false" customHeight="false" outlineLevel="0" collapsed="false">
      <c r="A2" s="21" t="s">
        <v>235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236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50" t="s">
        <v>237</v>
      </c>
      <c r="B6" s="37" t="s">
        <v>147</v>
      </c>
      <c r="I6" s="40" t="n">
        <v>450</v>
      </c>
      <c r="J6" s="40" t="n">
        <v>150</v>
      </c>
      <c r="K6" s="40" t="n">
        <v>0</v>
      </c>
      <c r="L6" s="40" t="n">
        <v>0</v>
      </c>
      <c r="M6" s="40" t="n">
        <v>0</v>
      </c>
      <c r="N6" s="21" t="s">
        <v>238</v>
      </c>
    </row>
    <row r="7" customFormat="false" ht="15" hidden="false" customHeight="false" outlineLevel="0" collapsed="false">
      <c r="A7" s="32" t="s">
        <v>239</v>
      </c>
      <c r="B7" s="37" t="s">
        <v>147</v>
      </c>
      <c r="I7" s="44" t="n">
        <f aca="false">MAX(I6,MAX(0,业务拆分!J31-业务拆分!I31)*$C$53)+0</f>
        <v>450</v>
      </c>
      <c r="J7" s="44" t="n">
        <f aca="false">MAX(J6,MAX(0,业务拆分!K31-业务拆分!J31)*$C$53)+0</f>
        <v>360</v>
      </c>
      <c r="K7" s="44" t="n">
        <f aca="false">MAX(K6,MAX(0,业务拆分!L31-业务拆分!K31)*$C$53)+0</f>
        <v>270</v>
      </c>
      <c r="L7" s="44" t="n">
        <f aca="false">MAX(L6,MAX(0,业务拆分!M31-业务拆分!L31)*$C$53)+0</f>
        <v>180</v>
      </c>
      <c r="M7" s="44" t="n">
        <f aca="false">MAX(M6,$C$54*$C$53)+0</f>
        <v>180</v>
      </c>
      <c r="N7" s="21" t="s">
        <v>240</v>
      </c>
    </row>
    <row r="8" customFormat="false" ht="15" hidden="false" customHeight="false" outlineLevel="0" collapsed="false">
      <c r="A8" s="32" t="s">
        <v>241</v>
      </c>
      <c r="B8" s="37" t="s">
        <v>147</v>
      </c>
      <c r="I8" s="40" t="n">
        <v>100</v>
      </c>
      <c r="J8" s="40" t="n">
        <v>100</v>
      </c>
      <c r="K8" s="40" t="n">
        <v>80</v>
      </c>
      <c r="L8" s="40" t="n">
        <v>60</v>
      </c>
      <c r="M8" s="40" t="n">
        <v>60</v>
      </c>
      <c r="N8" s="21" t="s">
        <v>242</v>
      </c>
    </row>
    <row r="9" customFormat="false" ht="15" hidden="false" customHeight="false" outlineLevel="0" collapsed="false">
      <c r="A9" s="32" t="s">
        <v>243</v>
      </c>
      <c r="B9" s="37" t="s">
        <v>147</v>
      </c>
      <c r="I9" s="40" t="n">
        <v>50</v>
      </c>
      <c r="J9" s="40" t="n">
        <v>40</v>
      </c>
      <c r="K9" s="40" t="n">
        <v>30</v>
      </c>
      <c r="L9" s="40" t="n">
        <v>20</v>
      </c>
      <c r="M9" s="40" t="n">
        <v>20</v>
      </c>
      <c r="N9" s="21" t="s">
        <v>244</v>
      </c>
    </row>
    <row r="10" customFormat="false" ht="15" hidden="false" customHeight="false" outlineLevel="0" collapsed="false">
      <c r="A10" s="32" t="s">
        <v>245</v>
      </c>
      <c r="B10" s="37" t="s">
        <v>147</v>
      </c>
      <c r="I10" s="40" t="n">
        <v>100</v>
      </c>
      <c r="J10" s="40" t="n">
        <v>120</v>
      </c>
      <c r="K10" s="40" t="n">
        <v>40</v>
      </c>
      <c r="L10" s="40" t="n">
        <v>0</v>
      </c>
      <c r="M10" s="40" t="n">
        <v>0</v>
      </c>
      <c r="N10" s="21" t="s">
        <v>246</v>
      </c>
    </row>
    <row r="11" customFormat="false" ht="15" hidden="false" customHeight="false" outlineLevel="0" collapsed="false">
      <c r="A11" s="32" t="s">
        <v>247</v>
      </c>
      <c r="B11" s="37" t="s">
        <v>147</v>
      </c>
      <c r="I11" s="40" t="n">
        <v>120</v>
      </c>
      <c r="J11" s="40" t="n">
        <v>130</v>
      </c>
      <c r="K11" s="40" t="n">
        <v>120</v>
      </c>
      <c r="L11" s="40" t="n">
        <v>100</v>
      </c>
      <c r="M11" s="40" t="n">
        <v>100</v>
      </c>
      <c r="N11" s="21" t="s">
        <v>248</v>
      </c>
    </row>
    <row r="12" customFormat="false" ht="15" hidden="false" customHeight="false" outlineLevel="0" collapsed="false">
      <c r="A12" s="32" t="s">
        <v>249</v>
      </c>
      <c r="B12" s="37" t="s">
        <v>147</v>
      </c>
      <c r="I12" s="40" t="n">
        <v>60</v>
      </c>
      <c r="J12" s="40" t="n">
        <v>40</v>
      </c>
      <c r="K12" s="40" t="n">
        <v>0</v>
      </c>
      <c r="L12" s="40" t="n">
        <v>0</v>
      </c>
      <c r="M12" s="40" t="n">
        <v>0</v>
      </c>
      <c r="N12" s="21" t="s">
        <v>250</v>
      </c>
    </row>
    <row r="13" customFormat="false" ht="15" hidden="false" customHeight="false" outlineLevel="0" collapsed="false">
      <c r="A13" s="32" t="s">
        <v>251</v>
      </c>
      <c r="B13" s="23" t="s">
        <v>94</v>
      </c>
      <c r="I13" s="33" t="n">
        <v>0.03</v>
      </c>
      <c r="J13" s="33" t="n">
        <v>0.04</v>
      </c>
      <c r="K13" s="33" t="n">
        <v>0.05</v>
      </c>
      <c r="L13" s="33" t="n">
        <v>0.06</v>
      </c>
      <c r="M13" s="33" t="n">
        <v>0.065</v>
      </c>
      <c r="N13" s="21" t="s">
        <v>252</v>
      </c>
    </row>
    <row r="14" customFormat="false" ht="15" hidden="false" customHeight="false" outlineLevel="0" collapsed="false">
      <c r="A14" s="32" t="s">
        <v>253</v>
      </c>
      <c r="B14" s="37" t="s">
        <v>147</v>
      </c>
      <c r="I14" s="44" t="n">
        <f aca="false">I13*利润表!I5</f>
        <v>82.23021</v>
      </c>
      <c r="J14" s="44" t="n">
        <f aca="false">J13*利润表!J5</f>
        <v>140.4182456</v>
      </c>
      <c r="K14" s="44" t="n">
        <f aca="false">K13*利润表!K5</f>
        <v>220.99841887</v>
      </c>
      <c r="L14" s="44" t="n">
        <f aca="false">L13*利润表!L5</f>
        <v>308.61150261012</v>
      </c>
      <c r="M14" s="44" t="n">
        <f aca="false">M13*利润表!M5</f>
        <v>370.657034793699</v>
      </c>
    </row>
    <row r="15" customFormat="false" ht="15" hidden="false" customHeight="false" outlineLevel="0" collapsed="false">
      <c r="A15" s="32" t="s">
        <v>254</v>
      </c>
      <c r="B15" s="37" t="s">
        <v>147</v>
      </c>
      <c r="I15" s="40" t="n">
        <v>40</v>
      </c>
      <c r="J15" s="40" t="n">
        <v>30</v>
      </c>
      <c r="K15" s="40" t="n">
        <v>20</v>
      </c>
      <c r="L15" s="40" t="n">
        <v>20</v>
      </c>
      <c r="M15" s="40" t="n">
        <v>20</v>
      </c>
      <c r="N15" s="21" t="s">
        <v>255</v>
      </c>
    </row>
    <row r="16" customFormat="false" ht="15" hidden="false" customHeight="false" outlineLevel="0" collapsed="false">
      <c r="A16" s="32" t="s">
        <v>256</v>
      </c>
      <c r="B16" s="37" t="s">
        <v>147</v>
      </c>
      <c r="I16" s="44" t="n">
        <f aca="false">I47</f>
        <v>13.3</v>
      </c>
      <c r="J16" s="44" t="n">
        <f aca="false">J47</f>
        <v>13.3</v>
      </c>
      <c r="K16" s="44" t="n">
        <f aca="false">K47</f>
        <v>13.3</v>
      </c>
      <c r="L16" s="44" t="n">
        <f aca="false">L47</f>
        <v>13.3</v>
      </c>
      <c r="M16" s="44" t="n">
        <f aca="false">M47</f>
        <v>13.3</v>
      </c>
    </row>
    <row r="17" customFormat="false" ht="15" hidden="false" customHeight="false" outlineLevel="0" collapsed="false">
      <c r="A17" s="22" t="s">
        <v>257</v>
      </c>
      <c r="B17" s="37" t="s">
        <v>147</v>
      </c>
      <c r="C17" s="51" t="n">
        <v>203.6003</v>
      </c>
      <c r="D17" s="51" t="n">
        <v>318.8237</v>
      </c>
      <c r="E17" s="51" t="n">
        <v>572.6832</v>
      </c>
      <c r="F17" s="51" t="n">
        <v>544.5963</v>
      </c>
      <c r="G17" s="51" t="n">
        <v>369.8711</v>
      </c>
      <c r="H17" s="51" t="n">
        <v>558.9568</v>
      </c>
      <c r="I17" s="46" t="n">
        <f aca="false">I7+I8+I9+I10+I11+I12+I14+I15+I16</f>
        <v>1015.53021</v>
      </c>
      <c r="J17" s="46" t="n">
        <f aca="false">J7+J8+J9+J10+J11+J12+J14+J15+J16</f>
        <v>973.7182456</v>
      </c>
      <c r="K17" s="46" t="n">
        <f aca="false">K7+K8+K9+K10+K11+K12+K14+K15+K16</f>
        <v>794.29841887</v>
      </c>
      <c r="L17" s="46" t="n">
        <f aca="false">L7+L8+L9+L10+L11+L12+L14+L15+L16</f>
        <v>701.91150261012</v>
      </c>
      <c r="M17" s="46" t="n">
        <f aca="false">M7+M8+M9+M10+M11+M12+M14+M15+M16</f>
        <v>763.957034793699</v>
      </c>
      <c r="N17" s="21" t="s">
        <v>258</v>
      </c>
    </row>
    <row r="18" customFormat="false" ht="15" hidden="false" customHeight="false" outlineLevel="0" collapsed="false">
      <c r="A18" s="32" t="s">
        <v>259</v>
      </c>
      <c r="B18" s="23" t="s">
        <v>94</v>
      </c>
      <c r="C18" s="13" t="n">
        <f aca="false">C17/利润表!C5</f>
        <v>0.235763566546311</v>
      </c>
      <c r="D18" s="13" t="n">
        <f aca="false">D17/利润表!D5</f>
        <v>0.260573018607192</v>
      </c>
      <c r="E18" s="13" t="n">
        <f aca="false">E17/利润表!E5</f>
        <v>0.333078277959796</v>
      </c>
      <c r="F18" s="13" t="n">
        <f aca="false">F17/利润表!F5</f>
        <v>0.260504760821425</v>
      </c>
      <c r="G18" s="13" t="n">
        <f aca="false">G17/利润表!G5</f>
        <v>0.212348535553275</v>
      </c>
      <c r="H18" s="13" t="n">
        <f aca="false">H17/利润表!H5</f>
        <v>0.277212341574417</v>
      </c>
      <c r="I18" s="13" t="n">
        <f aca="false">I17/利润表!I5</f>
        <v>0.370495299720139</v>
      </c>
      <c r="J18" s="13" t="n">
        <f aca="false">J17/利润表!J5</f>
        <v>0.277376559275286</v>
      </c>
      <c r="K18" s="13" t="n">
        <f aca="false">K17/利润表!K5</f>
        <v>0.179706810331806</v>
      </c>
      <c r="L18" s="13" t="n">
        <f aca="false">L17/利润表!L5</f>
        <v>0.136465069514315</v>
      </c>
      <c r="M18" s="13" t="n">
        <f aca="false">M17/利润表!M5</f>
        <v>0.133970767044065</v>
      </c>
    </row>
    <row r="19" customFormat="false" ht="15" hidden="false" customHeight="false" outlineLevel="0" collapsed="false">
      <c r="A19" s="32" t="s">
        <v>260</v>
      </c>
      <c r="B19" s="23" t="s">
        <v>195</v>
      </c>
      <c r="C19" s="11" t="n">
        <f aca="false">IFERROR(C17/C49,0)</f>
        <v>3.32003202619495</v>
      </c>
      <c r="D19" s="11" t="n">
        <f aca="false">IFERROR(D17/D49,0)</f>
        <v>3.74569799558961</v>
      </c>
      <c r="E19" s="11" t="n">
        <f aca="false">IFERROR(E17/E49,0)</f>
        <v>4.97874992936349</v>
      </c>
      <c r="F19" s="11" t="n">
        <f aca="false">IFERROR(F17/F49,0)</f>
        <v>3.25013368249929</v>
      </c>
      <c r="G19" s="11" t="n">
        <f aca="false">IFERROR(G17/G49,0)</f>
        <v>1.7869092750205</v>
      </c>
      <c r="H19" s="11" t="n">
        <f aca="false">IFERROR(H17/H49,0)</f>
        <v>2.25105967057887</v>
      </c>
      <c r="I19" s="11" t="n">
        <f aca="false">I17/I49</f>
        <v>3.37920775852329</v>
      </c>
      <c r="J19" s="11" t="n">
        <f aca="false">J17/J49</f>
        <v>2.67426787814319</v>
      </c>
      <c r="K19" s="11" t="n">
        <f aca="false">K17/K49</f>
        <v>1.79054783090534</v>
      </c>
      <c r="L19" s="11" t="n">
        <f aca="false">L17/L49</f>
        <v>1.35018697438951</v>
      </c>
      <c r="M19" s="11" t="n">
        <f aca="false">M17/M49</f>
        <v>1.298567637236</v>
      </c>
    </row>
    <row r="20" customFormat="false" ht="15" hidden="false" customHeight="false" outlineLevel="0" collapsed="false">
      <c r="A20" s="30" t="s">
        <v>261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customFormat="false" ht="15" hidden="false" customHeight="false" outlineLevel="0" collapsed="false">
      <c r="A21" s="32" t="s">
        <v>262</v>
      </c>
      <c r="B21" s="23" t="s">
        <v>94</v>
      </c>
      <c r="C21" s="13" t="n">
        <f aca="false">IFERROR(C22/C17,0)</f>
        <v>0</v>
      </c>
      <c r="D21" s="13" t="n">
        <f aca="false">IFERROR(D22/D17,0)</f>
        <v>0.297430209862065</v>
      </c>
      <c r="E21" s="13" t="n">
        <f aca="false">IFERROR(E22/E17,0)</f>
        <v>0.126086813791639</v>
      </c>
      <c r="F21" s="13" t="n">
        <f aca="false">IFERROR(F22/F17,0)</f>
        <v>0.314016455859138</v>
      </c>
      <c r="G21" s="13" t="n">
        <f aca="false">IFERROR(G22/G17,0)</f>
        <v>0.423008177713804</v>
      </c>
      <c r="H21" s="13" t="n">
        <f aca="false">IFERROR(H22/H17,0)</f>
        <v>0.418820560014656</v>
      </c>
      <c r="I21" s="33" t="n">
        <v>0.4</v>
      </c>
      <c r="J21" s="33" t="n">
        <v>0.4</v>
      </c>
      <c r="K21" s="33" t="n">
        <v>0.4</v>
      </c>
      <c r="L21" s="33" t="n">
        <v>0.4</v>
      </c>
      <c r="M21" s="33" t="n">
        <v>0.4</v>
      </c>
    </row>
    <row r="22" customFormat="false" ht="15" hidden="false" customHeight="false" outlineLevel="0" collapsed="false">
      <c r="A22" s="32" t="s">
        <v>263</v>
      </c>
      <c r="B22" s="37" t="s">
        <v>147</v>
      </c>
      <c r="C22" s="19" t="n">
        <v>0</v>
      </c>
      <c r="D22" s="19" t="n">
        <v>94.8278</v>
      </c>
      <c r="E22" s="19" t="n">
        <v>72.2078</v>
      </c>
      <c r="F22" s="19" t="n">
        <v>171.0122</v>
      </c>
      <c r="G22" s="19" t="n">
        <v>156.4585</v>
      </c>
      <c r="H22" s="19" t="n">
        <v>234.1026</v>
      </c>
      <c r="I22" s="44" t="n">
        <f aca="false">I21*I17</f>
        <v>406.212084</v>
      </c>
      <c r="J22" s="44" t="n">
        <f aca="false">J21*J17</f>
        <v>389.48729824</v>
      </c>
      <c r="K22" s="44" t="n">
        <f aca="false">K21*K17</f>
        <v>317.719367548</v>
      </c>
      <c r="L22" s="44" t="n">
        <f aca="false">L21*L17</f>
        <v>280.764601044048</v>
      </c>
      <c r="M22" s="44" t="n">
        <f aca="false">M21*M17</f>
        <v>305.58281391748</v>
      </c>
    </row>
    <row r="23" customFormat="false" ht="15" hidden="false" customHeight="false" outlineLevel="0" collapsed="false">
      <c r="A23" s="32" t="s">
        <v>264</v>
      </c>
      <c r="B23" s="37" t="s">
        <v>147</v>
      </c>
      <c r="I23" s="44" t="n">
        <f aca="false">I22-H22</f>
        <v>172.109484</v>
      </c>
      <c r="J23" s="44" t="n">
        <f aca="false">J22-I22</f>
        <v>-16.72478576</v>
      </c>
      <c r="K23" s="44" t="n">
        <f aca="false">K22-J22</f>
        <v>-71.7679306919999</v>
      </c>
      <c r="L23" s="44" t="n">
        <f aca="false">L22-K22</f>
        <v>-36.954766503952</v>
      </c>
      <c r="M23" s="44" t="n">
        <f aca="false">M22-L22</f>
        <v>24.8182128734316</v>
      </c>
    </row>
    <row r="24" customFormat="false" ht="15" hidden="false" customHeight="false" outlineLevel="0" collapsed="false">
      <c r="A24" s="30" t="s">
        <v>265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customFormat="false" ht="15" hidden="false" customHeight="false" outlineLevel="0" collapsed="false">
      <c r="A25" s="32" t="s">
        <v>266</v>
      </c>
      <c r="B25" s="37" t="s">
        <v>147</v>
      </c>
      <c r="I25" s="44" t="n">
        <f aca="false">H29</f>
        <v>207.0485</v>
      </c>
      <c r="J25" s="44" t="n">
        <f aca="false">I29</f>
        <v>411.7225572</v>
      </c>
      <c r="K25" s="44" t="n">
        <f aca="false">J29</f>
        <v>487.378937184</v>
      </c>
      <c r="L25" s="44" t="n">
        <f aca="false">K29</f>
        <v>384.7014037566</v>
      </c>
      <c r="M25" s="44" t="n">
        <f aca="false">L29</f>
        <v>273.579659591193</v>
      </c>
    </row>
    <row r="26" customFormat="false" ht="15" hidden="false" customHeight="false" outlineLevel="0" collapsed="false">
      <c r="A26" s="32" t="s">
        <v>267</v>
      </c>
      <c r="B26" s="37" t="s">
        <v>147</v>
      </c>
      <c r="I26" s="44" t="n">
        <f aca="false">I7+I8+I9+I10+I11+I12-I23</f>
        <v>707.890516</v>
      </c>
      <c r="J26" s="44" t="n">
        <f aca="false">J7+J8+J9+J10+J11+J12-J23</f>
        <v>806.72478576</v>
      </c>
      <c r="K26" s="44" t="n">
        <f aca="false">K7+K8+K9+K10+K11+K12-K23</f>
        <v>611.767930692</v>
      </c>
      <c r="L26" s="44" t="n">
        <f aca="false">L7+L8+L9+L10+L11+L12-L23</f>
        <v>396.954766503952</v>
      </c>
      <c r="M26" s="44" t="n">
        <f aca="false">M7+M8+M9+M10+M11+M12-M23</f>
        <v>335.181787126568</v>
      </c>
    </row>
    <row r="27" customFormat="false" ht="15" hidden="false" customHeight="false" outlineLevel="0" collapsed="false">
      <c r="A27" s="32" t="s">
        <v>268</v>
      </c>
      <c r="B27" s="23" t="s">
        <v>94</v>
      </c>
      <c r="I27" s="33" t="n">
        <v>0.55</v>
      </c>
      <c r="J27" s="33" t="n">
        <v>0.6</v>
      </c>
      <c r="K27" s="33" t="n">
        <v>0.65</v>
      </c>
      <c r="L27" s="33" t="n">
        <v>0.65</v>
      </c>
      <c r="M27" s="33" t="n">
        <v>0.65</v>
      </c>
      <c r="N27" s="21" t="s">
        <v>269</v>
      </c>
    </row>
    <row r="28" customFormat="false" ht="15" hidden="false" customHeight="false" outlineLevel="0" collapsed="false">
      <c r="A28" s="32" t="s">
        <v>270</v>
      </c>
      <c r="B28" s="37" t="s">
        <v>147</v>
      </c>
      <c r="I28" s="44" t="n">
        <f aca="false">(I25+I26)*I27</f>
        <v>503.2164588</v>
      </c>
      <c r="J28" s="44" t="n">
        <f aca="false">(J25+J26)*J27</f>
        <v>731.068405776</v>
      </c>
      <c r="K28" s="44" t="n">
        <f aca="false">(K25+K26)*K27</f>
        <v>714.4454641194</v>
      </c>
      <c r="L28" s="44" t="n">
        <f aca="false">(L25+L26)*L27</f>
        <v>508.076510669359</v>
      </c>
      <c r="M28" s="44" t="n">
        <f aca="false">(M25+M26)*M27</f>
        <v>395.694940366545</v>
      </c>
    </row>
    <row r="29" customFormat="false" ht="15" hidden="false" customHeight="false" outlineLevel="0" collapsed="false">
      <c r="A29" s="34" t="s">
        <v>271</v>
      </c>
      <c r="B29" s="37" t="s">
        <v>147</v>
      </c>
      <c r="C29" s="51" t="n">
        <v>118.3541</v>
      </c>
      <c r="D29" s="51" t="n">
        <v>57.9785</v>
      </c>
      <c r="E29" s="51" t="n">
        <v>179.4215</v>
      </c>
      <c r="F29" s="51" t="n">
        <v>134.2695</v>
      </c>
      <c r="G29" s="51" t="n">
        <v>265.7579</v>
      </c>
      <c r="H29" s="51" t="n">
        <v>207.0485</v>
      </c>
      <c r="I29" s="46" t="n">
        <f aca="false">I25+I26-I28</f>
        <v>411.7225572</v>
      </c>
      <c r="J29" s="46" t="n">
        <f aca="false">J25+J26-J28</f>
        <v>487.378937184</v>
      </c>
      <c r="K29" s="46" t="n">
        <f aca="false">K25+K26-K28</f>
        <v>384.7014037566</v>
      </c>
      <c r="L29" s="46" t="n">
        <f aca="false">L25+L26-L28</f>
        <v>273.579659591193</v>
      </c>
      <c r="M29" s="46" t="n">
        <f aca="false">M25+M26-M28</f>
        <v>213.066506351217</v>
      </c>
    </row>
    <row r="30" customFormat="false" ht="15" hidden="false" customHeight="false" outlineLevel="0" collapsed="false">
      <c r="A30" s="30" t="s">
        <v>272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5" hidden="false" customHeight="false" outlineLevel="0" collapsed="false">
      <c r="A31" s="32" t="s">
        <v>273</v>
      </c>
      <c r="B31" s="37" t="s">
        <v>147</v>
      </c>
      <c r="I31" s="44" t="n">
        <f aca="false">I28+I14</f>
        <v>585.4466688</v>
      </c>
      <c r="J31" s="44" t="n">
        <f aca="false">J28+J14</f>
        <v>871.486651376</v>
      </c>
      <c r="K31" s="44" t="n">
        <f aca="false">K28+K14</f>
        <v>935.4438829894</v>
      </c>
      <c r="L31" s="44" t="n">
        <f aca="false">L28+L14</f>
        <v>816.688013279479</v>
      </c>
      <c r="M31" s="44" t="n">
        <f aca="false">M28+M14</f>
        <v>766.351975160244</v>
      </c>
    </row>
    <row r="32" customFormat="false" ht="15" hidden="false" customHeight="false" outlineLevel="0" collapsed="false">
      <c r="A32" s="32" t="s">
        <v>274</v>
      </c>
      <c r="B32" s="37" t="s">
        <v>147</v>
      </c>
      <c r="I32" s="44" t="n">
        <f aca="false">H40*$C$55</f>
        <v>238.642632</v>
      </c>
      <c r="J32" s="44" t="n">
        <f aca="false">I32*(1-$C$52)</f>
        <v>231.48335304</v>
      </c>
      <c r="K32" s="44" t="n">
        <f aca="false">J32*(1-$C$52)</f>
        <v>224.5388524488</v>
      </c>
      <c r="L32" s="44" t="n">
        <f aca="false">K32*(1-$C$52)</f>
        <v>217.802686875336</v>
      </c>
      <c r="M32" s="44" t="n">
        <f aca="false">L32*(1-$C$52)</f>
        <v>211.268606269076</v>
      </c>
      <c r="N32" s="36" t="s">
        <v>275</v>
      </c>
    </row>
    <row r="33" customFormat="false" ht="15" hidden="false" customHeight="false" outlineLevel="0" collapsed="false">
      <c r="A33" s="32" t="s">
        <v>276</v>
      </c>
      <c r="B33" s="37" t="s">
        <v>277</v>
      </c>
      <c r="I33" s="40" t="n">
        <v>10</v>
      </c>
      <c r="J33" s="40" t="n">
        <v>10</v>
      </c>
      <c r="K33" s="40" t="n">
        <v>10</v>
      </c>
      <c r="L33" s="40" t="n">
        <v>10</v>
      </c>
      <c r="M33" s="40" t="n">
        <v>10</v>
      </c>
      <c r="N33" s="21" t="s">
        <v>278</v>
      </c>
    </row>
    <row r="34" customFormat="false" ht="15" hidden="false" customHeight="false" outlineLevel="0" collapsed="false">
      <c r="A34" s="32" t="s">
        <v>279</v>
      </c>
      <c r="B34" s="23" t="s">
        <v>94</v>
      </c>
      <c r="I34" s="33" t="n">
        <v>0.05</v>
      </c>
      <c r="J34" s="33" t="n">
        <v>0.05</v>
      </c>
      <c r="K34" s="33" t="n">
        <v>0.05</v>
      </c>
      <c r="L34" s="33" t="n">
        <v>0.05</v>
      </c>
      <c r="M34" s="33" t="n">
        <v>0.05</v>
      </c>
    </row>
    <row r="35" customFormat="false" ht="15" hidden="false" customHeight="false" outlineLevel="0" collapsed="false">
      <c r="A35" s="52" t="s">
        <v>280</v>
      </c>
      <c r="B35" s="37" t="s">
        <v>147</v>
      </c>
      <c r="I35" s="44" t="n">
        <f aca="false">$I$31*(1-$I$34)/$I$33*0.5</f>
        <v>27.808716768</v>
      </c>
      <c r="J35" s="44" t="n">
        <f aca="false">$I$31*(1-$I$34)/$I$33*1</f>
        <v>55.617433536</v>
      </c>
      <c r="K35" s="44" t="n">
        <f aca="false">$I$31*(1-$I$34)/$I$33*1</f>
        <v>55.617433536</v>
      </c>
      <c r="L35" s="44" t="n">
        <f aca="false">$I$31*(1-$I$34)/$I$33*1</f>
        <v>55.617433536</v>
      </c>
      <c r="M35" s="44" t="n">
        <f aca="false">$I$31*(1-$I$34)/$I$33*1</f>
        <v>55.617433536</v>
      </c>
    </row>
    <row r="36" customFormat="false" ht="15" hidden="false" customHeight="false" outlineLevel="0" collapsed="false">
      <c r="A36" s="52" t="s">
        <v>281</v>
      </c>
      <c r="B36" s="37" t="s">
        <v>147</v>
      </c>
      <c r="J36" s="44" t="n">
        <f aca="false">$J$31*(1-$J$34)/$J$33*0.5</f>
        <v>41.39561594036</v>
      </c>
      <c r="K36" s="44" t="n">
        <f aca="false">$J$31*(1-$J$34)/$J$33*1</f>
        <v>82.79123188072</v>
      </c>
      <c r="L36" s="44" t="n">
        <f aca="false">$J$31*(1-$J$34)/$J$33*1</f>
        <v>82.79123188072</v>
      </c>
      <c r="M36" s="44" t="n">
        <f aca="false">$J$31*(1-$J$34)/$J$33*1</f>
        <v>82.79123188072</v>
      </c>
    </row>
    <row r="37" customFormat="false" ht="15" hidden="false" customHeight="false" outlineLevel="0" collapsed="false">
      <c r="A37" s="52" t="s">
        <v>282</v>
      </c>
      <c r="B37" s="37" t="s">
        <v>147</v>
      </c>
      <c r="K37" s="44" t="n">
        <f aca="false">$K$31*(1-$K$34)/$K$33*0.5</f>
        <v>44.4335844419965</v>
      </c>
      <c r="L37" s="44" t="n">
        <f aca="false">$K$31*(1-$K$34)/$K$33*1</f>
        <v>88.867168883993</v>
      </c>
      <c r="M37" s="44" t="n">
        <f aca="false">$K$31*(1-$K$34)/$K$33*1</f>
        <v>88.867168883993</v>
      </c>
    </row>
    <row r="38" customFormat="false" ht="15" hidden="false" customHeight="false" outlineLevel="0" collapsed="false">
      <c r="A38" s="52" t="s">
        <v>283</v>
      </c>
      <c r="B38" s="37" t="s">
        <v>147</v>
      </c>
      <c r="L38" s="44" t="n">
        <f aca="false">$L$31*(1-$L$34)/$L$33*0.5</f>
        <v>38.7926806307752</v>
      </c>
      <c r="M38" s="44" t="n">
        <f aca="false">$L$31*(1-$L$34)/$L$33*1</f>
        <v>77.5853612615505</v>
      </c>
    </row>
    <row r="39" customFormat="false" ht="15" hidden="false" customHeight="false" outlineLevel="0" collapsed="false">
      <c r="A39" s="52" t="s">
        <v>284</v>
      </c>
      <c r="B39" s="37" t="s">
        <v>147</v>
      </c>
      <c r="M39" s="44" t="n">
        <f aca="false">$M$31*(1-$M$34)/$M$33*0.5</f>
        <v>36.4017188201116</v>
      </c>
    </row>
    <row r="40" customFormat="false" ht="15" hidden="false" customHeight="false" outlineLevel="0" collapsed="false">
      <c r="A40" s="34" t="s">
        <v>285</v>
      </c>
      <c r="B40" s="37" t="s">
        <v>147</v>
      </c>
      <c r="C40" s="51" t="n">
        <v>58.189</v>
      </c>
      <c r="D40" s="51" t="n">
        <v>77.6038</v>
      </c>
      <c r="E40" s="51" t="n">
        <v>103.5931</v>
      </c>
      <c r="F40" s="51" t="n">
        <v>151.4175</v>
      </c>
      <c r="G40" s="51" t="n">
        <v>182.7184</v>
      </c>
      <c r="H40" s="51" t="n">
        <v>220.9654</v>
      </c>
      <c r="I40" s="46" t="n">
        <f aca="false">I32+SUM(I35:I39)</f>
        <v>266.451348768</v>
      </c>
      <c r="J40" s="46" t="n">
        <f aca="false">J32+SUM(J35:J39)</f>
        <v>328.49640251636</v>
      </c>
      <c r="K40" s="46" t="n">
        <f aca="false">K32+SUM(K35:K39)</f>
        <v>407.381102307516</v>
      </c>
      <c r="L40" s="46" t="n">
        <f aca="false">L32+SUM(L35:L39)</f>
        <v>483.871201806824</v>
      </c>
      <c r="M40" s="46" t="n">
        <f aca="false">M32+SUM(M35:M39)</f>
        <v>552.531520651451</v>
      </c>
      <c r="N40" s="21" t="s">
        <v>286</v>
      </c>
    </row>
    <row r="41" customFormat="false" ht="15" hidden="false" customHeight="false" outlineLevel="0" collapsed="false">
      <c r="A41" s="34" t="s">
        <v>287</v>
      </c>
      <c r="B41" s="37" t="s">
        <v>147</v>
      </c>
      <c r="C41" s="51" t="n">
        <v>605.6634</v>
      </c>
      <c r="D41" s="51" t="n">
        <v>970.4833</v>
      </c>
      <c r="E41" s="51" t="n">
        <v>1343.0813</v>
      </c>
      <c r="F41" s="51" t="n">
        <v>1765.0717</v>
      </c>
      <c r="G41" s="51" t="n">
        <v>1863.2982</v>
      </c>
      <c r="H41" s="51" t="n">
        <v>2318.4985</v>
      </c>
      <c r="I41" s="46" t="n">
        <f aca="false">H41+I31-I40</f>
        <v>2637.493820032</v>
      </c>
      <c r="J41" s="46" t="n">
        <f aca="false">I41+J31-J40</f>
        <v>3180.48406889164</v>
      </c>
      <c r="K41" s="46" t="n">
        <f aca="false">J41+K31-K40</f>
        <v>3708.54684957352</v>
      </c>
      <c r="L41" s="46" t="n">
        <f aca="false">K41+L31-L40</f>
        <v>4041.36366104618</v>
      </c>
      <c r="M41" s="46" t="n">
        <f aca="false">L41+M31-M40</f>
        <v>4255.18411555497</v>
      </c>
    </row>
    <row r="42" customFormat="false" ht="15" hidden="false" customHeight="false" outlineLevel="0" collapsed="false">
      <c r="A42" s="32" t="s">
        <v>288</v>
      </c>
      <c r="B42" s="23" t="s">
        <v>94</v>
      </c>
      <c r="D42" s="13" t="n">
        <f aca="false">IFERROR(D40/C41,0)</f>
        <v>0.128130245281455</v>
      </c>
      <c r="E42" s="13" t="n">
        <f aca="false">IFERROR(E40/D41,0)</f>
        <v>0.106743825473349</v>
      </c>
      <c r="F42" s="13" t="n">
        <f aca="false">IFERROR(F40/E41,0)</f>
        <v>0.112738893766148</v>
      </c>
      <c r="G42" s="13" t="n">
        <f aca="false">IFERROR(G40/F41,0)</f>
        <v>0.103518967529761</v>
      </c>
      <c r="H42" s="13" t="n">
        <f aca="false">IFERROR(H40/G41,0)</f>
        <v>0.118588318284212</v>
      </c>
      <c r="I42" s="13" t="n">
        <f aca="false">I40/H41</f>
        <v>0.114924097974616</v>
      </c>
      <c r="J42" s="13" t="n">
        <f aca="false">J40/I41</f>
        <v>0.124548690890345</v>
      </c>
      <c r="K42" s="13" t="n">
        <f aca="false">K40/J41</f>
        <v>0.128087766982428</v>
      </c>
      <c r="L42" s="13" t="n">
        <f aca="false">L40/K41</f>
        <v>0.130474609445063</v>
      </c>
      <c r="M42" s="13" t="n">
        <f aca="false">M40/L41</f>
        <v>0.136719079744588</v>
      </c>
    </row>
    <row r="43" customFormat="false" ht="15" hidden="false" customHeight="false" outlineLevel="0" collapsed="false">
      <c r="A43" s="30" t="s">
        <v>289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15" hidden="false" customHeight="false" outlineLevel="0" collapsed="false">
      <c r="A44" s="32" t="s">
        <v>290</v>
      </c>
      <c r="B44" s="23" t="s">
        <v>94</v>
      </c>
      <c r="D44" s="13" t="n">
        <f aca="false">IFERROR(D45/C46,0)</f>
        <v>0.0535428377968529</v>
      </c>
      <c r="E44" s="13" t="n">
        <f aca="false">IFERROR(E45/D46,0)</f>
        <v>0.0521175877179809</v>
      </c>
      <c r="F44" s="13" t="n">
        <f aca="false">IFERROR(F45/E46,0)</f>
        <v>0.0540382323169588</v>
      </c>
      <c r="G44" s="13" t="n">
        <f aca="false">IFERROR(G45/F46,0)</f>
        <v>0.0577553117165989</v>
      </c>
      <c r="H44" s="13" t="n">
        <f aca="false">IFERROR(H45/G46,0)</f>
        <v>0.0568847670018441</v>
      </c>
      <c r="I44" s="33" t="n">
        <v>0.08</v>
      </c>
      <c r="J44" s="33" t="n">
        <v>0.08</v>
      </c>
      <c r="K44" s="33" t="n">
        <v>0.08</v>
      </c>
      <c r="L44" s="33" t="n">
        <v>0.08</v>
      </c>
      <c r="M44" s="33" t="n">
        <v>0.08</v>
      </c>
    </row>
    <row r="45" customFormat="false" ht="15" hidden="false" customHeight="false" outlineLevel="0" collapsed="false">
      <c r="A45" s="32" t="s">
        <v>291</v>
      </c>
      <c r="B45" s="37" t="s">
        <v>147</v>
      </c>
      <c r="C45" s="19" t="n">
        <v>1.6127</v>
      </c>
      <c r="D45" s="19" t="n">
        <v>3.0365</v>
      </c>
      <c r="E45" s="19" t="n">
        <v>5.032</v>
      </c>
      <c r="F45" s="19" t="n">
        <v>8.1786</v>
      </c>
      <c r="G45" s="19" t="n">
        <v>10.5402</v>
      </c>
      <c r="H45" s="19" t="n">
        <v>12.1041</v>
      </c>
      <c r="I45" s="44" t="n">
        <f aca="false">H46*I44</f>
        <v>20.771816</v>
      </c>
      <c r="J45" s="44" t="n">
        <f aca="false">I46*J44</f>
        <v>22.31007072</v>
      </c>
      <c r="K45" s="44" t="n">
        <f aca="false">J46*K44</f>
        <v>22.9252650624</v>
      </c>
      <c r="L45" s="44" t="n">
        <f aca="false">K46*L44</f>
        <v>22.691243857408</v>
      </c>
      <c r="M45" s="44" t="n">
        <f aca="false">L46*M44</f>
        <v>22.4759443488154</v>
      </c>
    </row>
    <row r="46" customFormat="false" ht="15" hidden="false" customHeight="false" outlineLevel="0" collapsed="false">
      <c r="A46" s="32" t="s">
        <v>292</v>
      </c>
      <c r="B46" s="37" t="s">
        <v>147</v>
      </c>
      <c r="C46" s="19" t="n">
        <v>56.7116</v>
      </c>
      <c r="D46" s="19" t="n">
        <v>96.5509</v>
      </c>
      <c r="E46" s="19" t="n">
        <v>151.3484</v>
      </c>
      <c r="F46" s="19" t="n">
        <v>182.4975</v>
      </c>
      <c r="G46" s="19" t="n">
        <v>212.7828</v>
      </c>
      <c r="H46" s="19" t="n">
        <v>259.6477</v>
      </c>
      <c r="I46" s="44" t="n">
        <f aca="false">H46+I15-I45</f>
        <v>278.875884</v>
      </c>
      <c r="J46" s="44" t="n">
        <f aca="false">I46+J15-J45</f>
        <v>286.56581328</v>
      </c>
      <c r="K46" s="44" t="n">
        <f aca="false">J46+K15-K45</f>
        <v>283.6405482176</v>
      </c>
      <c r="L46" s="44" t="n">
        <f aca="false">K46+L15-L45</f>
        <v>280.949304360192</v>
      </c>
      <c r="M46" s="44" t="n">
        <f aca="false">L46+M15-M45</f>
        <v>278.473360011377</v>
      </c>
    </row>
    <row r="47" customFormat="false" ht="15" hidden="false" customHeight="false" outlineLevel="0" collapsed="false">
      <c r="A47" s="32" t="s">
        <v>293</v>
      </c>
      <c r="B47" s="37" t="s">
        <v>147</v>
      </c>
      <c r="C47" s="19" t="n">
        <v>1.5231</v>
      </c>
      <c r="D47" s="19" t="n">
        <v>2.9327</v>
      </c>
      <c r="E47" s="19" t="n">
        <v>4.2927</v>
      </c>
      <c r="F47" s="19" t="n">
        <v>3.7967</v>
      </c>
      <c r="G47" s="19" t="n">
        <v>6.5064</v>
      </c>
      <c r="H47" s="19" t="n">
        <v>8.5917</v>
      </c>
      <c r="I47" s="44" t="n">
        <v>13.3</v>
      </c>
      <c r="J47" s="44" t="n">
        <f aca="false">I47</f>
        <v>13.3</v>
      </c>
      <c r="K47" s="44" t="n">
        <f aca="false">J47</f>
        <v>13.3</v>
      </c>
      <c r="L47" s="44" t="n">
        <f aca="false">K47</f>
        <v>13.3</v>
      </c>
      <c r="M47" s="44" t="n">
        <f aca="false">L47</f>
        <v>13.3</v>
      </c>
      <c r="N47" s="36" t="s">
        <v>294</v>
      </c>
    </row>
    <row r="48" customFormat="false" ht="15" hidden="false" customHeight="false" outlineLevel="0" collapsed="false">
      <c r="A48" s="32" t="s">
        <v>295</v>
      </c>
      <c r="B48" s="37" t="s">
        <v>147</v>
      </c>
      <c r="C48" s="19" t="n">
        <v>0</v>
      </c>
      <c r="D48" s="19" t="n">
        <v>1.5443</v>
      </c>
      <c r="E48" s="19" t="n">
        <v>2.1077</v>
      </c>
      <c r="F48" s="19" t="n">
        <v>4.1684</v>
      </c>
      <c r="G48" s="19" t="n">
        <v>7.2243</v>
      </c>
      <c r="H48" s="19" t="n">
        <v>6.6471</v>
      </c>
      <c r="I48" s="44" t="n">
        <v>0</v>
      </c>
      <c r="J48" s="44" t="n">
        <v>0</v>
      </c>
      <c r="K48" s="44" t="n">
        <v>0</v>
      </c>
      <c r="L48" s="44" t="n">
        <v>0</v>
      </c>
      <c r="M48" s="44" t="n">
        <v>0</v>
      </c>
      <c r="N48" s="21" t="s">
        <v>296</v>
      </c>
    </row>
    <row r="49" customFormat="false" ht="15" hidden="false" customHeight="false" outlineLevel="0" collapsed="false">
      <c r="A49" s="22" t="s">
        <v>297</v>
      </c>
      <c r="B49" s="37" t="s">
        <v>147</v>
      </c>
      <c r="C49" s="46" t="n">
        <f aca="false">C40+C45+C47+C48</f>
        <v>61.3248</v>
      </c>
      <c r="D49" s="46" t="n">
        <f aca="false">D40+D45+D47+D48</f>
        <v>85.1173</v>
      </c>
      <c r="E49" s="46" t="n">
        <f aca="false">E40+E45+E47+E48</f>
        <v>115.0255</v>
      </c>
      <c r="F49" s="46" t="n">
        <f aca="false">F40+F45+F47+F48</f>
        <v>167.5612</v>
      </c>
      <c r="G49" s="46" t="n">
        <f aca="false">G40+G45+G47+G48</f>
        <v>206.9893</v>
      </c>
      <c r="H49" s="46" t="n">
        <f aca="false">H40+H45+H47+H48</f>
        <v>248.3083</v>
      </c>
      <c r="I49" s="46" t="n">
        <f aca="false">I40+I45+I47+I48</f>
        <v>300.523164768</v>
      </c>
      <c r="J49" s="46" t="n">
        <f aca="false">J40+J45+J47+J48</f>
        <v>364.10647323636</v>
      </c>
      <c r="K49" s="46" t="n">
        <f aca="false">K40+K45+K47+K48</f>
        <v>443.606367369917</v>
      </c>
      <c r="L49" s="46" t="n">
        <f aca="false">L40+L45+L47+L48</f>
        <v>519.862445664232</v>
      </c>
      <c r="M49" s="46" t="n">
        <f aca="false">M40+M45+M47+M48</f>
        <v>588.307465000266</v>
      </c>
    </row>
    <row r="50" customFormat="false" ht="15" hidden="false" customHeight="false" outlineLevel="0" collapsed="false">
      <c r="A50" s="52" t="s">
        <v>298</v>
      </c>
      <c r="B50" s="23" t="s">
        <v>94</v>
      </c>
      <c r="C50" s="13" t="n">
        <f aca="false">C49/利润表!C5</f>
        <v>0.0710124374361885</v>
      </c>
      <c r="D50" s="13" t="n">
        <f aca="false">D49/利润表!D5</f>
        <v>0.0695659444285163</v>
      </c>
      <c r="E50" s="13" t="n">
        <f aca="false">E49/利润表!E5</f>
        <v>0.0668999814582731</v>
      </c>
      <c r="F50" s="13" t="n">
        <f aca="false">F49/利润表!F5</f>
        <v>0.080152014123032</v>
      </c>
      <c r="G50" s="13" t="n">
        <f aca="false">G49/利润表!G5</f>
        <v>0.118835655800622</v>
      </c>
      <c r="H50" s="13" t="n">
        <f aca="false">H49/利润表!H5</f>
        <v>0.123147487024691</v>
      </c>
      <c r="I50" s="13" t="n">
        <f aca="false">I49/利润表!I5</f>
        <v>0.109639692553868</v>
      </c>
      <c r="J50" s="13" t="n">
        <f aca="false">J49/利润表!J5</f>
        <v>0.103720559014408</v>
      </c>
      <c r="K50" s="13" t="n">
        <f aca="false">K49/利润表!K5</f>
        <v>0.100364149580379</v>
      </c>
      <c r="L50" s="13" t="n">
        <f aca="false">L49/利润表!L5</f>
        <v>0.101071238356464</v>
      </c>
      <c r="M50" s="13" t="n">
        <f aca="false">M49/利润表!M5</f>
        <v>0.103168108616368</v>
      </c>
    </row>
    <row r="52" customFormat="false" ht="15" hidden="false" customHeight="false" outlineLevel="0" collapsed="false">
      <c r="A52" s="25" t="s">
        <v>299</v>
      </c>
      <c r="B52" s="23" t="s">
        <v>94</v>
      </c>
      <c r="C52" s="33" t="n">
        <v>0.03</v>
      </c>
      <c r="D52" s="21" t="s">
        <v>300</v>
      </c>
    </row>
    <row r="53" customFormat="false" ht="15" hidden="false" customHeight="false" outlineLevel="0" collapsed="false">
      <c r="A53" s="25" t="s">
        <v>301</v>
      </c>
      <c r="B53" s="37" t="s">
        <v>302</v>
      </c>
      <c r="C53" s="49" t="n">
        <v>0.9</v>
      </c>
      <c r="D53" s="21" t="s">
        <v>303</v>
      </c>
    </row>
    <row r="54" customFormat="false" ht="15" hidden="false" customHeight="false" outlineLevel="0" collapsed="false">
      <c r="A54" s="53" t="s">
        <v>304</v>
      </c>
      <c r="B54" s="37" t="s">
        <v>131</v>
      </c>
      <c r="C54" s="38" t="n">
        <v>200</v>
      </c>
      <c r="D54" s="36" t="s">
        <v>305</v>
      </c>
    </row>
    <row r="55" customFormat="false" ht="15" hidden="false" customHeight="false" outlineLevel="0" collapsed="false">
      <c r="A55" s="53" t="s">
        <v>306</v>
      </c>
      <c r="B55" s="23" t="s">
        <v>195</v>
      </c>
      <c r="C55" s="49" t="n">
        <v>1.08</v>
      </c>
      <c r="D55" s="21" t="s">
        <v>307</v>
      </c>
    </row>
    <row r="57" customFormat="false" ht="15" hidden="false" customHeight="false" outlineLevel="0" collapsed="false">
      <c r="A57" s="30" t="s">
        <v>308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21.6" hidden="false" customHeight="false" outlineLevel="0" collapsed="false">
      <c r="A1" s="20" t="s">
        <v>309</v>
      </c>
    </row>
    <row r="2" customFormat="false" ht="15" hidden="false" customHeight="false" outlineLevel="0" collapsed="false">
      <c r="A2" s="21" t="s">
        <v>310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311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2" t="s">
        <v>312</v>
      </c>
      <c r="B6" s="37" t="s">
        <v>313</v>
      </c>
      <c r="C6" s="54" t="n">
        <f aca="false">IFERROR(C21/利润表!C5*365,0)</f>
        <v>92.7203601572666</v>
      </c>
      <c r="D6" s="54" t="n">
        <f aca="false">IFERROR(D21/利润表!D5*365,0)</f>
        <v>69.1936853499216</v>
      </c>
      <c r="E6" s="54" t="n">
        <f aca="false">IFERROR(E21/利润表!E5*365,0)</f>
        <v>71.1264892996555</v>
      </c>
      <c r="F6" s="54" t="n">
        <f aca="false">IFERROR(F21/利润表!F5*365,0)</f>
        <v>84.2395325979007</v>
      </c>
      <c r="G6" s="54" t="n">
        <f aca="false">IFERROR(G21/利润表!G5*365,0)</f>
        <v>105.071806568725</v>
      </c>
      <c r="H6" s="54" t="n">
        <f aca="false">IFERROR(H21/利润表!H5*365,0)</f>
        <v>129.654764857411</v>
      </c>
      <c r="I6" s="55" t="n">
        <v>125</v>
      </c>
      <c r="J6" s="55" t="n">
        <v>124</v>
      </c>
      <c r="K6" s="55" t="n">
        <v>123</v>
      </c>
      <c r="L6" s="55" t="n">
        <v>122</v>
      </c>
      <c r="M6" s="55" t="n">
        <v>122</v>
      </c>
      <c r="N6" s="21" t="s">
        <v>314</v>
      </c>
    </row>
    <row r="7" customFormat="false" ht="15" hidden="false" customHeight="false" outlineLevel="0" collapsed="false">
      <c r="A7" s="32" t="s">
        <v>315</v>
      </c>
      <c r="B7" s="37" t="s">
        <v>313</v>
      </c>
      <c r="C7" s="54" t="n">
        <f aca="false">IFERROR(C22/利润表!C5*365,0)</f>
        <v>92.499689373853</v>
      </c>
      <c r="D7" s="54" t="n">
        <f aca="false">IFERROR(D22/利润表!D5*365,0)</f>
        <v>71.8430002442077</v>
      </c>
      <c r="E7" s="54" t="n">
        <f aca="false">IFERROR(E22/利润表!E5*365,0)</f>
        <v>84.5893475685096</v>
      </c>
      <c r="F7" s="54" t="n">
        <f aca="false">IFERROR(F22/利润表!F5*365,0)</f>
        <v>70.8368066740185</v>
      </c>
      <c r="G7" s="54" t="n">
        <f aca="false">IFERROR(G22/利润表!G5*365,0)</f>
        <v>58.7666061319842</v>
      </c>
      <c r="H7" s="54" t="n">
        <f aca="false">IFERROR(H22/利润表!H5*365,0)</f>
        <v>63.490412051208</v>
      </c>
      <c r="I7" s="55" t="n">
        <v>60</v>
      </c>
      <c r="J7" s="55" t="n">
        <v>58</v>
      </c>
      <c r="K7" s="55" t="n">
        <v>56</v>
      </c>
      <c r="L7" s="55" t="n">
        <v>55</v>
      </c>
      <c r="M7" s="55" t="n">
        <v>55</v>
      </c>
    </row>
    <row r="8" customFormat="false" ht="15" hidden="false" customHeight="false" outlineLevel="0" collapsed="false">
      <c r="A8" s="32" t="s">
        <v>316</v>
      </c>
      <c r="B8" s="37" t="s">
        <v>313</v>
      </c>
      <c r="C8" s="54" t="n">
        <f aca="false">IFERROR(C23/利润表!C5*365,0)</f>
        <v>0</v>
      </c>
      <c r="D8" s="54" t="n">
        <f aca="false">IFERROR(D23/利润表!D5*365,0)</f>
        <v>16.511755889673</v>
      </c>
      <c r="E8" s="54" t="n">
        <f aca="false">IFERROR(E23/利润表!E5*365,0)</f>
        <v>8.77595027513643</v>
      </c>
      <c r="F8" s="54" t="n">
        <f aca="false">IFERROR(F23/利润表!F5*365,0)</f>
        <v>18.5421808673021</v>
      </c>
      <c r="G8" s="54" t="n">
        <f aca="false">IFERROR(G23/利润表!G5*365,0)</f>
        <v>23.8930520835953</v>
      </c>
      <c r="H8" s="54" t="n">
        <f aca="false">IFERROR(H23/利润表!H5*365,0)</f>
        <v>16.1884426351015</v>
      </c>
      <c r="I8" s="55" t="n">
        <v>15</v>
      </c>
      <c r="J8" s="55" t="n">
        <v>15</v>
      </c>
      <c r="K8" s="55" t="n">
        <v>15</v>
      </c>
      <c r="L8" s="55" t="n">
        <v>15</v>
      </c>
      <c r="M8" s="55" t="n">
        <v>15</v>
      </c>
    </row>
    <row r="9" customFormat="false" ht="15" hidden="false" customHeight="false" outlineLevel="0" collapsed="false">
      <c r="A9" s="32" t="s">
        <v>317</v>
      </c>
      <c r="B9" s="37" t="s">
        <v>313</v>
      </c>
      <c r="C9" s="54" t="n">
        <f aca="false">IFERROR(C24/利润表!C7*365,0)</f>
        <v>88.0922306253668</v>
      </c>
      <c r="D9" s="54" t="n">
        <f aca="false">IFERROR(D24/利润表!D7*365,0)</f>
        <v>23.9303813530889</v>
      </c>
      <c r="E9" s="54" t="n">
        <f aca="false">IFERROR(E24/利润表!E7*365,0)</f>
        <v>27.9572490393856</v>
      </c>
      <c r="F9" s="54" t="n">
        <f aca="false">IFERROR(F24/利润表!F7*365,0)</f>
        <v>68.0406503195206</v>
      </c>
      <c r="G9" s="54" t="n">
        <f aca="false">IFERROR(G24/利润表!G7*365,0)</f>
        <v>32.735617594353</v>
      </c>
      <c r="H9" s="54" t="n">
        <f aca="false">IFERROR(H24/利润表!H7*365,0)</f>
        <v>37.1915504721026</v>
      </c>
      <c r="I9" s="55" t="n">
        <v>30</v>
      </c>
      <c r="J9" s="55" t="n">
        <v>30</v>
      </c>
      <c r="K9" s="55" t="n">
        <v>30</v>
      </c>
      <c r="L9" s="55" t="n">
        <v>30</v>
      </c>
      <c r="M9" s="55" t="n">
        <v>30</v>
      </c>
    </row>
    <row r="10" customFormat="false" ht="15" hidden="false" customHeight="false" outlineLevel="0" collapsed="false">
      <c r="A10" s="32" t="s">
        <v>318</v>
      </c>
      <c r="B10" s="37" t="s">
        <v>313</v>
      </c>
      <c r="C10" s="54" t="n">
        <f aca="false">IFERROR(C25/利润表!C5*365,0)</f>
        <v>0.293199238563544</v>
      </c>
      <c r="D10" s="54" t="n">
        <f aca="false">IFERROR(D25/利润表!D5*365,0)</f>
        <v>1.76302792762428</v>
      </c>
      <c r="E10" s="54" t="n">
        <f aca="false">IFERROR(E25/利润表!E5*365,0)</f>
        <v>0.394112024600707</v>
      </c>
      <c r="F10" s="54" t="n">
        <f aca="false">IFERROR(F25/利润表!F5*365,0)</f>
        <v>0.490771391121138</v>
      </c>
      <c r="G10" s="54" t="n">
        <f aca="false">IFERROR(G25/利润表!G5*365,0)</f>
        <v>4.01134847320439</v>
      </c>
      <c r="H10" s="54" t="n">
        <f aca="false">IFERROR(H25/利润表!H5*365,0)</f>
        <v>8.1984980377156</v>
      </c>
      <c r="I10" s="55" t="n">
        <v>4</v>
      </c>
      <c r="J10" s="55" t="n">
        <v>4</v>
      </c>
      <c r="K10" s="55" t="n">
        <v>4</v>
      </c>
      <c r="L10" s="55" t="n">
        <v>4</v>
      </c>
      <c r="M10" s="55" t="n">
        <v>4</v>
      </c>
    </row>
    <row r="11" customFormat="false" ht="15" hidden="false" customHeight="false" outlineLevel="0" collapsed="false">
      <c r="A11" s="32" t="s">
        <v>319</v>
      </c>
      <c r="B11" s="37" t="s">
        <v>313</v>
      </c>
      <c r="C11" s="54" t="n">
        <f aca="false">IFERROR(C26/利润表!C7*365,0)</f>
        <v>175.753328232335</v>
      </c>
      <c r="D11" s="54" t="n">
        <f aca="false">IFERROR(D26/利润表!D7*365,0)</f>
        <v>196.300020163527</v>
      </c>
      <c r="E11" s="54" t="n">
        <f aca="false">IFERROR(E26/利润表!E7*365,0)</f>
        <v>201.904167234469</v>
      </c>
      <c r="F11" s="54" t="n">
        <f aca="false">IFERROR(F26/利润表!F7*365,0)</f>
        <v>230.103299998618</v>
      </c>
      <c r="G11" s="54" t="n">
        <f aca="false">IFERROR(G26/利润表!G7*365,0)</f>
        <v>269.291006746057</v>
      </c>
      <c r="H11" s="54" t="n">
        <f aca="false">IFERROR(H26/利润表!H7*365,0)</f>
        <v>315.107934209573</v>
      </c>
      <c r="I11" s="55" t="n">
        <v>330</v>
      </c>
      <c r="J11" s="55" t="n">
        <v>320</v>
      </c>
      <c r="K11" s="55" t="n">
        <v>310</v>
      </c>
      <c r="L11" s="55" t="n">
        <v>300</v>
      </c>
      <c r="M11" s="55" t="n">
        <v>295</v>
      </c>
      <c r="N11" s="21" t="s">
        <v>320</v>
      </c>
    </row>
    <row r="12" customFormat="false" ht="15" hidden="false" customHeight="false" outlineLevel="0" collapsed="false">
      <c r="A12" s="32" t="s">
        <v>321</v>
      </c>
      <c r="B12" s="37" t="s">
        <v>313</v>
      </c>
      <c r="C12" s="54" t="n">
        <f aca="false">IFERROR(C27/利润表!C5*365,0)</f>
        <v>7.08509176295884</v>
      </c>
      <c r="D12" s="54" t="n">
        <f aca="false">IFERROR(D27/利润表!D5*365,0)</f>
        <v>4.34364141214193</v>
      </c>
      <c r="E12" s="54" t="n">
        <f aca="false">IFERROR(E27/利润表!E5*365,0)</f>
        <v>10.2970549828506</v>
      </c>
      <c r="F12" s="54" t="n">
        <f aca="false">IFERROR(F27/利润表!F5*365,0)</f>
        <v>13.7853701235268</v>
      </c>
      <c r="G12" s="54" t="n">
        <f aca="false">IFERROR(G27/利润表!G5*365,0)</f>
        <v>16.7704227334831</v>
      </c>
      <c r="H12" s="54" t="n">
        <f aca="false">IFERROR(H27/利润表!H5*365,0)</f>
        <v>11.9311538791724</v>
      </c>
      <c r="I12" s="55" t="n">
        <v>10</v>
      </c>
      <c r="J12" s="55" t="n">
        <v>10</v>
      </c>
      <c r="K12" s="55" t="n">
        <v>10</v>
      </c>
      <c r="L12" s="55" t="n">
        <v>10</v>
      </c>
      <c r="M12" s="55" t="n">
        <v>10</v>
      </c>
    </row>
    <row r="13" customFormat="false" ht="15" hidden="false" customHeight="false" outlineLevel="0" collapsed="false">
      <c r="A13" s="32" t="s">
        <v>322</v>
      </c>
      <c r="B13" s="37" t="s">
        <v>313</v>
      </c>
      <c r="C13" s="54" t="n">
        <f aca="false">IFERROR(C28/利润表!C7*365,0)</f>
        <v>99.6471951716562</v>
      </c>
      <c r="D13" s="54" t="n">
        <f aca="false">IFERROR(D28/利润表!D7*365,0)</f>
        <v>68.1613146951919</v>
      </c>
      <c r="E13" s="54" t="n">
        <f aca="false">IFERROR(E28/利润表!E7*365,0)</f>
        <v>58.0377172209312</v>
      </c>
      <c r="F13" s="54" t="n">
        <f aca="false">IFERROR(F28/利润表!F7*365,0)</f>
        <v>109.67826722473</v>
      </c>
      <c r="G13" s="54" t="n">
        <f aca="false">IFERROR(G28/利润表!G7*365,0)</f>
        <v>59.8549195586023</v>
      </c>
      <c r="H13" s="54" t="n">
        <f aca="false">IFERROR(H28/利润表!H7*365,0)</f>
        <v>69.3881359451189</v>
      </c>
      <c r="I13" s="55" t="n">
        <v>75</v>
      </c>
      <c r="J13" s="55" t="n">
        <v>75</v>
      </c>
      <c r="K13" s="55" t="n">
        <v>75</v>
      </c>
      <c r="L13" s="55" t="n">
        <v>75</v>
      </c>
      <c r="M13" s="55" t="n">
        <v>75</v>
      </c>
      <c r="N13" s="36" t="s">
        <v>323</v>
      </c>
    </row>
    <row r="14" customFormat="false" ht="15" hidden="false" customHeight="false" outlineLevel="0" collapsed="false">
      <c r="A14" s="32" t="s">
        <v>324</v>
      </c>
      <c r="B14" s="37" t="s">
        <v>313</v>
      </c>
      <c r="C14" s="54" t="n">
        <f aca="false">IFERROR(C29/利润表!C7*365,0)</f>
        <v>134.960860669055</v>
      </c>
      <c r="D14" s="54" t="n">
        <f aca="false">IFERROR(D29/利润表!D7*365,0)</f>
        <v>123.331932350204</v>
      </c>
      <c r="E14" s="54" t="n">
        <f aca="false">IFERROR(E29/利润表!E7*365,0)</f>
        <v>135.228793668178</v>
      </c>
      <c r="F14" s="54" t="n">
        <f aca="false">IFERROR(F29/利润表!F7*365,0)</f>
        <v>104.786320691566</v>
      </c>
      <c r="G14" s="54" t="n">
        <f aca="false">IFERROR(G29/利润表!G7*365,0)</f>
        <v>78.2046259388139</v>
      </c>
      <c r="H14" s="54" t="n">
        <f aca="false">IFERROR(H29/利润表!H7*365,0)</f>
        <v>117.855491562639</v>
      </c>
      <c r="I14" s="55" t="n">
        <v>110</v>
      </c>
      <c r="J14" s="55" t="n">
        <v>112</v>
      </c>
      <c r="K14" s="55" t="n">
        <v>112</v>
      </c>
      <c r="L14" s="55" t="n">
        <v>112</v>
      </c>
      <c r="M14" s="55" t="n">
        <v>112</v>
      </c>
    </row>
    <row r="15" customFormat="false" ht="15" hidden="false" customHeight="false" outlineLevel="0" collapsed="false">
      <c r="A15" s="32" t="s">
        <v>325</v>
      </c>
      <c r="B15" s="37" t="s">
        <v>313</v>
      </c>
      <c r="C15" s="54" t="n">
        <f aca="false">IFERROR(C30/利润表!C5*365,0)</f>
        <v>4.2820952078115</v>
      </c>
      <c r="D15" s="54" t="n">
        <f aca="false">IFERROR(D30/利润表!D5*365,0)</f>
        <v>2.66894386850573</v>
      </c>
      <c r="E15" s="54" t="n">
        <f aca="false">IFERROR(E30/利润表!E5*365,0)</f>
        <v>4.9204880964207</v>
      </c>
      <c r="F15" s="54" t="n">
        <f aca="false">IFERROR(F30/利润表!F5*365,0)</f>
        <v>2.97202243092296</v>
      </c>
      <c r="G15" s="54" t="n">
        <f aca="false">IFERROR(G30/利润表!G5*365,0)</f>
        <v>4.75794021097807</v>
      </c>
      <c r="H15" s="54" t="n">
        <f aca="false">IFERROR(H30/利润表!H5*365,0)</f>
        <v>3.69813527807613</v>
      </c>
      <c r="I15" s="55" t="n">
        <v>4</v>
      </c>
      <c r="J15" s="55" t="n">
        <v>4</v>
      </c>
      <c r="K15" s="55" t="n">
        <v>4</v>
      </c>
      <c r="L15" s="55" t="n">
        <v>4</v>
      </c>
      <c r="M15" s="55" t="n">
        <v>4</v>
      </c>
    </row>
    <row r="16" customFormat="false" ht="15" hidden="false" customHeight="false" outlineLevel="0" collapsed="false">
      <c r="A16" s="32" t="s">
        <v>326</v>
      </c>
      <c r="B16" s="37" t="s">
        <v>313</v>
      </c>
      <c r="C16" s="54" t="n">
        <f aca="false">IFERROR(C31/利润表!C5*365,0)</f>
        <v>17.3722556483876</v>
      </c>
      <c r="D16" s="54" t="n">
        <f aca="false">IFERROR(D31/利润表!D5*365,0)</f>
        <v>13.5373398387837</v>
      </c>
      <c r="E16" s="54" t="n">
        <f aca="false">IFERROR(E31/利润表!E5*365,0)</f>
        <v>10.0220151018527</v>
      </c>
      <c r="F16" s="54" t="n">
        <f aca="false">IFERROR(F31/利润表!F5*365,0)</f>
        <v>10.557687033022</v>
      </c>
      <c r="G16" s="54" t="n">
        <f aca="false">IFERROR(G31/利润表!G5*365,0)</f>
        <v>13.3658738827866</v>
      </c>
      <c r="H16" s="54" t="n">
        <f aca="false">IFERROR(H31/利润表!H5*365,0)</f>
        <v>14.4978220287174</v>
      </c>
      <c r="I16" s="55" t="n">
        <v>14</v>
      </c>
      <c r="J16" s="55" t="n">
        <v>14</v>
      </c>
      <c r="K16" s="55" t="n">
        <v>14</v>
      </c>
      <c r="L16" s="55" t="n">
        <v>14</v>
      </c>
      <c r="M16" s="55" t="n">
        <v>14</v>
      </c>
    </row>
    <row r="17" customFormat="false" ht="15" hidden="false" customHeight="false" outlineLevel="0" collapsed="false">
      <c r="A17" s="32" t="s">
        <v>327</v>
      </c>
      <c r="B17" s="37" t="s">
        <v>313</v>
      </c>
      <c r="C17" s="54" t="n">
        <f aca="false">IFERROR(C32/利润表!C5*365,0)</f>
        <v>10.155927956967</v>
      </c>
      <c r="D17" s="54" t="n">
        <f aca="false">IFERROR(D32/利润表!D5*365,0)</f>
        <v>10.2535735406952</v>
      </c>
      <c r="E17" s="54" t="n">
        <f aca="false">IFERROR(E32/利润表!E5*365,0)</f>
        <v>10.3709735430262</v>
      </c>
      <c r="F17" s="54" t="n">
        <f aca="false">IFERROR(F32/利润表!F5*365,0)</f>
        <v>8.69305605157245</v>
      </c>
      <c r="G17" s="54" t="n">
        <f aca="false">IFERROR(G32/利润表!G5*365,0)</f>
        <v>4.72244210825581</v>
      </c>
      <c r="H17" s="54" t="n">
        <f aca="false">IFERROR(H32/利润表!H5*365,0)</f>
        <v>13.5790537044457</v>
      </c>
      <c r="I17" s="55" t="n">
        <v>11</v>
      </c>
      <c r="J17" s="55" t="n">
        <v>11</v>
      </c>
      <c r="K17" s="55" t="n">
        <v>11</v>
      </c>
      <c r="L17" s="55" t="n">
        <v>11</v>
      </c>
      <c r="M17" s="55" t="n">
        <v>11</v>
      </c>
    </row>
    <row r="18" customFormat="false" ht="15" hidden="false" customHeight="false" outlineLevel="0" collapsed="false">
      <c r="A18" s="32" t="s">
        <v>328</v>
      </c>
      <c r="B18" s="37" t="s">
        <v>313</v>
      </c>
      <c r="C18" s="54" t="n">
        <f aca="false">IFERROR(C33/利润表!C5*365,0)</f>
        <v>4.75500947626868</v>
      </c>
      <c r="D18" s="54" t="n">
        <f aca="false">IFERROR(D33/利润表!D5*365,0)</f>
        <v>8.83691646362335</v>
      </c>
      <c r="E18" s="54" t="n">
        <f aca="false">IFERROR(E33/利润表!E5*365,0)</f>
        <v>5.94532796173844</v>
      </c>
      <c r="F18" s="54" t="n">
        <f aca="false">IFERROR(F33/利润表!F5*365,0)</f>
        <v>5.38451763671307</v>
      </c>
      <c r="G18" s="54" t="n">
        <f aca="false">IFERROR(G33/利润表!G5*365,0)</f>
        <v>1.01875782877526</v>
      </c>
      <c r="H18" s="54" t="n">
        <f aca="false">IFERROR(H33/利润表!H5*365,0)</f>
        <v>18.0391756605219</v>
      </c>
      <c r="I18" s="55" t="n">
        <v>14</v>
      </c>
      <c r="J18" s="55" t="n">
        <v>12</v>
      </c>
      <c r="K18" s="55" t="n">
        <v>12</v>
      </c>
      <c r="L18" s="55" t="n">
        <v>12</v>
      </c>
      <c r="M18" s="55" t="n">
        <v>12</v>
      </c>
      <c r="N18" s="36" t="s">
        <v>329</v>
      </c>
    </row>
    <row r="19" customFormat="false" ht="15" hidden="false" customHeight="false" outlineLevel="0" collapsed="false">
      <c r="A19" s="32" t="s">
        <v>330</v>
      </c>
      <c r="B19" s="37" t="s">
        <v>313</v>
      </c>
      <c r="C19" s="54" t="n">
        <f aca="false">IFERROR(C34/利润表!C5*365,0)</f>
        <v>1.20005852393466</v>
      </c>
      <c r="D19" s="54" t="n">
        <f aca="false">IFERROR(D34/利润表!D5*365,0)</f>
        <v>16.8319647183552</v>
      </c>
      <c r="E19" s="54" t="n">
        <f aca="false">IFERROR(E34/利润表!E5*365,0)</f>
        <v>11.0480013204874</v>
      </c>
      <c r="F19" s="54" t="n">
        <f aca="false">IFERROR(F34/利润表!F5*365,0)</f>
        <v>16.5282529999628</v>
      </c>
      <c r="G19" s="54" t="n">
        <f aca="false">IFERROR(G34/利润表!G5*365,0)</f>
        <v>14.4101132303991</v>
      </c>
      <c r="H19" s="54" t="n">
        <f aca="false">IFERROR(H34/利润表!H5*365,0)</f>
        <v>15.9682133880699</v>
      </c>
      <c r="I19" s="55" t="n">
        <v>16</v>
      </c>
      <c r="J19" s="55" t="n">
        <v>16</v>
      </c>
      <c r="K19" s="55" t="n">
        <v>16</v>
      </c>
      <c r="L19" s="55" t="n">
        <v>16</v>
      </c>
      <c r="M19" s="55" t="n">
        <v>16</v>
      </c>
    </row>
    <row r="20" customFormat="false" ht="15" hidden="false" customHeight="false" outlineLevel="0" collapsed="false">
      <c r="A20" s="30" t="s">
        <v>331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customFormat="false" ht="15" hidden="false" customHeight="false" outlineLevel="0" collapsed="false">
      <c r="A21" s="32" t="s">
        <v>332</v>
      </c>
      <c r="B21" s="37" t="s">
        <v>147</v>
      </c>
      <c r="C21" s="19" t="n">
        <v>219.3734</v>
      </c>
      <c r="D21" s="19" t="n">
        <v>231.9502</v>
      </c>
      <c r="E21" s="19" t="n">
        <v>335.0477</v>
      </c>
      <c r="F21" s="19" t="n">
        <v>482.4831</v>
      </c>
      <c r="G21" s="19" t="n">
        <v>501.4117</v>
      </c>
      <c r="H21" s="19" t="n">
        <v>716.2445</v>
      </c>
      <c r="I21" s="44" t="n">
        <f aca="false">I6/365*利润表!I5</f>
        <v>938.70102739726</v>
      </c>
      <c r="J21" s="44" t="n">
        <f aca="false">J6/365*利润表!J5</f>
        <v>1192.59331879452</v>
      </c>
      <c r="K21" s="44" t="n">
        <f aca="false">K6/365*利润表!K5</f>
        <v>1489.46879567178</v>
      </c>
      <c r="L21" s="44" t="n">
        <f aca="false">L6/365*利润表!L5</f>
        <v>1719.20563097875</v>
      </c>
      <c r="M21" s="44" t="n">
        <f aca="false">M6/365*利润表!M5</f>
        <v>1906.01299240595</v>
      </c>
    </row>
    <row r="22" customFormat="false" ht="15" hidden="false" customHeight="false" outlineLevel="0" collapsed="false">
      <c r="A22" s="32" t="s">
        <v>333</v>
      </c>
      <c r="B22" s="37" t="s">
        <v>147</v>
      </c>
      <c r="C22" s="19" t="n">
        <v>218.8513</v>
      </c>
      <c r="D22" s="19" t="n">
        <v>240.8312</v>
      </c>
      <c r="E22" s="19" t="n">
        <v>398.4657</v>
      </c>
      <c r="F22" s="19" t="n">
        <v>405.7188</v>
      </c>
      <c r="G22" s="19" t="n">
        <v>280.4393</v>
      </c>
      <c r="H22" s="19" t="n">
        <v>350.7365</v>
      </c>
      <c r="I22" s="44" t="n">
        <f aca="false">I7/365*利润表!I5</f>
        <v>450.576493150685</v>
      </c>
      <c r="J22" s="44" t="n">
        <f aca="false">J7/365*利润表!J5</f>
        <v>557.825907178082</v>
      </c>
      <c r="K22" s="44" t="n">
        <f aca="false">K7/365*利润表!K5</f>
        <v>678.132134614795</v>
      </c>
      <c r="L22" s="44" t="n">
        <f aca="false">L7/365*利润表!L5</f>
        <v>775.051718883863</v>
      </c>
      <c r="M22" s="44" t="n">
        <f aca="false">M7/365*利润表!M5</f>
        <v>859.26815231416</v>
      </c>
    </row>
    <row r="23" customFormat="false" ht="15" hidden="false" customHeight="false" outlineLevel="0" collapsed="false">
      <c r="A23" s="32" t="s">
        <v>334</v>
      </c>
      <c r="B23" s="37" t="s">
        <v>147</v>
      </c>
      <c r="C23" s="19" t="n">
        <v>0</v>
      </c>
      <c r="D23" s="19" t="n">
        <v>55.3505</v>
      </c>
      <c r="E23" s="19" t="n">
        <v>41.3399</v>
      </c>
      <c r="F23" s="19" t="n">
        <v>106.2006</v>
      </c>
      <c r="G23" s="19" t="n">
        <v>114.0197</v>
      </c>
      <c r="H23" s="19" t="n">
        <v>89.4289</v>
      </c>
      <c r="I23" s="44" t="n">
        <f aca="false">I8/365*利润表!I5</f>
        <v>112.644123287671</v>
      </c>
      <c r="J23" s="44" t="n">
        <f aca="false">J8/365*利润表!J5</f>
        <v>144.265320821918</v>
      </c>
      <c r="K23" s="44" t="n">
        <f aca="false">K8/365*利润表!K5</f>
        <v>181.642536057534</v>
      </c>
      <c r="L23" s="44" t="n">
        <f aca="false">L8/365*利润表!L5</f>
        <v>211.377741513781</v>
      </c>
      <c r="M23" s="44" t="n">
        <f aca="false">M8/365*利润表!M5</f>
        <v>234.345859722044</v>
      </c>
    </row>
    <row r="24" customFormat="false" ht="15" hidden="false" customHeight="false" outlineLevel="0" collapsed="false">
      <c r="A24" s="32" t="s">
        <v>335</v>
      </c>
      <c r="B24" s="37" t="s">
        <v>147</v>
      </c>
      <c r="C24" s="19" t="n">
        <v>99.8956</v>
      </c>
      <c r="D24" s="19" t="n">
        <v>39.4738</v>
      </c>
      <c r="E24" s="19" t="n">
        <v>64.245</v>
      </c>
      <c r="F24" s="19" t="n">
        <v>196.8847</v>
      </c>
      <c r="G24" s="19" t="n">
        <v>90.3373</v>
      </c>
      <c r="H24" s="19" t="n">
        <v>108.1176</v>
      </c>
      <c r="I24" s="44" t="n">
        <f aca="false">I9/365*利润表!I7</f>
        <v>112.11694109589</v>
      </c>
      <c r="J24" s="44" t="n">
        <f aca="false">J9/365*利润表!J7</f>
        <v>143.656613786301</v>
      </c>
      <c r="K24" s="44" t="n">
        <f aca="false">K9/365*利润表!K7</f>
        <v>184.351495848329</v>
      </c>
      <c r="L24" s="44" t="n">
        <f aca="false">L9/365*利润表!L7</f>
        <v>220.459383360473</v>
      </c>
      <c r="M24" s="44" t="n">
        <f aca="false">M9/365*利润表!M7</f>
        <v>249.678248415656</v>
      </c>
    </row>
    <row r="25" customFormat="false" ht="15" hidden="false" customHeight="false" outlineLevel="0" collapsed="false">
      <c r="A25" s="32" t="s">
        <v>336</v>
      </c>
      <c r="B25" s="37" t="s">
        <v>147</v>
      </c>
      <c r="C25" s="19" t="n">
        <v>0.6937</v>
      </c>
      <c r="D25" s="19" t="n">
        <v>5.91</v>
      </c>
      <c r="E25" s="19" t="n">
        <v>1.8565</v>
      </c>
      <c r="F25" s="19" t="n">
        <v>2.8109</v>
      </c>
      <c r="G25" s="19" t="n">
        <v>19.1425</v>
      </c>
      <c r="H25" s="19" t="n">
        <v>45.2905</v>
      </c>
      <c r="I25" s="44" t="n">
        <f aca="false">I10/365*利润表!I5</f>
        <v>30.0384328767123</v>
      </c>
      <c r="J25" s="44" t="n">
        <f aca="false">J10/365*利润表!J5</f>
        <v>38.4707522191781</v>
      </c>
      <c r="K25" s="44" t="n">
        <f aca="false">K10/365*利润表!K5</f>
        <v>48.4380096153425</v>
      </c>
      <c r="L25" s="44" t="n">
        <f aca="false">L10/365*利润表!L5</f>
        <v>56.3673977370082</v>
      </c>
      <c r="M25" s="44" t="n">
        <f aca="false">M10/365*利润表!M5</f>
        <v>62.4922292592116</v>
      </c>
    </row>
    <row r="26" customFormat="false" ht="15" hidden="false" customHeight="false" outlineLevel="0" collapsed="false">
      <c r="A26" s="32" t="s">
        <v>337</v>
      </c>
      <c r="B26" s="37" t="s">
        <v>147</v>
      </c>
      <c r="C26" s="19" t="n">
        <v>199.3023</v>
      </c>
      <c r="D26" s="19" t="n">
        <v>323.8021</v>
      </c>
      <c r="E26" s="19" t="n">
        <v>463.9703</v>
      </c>
      <c r="F26" s="19" t="n">
        <v>665.8346</v>
      </c>
      <c r="G26" s="19" t="n">
        <v>743.1362</v>
      </c>
      <c r="H26" s="19" t="n">
        <v>916.0337</v>
      </c>
      <c r="I26" s="44" t="n">
        <f aca="false">I11/365*利润表!I7</f>
        <v>1233.28635205479</v>
      </c>
      <c r="J26" s="44" t="n">
        <f aca="false">J11/365*利润表!J7</f>
        <v>1532.33721372055</v>
      </c>
      <c r="K26" s="44" t="n">
        <f aca="false">K11/365*利润表!K7</f>
        <v>1904.9654570994</v>
      </c>
      <c r="L26" s="44" t="n">
        <f aca="false">L11/365*利润表!L7</f>
        <v>2204.59383360473</v>
      </c>
      <c r="M26" s="44" t="n">
        <f aca="false">M11/365*利润表!M7</f>
        <v>2455.16944275395</v>
      </c>
    </row>
    <row r="27" customFormat="false" ht="15" hidden="false" customHeight="false" outlineLevel="0" collapsed="false">
      <c r="A27" s="32" t="s">
        <v>338</v>
      </c>
      <c r="B27" s="37" t="s">
        <v>147</v>
      </c>
      <c r="C27" s="19" t="n">
        <v>16.7631</v>
      </c>
      <c r="D27" s="19" t="n">
        <v>14.5607</v>
      </c>
      <c r="E27" s="19" t="n">
        <v>48.5052</v>
      </c>
      <c r="F27" s="19" t="n">
        <v>78.9559</v>
      </c>
      <c r="G27" s="19" t="n">
        <v>80.0299</v>
      </c>
      <c r="H27" s="19" t="n">
        <v>65.9106</v>
      </c>
      <c r="I27" s="44" t="n">
        <f aca="false">I12/365*利润表!I5</f>
        <v>75.0960821917808</v>
      </c>
      <c r="J27" s="44" t="n">
        <f aca="false">J12/365*利润表!J5</f>
        <v>96.1768805479452</v>
      </c>
      <c r="K27" s="44" t="n">
        <f aca="false">K12/365*利润表!K5</f>
        <v>121.095024038356</v>
      </c>
      <c r="L27" s="44" t="n">
        <f aca="false">L12/365*利润表!L5</f>
        <v>140.918494342521</v>
      </c>
      <c r="M27" s="44" t="n">
        <f aca="false">M12/365*利润表!M5</f>
        <v>156.230573148029</v>
      </c>
    </row>
    <row r="28" customFormat="false" ht="15" hidden="false" customHeight="false" outlineLevel="0" collapsed="false">
      <c r="A28" s="32" t="s">
        <v>339</v>
      </c>
      <c r="B28" s="37" t="s">
        <v>147</v>
      </c>
      <c r="C28" s="19" t="n">
        <v>112.9988</v>
      </c>
      <c r="D28" s="19" t="n">
        <v>112.4339</v>
      </c>
      <c r="E28" s="19" t="n">
        <v>133.3691</v>
      </c>
      <c r="F28" s="19" t="n">
        <v>317.3687</v>
      </c>
      <c r="G28" s="19" t="n">
        <v>165.1758</v>
      </c>
      <c r="H28" s="19" t="n">
        <v>201.7146</v>
      </c>
      <c r="I28" s="44" t="n">
        <f aca="false">I13/365*利润表!I7</f>
        <v>280.292352739726</v>
      </c>
      <c r="J28" s="44" t="n">
        <f aca="false">J13/365*利润表!J7</f>
        <v>359.141534465753</v>
      </c>
      <c r="K28" s="44" t="n">
        <f aca="false">K13/365*利润表!K7</f>
        <v>460.878739620822</v>
      </c>
      <c r="L28" s="44" t="n">
        <f aca="false">L13/365*利润表!L7</f>
        <v>551.148458401183</v>
      </c>
      <c r="M28" s="44" t="n">
        <f aca="false">M13/365*利润表!M7</f>
        <v>624.195621039139</v>
      </c>
    </row>
    <row r="29" customFormat="false" ht="15" hidden="false" customHeight="false" outlineLevel="0" collapsed="false">
      <c r="A29" s="32" t="s">
        <v>340</v>
      </c>
      <c r="B29" s="37" t="s">
        <v>147</v>
      </c>
      <c r="C29" s="19" t="n">
        <v>153.0441</v>
      </c>
      <c r="D29" s="19" t="n">
        <v>203.4393</v>
      </c>
      <c r="E29" s="19" t="n">
        <v>310.7521</v>
      </c>
      <c r="F29" s="19" t="n">
        <v>303.2132</v>
      </c>
      <c r="G29" s="19" t="n">
        <v>215.8137</v>
      </c>
      <c r="H29" s="19" t="n">
        <v>342.6115</v>
      </c>
      <c r="I29" s="44" t="n">
        <f aca="false">I14/365*利润表!I7</f>
        <v>411.095450684931</v>
      </c>
      <c r="J29" s="44" t="n">
        <f aca="false">J14/365*利润表!J7</f>
        <v>536.318024802192</v>
      </c>
      <c r="K29" s="44" t="n">
        <f aca="false">K14/365*利润表!K7</f>
        <v>688.245584500427</v>
      </c>
      <c r="L29" s="44" t="n">
        <f aca="false">L14/365*利润表!L7</f>
        <v>823.048364545767</v>
      </c>
      <c r="M29" s="44" t="n">
        <f aca="false">M14/365*利润表!M7</f>
        <v>932.132127418448</v>
      </c>
    </row>
    <row r="30" customFormat="false" ht="15" hidden="false" customHeight="false" outlineLevel="0" collapsed="false">
      <c r="A30" s="32" t="s">
        <v>341</v>
      </c>
      <c r="B30" s="37" t="s">
        <v>147</v>
      </c>
      <c r="C30" s="19" t="n">
        <v>10.1313</v>
      </c>
      <c r="D30" s="19" t="n">
        <v>8.9468</v>
      </c>
      <c r="E30" s="19" t="n">
        <v>23.1784</v>
      </c>
      <c r="F30" s="19" t="n">
        <v>17.0223</v>
      </c>
      <c r="G30" s="19" t="n">
        <v>22.7053</v>
      </c>
      <c r="H30" s="19" t="n">
        <v>20.4294</v>
      </c>
      <c r="I30" s="44" t="n">
        <f aca="false">I15/365*利润表!I5</f>
        <v>30.0384328767123</v>
      </c>
      <c r="J30" s="44" t="n">
        <f aca="false">J15/365*利润表!J5</f>
        <v>38.4707522191781</v>
      </c>
      <c r="K30" s="44" t="n">
        <f aca="false">K15/365*利润表!K5</f>
        <v>48.4380096153425</v>
      </c>
      <c r="L30" s="44" t="n">
        <f aca="false">L15/365*利润表!L5</f>
        <v>56.3673977370082</v>
      </c>
      <c r="M30" s="44" t="n">
        <f aca="false">M15/365*利润表!M5</f>
        <v>62.4922292592116</v>
      </c>
    </row>
    <row r="31" customFormat="false" ht="15" hidden="false" customHeight="false" outlineLevel="0" collapsed="false">
      <c r="A31" s="32" t="s">
        <v>342</v>
      </c>
      <c r="B31" s="37" t="s">
        <v>147</v>
      </c>
      <c r="C31" s="19" t="n">
        <v>41.1022</v>
      </c>
      <c r="D31" s="19" t="n">
        <v>45.3797</v>
      </c>
      <c r="E31" s="19" t="n">
        <v>47.2096</v>
      </c>
      <c r="F31" s="19" t="n">
        <v>60.4693</v>
      </c>
      <c r="G31" s="19" t="n">
        <v>63.7831</v>
      </c>
      <c r="H31" s="19" t="n">
        <v>80.0895</v>
      </c>
      <c r="I31" s="44" t="n">
        <f aca="false">I16/365*利润表!I5</f>
        <v>105.134515068493</v>
      </c>
      <c r="J31" s="44" t="n">
        <f aca="false">J16/365*利润表!J5</f>
        <v>134.647632767123</v>
      </c>
      <c r="K31" s="44" t="n">
        <f aca="false">K16/365*利润表!K5</f>
        <v>169.533033653699</v>
      </c>
      <c r="L31" s="44" t="n">
        <f aca="false">L16/365*利润表!L5</f>
        <v>197.285892079529</v>
      </c>
      <c r="M31" s="44" t="n">
        <f aca="false">M16/365*利润表!M5</f>
        <v>218.722802407241</v>
      </c>
    </row>
    <row r="32" customFormat="false" ht="15" hidden="false" customHeight="false" outlineLevel="0" collapsed="false">
      <c r="A32" s="32" t="s">
        <v>343</v>
      </c>
      <c r="B32" s="37" t="s">
        <v>147</v>
      </c>
      <c r="C32" s="19" t="n">
        <v>24.0286</v>
      </c>
      <c r="D32" s="19" t="n">
        <v>34.3719</v>
      </c>
      <c r="E32" s="19" t="n">
        <v>48.8534</v>
      </c>
      <c r="F32" s="19" t="n">
        <v>49.7896</v>
      </c>
      <c r="G32" s="19" t="n">
        <v>22.5359</v>
      </c>
      <c r="H32" s="19" t="n">
        <v>75.014</v>
      </c>
      <c r="I32" s="44" t="n">
        <f aca="false">I17/365*利润表!I5</f>
        <v>82.6056904109589</v>
      </c>
      <c r="J32" s="44" t="n">
        <f aca="false">J17/365*利润表!J5</f>
        <v>105.79456860274</v>
      </c>
      <c r="K32" s="44" t="n">
        <f aca="false">K17/365*利润表!K5</f>
        <v>133.204526442192</v>
      </c>
      <c r="L32" s="44" t="n">
        <f aca="false">L17/365*利润表!L5</f>
        <v>155.010343776773</v>
      </c>
      <c r="M32" s="44" t="n">
        <f aca="false">M17/365*利润表!M5</f>
        <v>171.853630462832</v>
      </c>
    </row>
    <row r="33" customFormat="false" ht="15" hidden="false" customHeight="false" outlineLevel="0" collapsed="false">
      <c r="A33" s="32" t="s">
        <v>344</v>
      </c>
      <c r="B33" s="37" t="s">
        <v>147</v>
      </c>
      <c r="C33" s="19" t="n">
        <v>11.2502</v>
      </c>
      <c r="D33" s="19" t="n">
        <v>29.623</v>
      </c>
      <c r="E33" s="19" t="n">
        <v>28.006</v>
      </c>
      <c r="F33" s="19" t="n">
        <v>30.8399</v>
      </c>
      <c r="G33" s="19" t="n">
        <v>4.8616</v>
      </c>
      <c r="H33" s="19" t="n">
        <v>99.6528</v>
      </c>
      <c r="I33" s="44" t="n">
        <f aca="false">I18/365*利润表!I5</f>
        <v>105.134515068493</v>
      </c>
      <c r="J33" s="44" t="n">
        <f aca="false">J18/365*利润表!J5</f>
        <v>115.412256657534</v>
      </c>
      <c r="K33" s="44" t="n">
        <f aca="false">K18/365*利润表!K5</f>
        <v>145.314028846027</v>
      </c>
      <c r="L33" s="44" t="n">
        <f aca="false">L18/365*利润表!L5</f>
        <v>169.102193211025</v>
      </c>
      <c r="M33" s="44" t="n">
        <f aca="false">M18/365*利润表!M5</f>
        <v>187.476687777635</v>
      </c>
    </row>
    <row r="34" customFormat="false" ht="15" hidden="false" customHeight="false" outlineLevel="0" collapsed="false">
      <c r="A34" s="32" t="s">
        <v>345</v>
      </c>
      <c r="B34" s="37" t="s">
        <v>147</v>
      </c>
      <c r="C34" s="19" t="n">
        <v>2.8393</v>
      </c>
      <c r="D34" s="19" t="n">
        <v>56.4239</v>
      </c>
      <c r="E34" s="19" t="n">
        <v>52.0426</v>
      </c>
      <c r="F34" s="19" t="n">
        <v>94.6658</v>
      </c>
      <c r="G34" s="19" t="n">
        <v>68.7663</v>
      </c>
      <c r="H34" s="19" t="n">
        <v>88.2123</v>
      </c>
      <c r="I34" s="44" t="n">
        <f aca="false">I19/365*利润表!I5</f>
        <v>120.153731506849</v>
      </c>
      <c r="J34" s="44" t="n">
        <f aca="false">J19/365*利润表!J5</f>
        <v>153.883008876712</v>
      </c>
      <c r="K34" s="44" t="n">
        <f aca="false">K19/365*利润表!K5</f>
        <v>193.75203846137</v>
      </c>
      <c r="L34" s="44" t="n">
        <f aca="false">L19/365*利润表!L5</f>
        <v>225.469590948033</v>
      </c>
      <c r="M34" s="44" t="n">
        <f aca="false">M19/365*利润表!M5</f>
        <v>249.968917036847</v>
      </c>
    </row>
    <row r="35" customFormat="false" ht="15" hidden="false" customHeight="false" outlineLevel="0" collapsed="false">
      <c r="A35" s="22" t="s">
        <v>346</v>
      </c>
      <c r="B35" s="37" t="s">
        <v>147</v>
      </c>
      <c r="C35" s="46" t="n">
        <f aca="false">C21+C22+C23+C24+C25+C26+C27</f>
        <v>754.8794</v>
      </c>
      <c r="D35" s="46" t="n">
        <f aca="false">D21+D22+D23+D24+D25+D26+D27</f>
        <v>911.8785</v>
      </c>
      <c r="E35" s="46" t="n">
        <f aca="false">E21+E22+E23+E24+E25+E26+E27</f>
        <v>1353.4303</v>
      </c>
      <c r="F35" s="46" t="n">
        <f aca="false">F21+F22+F23+F24+F25+F26+F27</f>
        <v>1938.8886</v>
      </c>
      <c r="G35" s="46" t="n">
        <f aca="false">G21+G22+G23+G24+G25+G26+G27</f>
        <v>1828.5166</v>
      </c>
      <c r="H35" s="46" t="n">
        <f aca="false">H21+H22+H23+H24+H25+H26+H27</f>
        <v>2291.7623</v>
      </c>
      <c r="I35" s="46" t="n">
        <f aca="false">I21+I22+I23+I24+I25+I26+I27</f>
        <v>2952.45945205479</v>
      </c>
      <c r="J35" s="46" t="n">
        <f aca="false">J21+J22+J23+J24+J25+J26+J27</f>
        <v>3705.32600706849</v>
      </c>
      <c r="K35" s="46" t="n">
        <f aca="false">K21+K22+K23+K24+K25+K26+K27</f>
        <v>4608.09345294553</v>
      </c>
      <c r="L35" s="46" t="n">
        <f aca="false">L21+L22+L23+L24+L25+L26+L27</f>
        <v>5327.97420042113</v>
      </c>
      <c r="M35" s="46" t="n">
        <f aca="false">M21+M22+M23+M24+M25+M26+M27</f>
        <v>5923.197498019</v>
      </c>
    </row>
    <row r="36" customFormat="false" ht="15" hidden="false" customHeight="false" outlineLevel="0" collapsed="false">
      <c r="A36" s="22" t="s">
        <v>347</v>
      </c>
      <c r="B36" s="37" t="s">
        <v>147</v>
      </c>
      <c r="C36" s="46" t="n">
        <f aca="false">C28+C29+C30+C31+C32+C33+C34</f>
        <v>355.3945</v>
      </c>
      <c r="D36" s="46" t="n">
        <f aca="false">D28+D29+D30+D31+D32+D33+D34</f>
        <v>490.6185</v>
      </c>
      <c r="E36" s="46" t="n">
        <f aca="false">E28+E29+E30+E31+E32+E33+E34</f>
        <v>643.4112</v>
      </c>
      <c r="F36" s="46" t="n">
        <f aca="false">F28+F29+F30+F31+F32+F33+F34</f>
        <v>873.3688</v>
      </c>
      <c r="G36" s="46" t="n">
        <f aca="false">G28+G29+G30+G31+G32+G33+G34</f>
        <v>563.6417</v>
      </c>
      <c r="H36" s="46" t="n">
        <f aca="false">H28+H29+H30+H31+H32+H33+H34</f>
        <v>907.7241</v>
      </c>
      <c r="I36" s="46" t="n">
        <f aca="false">I28+I29+I30+I31+I32+I33+I34</f>
        <v>1134.45468835616</v>
      </c>
      <c r="J36" s="46" t="n">
        <f aca="false">J28+J29+J30+J31+J32+J33+J34</f>
        <v>1443.66777839123</v>
      </c>
      <c r="K36" s="46" t="n">
        <f aca="false">K28+K29+K30+K31+K32+K33+K34</f>
        <v>1839.36596113988</v>
      </c>
      <c r="L36" s="46" t="n">
        <f aca="false">L28+L29+L30+L31+L32+L33+L34</f>
        <v>2177.43224069932</v>
      </c>
      <c r="M36" s="46" t="n">
        <f aca="false">M28+M29+M30+M31+M32+M33+M34</f>
        <v>2446.84201540135</v>
      </c>
    </row>
    <row r="37" customFormat="false" ht="15" hidden="false" customHeight="false" outlineLevel="0" collapsed="false">
      <c r="A37" s="22" t="s">
        <v>348</v>
      </c>
      <c r="B37" s="37" t="s">
        <v>147</v>
      </c>
      <c r="C37" s="43" t="n">
        <f aca="false">C35-C36</f>
        <v>399.4849</v>
      </c>
      <c r="D37" s="43" t="n">
        <f aca="false">D35-D36</f>
        <v>421.26</v>
      </c>
      <c r="E37" s="43" t="n">
        <f aca="false">E35-E36</f>
        <v>710.0191</v>
      </c>
      <c r="F37" s="43" t="n">
        <f aca="false">F35-F36</f>
        <v>1065.5198</v>
      </c>
      <c r="G37" s="43" t="n">
        <f aca="false">G35-G36</f>
        <v>1264.8749</v>
      </c>
      <c r="H37" s="43" t="n">
        <f aca="false">H35-H36</f>
        <v>1384.0382</v>
      </c>
      <c r="I37" s="41" t="n">
        <f aca="false">I35-I36</f>
        <v>1818.00476369863</v>
      </c>
      <c r="J37" s="41" t="n">
        <f aca="false">J35-J36</f>
        <v>2261.65822867726</v>
      </c>
      <c r="K37" s="41" t="n">
        <f aca="false">K35-K36</f>
        <v>2768.72749180565</v>
      </c>
      <c r="L37" s="41" t="n">
        <f aca="false">L35-L36</f>
        <v>3150.54195972181</v>
      </c>
      <c r="M37" s="41" t="n">
        <f aca="false">M35-M36</f>
        <v>3476.35548261765</v>
      </c>
    </row>
    <row r="38" customFormat="false" ht="15" hidden="false" customHeight="false" outlineLevel="0" collapsed="false">
      <c r="A38" s="32" t="s">
        <v>349</v>
      </c>
      <c r="B38" s="23" t="s">
        <v>94</v>
      </c>
      <c r="C38" s="13" t="n">
        <f aca="false">C37/利润表!C5</f>
        <v>0.462592563986381</v>
      </c>
      <c r="D38" s="13" t="n">
        <f aca="false">D37/利润表!D5</f>
        <v>0.344293695288229</v>
      </c>
      <c r="E38" s="13" t="n">
        <f aca="false">E37/利润表!E5</f>
        <v>0.412954211240288</v>
      </c>
      <c r="F38" s="13" t="n">
        <f aca="false">F37/利润表!F5</f>
        <v>0.509685762921071</v>
      </c>
      <c r="G38" s="13" t="n">
        <f aca="false">G37/利润表!G5</f>
        <v>0.726183615516582</v>
      </c>
      <c r="H38" s="13" t="n">
        <f aca="false">H37/利润表!H5</f>
        <v>0.68640809137744</v>
      </c>
      <c r="I38" s="13" t="n">
        <f aca="false">I37/利润表!I5</f>
        <v>0.663261627459773</v>
      </c>
      <c r="J38" s="13" t="n">
        <f aca="false">J37/利润表!J5</f>
        <v>0.644263348830007</v>
      </c>
      <c r="K38" s="13" t="n">
        <f aca="false">K37/利润表!K5</f>
        <v>0.626413416431348</v>
      </c>
      <c r="L38" s="13" t="n">
        <f aca="false">L37/利润表!L5</f>
        <v>0.612525832590629</v>
      </c>
      <c r="M38" s="13" t="n">
        <f aca="false">M37/利润表!M5</f>
        <v>0.609628538403201</v>
      </c>
    </row>
    <row r="39" customFormat="false" ht="15" hidden="false" customHeight="false" outlineLevel="0" collapsed="false">
      <c r="A39" s="32" t="s">
        <v>350</v>
      </c>
      <c r="B39" s="37" t="s">
        <v>147</v>
      </c>
      <c r="D39" s="44" t="n">
        <f aca="false">D37-C37</f>
        <v>21.7750999999997</v>
      </c>
      <c r="E39" s="44" t="n">
        <f aca="false">E37-D37</f>
        <v>288.7591</v>
      </c>
      <c r="F39" s="44" t="n">
        <f aca="false">F37-E37</f>
        <v>355.5007</v>
      </c>
      <c r="G39" s="44" t="n">
        <f aca="false">G37-F37</f>
        <v>199.3551</v>
      </c>
      <c r="H39" s="44" t="n">
        <f aca="false">H37-G37</f>
        <v>119.163300000001</v>
      </c>
      <c r="I39" s="44" t="n">
        <f aca="false">I37-H37</f>
        <v>433.966563698629</v>
      </c>
      <c r="J39" s="44" t="n">
        <f aca="false">J37-I37</f>
        <v>443.65346497863</v>
      </c>
      <c r="K39" s="44" t="n">
        <f aca="false">K37-J37</f>
        <v>507.069263128394</v>
      </c>
      <c r="L39" s="44" t="n">
        <f aca="false">L37-K37</f>
        <v>381.814467916157</v>
      </c>
      <c r="M39" s="44" t="n">
        <f aca="false">M37-L37</f>
        <v>325.813522895839</v>
      </c>
    </row>
    <row r="40" customFormat="false" ht="15" hidden="false" customHeight="false" outlineLevel="0" collapsed="false">
      <c r="A40" s="30" t="s">
        <v>351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customFormat="false" ht="15" hidden="false" customHeight="false" outlineLevel="0" collapsed="false">
      <c r="A41" s="32" t="s">
        <v>352</v>
      </c>
      <c r="B41" s="37" t="s">
        <v>313</v>
      </c>
      <c r="C41" s="56" t="n">
        <f aca="false">(C21+C22+C23)/利润表!C5*365</f>
        <v>185.22004953112</v>
      </c>
      <c r="D41" s="56" t="n">
        <f aca="false">(D21+D22+D23)/利润表!D5*365</f>
        <v>157.548441483802</v>
      </c>
      <c r="E41" s="56" t="n">
        <f aca="false">(E21+E22+E23)/利润表!E5*365</f>
        <v>164.491787143302</v>
      </c>
      <c r="F41" s="56" t="n">
        <f aca="false">(F21+F22+F23)/利润表!F5*365</f>
        <v>173.618520139221</v>
      </c>
      <c r="G41" s="56" t="n">
        <f aca="false">(G21+G22+G23)/利润表!G5*365</f>
        <v>187.731464784304</v>
      </c>
      <c r="H41" s="56" t="n">
        <f aca="false">(H21+H22+H23)/利润表!H5*365</f>
        <v>209.333619543721</v>
      </c>
      <c r="I41" s="56" t="n">
        <f aca="false">(I21+I22+I23)/利润表!I5*365</f>
        <v>200</v>
      </c>
      <c r="J41" s="56" t="n">
        <f aca="false">(J21+J22+J23)/利润表!J5*365</f>
        <v>197</v>
      </c>
      <c r="K41" s="56" t="n">
        <f aca="false">(K21+K22+K23)/利润表!K5*365</f>
        <v>194</v>
      </c>
      <c r="L41" s="56" t="n">
        <f aca="false">(L21+L22+L23)/利润表!L5*365</f>
        <v>192</v>
      </c>
      <c r="M41" s="56" t="n">
        <f aca="false">(M21+M22+M23)/利润表!M5*365</f>
        <v>192</v>
      </c>
    </row>
    <row r="42" customFormat="false" ht="15" hidden="false" customHeight="false" outlineLevel="0" collapsed="false">
      <c r="A42" s="32" t="s">
        <v>353</v>
      </c>
      <c r="B42" s="37" t="s">
        <v>313</v>
      </c>
      <c r="C42" s="56" t="n">
        <f aca="false">C11</f>
        <v>175.753328232335</v>
      </c>
      <c r="D42" s="56" t="n">
        <f aca="false">D11</f>
        <v>196.300020163527</v>
      </c>
      <c r="E42" s="56" t="n">
        <f aca="false">E11</f>
        <v>201.904167234469</v>
      </c>
      <c r="F42" s="56" t="n">
        <f aca="false">F11</f>
        <v>230.103299998618</v>
      </c>
      <c r="G42" s="56" t="n">
        <f aca="false">G11</f>
        <v>269.291006746057</v>
      </c>
      <c r="H42" s="56" t="n">
        <f aca="false">H11</f>
        <v>315.107934209573</v>
      </c>
      <c r="I42" s="56" t="n">
        <f aca="false">I11</f>
        <v>330</v>
      </c>
      <c r="J42" s="56" t="n">
        <f aca="false">J11</f>
        <v>320</v>
      </c>
      <c r="K42" s="56" t="n">
        <f aca="false">K11</f>
        <v>310</v>
      </c>
      <c r="L42" s="56" t="n">
        <f aca="false">L11</f>
        <v>300</v>
      </c>
      <c r="M42" s="56" t="n">
        <f aca="false">M11</f>
        <v>295</v>
      </c>
    </row>
    <row r="43" customFormat="false" ht="15" hidden="false" customHeight="false" outlineLevel="0" collapsed="false">
      <c r="A43" s="32" t="s">
        <v>354</v>
      </c>
      <c r="B43" s="37" t="s">
        <v>313</v>
      </c>
      <c r="C43" s="56" t="n">
        <f aca="false">(C29+C28)/利润表!C7*365</f>
        <v>234.608055840712</v>
      </c>
      <c r="D43" s="56" t="n">
        <f aca="false">(D29+D28)/利润表!D7*365</f>
        <v>191.493247045396</v>
      </c>
      <c r="E43" s="56" t="n">
        <f aca="false">(E29+E28)/利润表!E7*365</f>
        <v>193.266510889109</v>
      </c>
      <c r="F43" s="56" t="n">
        <f aca="false">(F29+F28)/利润表!F7*365</f>
        <v>214.464587916297</v>
      </c>
      <c r="G43" s="56" t="n">
        <f aca="false">(G29+G28)/利润表!G7*365</f>
        <v>138.059545497416</v>
      </c>
      <c r="H43" s="56" t="n">
        <f aca="false">(H29+H28)/利润表!H7*365</f>
        <v>187.243627507758</v>
      </c>
      <c r="I43" s="56" t="n">
        <f aca="false">(I29+I28)/利润表!I7*365</f>
        <v>185</v>
      </c>
      <c r="J43" s="56" t="n">
        <f aca="false">(J29+J28)/利润表!J7*365</f>
        <v>187</v>
      </c>
      <c r="K43" s="56" t="n">
        <f aca="false">(K29+K28)/利润表!K7*365</f>
        <v>187</v>
      </c>
      <c r="L43" s="56" t="n">
        <f aca="false">(L29+L28)/利润表!L7*365</f>
        <v>187</v>
      </c>
      <c r="M43" s="56" t="n">
        <f aca="false">(M29+M28)/利润表!M7*365</f>
        <v>187</v>
      </c>
    </row>
    <row r="44" customFormat="false" ht="15" hidden="false" customHeight="false" outlineLevel="0" collapsed="false">
      <c r="A44" s="34" t="s">
        <v>355</v>
      </c>
      <c r="B44" s="37" t="s">
        <v>313</v>
      </c>
      <c r="C44" s="57" t="n">
        <f aca="false">C41+C42-C43</f>
        <v>126.365321922743</v>
      </c>
      <c r="D44" s="57" t="n">
        <f aca="false">D41+D42-D43</f>
        <v>162.355214601934</v>
      </c>
      <c r="E44" s="57" t="n">
        <f aca="false">E41+E42-E43</f>
        <v>173.129443488662</v>
      </c>
      <c r="F44" s="57" t="n">
        <f aca="false">F41+F42-F43</f>
        <v>189.257232221542</v>
      </c>
      <c r="G44" s="57" t="n">
        <f aca="false">G41+G42-G43</f>
        <v>318.962926032946</v>
      </c>
      <c r="H44" s="57" t="n">
        <f aca="false">H41+H42-H43</f>
        <v>337.197926245536</v>
      </c>
      <c r="I44" s="57" t="n">
        <f aca="false">I41+I42-I43</f>
        <v>345</v>
      </c>
      <c r="J44" s="57" t="n">
        <f aca="false">J41+J42-J43</f>
        <v>330</v>
      </c>
      <c r="K44" s="57" t="n">
        <f aca="false">K41+K42-K43</f>
        <v>317</v>
      </c>
      <c r="L44" s="57" t="n">
        <f aca="false">L41+L42-L43</f>
        <v>305</v>
      </c>
      <c r="M44" s="57" t="n">
        <f aca="false">M41+M42-M43</f>
        <v>300</v>
      </c>
    </row>
    <row r="45" customFormat="false" ht="15" hidden="false" customHeight="false" outlineLevel="0" collapsed="false">
      <c r="A45" s="32" t="s">
        <v>356</v>
      </c>
      <c r="B45" s="23" t="s">
        <v>195</v>
      </c>
      <c r="C45" s="11" t="n">
        <f aca="false">现金流量表!C12/利润表!C25</f>
        <v>0.789010369467077</v>
      </c>
      <c r="D45" s="11" t="n">
        <f aca="false">现金流量表!D12/利润表!D25</f>
        <v>0.782623030388183</v>
      </c>
      <c r="E45" s="11" t="n">
        <f aca="false">现金流量表!E12/利润表!E25</f>
        <v>0.794578738062958</v>
      </c>
      <c r="F45" s="11" t="n">
        <f aca="false">现金流量表!F12/利润表!F25</f>
        <v>0.464081823725796</v>
      </c>
      <c r="G45" s="11" t="n">
        <f aca="false">现金流量表!G12/利润表!G25</f>
        <v>0.811545283436975</v>
      </c>
      <c r="H45" s="11" t="n">
        <f aca="false">现金流量表!H12/利润表!H25</f>
        <v>0.614132665289867</v>
      </c>
      <c r="I45" s="11" t="n">
        <f aca="false">现金流量表!I12/利润表!I25</f>
        <v>0.898455538082119</v>
      </c>
      <c r="J45" s="11" t="n">
        <f aca="false">现金流量表!J12/利润表!J25</f>
        <v>1.03709403250562</v>
      </c>
      <c r="K45" s="11" t="n">
        <f aca="false">现金流量表!K12/利润表!K25</f>
        <v>0.993663796519522</v>
      </c>
      <c r="L45" s="11" t="n">
        <f aca="false">现金流量表!L12/利润表!L25</f>
        <v>1.119303999594</v>
      </c>
      <c r="M45" s="11" t="n">
        <f aca="false">现金流量表!M12/利润表!M25</f>
        <v>1.18027953373044</v>
      </c>
    </row>
    <row r="46" customFormat="false" ht="15" hidden="false" customHeight="false" outlineLevel="0" collapsed="false">
      <c r="A46" s="21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21.6" hidden="false" customHeight="false" outlineLevel="0" collapsed="false">
      <c r="A1" s="20" t="s">
        <v>358</v>
      </c>
    </row>
    <row r="2" customFormat="false" ht="15" hidden="false" customHeight="false" outlineLevel="0" collapsed="false">
      <c r="A2" s="21" t="s">
        <v>359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360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2" t="s">
        <v>361</v>
      </c>
      <c r="B6" s="23" t="s">
        <v>94</v>
      </c>
      <c r="C6" s="8" t="n">
        <f aca="false">利润表!C10/利润表!C5</f>
        <v>0.0103764765742724</v>
      </c>
      <c r="D6" s="8" t="n">
        <f aca="false">利润表!D10/利润表!D5</f>
        <v>0.00702048239366747</v>
      </c>
      <c r="E6" s="8" t="n">
        <f aca="false">利润表!E10/利润表!E5</f>
        <v>0.00981920536719017</v>
      </c>
      <c r="F6" s="8" t="n">
        <f aca="false">利润表!F10/利润表!F5</f>
        <v>0.0103276058569675</v>
      </c>
      <c r="G6" s="8" t="n">
        <f aca="false">利润表!G10/利润表!G5</f>
        <v>0.0101657963657833</v>
      </c>
      <c r="H6" s="8" t="n">
        <f aca="false">利润表!H10/利润表!H5</f>
        <v>0.012280563150554</v>
      </c>
      <c r="I6" s="33" t="n">
        <v>0.013</v>
      </c>
      <c r="J6" s="33" t="n">
        <v>0.013</v>
      </c>
      <c r="K6" s="33" t="n">
        <v>0.013</v>
      </c>
      <c r="L6" s="33" t="n">
        <v>0.013</v>
      </c>
      <c r="M6" s="33" t="n">
        <v>0.013</v>
      </c>
    </row>
    <row r="7" customFormat="false" ht="15" hidden="false" customHeight="false" outlineLevel="0" collapsed="false">
      <c r="A7" s="32" t="s">
        <v>362</v>
      </c>
      <c r="B7" s="23" t="s">
        <v>94</v>
      </c>
      <c r="C7" s="8" t="n">
        <f aca="false">利润表!C11/利润表!C5</f>
        <v>0.0141515830122179</v>
      </c>
      <c r="D7" s="8" t="n">
        <f aca="false">利润表!D11/利润表!D5</f>
        <v>0.0119990349380539</v>
      </c>
      <c r="E7" s="8" t="n">
        <f aca="false">利润表!E11/利润表!E5</f>
        <v>0.0104055264117245</v>
      </c>
      <c r="F7" s="8" t="n">
        <f aca="false">利润表!F11/利润表!F5</f>
        <v>0.011597419732083</v>
      </c>
      <c r="G7" s="8" t="n">
        <f aca="false">利润表!G11/利润表!G5</f>
        <v>0.0143118824460559</v>
      </c>
      <c r="H7" s="8" t="n">
        <f aca="false">利润表!H11/利润表!H5</f>
        <v>0.0156147579419415</v>
      </c>
      <c r="I7" s="33" t="n">
        <v>0.013</v>
      </c>
      <c r="J7" s="33" t="n">
        <v>0.012</v>
      </c>
      <c r="K7" s="33" t="n">
        <v>0.012</v>
      </c>
      <c r="L7" s="33" t="n">
        <v>0.012</v>
      </c>
      <c r="M7" s="33" t="n">
        <v>0.012</v>
      </c>
    </row>
    <row r="8" customFormat="false" ht="15" hidden="false" customHeight="false" outlineLevel="0" collapsed="false">
      <c r="A8" s="32" t="s">
        <v>363</v>
      </c>
      <c r="B8" s="23" t="s">
        <v>94</v>
      </c>
      <c r="C8" s="8" t="n">
        <f aca="false">(利润表!C12-N(融资!C26))/利润表!C5</f>
        <v>0.104547786807519</v>
      </c>
      <c r="D8" s="8" t="n">
        <f aca="false">(利润表!D12-N(融资!D26))/利润表!D5</f>
        <v>0.0603238090131947</v>
      </c>
      <c r="E8" s="8" t="n">
        <f aca="false">(利润表!E12-N(融资!E26))/利润表!E5</f>
        <v>0.0415913966387129</v>
      </c>
      <c r="F8" s="8" t="n">
        <f aca="false">(利润表!F12-N(融资!F26))/利润表!F5</f>
        <v>0.0605447600063256</v>
      </c>
      <c r="G8" s="8" t="n">
        <f aca="false">(利润表!G12-N(融资!G26))/利润表!G5</f>
        <v>0.0967794216985835</v>
      </c>
      <c r="H8" s="8" t="n">
        <f aca="false">(利润表!H12-N(融资!H26))/利润表!H5</f>
        <v>0.0808361092666056</v>
      </c>
      <c r="I8" s="33" t="n">
        <v>0.062</v>
      </c>
      <c r="J8" s="33" t="n">
        <v>0.06</v>
      </c>
      <c r="K8" s="33" t="n">
        <v>0.057</v>
      </c>
      <c r="L8" s="33" t="n">
        <v>0.055</v>
      </c>
      <c r="M8" s="33" t="n">
        <v>0.053</v>
      </c>
      <c r="N8" s="21" t="s">
        <v>364</v>
      </c>
    </row>
    <row r="9" customFormat="false" ht="15" hidden="false" customHeight="false" outlineLevel="0" collapsed="false">
      <c r="A9" s="32" t="s">
        <v>365</v>
      </c>
      <c r="B9" s="23" t="s">
        <v>94</v>
      </c>
      <c r="C9" s="8" t="n">
        <f aca="false">利润表!C13/利润表!C5</f>
        <v>0.0851025321039216</v>
      </c>
      <c r="D9" s="8" t="n">
        <f aca="false">利润表!D13/利润表!D5</f>
        <v>0.0775523060632501</v>
      </c>
      <c r="E9" s="8" t="n">
        <f aca="false">利润表!E13/利润表!E5</f>
        <v>0.0899789061683929</v>
      </c>
      <c r="F9" s="8" t="n">
        <f aca="false">利润表!F13/利润表!F5</f>
        <v>0.106769792684445</v>
      </c>
      <c r="G9" s="8" t="n">
        <f aca="false">利润表!G13/利润表!G5</f>
        <v>0.143496592110948</v>
      </c>
      <c r="H9" s="8" t="n">
        <f aca="false">利润表!H13/利润表!H5</f>
        <v>0.1399940754301</v>
      </c>
      <c r="I9" s="33" t="n">
        <v>0.126</v>
      </c>
      <c r="J9" s="33" t="n">
        <v>0.11</v>
      </c>
      <c r="K9" s="33" t="n">
        <v>0.1</v>
      </c>
      <c r="L9" s="33" t="n">
        <v>0.093</v>
      </c>
      <c r="M9" s="33" t="n">
        <v>0.089</v>
      </c>
      <c r="N9" s="36" t="s">
        <v>366</v>
      </c>
    </row>
    <row r="10" customFormat="false" ht="15" hidden="false" customHeight="false" outlineLevel="0" collapsed="false">
      <c r="A10" s="32" t="s">
        <v>367</v>
      </c>
      <c r="B10" s="37" t="s">
        <v>147</v>
      </c>
      <c r="I10" s="40" t="n">
        <v>321.3</v>
      </c>
      <c r="J10" s="40" t="n">
        <v>321.3</v>
      </c>
      <c r="K10" s="40" t="n">
        <v>321.3</v>
      </c>
      <c r="L10" s="40" t="n">
        <v>321.3</v>
      </c>
      <c r="M10" s="40" t="n">
        <v>321.3</v>
      </c>
      <c r="N10" s="21" t="s">
        <v>368</v>
      </c>
    </row>
    <row r="11" customFormat="false" ht="15" hidden="false" customHeight="false" outlineLevel="0" collapsed="false">
      <c r="A11" s="30" t="s">
        <v>369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customFormat="false" ht="15" hidden="false" customHeight="false" outlineLevel="0" collapsed="false">
      <c r="A12" s="32" t="s">
        <v>370</v>
      </c>
      <c r="B12" s="23" t="s">
        <v>94</v>
      </c>
      <c r="C12" s="8" t="n">
        <f aca="false">利润表!C15/利润表!C5</f>
        <v>0.0113846075104018</v>
      </c>
      <c r="D12" s="8" t="n">
        <f aca="false">利润表!D15/利润表!D5</f>
        <v>0.0170611150323109</v>
      </c>
      <c r="E12" s="8" t="n">
        <f aca="false">利润表!E15/利润表!E5</f>
        <v>0.00855606476157596</v>
      </c>
      <c r="F12" s="8" t="n">
        <f aca="false">利润表!F15/利润表!F5</f>
        <v>0.0246657494566243</v>
      </c>
      <c r="G12" s="8" t="n">
        <f aca="false">利润表!G15/利润表!G5</f>
        <v>0.0333528073131224</v>
      </c>
      <c r="H12" s="8" t="n">
        <f aca="false">利润表!H15/利润表!H5</f>
        <v>0.0263815949709894</v>
      </c>
      <c r="I12" s="33" t="n">
        <v>0.018</v>
      </c>
      <c r="J12" s="33" t="n">
        <v>0.016</v>
      </c>
      <c r="K12" s="33" t="n">
        <v>0.015</v>
      </c>
      <c r="L12" s="33" t="n">
        <v>0.014</v>
      </c>
      <c r="M12" s="33" t="n">
        <v>0.013</v>
      </c>
      <c r="N12" s="21" t="s">
        <v>371</v>
      </c>
    </row>
    <row r="13" customFormat="false" ht="15" hidden="false" customHeight="false" outlineLevel="0" collapsed="false">
      <c r="A13" s="32" t="s">
        <v>372</v>
      </c>
      <c r="B13" s="23" t="s">
        <v>94</v>
      </c>
      <c r="C13" s="8" t="n">
        <f aca="false">利润表!C18/利润表!C5</f>
        <v>-0.000963433194187487</v>
      </c>
      <c r="D13" s="8" t="n">
        <f aca="false">利润表!D18/利润表!D5</f>
        <v>-0.000496670176676297</v>
      </c>
      <c r="E13" s="8" t="n">
        <f aca="false">利润表!E18/利润表!E5</f>
        <v>-0.00370950860236092</v>
      </c>
      <c r="F13" s="8" t="n">
        <f aca="false">利润表!F18/利润表!F5</f>
        <v>-0.00509695425484274</v>
      </c>
      <c r="G13" s="8" t="n">
        <f aca="false">利润表!G18/利润表!G5</f>
        <v>-0.0048159060160015</v>
      </c>
      <c r="H13" s="8" t="n">
        <f aca="false">利润表!H18/利润表!H5</f>
        <v>-0.00849168514437159</v>
      </c>
      <c r="I13" s="33" t="n">
        <v>-0.006</v>
      </c>
      <c r="J13" s="33" t="n">
        <v>-0.005</v>
      </c>
      <c r="K13" s="33" t="n">
        <v>-0.005</v>
      </c>
      <c r="L13" s="33" t="n">
        <v>-0.005</v>
      </c>
      <c r="M13" s="33" t="n">
        <v>-0.005</v>
      </c>
    </row>
    <row r="14" customFormat="false" ht="15" hidden="false" customHeight="false" outlineLevel="0" collapsed="false">
      <c r="A14" s="32" t="s">
        <v>373</v>
      </c>
      <c r="B14" s="23" t="s">
        <v>94</v>
      </c>
      <c r="C14" s="8" t="n">
        <f aca="false">利润表!C19/利润表!C5</f>
        <v>-0.000653212337549473</v>
      </c>
      <c r="D14" s="8" t="n">
        <f aca="false">利润表!D19/利润表!D5</f>
        <v>-0.00184896649776993</v>
      </c>
      <c r="E14" s="8" t="n">
        <f aca="false">利润表!E19/利润表!E5</f>
        <v>-0.0036490211619963</v>
      </c>
      <c r="F14" s="8" t="n">
        <f aca="false">利润表!F19/利润表!F5</f>
        <v>-0.00476541353426618</v>
      </c>
      <c r="G14" s="8" t="n">
        <f aca="false">利润表!G19/利润表!G5</f>
        <v>-0.0115204206379634</v>
      </c>
      <c r="H14" s="8" t="n">
        <f aca="false">利润表!H19/利润表!H5</f>
        <v>-0.0177591288888545</v>
      </c>
      <c r="I14" s="33" t="n">
        <v>-0.008</v>
      </c>
      <c r="J14" s="33" t="n">
        <v>-0.007</v>
      </c>
      <c r="K14" s="33" t="n">
        <v>-0.006</v>
      </c>
      <c r="L14" s="33" t="n">
        <v>-0.006</v>
      </c>
      <c r="M14" s="33" t="n">
        <v>-0.006</v>
      </c>
      <c r="N14" s="21" t="s">
        <v>374</v>
      </c>
    </row>
    <row r="15" customFormat="false" ht="15" hidden="false" customHeight="false" outlineLevel="0" collapsed="false">
      <c r="A15" s="32" t="s">
        <v>375</v>
      </c>
      <c r="B15" s="37" t="s">
        <v>147</v>
      </c>
      <c r="C15" s="45" t="n">
        <f aca="false">利润表!C22+利润表!C20</f>
        <v>-6.2964</v>
      </c>
      <c r="D15" s="45" t="n">
        <f aca="false">利润表!D22+利润表!D20</f>
        <v>-7.7595</v>
      </c>
      <c r="E15" s="45" t="n">
        <f aca="false">利润表!E22+利润表!E20</f>
        <v>-1.9804</v>
      </c>
      <c r="F15" s="45" t="n">
        <f aca="false">利润表!F22+利润表!F20</f>
        <v>-3.7817</v>
      </c>
      <c r="G15" s="45" t="n">
        <f aca="false">利润表!G22+利润表!G20</f>
        <v>-9.0021</v>
      </c>
      <c r="H15" s="45" t="n">
        <f aca="false">利润表!H22+利润表!H20</f>
        <v>11.3967</v>
      </c>
      <c r="I15" s="40" t="n">
        <v>0</v>
      </c>
      <c r="J15" s="40" t="n">
        <v>0</v>
      </c>
      <c r="K15" s="40" t="n">
        <v>0</v>
      </c>
      <c r="L15" s="40" t="n">
        <v>0</v>
      </c>
      <c r="M15" s="40" t="n">
        <v>0</v>
      </c>
    </row>
    <row r="16" customFormat="false" ht="15" hidden="false" customHeight="false" outlineLevel="0" collapsed="false">
      <c r="A16" s="30" t="s">
        <v>376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customFormat="false" ht="15" hidden="false" customHeight="false" outlineLevel="0" collapsed="false">
      <c r="A17" s="32" t="s">
        <v>377</v>
      </c>
      <c r="B17" s="23" t="s">
        <v>94</v>
      </c>
      <c r="I17" s="33" t="n">
        <v>0.15</v>
      </c>
      <c r="J17" s="33" t="n">
        <v>0.15</v>
      </c>
      <c r="K17" s="33" t="n">
        <v>0.15</v>
      </c>
      <c r="L17" s="33" t="n">
        <v>0.15</v>
      </c>
      <c r="M17" s="33" t="n">
        <v>0.15</v>
      </c>
      <c r="N17" s="21" t="s">
        <v>378</v>
      </c>
    </row>
    <row r="18" customFormat="false" ht="15" hidden="false" customHeight="false" outlineLevel="0" collapsed="false">
      <c r="A18" s="32" t="s">
        <v>379</v>
      </c>
      <c r="B18" s="23" t="s">
        <v>94</v>
      </c>
      <c r="I18" s="33" t="n">
        <v>1</v>
      </c>
      <c r="J18" s="33" t="n">
        <v>1</v>
      </c>
      <c r="K18" s="33" t="n">
        <v>1</v>
      </c>
      <c r="L18" s="33" t="n">
        <v>1</v>
      </c>
      <c r="M18" s="33" t="n">
        <v>1</v>
      </c>
      <c r="N18" s="36" t="s">
        <v>380</v>
      </c>
    </row>
    <row r="19" customFormat="false" ht="15" hidden="false" customHeight="false" outlineLevel="0" collapsed="false">
      <c r="A19" s="32" t="s">
        <v>381</v>
      </c>
      <c r="B19" s="37" t="s">
        <v>147</v>
      </c>
      <c r="I19" s="44" t="n">
        <f aca="false">利润表!I13*I18*I17</f>
        <v>51.8050323</v>
      </c>
      <c r="J19" s="44" t="n">
        <f aca="false">利润表!J13*J18*J17</f>
        <v>57.92252631</v>
      </c>
      <c r="K19" s="44" t="n">
        <f aca="false">利润表!K13*K18*K17</f>
        <v>66.299525661</v>
      </c>
      <c r="L19" s="44" t="n">
        <f aca="false">利润表!L13*L18*L17</f>
        <v>71.7521743568529</v>
      </c>
      <c r="M19" s="44" t="n">
        <f aca="false">利润表!M13*M18*M17</f>
        <v>76.1272525307059</v>
      </c>
    </row>
    <row r="20" customFormat="false" ht="15" hidden="false" customHeight="false" outlineLevel="0" collapsed="false">
      <c r="A20" s="32" t="s">
        <v>382</v>
      </c>
      <c r="B20" s="23" t="s">
        <v>94</v>
      </c>
      <c r="I20" s="13" t="n">
        <f aca="false">MAX(0,1-业务拆分!I93/0.5189)</f>
        <v>0.0364232029292735</v>
      </c>
      <c r="J20" s="13" t="n">
        <f aca="false">MAX(0,1-业务拆分!J93/0.5189)</f>
        <v>0.152052418577761</v>
      </c>
      <c r="K20" s="13" t="n">
        <f aca="false">MAX(0,1-业务拆分!K93/0.5189)</f>
        <v>0.267681634226248</v>
      </c>
      <c r="L20" s="13" t="n">
        <f aca="false">MAX(0,1-业务拆分!L93/0.5189)</f>
        <v>0.325496242050492</v>
      </c>
      <c r="M20" s="13" t="n">
        <f aca="false">MAX(0,1-业务拆分!M93/0.5189)</f>
        <v>0.325496242050492</v>
      </c>
      <c r="N20" s="21" t="s">
        <v>383</v>
      </c>
    </row>
    <row r="21" customFormat="false" ht="15" hidden="false" customHeight="false" outlineLevel="0" collapsed="false">
      <c r="A21" s="32" t="s">
        <v>384</v>
      </c>
      <c r="B21" s="37" t="s">
        <v>147</v>
      </c>
      <c r="I21" s="44" t="n">
        <f aca="false">I20*MAX(0,业务拆分!I86)*(0.25-I17)</f>
        <v>0.68878346915175</v>
      </c>
      <c r="J21" s="44" t="n">
        <f aca="false">J20*MAX(0,业务拆分!J86)*(0.25-J17)</f>
        <v>5.41886136898437</v>
      </c>
      <c r="K21" s="44" t="n">
        <f aca="false">K20*MAX(0,业务拆分!K86)*(0.25-K17)</f>
        <v>15.2043663764932</v>
      </c>
      <c r="L21" s="44" t="n">
        <f aca="false">L20*MAX(0,业务拆分!L86)*(0.25-L17)</f>
        <v>22.5084078821226</v>
      </c>
      <c r="M21" s="44" t="n">
        <f aca="false">M20*MAX(0,业务拆分!M86)*(0.25-M17)</f>
        <v>24.4415534679875</v>
      </c>
    </row>
    <row r="22" customFormat="false" ht="15" hidden="false" customHeight="false" outlineLevel="0" collapsed="false">
      <c r="A22" s="32" t="s">
        <v>385</v>
      </c>
      <c r="B22" s="23" t="s">
        <v>94</v>
      </c>
      <c r="I22" s="33" t="n">
        <v>0.035</v>
      </c>
      <c r="J22" s="33" t="n">
        <v>0.025</v>
      </c>
      <c r="K22" s="33" t="n">
        <v>0.015</v>
      </c>
      <c r="L22" s="33" t="n">
        <v>0.01</v>
      </c>
      <c r="M22" s="33" t="n">
        <v>0.01</v>
      </c>
      <c r="N22" s="21" t="s">
        <v>386</v>
      </c>
    </row>
    <row r="23" customFormat="false" ht="15" hidden="false" customHeight="false" outlineLevel="0" collapsed="false">
      <c r="A23" s="34" t="s">
        <v>387</v>
      </c>
      <c r="B23" s="23" t="s">
        <v>94</v>
      </c>
      <c r="C23" s="47" t="n">
        <f aca="false">利润表!C24/利润表!C23</f>
        <v>0.121383664875821</v>
      </c>
      <c r="D23" s="47" t="n">
        <f aca="false">利润表!D24/利润表!D23</f>
        <v>0.111174024720791</v>
      </c>
      <c r="E23" s="47" t="n">
        <f aca="false">利润表!E24/利润表!E23</f>
        <v>0.0940640650526585</v>
      </c>
      <c r="F23" s="47" t="n">
        <f aca="false">利润表!F24/利润表!F23</f>
        <v>0.108270524018382</v>
      </c>
      <c r="G23" s="47" t="n">
        <f aca="false">利润表!G24/利润表!G23</f>
        <v>0.0525069043325231</v>
      </c>
      <c r="H23" s="47" t="n">
        <f aca="false">利润表!H24/利润表!H23</f>
        <v>0.0860226646978115</v>
      </c>
      <c r="I23" s="35" t="n">
        <f aca="false">I17+(I21-I19)/利润表!I23+I22</f>
        <v>0.117046199773104</v>
      </c>
      <c r="J23" s="35" t="n">
        <f aca="false">J17+(J21-J19)/利润表!J23+J22</f>
        <v>0.122329142897353</v>
      </c>
      <c r="K23" s="35" t="n">
        <f aca="false">K17+(K21-K19)/利润表!K23+K22</f>
        <v>0.127134032429661</v>
      </c>
      <c r="L23" s="35" t="n">
        <f aca="false">L17+(L21-L19)/利润表!L23+L22</f>
        <v>0.12880009998352</v>
      </c>
      <c r="M23" s="35" t="n">
        <f aca="false">M17+(M21-M19)/利润表!M23+M22</f>
        <v>0.130259400942411</v>
      </c>
      <c r="N23" s="21" t="s">
        <v>388</v>
      </c>
    </row>
    <row r="24" customFormat="false" ht="15" hidden="false" customHeight="false" outlineLevel="0" collapsed="false">
      <c r="A24" s="30" t="s">
        <v>389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customFormat="false" ht="15" hidden="false" customHeight="false" outlineLevel="0" collapsed="false">
      <c r="A25" s="32" t="s">
        <v>390</v>
      </c>
      <c r="B25" s="23" t="s">
        <v>94</v>
      </c>
      <c r="I25" s="13" t="n">
        <f aca="false">IFERROR(SUMPRODUCT(业务拆分!I81:I87,业务拆分!I88:I94)/SUM(业务拆分!I81:I87),0)</f>
        <v>0.149437674250606</v>
      </c>
      <c r="J25" s="13" t="n">
        <f aca="false">IFERROR(SUMPRODUCT(业务拆分!J81:J87,业务拆分!J88:J94)/SUM(业务拆分!J81:J87),0)</f>
        <v>0.187052449986794</v>
      </c>
      <c r="K25" s="13" t="n">
        <f aca="false">IFERROR(SUMPRODUCT(业务拆分!K81:K87,业务拆分!K88:K94)/SUM(业务拆分!K81:K87),0)</f>
        <v>0.197895240323613</v>
      </c>
      <c r="L25" s="13" t="n">
        <f aca="false">IFERROR(SUMPRODUCT(业务拆分!L81:L87,业务拆分!L88:L94)/SUM(业务拆分!L81:L87),0)</f>
        <v>0.196149394647107</v>
      </c>
      <c r="M25" s="13" t="n">
        <f aca="false">IFERROR(SUMPRODUCT(业务拆分!M81:M87,业务拆分!M88:M94)/SUM(业务拆分!M81:M87),0)</f>
        <v>0.201319845403317</v>
      </c>
      <c r="N25" s="21" t="s">
        <v>391</v>
      </c>
    </row>
    <row r="26" customFormat="false" ht="15" hidden="false" customHeight="false" outlineLevel="0" collapsed="false">
      <c r="A26" s="32" t="s">
        <v>392</v>
      </c>
      <c r="B26" s="37" t="s">
        <v>147</v>
      </c>
      <c r="I26" s="40" t="n">
        <v>-53</v>
      </c>
      <c r="J26" s="40" t="n">
        <v>-40</v>
      </c>
      <c r="K26" s="40" t="n">
        <v>-20</v>
      </c>
      <c r="L26" s="40" t="n">
        <v>-5</v>
      </c>
      <c r="M26" s="40" t="n">
        <v>0</v>
      </c>
      <c r="N26" s="21" t="s">
        <v>393</v>
      </c>
    </row>
    <row r="27" customFormat="false" ht="15" hidden="false" customHeight="false" outlineLevel="0" collapsed="false">
      <c r="A27" s="34" t="s">
        <v>394</v>
      </c>
      <c r="B27" s="23" t="s">
        <v>94</v>
      </c>
      <c r="C27" s="47" t="n">
        <f aca="false">利润表!C26/利润表!C25</f>
        <v>0.00559274680208642</v>
      </c>
      <c r="D27" s="47" t="n">
        <f aca="false">利润表!D26/利润表!D25</f>
        <v>0.015097762783883</v>
      </c>
      <c r="E27" s="47" t="n">
        <f aca="false">利润表!E26/利润表!E25</f>
        <v>0.0468694176143234</v>
      </c>
      <c r="F27" s="47" t="n">
        <f aca="false">利润表!F26/利润表!F25</f>
        <v>0.0640078702639014</v>
      </c>
      <c r="G27" s="47" t="n">
        <f aca="false">利润表!G26/利润表!G25</f>
        <v>0.0369597659349682</v>
      </c>
      <c r="H27" s="47" t="n">
        <f aca="false">利润表!H26/利润表!H25</f>
        <v>-0.0393652054857488</v>
      </c>
      <c r="I27" s="47" t="n">
        <f aca="false">利润表!I26/利润表!I25</f>
        <v>0.0696395536490132</v>
      </c>
      <c r="J27" s="47" t="n">
        <f aca="false">利润表!J26/利润表!J25</f>
        <v>0.14133214916163</v>
      </c>
      <c r="K27" s="47" t="n">
        <f aca="false">利润表!K26/利润表!K25</f>
        <v>0.180914690988511</v>
      </c>
      <c r="L27" s="47" t="n">
        <f aca="false">利润表!L26/利润表!L25</f>
        <v>0.192513141362193</v>
      </c>
      <c r="M27" s="47" t="n">
        <f aca="false">利润表!M26/利润表!M25</f>
        <v>0.201319845403317</v>
      </c>
      <c r="N27" s="21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21.6" hidden="false" customHeight="false" outlineLevel="0" collapsed="false">
      <c r="A1" s="20" t="s">
        <v>396</v>
      </c>
    </row>
    <row r="2" customFormat="false" ht="15" hidden="false" customHeight="false" outlineLevel="0" collapsed="false">
      <c r="A2" s="21" t="s">
        <v>397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398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2" t="s">
        <v>399</v>
      </c>
      <c r="B6" s="37" t="s">
        <v>147</v>
      </c>
      <c r="C6" s="19" t="n">
        <v>0</v>
      </c>
      <c r="D6" s="19" t="n">
        <v>0</v>
      </c>
      <c r="E6" s="19" t="n">
        <v>3</v>
      </c>
      <c r="F6" s="19" t="n">
        <v>142.9382</v>
      </c>
      <c r="G6" s="19" t="n">
        <v>117.4009</v>
      </c>
      <c r="H6" s="19" t="n">
        <v>195.6741</v>
      </c>
      <c r="I6" s="40" t="n">
        <v>120</v>
      </c>
      <c r="J6" s="40" t="n">
        <v>120</v>
      </c>
      <c r="K6" s="40" t="n">
        <v>120</v>
      </c>
      <c r="L6" s="40" t="n">
        <v>120</v>
      </c>
      <c r="M6" s="40" t="n">
        <v>120</v>
      </c>
    </row>
    <row r="7" customFormat="false" ht="15" hidden="false" customHeight="false" outlineLevel="0" collapsed="false">
      <c r="A7" s="32" t="s">
        <v>400</v>
      </c>
      <c r="B7" s="37" t="s">
        <v>147</v>
      </c>
      <c r="C7" s="19" t="n">
        <v>0</v>
      </c>
      <c r="D7" s="19" t="n">
        <v>1.7833</v>
      </c>
      <c r="E7" s="19" t="n">
        <v>3.7349</v>
      </c>
      <c r="F7" s="19" t="n">
        <v>38.5681</v>
      </c>
      <c r="G7" s="19" t="n">
        <v>149.9592</v>
      </c>
      <c r="H7" s="19" t="n">
        <v>5.0356</v>
      </c>
      <c r="I7" s="40" t="n">
        <v>152</v>
      </c>
      <c r="J7" s="40" t="n">
        <v>50</v>
      </c>
      <c r="K7" s="40" t="n">
        <v>50</v>
      </c>
      <c r="L7" s="40" t="n">
        <v>50</v>
      </c>
      <c r="M7" s="40" t="n">
        <v>50</v>
      </c>
    </row>
    <row r="8" customFormat="false" ht="15" hidden="false" customHeight="false" outlineLevel="0" collapsed="false">
      <c r="A8" s="32" t="s">
        <v>401</v>
      </c>
      <c r="B8" s="37" t="s">
        <v>147</v>
      </c>
      <c r="C8" s="19" t="n">
        <v>0</v>
      </c>
      <c r="D8" s="19" t="n">
        <v>0</v>
      </c>
      <c r="E8" s="19" t="n">
        <v>32.9718</v>
      </c>
      <c r="F8" s="19" t="n">
        <v>113.5195</v>
      </c>
      <c r="G8" s="19" t="n">
        <v>69.012</v>
      </c>
      <c r="H8" s="19" t="n">
        <v>148.5</v>
      </c>
      <c r="I8" s="40" t="n">
        <v>29</v>
      </c>
      <c r="J8" s="40" t="n">
        <v>80</v>
      </c>
      <c r="K8" s="40" t="n">
        <v>80</v>
      </c>
      <c r="L8" s="40" t="n">
        <v>80</v>
      </c>
      <c r="M8" s="40" t="n">
        <v>80</v>
      </c>
    </row>
    <row r="9" customFormat="false" ht="15" hidden="false" customHeight="false" outlineLevel="0" collapsed="false">
      <c r="A9" s="22" t="s">
        <v>402</v>
      </c>
      <c r="B9" s="37" t="s">
        <v>147</v>
      </c>
      <c r="C9" s="46" t="n">
        <f aca="false">C6+C7+C8</f>
        <v>0</v>
      </c>
      <c r="D9" s="46" t="n">
        <f aca="false">D6+D7+D8</f>
        <v>1.7833</v>
      </c>
      <c r="E9" s="46" t="n">
        <f aca="false">E6+E7+E8</f>
        <v>39.7067</v>
      </c>
      <c r="F9" s="46" t="n">
        <f aca="false">F6+F7+F8</f>
        <v>295.0258</v>
      </c>
      <c r="G9" s="46" t="n">
        <f aca="false">G6+G7+G8</f>
        <v>336.3721</v>
      </c>
      <c r="H9" s="46" t="n">
        <f aca="false">H6+H7+H8</f>
        <v>349.2097</v>
      </c>
      <c r="I9" s="46" t="n">
        <f aca="false">I6+I7+I8</f>
        <v>301</v>
      </c>
      <c r="J9" s="46" t="n">
        <f aca="false">J6+J7+J8</f>
        <v>250</v>
      </c>
      <c r="K9" s="46" t="n">
        <f aca="false">K6+K7+K8</f>
        <v>250</v>
      </c>
      <c r="L9" s="46" t="n">
        <f aca="false">L6+L7+L8</f>
        <v>250</v>
      </c>
      <c r="M9" s="46" t="n">
        <f aca="false">M6+M7+M8</f>
        <v>250</v>
      </c>
    </row>
    <row r="10" customFormat="false" ht="15" hidden="false" customHeight="false" outlineLevel="0" collapsed="false">
      <c r="A10" s="32" t="s">
        <v>403</v>
      </c>
      <c r="B10" s="23" t="s">
        <v>94</v>
      </c>
      <c r="D10" s="13" t="n">
        <f aca="false">IFERROR(D11/AVERAGE(D9,C9),0)</f>
        <v>0.316604048673807</v>
      </c>
      <c r="E10" s="13" t="n">
        <f aca="false">IFERROR(E11/AVERAGE(E9,D9),0)</f>
        <v>0.0248300795372379</v>
      </c>
      <c r="F10" s="13" t="n">
        <f aca="false">IFERROR(F11/AVERAGE(F9,E9),0)</f>
        <v>0.0271900696825077</v>
      </c>
      <c r="G10" s="13" t="n">
        <f aca="false">IFERROR(G11/AVERAGE(G9,F9),0)</f>
        <v>0.0418503134077576</v>
      </c>
      <c r="H10" s="13" t="n">
        <f aca="false">IFERROR(H11/AVERAGE(H9,G9),0)</f>
        <v>0.0272457641086738</v>
      </c>
      <c r="I10" s="33" t="n">
        <v>0.025</v>
      </c>
      <c r="J10" s="33" t="n">
        <v>0.025</v>
      </c>
      <c r="K10" s="33" t="n">
        <v>0.025</v>
      </c>
      <c r="L10" s="33" t="n">
        <v>0.025</v>
      </c>
      <c r="M10" s="33" t="n">
        <v>0.025</v>
      </c>
    </row>
    <row r="11" customFormat="false" ht="15" hidden="false" customHeight="false" outlineLevel="0" collapsed="false">
      <c r="A11" s="32" t="s">
        <v>404</v>
      </c>
      <c r="B11" s="37" t="s">
        <v>147</v>
      </c>
      <c r="C11" s="19" t="n">
        <v>0</v>
      </c>
      <c r="D11" s="19" t="n">
        <v>0.2823</v>
      </c>
      <c r="E11" s="19" t="n">
        <v>0.5151</v>
      </c>
      <c r="F11" s="19" t="n">
        <v>4.5507</v>
      </c>
      <c r="G11" s="19" t="n">
        <v>13.2121</v>
      </c>
      <c r="H11" s="19" t="n">
        <v>9.3396</v>
      </c>
      <c r="I11" s="44" t="n">
        <f aca="false">AVERAGE(I9,H9)*I10+H12*$C$39</f>
        <v>8.12762125</v>
      </c>
      <c r="J11" s="44" t="n">
        <f aca="false">AVERAGE(J9,I9)*J10+I12*$C$39</f>
        <v>6.8875</v>
      </c>
      <c r="K11" s="44" t="n">
        <f aca="false">AVERAGE(K9,J9)*K10+J12*$C$39</f>
        <v>6.25</v>
      </c>
      <c r="L11" s="44" t="n">
        <f aca="false">AVERAGE(L9,K9)*L10+K12*$C$39</f>
        <v>6.25</v>
      </c>
      <c r="M11" s="44" t="n">
        <f aca="false">AVERAGE(M9,L9)*M10+L12*$C$39</f>
        <v>6.25</v>
      </c>
      <c r="N11" s="21" t="s">
        <v>405</v>
      </c>
    </row>
    <row r="12" customFormat="false" ht="15" hidden="false" customHeight="false" outlineLevel="0" collapsed="false">
      <c r="A12" s="32" t="s">
        <v>406</v>
      </c>
      <c r="B12" s="37" t="s">
        <v>147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44" t="n">
        <f aca="false">MAX(0,H12+$C$38-资产负债表!H6-现金流量表!I27)</f>
        <v>0</v>
      </c>
      <c r="J12" s="44" t="n">
        <f aca="false">MAX(0,I12+$C$38-资产负债表!I6-现金流量表!J27)</f>
        <v>0</v>
      </c>
      <c r="K12" s="44" t="n">
        <f aca="false">MAX(0,J12+$C$38-资产负债表!J6-现金流量表!K27)</f>
        <v>0</v>
      </c>
      <c r="L12" s="44" t="n">
        <f aca="false">MAX(0,K12+$C$38-资产负债表!K6-现金流量表!L27)</f>
        <v>0</v>
      </c>
      <c r="M12" s="44" t="n">
        <f aca="false">MAX(0,L12+$C$38-资产负债表!L6-现金流量表!M27)</f>
        <v>0</v>
      </c>
      <c r="N12" s="21" t="s">
        <v>407</v>
      </c>
    </row>
    <row r="13" customFormat="false" ht="15" hidden="false" customHeight="false" outlineLevel="0" collapsed="false">
      <c r="A13" s="30" t="s">
        <v>408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5" hidden="false" customHeight="false" outlineLevel="0" collapsed="false">
      <c r="A14" s="32" t="s">
        <v>409</v>
      </c>
      <c r="B14" s="37" t="s">
        <v>147</v>
      </c>
      <c r="C14" s="45" t="n">
        <v>394.6839</v>
      </c>
      <c r="D14" s="45" t="n">
        <v>678.8377</v>
      </c>
      <c r="E14" s="45" t="n">
        <v>824.4059</v>
      </c>
      <c r="F14" s="45" t="n">
        <v>586.4147</v>
      </c>
      <c r="G14" s="45" t="n">
        <v>685.1896</v>
      </c>
      <c r="H14" s="45" t="n">
        <v>811.7069</v>
      </c>
      <c r="I14" s="45" t="n">
        <f aca="false">资产负债表!I6</f>
        <v>883.633498799969</v>
      </c>
      <c r="J14" s="45" t="n">
        <f aca="false">资产负债表!J6</f>
        <v>660.810057211377</v>
      </c>
      <c r="K14" s="45" t="n">
        <f aca="false">资产负债表!K6</f>
        <v>897.095124738651</v>
      </c>
      <c r="L14" s="45" t="n">
        <f aca="false">资产负债表!L6</f>
        <v>1562.83193979848</v>
      </c>
      <c r="M14" s="45" t="n">
        <f aca="false">资产负债表!M6</f>
        <v>2374.40457429807</v>
      </c>
    </row>
    <row r="15" customFormat="false" ht="15" hidden="false" customHeight="false" outlineLevel="0" collapsed="false">
      <c r="A15" s="32" t="s">
        <v>410</v>
      </c>
      <c r="B15" s="23" t="s">
        <v>94</v>
      </c>
      <c r="D15" s="13" t="n">
        <f aca="false">IFERROR(D16/AVERAGE(D14,C14),0)</f>
        <v>0.0207414550391906</v>
      </c>
      <c r="E15" s="13" t="n">
        <f aca="false">IFERROR(E16/AVERAGE(E14,D14),0)</f>
        <v>0.0173373098012857</v>
      </c>
      <c r="F15" s="13" t="n">
        <f aca="false">IFERROR(F16/AVERAGE(F14,E14),0)</f>
        <v>0.0226551837987055</v>
      </c>
      <c r="G15" s="13" t="n">
        <f aca="false">IFERROR(G16/AVERAGE(G14,F14),0)</f>
        <v>0.0143837198411487</v>
      </c>
      <c r="H15" s="13" t="n">
        <f aca="false">IFERROR(H16/AVERAGE(H14,G14),0)</f>
        <v>0.0129173927522711</v>
      </c>
      <c r="I15" s="33" t="n">
        <v>0.01</v>
      </c>
      <c r="J15" s="33" t="n">
        <v>0.01</v>
      </c>
      <c r="K15" s="33" t="n">
        <v>0.01</v>
      </c>
      <c r="L15" s="33" t="n">
        <v>0.01</v>
      </c>
      <c r="M15" s="33" t="n">
        <v>0.01</v>
      </c>
    </row>
    <row r="16" customFormat="false" ht="15" hidden="false" customHeight="false" outlineLevel="0" collapsed="false">
      <c r="A16" s="32" t="s">
        <v>411</v>
      </c>
      <c r="B16" s="37" t="s">
        <v>147</v>
      </c>
      <c r="C16" s="19" t="n">
        <v>7.0732</v>
      </c>
      <c r="D16" s="19" t="n">
        <v>11.1332</v>
      </c>
      <c r="E16" s="19" t="n">
        <v>13.0311</v>
      </c>
      <c r="F16" s="19" t="n">
        <v>15.9812</v>
      </c>
      <c r="G16" s="19" t="n">
        <v>9.1452</v>
      </c>
      <c r="H16" s="19" t="n">
        <v>9.668</v>
      </c>
      <c r="I16" s="44" t="n">
        <f aca="false">H14*I15</f>
        <v>8.117069</v>
      </c>
      <c r="J16" s="44" t="n">
        <f aca="false">I14*J15</f>
        <v>8.83633498799969</v>
      </c>
      <c r="K16" s="44" t="n">
        <f aca="false">J14*K15</f>
        <v>6.60810057211377</v>
      </c>
      <c r="L16" s="44" t="n">
        <f aca="false">K14*L15</f>
        <v>8.97095124738651</v>
      </c>
      <c r="M16" s="44" t="n">
        <f aca="false">L14*M15</f>
        <v>15.6283193979848</v>
      </c>
      <c r="N16" s="21" t="s">
        <v>412</v>
      </c>
    </row>
    <row r="17" customFormat="false" ht="15" hidden="false" customHeight="false" outlineLevel="0" collapsed="false">
      <c r="A17" s="32" t="s">
        <v>413</v>
      </c>
      <c r="B17" s="37" t="s">
        <v>147</v>
      </c>
      <c r="C17" s="45" t="n">
        <f aca="false">利润表!C14-C11+C16</f>
        <v>8.6867</v>
      </c>
      <c r="D17" s="45" t="n">
        <f aca="false">利润表!D14-D11+D16</f>
        <v>2.81</v>
      </c>
      <c r="E17" s="45" t="n">
        <f aca="false">利润表!E14-E11+E16</f>
        <v>-11.8685</v>
      </c>
      <c r="F17" s="45" t="n">
        <f aca="false">利润表!F14-F11+F16</f>
        <v>-3.0723</v>
      </c>
      <c r="G17" s="45" t="n">
        <f aca="false">利润表!G14-G11+G16</f>
        <v>-4.1674</v>
      </c>
      <c r="H17" s="45" t="n">
        <f aca="false">利润表!H14-H11+H16</f>
        <v>6.5618</v>
      </c>
      <c r="I17" s="40" t="n">
        <v>12</v>
      </c>
      <c r="J17" s="40" t="n">
        <v>0</v>
      </c>
      <c r="K17" s="40" t="n">
        <v>0</v>
      </c>
      <c r="L17" s="40" t="n">
        <v>0</v>
      </c>
      <c r="M17" s="40" t="n">
        <v>0</v>
      </c>
      <c r="N17" s="36" t="s">
        <v>414</v>
      </c>
    </row>
    <row r="18" customFormat="false" ht="15" hidden="false" customHeight="false" outlineLevel="0" collapsed="false">
      <c r="A18" s="32" t="s">
        <v>415</v>
      </c>
      <c r="B18" s="37" t="s">
        <v>147</v>
      </c>
      <c r="C18" s="19" t="n">
        <v>452.7902</v>
      </c>
      <c r="D18" s="19" t="n">
        <v>280.944</v>
      </c>
      <c r="E18" s="19" t="n">
        <v>204.1341</v>
      </c>
      <c r="F18" s="19" t="n">
        <v>363.8887</v>
      </c>
      <c r="G18" s="19" t="n">
        <v>392.1992</v>
      </c>
      <c r="H18" s="19" t="n">
        <v>708.1757</v>
      </c>
      <c r="I18" s="40" t="n">
        <v>500</v>
      </c>
      <c r="J18" s="40" t="n">
        <v>500</v>
      </c>
      <c r="K18" s="40" t="n">
        <v>500</v>
      </c>
      <c r="L18" s="40" t="n">
        <v>500</v>
      </c>
      <c r="M18" s="40" t="n">
        <v>500</v>
      </c>
      <c r="N18" s="21" t="s">
        <v>416</v>
      </c>
    </row>
    <row r="19" customFormat="false" ht="15" hidden="false" customHeight="false" outlineLevel="0" collapsed="false">
      <c r="A19" s="32" t="s">
        <v>417</v>
      </c>
      <c r="B19" s="37" t="s">
        <v>147</v>
      </c>
      <c r="C19" s="19" t="n">
        <v>0</v>
      </c>
      <c r="D19" s="19" t="n">
        <v>0</v>
      </c>
      <c r="E19" s="19" t="n">
        <v>0</v>
      </c>
      <c r="F19" s="19" t="n">
        <v>566.2206</v>
      </c>
      <c r="G19" s="19" t="n">
        <v>452.9046</v>
      </c>
      <c r="H19" s="19" t="n">
        <v>244.1042</v>
      </c>
      <c r="I19" s="40" t="n">
        <v>170</v>
      </c>
      <c r="J19" s="40" t="n">
        <v>170</v>
      </c>
      <c r="K19" s="40" t="n">
        <v>170</v>
      </c>
      <c r="L19" s="40" t="n">
        <v>170</v>
      </c>
      <c r="M19" s="40" t="n">
        <v>170</v>
      </c>
      <c r="N19" s="21" t="s">
        <v>418</v>
      </c>
    </row>
    <row r="20" customFormat="false" ht="15" hidden="false" customHeight="false" outlineLevel="0" collapsed="false">
      <c r="A20" s="32" t="s">
        <v>419</v>
      </c>
      <c r="B20" s="23" t="s">
        <v>94</v>
      </c>
      <c r="D20" s="8" t="n">
        <f aca="false">IFERROR((利润表!D16+利润表!D17)/AVERAGE(D18+D19,C18+C19),0)</f>
        <v>0.0381437855833897</v>
      </c>
      <c r="E20" s="8" t="n">
        <f aca="false">IFERROR((利润表!E16+利润表!E17)/AVERAGE(E18+E19,D18+D19),0)</f>
        <v>0.0346674071659801</v>
      </c>
      <c r="F20" s="8" t="n">
        <f aca="false">IFERROR((利润表!F16+利润表!F17)/AVERAGE(F18+F19,E18+E19),0)</f>
        <v>0.0334452023260616</v>
      </c>
      <c r="G20" s="8" t="n">
        <f aca="false">IFERROR((利润表!G16+利润表!G17)/AVERAGE(G18+G19,F18+F19),0)</f>
        <v>0.0321039767000367</v>
      </c>
      <c r="H20" s="8" t="n">
        <f aca="false">IFERROR((利润表!H16+利润表!H17)/AVERAGE(H18+H19,G18+G19),0)</f>
        <v>0.0262331298542431</v>
      </c>
      <c r="I20" s="33" t="n">
        <v>0.022</v>
      </c>
      <c r="J20" s="33" t="n">
        <v>0.022</v>
      </c>
      <c r="K20" s="33" t="n">
        <v>0.022</v>
      </c>
      <c r="L20" s="33" t="n">
        <v>0.022</v>
      </c>
      <c r="M20" s="33" t="n">
        <v>0.022</v>
      </c>
    </row>
    <row r="21" customFormat="false" ht="15" hidden="false" customHeight="false" outlineLevel="0" collapsed="false">
      <c r="A21" s="32" t="s">
        <v>420</v>
      </c>
      <c r="B21" s="37" t="s">
        <v>147</v>
      </c>
      <c r="I21" s="44" t="n">
        <f aca="false">AVERAGE(I18+I19,H18+H19)*I20</f>
        <v>17.8450789</v>
      </c>
      <c r="J21" s="44" t="n">
        <f aca="false">AVERAGE(J18+J19,I18+I19)*J20</f>
        <v>14.74</v>
      </c>
      <c r="K21" s="44" t="n">
        <f aca="false">AVERAGE(K18+K19,J18+J19)*K20</f>
        <v>14.74</v>
      </c>
      <c r="L21" s="44" t="n">
        <f aca="false">AVERAGE(L18+L19,K18+K19)*L20</f>
        <v>14.74</v>
      </c>
      <c r="M21" s="44" t="n">
        <f aca="false">AVERAGE(M18+M19,L18+L19)*M20</f>
        <v>14.74</v>
      </c>
    </row>
    <row r="22" customFormat="false" ht="15" hidden="false" customHeight="false" outlineLevel="0" collapsed="false">
      <c r="A22" s="22" t="s">
        <v>421</v>
      </c>
      <c r="B22" s="37" t="s">
        <v>147</v>
      </c>
      <c r="C22" s="43" t="n">
        <f aca="false">C14+C18+C19-C9</f>
        <v>847.4741</v>
      </c>
      <c r="D22" s="43" t="n">
        <f aca="false">D14+D18+D19-D9</f>
        <v>957.9984</v>
      </c>
      <c r="E22" s="43" t="n">
        <f aca="false">E14+E18+E19-E9</f>
        <v>988.8333</v>
      </c>
      <c r="F22" s="43" t="n">
        <f aca="false">F14+F18+F19-F9</f>
        <v>1221.4982</v>
      </c>
      <c r="G22" s="43" t="n">
        <f aca="false">G14+G18+G19-G9</f>
        <v>1193.9213</v>
      </c>
      <c r="H22" s="43" t="n">
        <f aca="false">H14+H18+H19-H9</f>
        <v>1414.7771</v>
      </c>
      <c r="I22" s="41" t="n">
        <f aca="false">I14+I18+I19-I9-I12</f>
        <v>1252.63349879997</v>
      </c>
      <c r="J22" s="41" t="n">
        <f aca="false">J14+J18+J19-J9-J12</f>
        <v>1080.81005721138</v>
      </c>
      <c r="K22" s="41" t="n">
        <f aca="false">K14+K18+K19-K9-K12</f>
        <v>1317.09512473865</v>
      </c>
      <c r="L22" s="41" t="n">
        <f aca="false">L14+L18+L19-L9-L12</f>
        <v>1982.83193979848</v>
      </c>
      <c r="M22" s="41" t="n">
        <f aca="false">M14+M18+M19-M9-M12</f>
        <v>2794.40457429807</v>
      </c>
    </row>
    <row r="23" customFormat="false" ht="15" hidden="false" customHeight="false" outlineLevel="0" collapsed="false">
      <c r="A23" s="30" t="s">
        <v>422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15" hidden="false" customHeight="false" outlineLevel="0" collapsed="false">
      <c r="A24" s="32" t="s">
        <v>423</v>
      </c>
      <c r="B24" s="37" t="s">
        <v>424</v>
      </c>
      <c r="F24" s="58" t="n">
        <v>12.91</v>
      </c>
      <c r="G24" s="58" t="n">
        <v>2.45</v>
      </c>
      <c r="H24" s="58" t="n">
        <v>0</v>
      </c>
      <c r="I24" s="49" t="n">
        <v>3.46</v>
      </c>
      <c r="J24" s="49" t="n">
        <v>0.881</v>
      </c>
      <c r="K24" s="49" t="n">
        <v>0.881</v>
      </c>
      <c r="L24" s="49" t="n">
        <v>1.322</v>
      </c>
      <c r="M24" s="49" t="n">
        <v>1.322</v>
      </c>
      <c r="N24" s="36" t="s">
        <v>425</v>
      </c>
    </row>
    <row r="25" customFormat="false" ht="15" hidden="false" customHeight="false" outlineLevel="0" collapsed="false">
      <c r="A25" s="32" t="s">
        <v>426</v>
      </c>
      <c r="B25" s="37" t="s">
        <v>147</v>
      </c>
      <c r="I25" s="40" t="n">
        <v>294</v>
      </c>
      <c r="J25" s="40" t="n">
        <v>40.5</v>
      </c>
      <c r="K25" s="40" t="n">
        <v>40.5</v>
      </c>
      <c r="L25" s="40" t="n">
        <v>60.8</v>
      </c>
      <c r="M25" s="40" t="n">
        <v>60.8</v>
      </c>
      <c r="N25" s="21" t="s">
        <v>427</v>
      </c>
    </row>
    <row r="26" customFormat="false" ht="15" hidden="false" customHeight="false" outlineLevel="0" collapsed="false">
      <c r="A26" s="32" t="s">
        <v>428</v>
      </c>
      <c r="B26" s="37" t="s">
        <v>147</v>
      </c>
      <c r="D26" s="19" t="n">
        <v>38.98</v>
      </c>
      <c r="E26" s="19" t="n">
        <v>86.47</v>
      </c>
      <c r="F26" s="19" t="n">
        <v>55.23</v>
      </c>
      <c r="G26" s="19" t="n">
        <v>-21.71</v>
      </c>
      <c r="H26" s="19" t="n">
        <v>16.23</v>
      </c>
      <c r="I26" s="40" t="n">
        <v>66</v>
      </c>
      <c r="J26" s="40" t="n">
        <v>112</v>
      </c>
      <c r="K26" s="40" t="n">
        <v>56</v>
      </c>
      <c r="L26" s="40" t="n">
        <v>26</v>
      </c>
      <c r="M26" s="40" t="n">
        <v>10</v>
      </c>
      <c r="N26" s="36" t="s">
        <v>429</v>
      </c>
    </row>
    <row r="27" customFormat="false" ht="15" hidden="false" customHeight="false" outlineLevel="0" collapsed="false">
      <c r="A27" s="32" t="s">
        <v>430</v>
      </c>
      <c r="B27" s="37" t="s">
        <v>147</v>
      </c>
      <c r="I27" s="40" t="n">
        <v>0</v>
      </c>
      <c r="J27" s="40" t="n">
        <v>0</v>
      </c>
      <c r="K27" s="40" t="n">
        <v>0</v>
      </c>
      <c r="L27" s="40" t="n">
        <v>0</v>
      </c>
      <c r="M27" s="40" t="n">
        <v>0</v>
      </c>
    </row>
    <row r="28" customFormat="false" ht="15" hidden="false" customHeight="false" outlineLevel="0" collapsed="false">
      <c r="A28" s="32" t="s">
        <v>431</v>
      </c>
      <c r="B28" s="37" t="s">
        <v>424</v>
      </c>
      <c r="C28" s="58" t="n">
        <v>337.94</v>
      </c>
      <c r="D28" s="58" t="n">
        <v>337.94</v>
      </c>
      <c r="E28" s="58" t="n">
        <v>506.91</v>
      </c>
      <c r="F28" s="58" t="n">
        <v>519.82</v>
      </c>
      <c r="G28" s="58" t="n">
        <v>522.27</v>
      </c>
      <c r="H28" s="58" t="n">
        <v>522.27</v>
      </c>
      <c r="I28" s="59" t="n">
        <f aca="false">H28+I24</f>
        <v>525.73</v>
      </c>
      <c r="J28" s="59" t="n">
        <f aca="false">I28+J24</f>
        <v>526.611</v>
      </c>
      <c r="K28" s="59" t="n">
        <f aca="false">J28+K24</f>
        <v>527.492</v>
      </c>
      <c r="L28" s="59" t="n">
        <f aca="false">K28+L24</f>
        <v>528.814</v>
      </c>
      <c r="M28" s="59" t="n">
        <f aca="false">L28+M24</f>
        <v>530.136</v>
      </c>
    </row>
    <row r="29" customFormat="false" ht="15" hidden="false" customHeight="false" outlineLevel="0" collapsed="false">
      <c r="A29" s="32" t="s">
        <v>432</v>
      </c>
      <c r="B29" s="37" t="s">
        <v>424</v>
      </c>
      <c r="C29" s="58" t="n">
        <v>506.91</v>
      </c>
      <c r="D29" s="58" t="n">
        <v>506.91</v>
      </c>
      <c r="E29" s="58" t="n">
        <v>506.91</v>
      </c>
      <c r="F29" s="58" t="n">
        <v>519.82</v>
      </c>
      <c r="G29" s="58" t="n">
        <v>522.27</v>
      </c>
      <c r="H29" s="58" t="n">
        <v>522.27</v>
      </c>
      <c r="I29" s="59" t="n">
        <f aca="false">I28</f>
        <v>525.73</v>
      </c>
      <c r="J29" s="59" t="n">
        <f aca="false">J28</f>
        <v>526.611</v>
      </c>
      <c r="K29" s="59" t="n">
        <f aca="false">K28</f>
        <v>527.492</v>
      </c>
      <c r="L29" s="59" t="n">
        <f aca="false">L28</f>
        <v>528.814</v>
      </c>
      <c r="M29" s="59" t="n">
        <f aca="false">M28</f>
        <v>530.136</v>
      </c>
      <c r="N29" s="21" t="s">
        <v>433</v>
      </c>
    </row>
    <row r="30" customFormat="false" ht="15" hidden="false" customHeight="false" outlineLevel="0" collapsed="false">
      <c r="A30" s="30" t="s">
        <v>434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5" hidden="false" customHeight="false" outlineLevel="0" collapsed="false">
      <c r="A31" s="32" t="s">
        <v>435</v>
      </c>
      <c r="B31" s="23" t="s">
        <v>94</v>
      </c>
      <c r="I31" s="33" t="n">
        <v>0.2016</v>
      </c>
      <c r="J31" s="33" t="n">
        <v>0.22</v>
      </c>
      <c r="K31" s="33" t="n">
        <v>0.22</v>
      </c>
      <c r="L31" s="33" t="n">
        <v>0.22</v>
      </c>
      <c r="M31" s="33" t="n">
        <v>0.22</v>
      </c>
      <c r="N31" s="36" t="s">
        <v>436</v>
      </c>
    </row>
    <row r="32" customFormat="false" ht="15" hidden="false" customHeight="false" outlineLevel="0" collapsed="false">
      <c r="A32" s="32" t="s">
        <v>437</v>
      </c>
      <c r="B32" s="37" t="s">
        <v>147</v>
      </c>
      <c r="I32" s="44" t="n">
        <f aca="false">I31*利润表!H27</f>
        <v>89.34603552</v>
      </c>
      <c r="J32" s="44" t="n">
        <f aca="false">J31*利润表!I27</f>
        <v>135.943086411937</v>
      </c>
      <c r="K32" s="44" t="n">
        <f aca="false">K31*利润表!J27</f>
        <v>165.271814730029</v>
      </c>
      <c r="L32" s="44" t="n">
        <f aca="false">L31*利润表!K27</f>
        <v>212.24138798622</v>
      </c>
      <c r="M32" s="44" t="n">
        <f aca="false">M31*利润表!L27</f>
        <v>244.27218758017</v>
      </c>
    </row>
    <row r="33" customFormat="false" ht="15" hidden="false" customHeight="false" outlineLevel="0" collapsed="false">
      <c r="A33" s="32" t="s">
        <v>438</v>
      </c>
      <c r="B33" s="37" t="s">
        <v>439</v>
      </c>
      <c r="I33" s="59" t="n">
        <f aca="false">I32/H28</f>
        <v>0.171072501809409</v>
      </c>
      <c r="J33" s="59" t="n">
        <f aca="false">J32/I28</f>
        <v>0.258579663347987</v>
      </c>
      <c r="K33" s="59" t="n">
        <f aca="false">K32/J28</f>
        <v>0.313840414898338</v>
      </c>
      <c r="L33" s="59" t="n">
        <f aca="false">L32/K28</f>
        <v>0.402359444287723</v>
      </c>
      <c r="M33" s="59" t="n">
        <f aca="false">M32/L28</f>
        <v>0.461924585166372</v>
      </c>
    </row>
    <row r="34" customFormat="false" ht="15" hidden="false" customHeight="false" outlineLevel="0" collapsed="false">
      <c r="A34" s="30" t="s">
        <v>440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customFormat="false" ht="15" hidden="false" customHeight="false" outlineLevel="0" collapsed="false">
      <c r="A35" s="32" t="s">
        <v>441</v>
      </c>
      <c r="B35" s="37" t="s">
        <v>147</v>
      </c>
      <c r="C35" s="19" t="n">
        <v>0</v>
      </c>
      <c r="D35" s="19" t="n">
        <v>170.3155</v>
      </c>
      <c r="E35" s="19" t="n">
        <v>296.7675</v>
      </c>
      <c r="F35" s="19" t="n">
        <v>57.1025</v>
      </c>
      <c r="G35" s="19" t="n">
        <v>267.81</v>
      </c>
      <c r="H35" s="19" t="n">
        <v>503.4</v>
      </c>
      <c r="I35" s="40" t="n">
        <v>60</v>
      </c>
      <c r="J35" s="40" t="n">
        <v>0</v>
      </c>
      <c r="K35" s="40" t="n">
        <v>0</v>
      </c>
      <c r="L35" s="40" t="n">
        <v>0</v>
      </c>
      <c r="M35" s="40" t="n">
        <v>0</v>
      </c>
      <c r="N35" s="36" t="s">
        <v>442</v>
      </c>
    </row>
    <row r="36" customFormat="false" ht="15" hidden="false" customHeight="false" outlineLevel="0" collapsed="false">
      <c r="A36" s="32" t="s">
        <v>443</v>
      </c>
      <c r="B36" s="37" t="s">
        <v>147</v>
      </c>
      <c r="C36" s="19" t="n">
        <v>0.8</v>
      </c>
      <c r="D36" s="19" t="n">
        <v>0.4</v>
      </c>
      <c r="E36" s="19" t="n">
        <v>6</v>
      </c>
      <c r="F36" s="19" t="n">
        <v>0.4</v>
      </c>
      <c r="G36" s="19" t="n">
        <v>11.4029</v>
      </c>
      <c r="H36" s="19" t="n">
        <v>8.4177</v>
      </c>
      <c r="I36" s="40" t="n">
        <v>8</v>
      </c>
      <c r="J36" s="40" t="n">
        <v>10</v>
      </c>
      <c r="K36" s="40" t="n">
        <v>15</v>
      </c>
      <c r="L36" s="40" t="n">
        <v>20</v>
      </c>
      <c r="M36" s="40" t="n">
        <v>25</v>
      </c>
    </row>
    <row r="38" customFormat="false" ht="15" hidden="false" customHeight="false" outlineLevel="0" collapsed="false">
      <c r="A38" s="25" t="s">
        <v>444</v>
      </c>
      <c r="B38" s="37" t="s">
        <v>147</v>
      </c>
      <c r="C38" s="38" t="n">
        <v>300</v>
      </c>
      <c r="D38" s="21" t="s">
        <v>445</v>
      </c>
    </row>
    <row r="39" customFormat="false" ht="15" hidden="false" customHeight="false" outlineLevel="0" collapsed="false">
      <c r="A39" s="25" t="s">
        <v>446</v>
      </c>
      <c r="B39" s="23" t="s">
        <v>94</v>
      </c>
      <c r="C39" s="33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17.35" hidden="false" customHeight="false" outlineLevel="0" collapsed="false">
      <c r="A1" s="20" t="s">
        <v>447</v>
      </c>
    </row>
    <row r="2" customFormat="false" ht="15" hidden="false" customHeight="false" outlineLevel="0" collapsed="false">
      <c r="A2" s="36" t="s">
        <v>448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22" t="s">
        <v>449</v>
      </c>
      <c r="B5" s="37" t="s">
        <v>147</v>
      </c>
      <c r="C5" s="51" t="n">
        <v>863.5783</v>
      </c>
      <c r="D5" s="51" t="n">
        <v>1223.5484</v>
      </c>
      <c r="E5" s="51" t="n">
        <v>1719.3652</v>
      </c>
      <c r="F5" s="51" t="n">
        <v>2090.5426</v>
      </c>
      <c r="G5" s="51" t="n">
        <v>1741.8114</v>
      </c>
      <c r="H5" s="51" t="n">
        <v>2016.3489</v>
      </c>
      <c r="I5" s="60" t="n">
        <f aca="false">业务拆分!I45</f>
        <v>2741.007</v>
      </c>
      <c r="J5" s="60" t="n">
        <f aca="false">业务拆分!J45</f>
        <v>3510.45614</v>
      </c>
      <c r="K5" s="60" t="n">
        <f aca="false">业务拆分!K45</f>
        <v>4419.9683774</v>
      </c>
      <c r="L5" s="60" t="n">
        <f aca="false">业务拆分!L45</f>
        <v>5143.525043502</v>
      </c>
      <c r="M5" s="60" t="n">
        <f aca="false">业务拆分!M45</f>
        <v>5702.41591990306</v>
      </c>
    </row>
    <row r="6" customFormat="false" ht="15" hidden="false" customHeight="false" outlineLevel="0" collapsed="false">
      <c r="A6" s="32" t="s">
        <v>151</v>
      </c>
      <c r="B6" s="23" t="s">
        <v>94</v>
      </c>
      <c r="D6" s="13" t="n">
        <f aca="false">D5/C5-1</f>
        <v>0.416835508719939</v>
      </c>
      <c r="E6" s="13" t="n">
        <f aca="false">E5/D5-1</f>
        <v>0.405228595779293</v>
      </c>
      <c r="F6" s="13" t="n">
        <f aca="false">F5/E5-1</f>
        <v>0.215880488915328</v>
      </c>
      <c r="G6" s="13" t="n">
        <f aca="false">G5/F5-1</f>
        <v>-0.166813725776265</v>
      </c>
      <c r="H6" s="13" t="n">
        <f aca="false">H5/G5-1</f>
        <v>0.157616088630491</v>
      </c>
      <c r="I6" s="13" t="n">
        <f aca="false">I5/H5-1</f>
        <v>0.359391224405657</v>
      </c>
      <c r="J6" s="13" t="n">
        <f aca="false">J5/I5-1</f>
        <v>0.280717685142723</v>
      </c>
      <c r="K6" s="13" t="n">
        <f aca="false">K5/J5-1</f>
        <v>0.259086626104378</v>
      </c>
      <c r="L6" s="13" t="n">
        <f aca="false">L5/K5-1</f>
        <v>0.163701774384102</v>
      </c>
      <c r="M6" s="13" t="n">
        <f aca="false">M5/L5-1</f>
        <v>0.10865911445442</v>
      </c>
    </row>
    <row r="7" customFormat="false" ht="15" hidden="false" customHeight="false" outlineLevel="0" collapsed="false">
      <c r="A7" s="25" t="s">
        <v>450</v>
      </c>
      <c r="B7" s="37" t="s">
        <v>147</v>
      </c>
      <c r="C7" s="19" t="n">
        <v>413.9059</v>
      </c>
      <c r="D7" s="19" t="n">
        <v>602.0772</v>
      </c>
      <c r="E7" s="19" t="n">
        <v>838.7601</v>
      </c>
      <c r="F7" s="19" t="n">
        <v>1056.1762</v>
      </c>
      <c r="G7" s="19" t="n">
        <v>1007.255</v>
      </c>
      <c r="H7" s="19" t="n">
        <v>1061.0723</v>
      </c>
      <c r="I7" s="45" t="n">
        <f aca="false">业务拆分!I50</f>
        <v>1364.08945</v>
      </c>
      <c r="J7" s="45" t="n">
        <f aca="false">业务拆分!J50</f>
        <v>1747.8221344</v>
      </c>
      <c r="K7" s="45" t="n">
        <f aca="false">业务拆分!K50</f>
        <v>2242.943199488</v>
      </c>
      <c r="L7" s="45" t="n">
        <f aca="false">业务拆分!L50</f>
        <v>2682.25583088576</v>
      </c>
      <c r="M7" s="45" t="n">
        <f aca="false">业务拆分!M50</f>
        <v>3037.75202239048</v>
      </c>
    </row>
    <row r="8" customFormat="false" ht="15" hidden="false" customHeight="false" outlineLevel="0" collapsed="false">
      <c r="A8" s="22" t="s">
        <v>153</v>
      </c>
      <c r="B8" s="37" t="s">
        <v>147</v>
      </c>
      <c r="C8" s="43" t="n">
        <f aca="false">C5-C7</f>
        <v>449.6724</v>
      </c>
      <c r="D8" s="43" t="n">
        <f aca="false">D5-D7</f>
        <v>621.4712</v>
      </c>
      <c r="E8" s="43" t="n">
        <f aca="false">E5-E7</f>
        <v>880.6051</v>
      </c>
      <c r="F8" s="43" t="n">
        <f aca="false">F5-F7</f>
        <v>1034.3664</v>
      </c>
      <c r="G8" s="43" t="n">
        <f aca="false">G5-G7</f>
        <v>734.5564</v>
      </c>
      <c r="H8" s="43" t="n">
        <f aca="false">H5-H7</f>
        <v>955.2766</v>
      </c>
      <c r="I8" s="43" t="n">
        <f aca="false">I5-I7</f>
        <v>1376.91755</v>
      </c>
      <c r="J8" s="43" t="n">
        <f aca="false">J5-J7</f>
        <v>1762.6340056</v>
      </c>
      <c r="K8" s="43" t="n">
        <f aca="false">K5-K7</f>
        <v>2177.025177912</v>
      </c>
      <c r="L8" s="43" t="n">
        <f aca="false">L5-L7</f>
        <v>2461.26921261624</v>
      </c>
      <c r="M8" s="43" t="n">
        <f aca="false">M5-M7</f>
        <v>2664.66389751258</v>
      </c>
    </row>
    <row r="9" customFormat="false" ht="15" hidden="false" customHeight="false" outlineLevel="0" collapsed="false">
      <c r="A9" s="32" t="s">
        <v>152</v>
      </c>
      <c r="B9" s="23" t="s">
        <v>94</v>
      </c>
      <c r="C9" s="13" t="n">
        <f aca="false">C8/C5</f>
        <v>0.520708313305233</v>
      </c>
      <c r="D9" s="13" t="n">
        <f aca="false">D8/D5</f>
        <v>0.507925309697598</v>
      </c>
      <c r="E9" s="13" t="n">
        <f aca="false">E8/E5</f>
        <v>0.512168735298353</v>
      </c>
      <c r="F9" s="13" t="n">
        <f aca="false">F8/F5</f>
        <v>0.494783698739265</v>
      </c>
      <c r="G9" s="13" t="n">
        <f aca="false">G8/G5</f>
        <v>0.421719825694102</v>
      </c>
      <c r="H9" s="13" t="n">
        <f aca="false">H8/H5</f>
        <v>0.47376552738467</v>
      </c>
      <c r="I9" s="13" t="n">
        <f aca="false">I8/I5</f>
        <v>0.502340034155331</v>
      </c>
      <c r="J9" s="13" t="n">
        <f aca="false">J8/J5</f>
        <v>0.502109679000291</v>
      </c>
      <c r="K9" s="13" t="n">
        <f aca="false">K8/K5</f>
        <v>0.492543156879464</v>
      </c>
      <c r="L9" s="13" t="n">
        <f aca="false">L8/L5</f>
        <v>0.478517979751192</v>
      </c>
      <c r="M9" s="13" t="n">
        <f aca="false">M8/M5</f>
        <v>0.467286836832113</v>
      </c>
    </row>
    <row r="10" customFormat="false" ht="15" hidden="false" customHeight="false" outlineLevel="0" collapsed="false">
      <c r="A10" s="25" t="s">
        <v>451</v>
      </c>
      <c r="B10" s="37" t="s">
        <v>147</v>
      </c>
      <c r="C10" s="19" t="n">
        <v>8.9609</v>
      </c>
      <c r="D10" s="19" t="n">
        <v>8.5899</v>
      </c>
      <c r="E10" s="19" t="n">
        <v>16.8828</v>
      </c>
      <c r="F10" s="19" t="n">
        <v>21.5903</v>
      </c>
      <c r="G10" s="19" t="n">
        <v>17.7069</v>
      </c>
      <c r="H10" s="19" t="n">
        <v>24.7619</v>
      </c>
      <c r="I10" s="44" t="n">
        <f aca="false">I5*费用税率!I6</f>
        <v>35.633091</v>
      </c>
      <c r="J10" s="44" t="n">
        <f aca="false">J5*费用税率!J6</f>
        <v>45.63592982</v>
      </c>
      <c r="K10" s="44" t="n">
        <f aca="false">K5*费用税率!K6</f>
        <v>57.4595889062</v>
      </c>
      <c r="L10" s="44" t="n">
        <f aca="false">L5*费用税率!L6</f>
        <v>66.865825565526</v>
      </c>
      <c r="M10" s="44" t="n">
        <f aca="false">M5*费用税率!M6</f>
        <v>74.1314069587398</v>
      </c>
    </row>
    <row r="11" customFormat="false" ht="15" hidden="false" customHeight="false" outlineLevel="0" collapsed="false">
      <c r="A11" s="25" t="s">
        <v>452</v>
      </c>
      <c r="B11" s="37" t="s">
        <v>147</v>
      </c>
      <c r="C11" s="19" t="n">
        <v>12.221</v>
      </c>
      <c r="D11" s="19" t="n">
        <v>14.6814</v>
      </c>
      <c r="E11" s="19" t="n">
        <v>17.8909</v>
      </c>
      <c r="F11" s="19" t="n">
        <v>24.2449</v>
      </c>
      <c r="G11" s="19" t="n">
        <v>24.9286</v>
      </c>
      <c r="H11" s="19" t="n">
        <v>31.4848</v>
      </c>
      <c r="I11" s="44" t="n">
        <f aca="false">I5*费用税率!I7</f>
        <v>35.633091</v>
      </c>
      <c r="J11" s="44" t="n">
        <f aca="false">J5*费用税率!J7</f>
        <v>42.12547368</v>
      </c>
      <c r="K11" s="44" t="n">
        <f aca="false">K5*费用税率!K7</f>
        <v>53.0396205288</v>
      </c>
      <c r="L11" s="44" t="n">
        <f aca="false">L5*费用税率!L7</f>
        <v>61.722300522024</v>
      </c>
      <c r="M11" s="44" t="n">
        <f aca="false">M5*费用税率!M7</f>
        <v>68.4289910388367</v>
      </c>
    </row>
    <row r="12" customFormat="false" ht="15" hidden="false" customHeight="false" outlineLevel="0" collapsed="false">
      <c r="A12" s="25" t="s">
        <v>453</v>
      </c>
      <c r="B12" s="37" t="s">
        <v>147</v>
      </c>
      <c r="C12" s="19" t="n">
        <v>90.2852</v>
      </c>
      <c r="D12" s="19" t="n">
        <v>112.7891</v>
      </c>
      <c r="E12" s="19" t="n">
        <v>157.9808</v>
      </c>
      <c r="F12" s="19" t="n">
        <v>181.8014</v>
      </c>
      <c r="G12" s="19" t="n">
        <v>146.8615</v>
      </c>
      <c r="H12" s="19" t="n">
        <v>179.2238</v>
      </c>
      <c r="I12" s="44" t="n">
        <f aca="false">I5*费用税率!I8+融资!I26</f>
        <v>235.942434</v>
      </c>
      <c r="J12" s="44" t="n">
        <f aca="false">J5*费用税率!J8+融资!J26</f>
        <v>322.6273684</v>
      </c>
      <c r="K12" s="44" t="n">
        <f aca="false">K5*费用税率!K8+融资!K26</f>
        <v>307.9381975118</v>
      </c>
      <c r="L12" s="44" t="n">
        <f aca="false">L5*费用税率!L8+融资!L26</f>
        <v>308.89387739261</v>
      </c>
      <c r="M12" s="44" t="n">
        <f aca="false">M5*费用税率!M8+融资!M26</f>
        <v>312.228043754862</v>
      </c>
      <c r="N12" s="21" t="s">
        <v>454</v>
      </c>
    </row>
    <row r="13" customFormat="false" ht="15" hidden="false" customHeight="false" outlineLevel="0" collapsed="false">
      <c r="A13" s="25" t="s">
        <v>455</v>
      </c>
      <c r="B13" s="37" t="s">
        <v>147</v>
      </c>
      <c r="C13" s="19" t="n">
        <v>73.4927</v>
      </c>
      <c r="D13" s="19" t="n">
        <v>94.889</v>
      </c>
      <c r="E13" s="19" t="n">
        <v>154.7066</v>
      </c>
      <c r="F13" s="19" t="n">
        <v>223.2068</v>
      </c>
      <c r="G13" s="19" t="n">
        <v>249.944</v>
      </c>
      <c r="H13" s="19" t="n">
        <v>282.2769</v>
      </c>
      <c r="I13" s="44" t="n">
        <f aca="false">MAX(I5*费用税率!I9,费用税率!I10)</f>
        <v>345.366882</v>
      </c>
      <c r="J13" s="44" t="n">
        <f aca="false">MAX(J5*费用税率!J9,费用税率!J10)</f>
        <v>386.1501754</v>
      </c>
      <c r="K13" s="44" t="n">
        <f aca="false">MAX(K5*费用税率!K9,费用税率!K10)</f>
        <v>441.99683774</v>
      </c>
      <c r="L13" s="44" t="n">
        <f aca="false">MAX(L5*费用税率!L9,费用税率!L10)</f>
        <v>478.347829045686</v>
      </c>
      <c r="M13" s="44" t="n">
        <f aca="false">MAX(M5*费用税率!M9,费用税率!M10)</f>
        <v>507.515016871372</v>
      </c>
      <c r="N13" s="21" t="s">
        <v>456</v>
      </c>
    </row>
    <row r="14" customFormat="false" ht="15" hidden="false" customHeight="false" outlineLevel="0" collapsed="false">
      <c r="A14" s="25" t="s">
        <v>457</v>
      </c>
      <c r="B14" s="37" t="s">
        <v>147</v>
      </c>
      <c r="C14" s="19" t="n">
        <v>1.6135</v>
      </c>
      <c r="D14" s="19" t="n">
        <v>-8.0409</v>
      </c>
      <c r="E14" s="19" t="n">
        <v>-24.3845</v>
      </c>
      <c r="F14" s="19" t="n">
        <v>-14.5028</v>
      </c>
      <c r="G14" s="19" t="n">
        <v>-0.1005</v>
      </c>
      <c r="H14" s="19" t="n">
        <v>6.2334</v>
      </c>
      <c r="I14" s="44" t="n">
        <f aca="false">融资!I11-融资!I16+融资!I17</f>
        <v>12.01055225</v>
      </c>
      <c r="J14" s="44" t="n">
        <f aca="false">融资!J11-融资!J16+融资!J17</f>
        <v>-1.94883498799969</v>
      </c>
      <c r="K14" s="44" t="n">
        <f aca="false">融资!K11-融资!K16+融资!K17</f>
        <v>-0.358100572113773</v>
      </c>
      <c r="L14" s="44" t="n">
        <f aca="false">融资!L11-融资!L16+融资!L17</f>
        <v>-2.72095124738651</v>
      </c>
      <c r="M14" s="44" t="n">
        <f aca="false">融资!M11-融资!M16+融资!M17</f>
        <v>-9.37831939798478</v>
      </c>
    </row>
    <row r="15" customFormat="false" ht="15" hidden="false" customHeight="false" outlineLevel="0" collapsed="false">
      <c r="A15" s="25" t="s">
        <v>458</v>
      </c>
      <c r="B15" s="37" t="s">
        <v>147</v>
      </c>
      <c r="C15" s="19" t="n">
        <v>9.8315</v>
      </c>
      <c r="D15" s="19" t="n">
        <v>20.8751</v>
      </c>
      <c r="E15" s="19" t="n">
        <v>14.711</v>
      </c>
      <c r="F15" s="19" t="n">
        <v>51.5648</v>
      </c>
      <c r="G15" s="19" t="n">
        <v>58.0943</v>
      </c>
      <c r="H15" s="19" t="n">
        <v>53.1945</v>
      </c>
      <c r="I15" s="44" t="n">
        <f aca="false">I5*费用税率!I12</f>
        <v>49.338126</v>
      </c>
      <c r="J15" s="44" t="n">
        <f aca="false">J5*费用税率!J12</f>
        <v>56.16729824</v>
      </c>
      <c r="K15" s="44" t="n">
        <f aca="false">K5*费用税率!K12</f>
        <v>66.299525661</v>
      </c>
      <c r="L15" s="44" t="n">
        <f aca="false">L5*费用税率!L12</f>
        <v>72.009350609028</v>
      </c>
      <c r="M15" s="44" t="n">
        <f aca="false">M5*费用税率!M12</f>
        <v>74.1314069587398</v>
      </c>
    </row>
    <row r="16" customFormat="false" ht="15" hidden="false" customHeight="false" outlineLevel="0" collapsed="false">
      <c r="A16" s="32" t="s">
        <v>459</v>
      </c>
      <c r="B16" s="37" t="s">
        <v>147</v>
      </c>
      <c r="C16" s="19" t="n">
        <v>4.5059</v>
      </c>
      <c r="D16" s="19" t="n">
        <v>13.0497</v>
      </c>
      <c r="E16" s="19" t="n">
        <v>7.9385</v>
      </c>
      <c r="F16" s="19" t="n">
        <v>2.8456</v>
      </c>
      <c r="G16" s="19" t="n">
        <v>11.9771</v>
      </c>
      <c r="H16" s="19" t="n">
        <v>3.7216</v>
      </c>
      <c r="I16" s="45" t="n">
        <f aca="false">融资!I21</f>
        <v>17.8450789</v>
      </c>
      <c r="J16" s="45" t="n">
        <f aca="false">融资!J21</f>
        <v>14.74</v>
      </c>
      <c r="K16" s="45" t="n">
        <f aca="false">融资!K21</f>
        <v>14.74</v>
      </c>
      <c r="L16" s="45" t="n">
        <f aca="false">融资!L21</f>
        <v>14.74</v>
      </c>
      <c r="M16" s="45" t="n">
        <f aca="false">融资!M21</f>
        <v>14.74</v>
      </c>
    </row>
    <row r="17" customFormat="false" ht="15" hidden="false" customHeight="false" outlineLevel="0" collapsed="false">
      <c r="A17" s="32" t="s">
        <v>460</v>
      </c>
      <c r="B17" s="37" t="s">
        <v>147</v>
      </c>
      <c r="C17" s="19" t="n">
        <v>2.7902</v>
      </c>
      <c r="D17" s="19" t="n">
        <v>0.944</v>
      </c>
      <c r="E17" s="19" t="n">
        <v>0.4697</v>
      </c>
      <c r="F17" s="19" t="n">
        <v>16.1219</v>
      </c>
      <c r="G17" s="19" t="n">
        <v>16.5186</v>
      </c>
      <c r="H17" s="19" t="n">
        <v>19.8539</v>
      </c>
      <c r="I17" s="40" t="n">
        <v>7.28</v>
      </c>
      <c r="J17" s="40" t="n">
        <v>0</v>
      </c>
      <c r="K17" s="40" t="n">
        <v>0</v>
      </c>
      <c r="L17" s="40" t="n">
        <v>0</v>
      </c>
      <c r="M17" s="40" t="n">
        <v>0</v>
      </c>
      <c r="N17" s="36" t="s">
        <v>461</v>
      </c>
    </row>
    <row r="18" customFormat="false" ht="15" hidden="false" customHeight="false" outlineLevel="0" collapsed="false">
      <c r="A18" s="32" t="s">
        <v>462</v>
      </c>
      <c r="B18" s="37" t="s">
        <v>147</v>
      </c>
      <c r="C18" s="19" t="n">
        <v>-0.832</v>
      </c>
      <c r="D18" s="19" t="n">
        <v>-0.6077</v>
      </c>
      <c r="E18" s="19" t="n">
        <v>-6.378</v>
      </c>
      <c r="F18" s="19" t="n">
        <v>-10.6554</v>
      </c>
      <c r="G18" s="19" t="n">
        <v>-8.3884</v>
      </c>
      <c r="H18" s="19" t="n">
        <v>-17.1222</v>
      </c>
      <c r="I18" s="44" t="n">
        <f aca="false">I5*费用税率!I13</f>
        <v>-16.446042</v>
      </c>
      <c r="J18" s="44" t="n">
        <f aca="false">J5*费用税率!J13</f>
        <v>-17.5522807</v>
      </c>
      <c r="K18" s="44" t="n">
        <f aca="false">K5*费用税率!K13</f>
        <v>-22.099841887</v>
      </c>
      <c r="L18" s="44" t="n">
        <f aca="false">L5*费用税率!L13</f>
        <v>-25.71762521751</v>
      </c>
      <c r="M18" s="44" t="n">
        <f aca="false">M5*费用税率!M13</f>
        <v>-28.5120795995153</v>
      </c>
    </row>
    <row r="19" customFormat="false" ht="15" hidden="false" customHeight="false" outlineLevel="0" collapsed="false">
      <c r="A19" s="32" t="s">
        <v>463</v>
      </c>
      <c r="B19" s="37" t="s">
        <v>147</v>
      </c>
      <c r="C19" s="19" t="n">
        <v>-0.5641</v>
      </c>
      <c r="D19" s="19" t="n">
        <v>-2.2623</v>
      </c>
      <c r="E19" s="19" t="n">
        <v>-6.274</v>
      </c>
      <c r="F19" s="19" t="n">
        <v>-9.9623</v>
      </c>
      <c r="G19" s="19" t="n">
        <v>-20.0664</v>
      </c>
      <c r="H19" s="19" t="n">
        <v>-35.8086</v>
      </c>
      <c r="I19" s="44" t="n">
        <f aca="false">I5*费用税率!I14</f>
        <v>-21.928056</v>
      </c>
      <c r="J19" s="44" t="n">
        <f aca="false">J5*费用税率!J14</f>
        <v>-24.57319298</v>
      </c>
      <c r="K19" s="44" t="n">
        <f aca="false">K5*费用税率!K14</f>
        <v>-26.5198102644</v>
      </c>
      <c r="L19" s="44" t="n">
        <f aca="false">L5*费用税率!L14</f>
        <v>-30.861150261012</v>
      </c>
      <c r="M19" s="44" t="n">
        <f aca="false">M5*费用税率!M14</f>
        <v>-34.2144955194184</v>
      </c>
    </row>
    <row r="20" customFormat="false" ht="15" hidden="false" customHeight="false" outlineLevel="0" collapsed="false">
      <c r="A20" s="32" t="s">
        <v>464</v>
      </c>
      <c r="B20" s="37" t="s">
        <v>147</v>
      </c>
      <c r="C20" s="19" t="n">
        <v>-0.0964</v>
      </c>
      <c r="D20" s="19" t="n">
        <v>-5.3795</v>
      </c>
      <c r="E20" s="19" t="n">
        <v>0.2296</v>
      </c>
      <c r="F20" s="19" t="n">
        <v>0.3183</v>
      </c>
      <c r="G20" s="19" t="n">
        <v>-2.0721</v>
      </c>
      <c r="H20" s="19" t="n">
        <v>0.7567</v>
      </c>
      <c r="I20" s="40" t="n">
        <v>3.8</v>
      </c>
      <c r="J20" s="40" t="n">
        <v>0</v>
      </c>
      <c r="K20" s="40" t="n">
        <v>0</v>
      </c>
      <c r="L20" s="40" t="n">
        <v>0</v>
      </c>
      <c r="M20" s="40" t="n">
        <v>0</v>
      </c>
      <c r="N20" s="36" t="s">
        <v>465</v>
      </c>
    </row>
    <row r="21" customFormat="false" ht="15" hidden="false" customHeight="false" outlineLevel="0" collapsed="false">
      <c r="A21" s="22" t="s">
        <v>466</v>
      </c>
      <c r="B21" s="37" t="s">
        <v>147</v>
      </c>
      <c r="C21" s="43" t="n">
        <f aca="false">C8-C10-C11-C12-C13-C14+C15+C16+C17+C18+C19+C20</f>
        <v>278.7342</v>
      </c>
      <c r="D21" s="43" t="n">
        <f aca="false">D8-D10-D11-D12-D13-D14+D15+D16+D17+D18+D19+D20</f>
        <v>425.182</v>
      </c>
      <c r="E21" s="43" t="n">
        <f aca="false">E8-E10-E11-E12-E13-E14+E15+E16+E17+E18+E19+E20</f>
        <v>568.2253</v>
      </c>
      <c r="F21" s="43" t="n">
        <f aca="false">F8-F10-F11-F12-F13-F14+F15+F16+F17+F18+F19+F20</f>
        <v>648.2587</v>
      </c>
      <c r="G21" s="43" t="n">
        <f aca="false">G8-G10-G11-G12-G13-G14+G15+G16+G17+G18+G19+G20</f>
        <v>351.279</v>
      </c>
      <c r="H21" s="43" t="n">
        <f aca="false">H8-H10-H11-H12-H13-H14+H15+H16+H17+H18+H19+H20</f>
        <v>455.8917</v>
      </c>
      <c r="I21" s="43" t="n">
        <f aca="false">I8-I10-I11-I12-I13-I14+I15+I16+I17+I18+I19+I20</f>
        <v>752.22060665</v>
      </c>
      <c r="J21" s="43" t="n">
        <f aca="false">J8-J10-J11-J12-J13-J14+J15+J16+J17+J18+J19+J20</f>
        <v>996.825717848</v>
      </c>
      <c r="K21" s="43" t="n">
        <f aca="false">K8-K10-K11-K12-K13-K14+K15+K16+K17+K18+K19+K20</f>
        <v>1349.36890730691</v>
      </c>
      <c r="L21" s="43" t="n">
        <f aca="false">L8-L10-L11-L12-L13-L14+L15+L16+L17+L18+L19+L20</f>
        <v>1578.33090646829</v>
      </c>
      <c r="M21" s="43" t="n">
        <f aca="false">M8-M10-M11-M12-M13-M14+M15+M16+M17+M18+M19+M20</f>
        <v>1737.88359012656</v>
      </c>
    </row>
    <row r="22" customFormat="false" ht="15" hidden="false" customHeight="false" outlineLevel="0" collapsed="false">
      <c r="A22" s="25" t="s">
        <v>467</v>
      </c>
      <c r="B22" s="37" t="s">
        <v>147</v>
      </c>
      <c r="C22" s="19" t="n">
        <v>-6.2</v>
      </c>
      <c r="D22" s="19" t="n">
        <v>-2.38</v>
      </c>
      <c r="E22" s="19" t="n">
        <v>-2.21</v>
      </c>
      <c r="F22" s="19" t="n">
        <v>-4.1</v>
      </c>
      <c r="G22" s="19" t="n">
        <v>-6.93</v>
      </c>
      <c r="H22" s="19" t="n">
        <v>10.64</v>
      </c>
      <c r="I22" s="45" t="n">
        <f aca="false">费用税率!I15</f>
        <v>0</v>
      </c>
      <c r="J22" s="45" t="n">
        <f aca="false">费用税率!J15</f>
        <v>0</v>
      </c>
      <c r="K22" s="45" t="n">
        <f aca="false">费用税率!K15</f>
        <v>0</v>
      </c>
      <c r="L22" s="45" t="n">
        <f aca="false">费用税率!L15</f>
        <v>0</v>
      </c>
      <c r="M22" s="45" t="n">
        <f aca="false">费用税率!M15</f>
        <v>0</v>
      </c>
    </row>
    <row r="23" customFormat="false" ht="15" hidden="false" customHeight="false" outlineLevel="0" collapsed="false">
      <c r="A23" s="22" t="s">
        <v>468</v>
      </c>
      <c r="B23" s="37" t="s">
        <v>147</v>
      </c>
      <c r="C23" s="43" t="n">
        <f aca="false">C21+C22</f>
        <v>272.5342</v>
      </c>
      <c r="D23" s="43" t="n">
        <f aca="false">D21+D22</f>
        <v>422.802</v>
      </c>
      <c r="E23" s="43" t="n">
        <f aca="false">E21+E22</f>
        <v>566.0153</v>
      </c>
      <c r="F23" s="43" t="n">
        <f aca="false">F21+F22</f>
        <v>644.1587</v>
      </c>
      <c r="G23" s="43" t="n">
        <f aca="false">G21+G22</f>
        <v>344.349</v>
      </c>
      <c r="H23" s="43" t="n">
        <f aca="false">H21+H22</f>
        <v>466.5317</v>
      </c>
      <c r="I23" s="43" t="n">
        <f aca="false">I21+I22</f>
        <v>752.22060665</v>
      </c>
      <c r="J23" s="43" t="n">
        <f aca="false">J21+J22</f>
        <v>996.825717848</v>
      </c>
      <c r="K23" s="43" t="n">
        <f aca="false">K21+K22</f>
        <v>1349.36890730691</v>
      </c>
      <c r="L23" s="43" t="n">
        <f aca="false">L21+L22</f>
        <v>1578.33090646829</v>
      </c>
      <c r="M23" s="43" t="n">
        <f aca="false">M21+M22</f>
        <v>1737.88359012656</v>
      </c>
    </row>
    <row r="24" customFormat="false" ht="15" hidden="false" customHeight="false" outlineLevel="0" collapsed="false">
      <c r="A24" s="25" t="s">
        <v>469</v>
      </c>
      <c r="B24" s="37" t="s">
        <v>147</v>
      </c>
      <c r="C24" s="19" t="n">
        <v>33.0812</v>
      </c>
      <c r="D24" s="19" t="n">
        <v>47.0046</v>
      </c>
      <c r="E24" s="19" t="n">
        <v>53.2417</v>
      </c>
      <c r="F24" s="19" t="n">
        <v>69.7434</v>
      </c>
      <c r="G24" s="19" t="n">
        <v>18.0807</v>
      </c>
      <c r="H24" s="19" t="n">
        <v>40.1323</v>
      </c>
      <c r="I24" s="44" t="n">
        <f aca="false">I23*费用税率!I23</f>
        <v>88.0445633994018</v>
      </c>
      <c r="J24" s="44" t="n">
        <f aca="false">J23*费用税率!J23</f>
        <v>121.940835682384</v>
      </c>
      <c r="K24" s="44" t="n">
        <f aca="false">K23*费用税率!K23</f>
        <v>171.550710421134</v>
      </c>
      <c r="L24" s="44" t="n">
        <f aca="false">L23*费用税率!L23</f>
        <v>203.289178560196</v>
      </c>
      <c r="M24" s="44" t="n">
        <f aca="false">M23*费用税率!M23</f>
        <v>226.375675357532</v>
      </c>
    </row>
    <row r="25" customFormat="false" ht="15" hidden="false" customHeight="false" outlineLevel="0" collapsed="false">
      <c r="A25" s="22" t="s">
        <v>470</v>
      </c>
      <c r="B25" s="37" t="s">
        <v>147</v>
      </c>
      <c r="C25" s="43" t="n">
        <f aca="false">C23-C24</f>
        <v>239.453</v>
      </c>
      <c r="D25" s="43" t="n">
        <f aca="false">D23-D24</f>
        <v>375.7974</v>
      </c>
      <c r="E25" s="43" t="n">
        <f aca="false">E23-E24</f>
        <v>512.7736</v>
      </c>
      <c r="F25" s="43" t="n">
        <f aca="false">F23-F24</f>
        <v>574.4153</v>
      </c>
      <c r="G25" s="43" t="n">
        <f aca="false">G23-G24</f>
        <v>326.2683</v>
      </c>
      <c r="H25" s="43" t="n">
        <f aca="false">H23-H24</f>
        <v>426.3994</v>
      </c>
      <c r="I25" s="43" t="n">
        <f aca="false">I23-I24</f>
        <v>664.176043250598</v>
      </c>
      <c r="J25" s="43" t="n">
        <f aca="false">J23-J24</f>
        <v>874.884882165615</v>
      </c>
      <c r="K25" s="43" t="n">
        <f aca="false">K23-K24</f>
        <v>1177.81819688578</v>
      </c>
      <c r="L25" s="43" t="n">
        <f aca="false">L23-L24</f>
        <v>1375.04172790809</v>
      </c>
      <c r="M25" s="43" t="n">
        <f aca="false">M23-M24</f>
        <v>1511.50791476903</v>
      </c>
    </row>
    <row r="26" customFormat="false" ht="15" hidden="false" customHeight="false" outlineLevel="0" collapsed="false">
      <c r="A26" s="25" t="s">
        <v>471</v>
      </c>
      <c r="B26" s="37" t="s">
        <v>147</v>
      </c>
      <c r="C26" s="19" t="n">
        <v>1.3392</v>
      </c>
      <c r="D26" s="19" t="n">
        <v>5.6737</v>
      </c>
      <c r="E26" s="19" t="n">
        <v>24.0334</v>
      </c>
      <c r="F26" s="19" t="n">
        <v>36.7671</v>
      </c>
      <c r="G26" s="19" t="n">
        <v>12.0588</v>
      </c>
      <c r="H26" s="19" t="n">
        <v>-16.7853</v>
      </c>
      <c r="I26" s="44" t="n">
        <f aca="false">I25*费用税率!I25+费用税率!I26</f>
        <v>46.2529231963394</v>
      </c>
      <c r="J26" s="44" t="n">
        <f aca="false">J25*费用税率!J25+费用税率!J26</f>
        <v>123.649360665486</v>
      </c>
      <c r="K26" s="44" t="n">
        <f aca="false">K25*费用税率!K25+费用税率!K26</f>
        <v>213.084615130236</v>
      </c>
      <c r="L26" s="44" t="n">
        <f aca="false">L25*费用税率!L25+费用税率!L26</f>
        <v>264.713602543685</v>
      </c>
      <c r="M26" s="44" t="n">
        <f aca="false">M25*费用税率!M25+费用税率!M26</f>
        <v>304.296539727192</v>
      </c>
      <c r="N26" s="21" t="s">
        <v>472</v>
      </c>
    </row>
    <row r="27" customFormat="false" ht="15" hidden="false" customHeight="false" outlineLevel="0" collapsed="false">
      <c r="A27" s="22" t="s">
        <v>473</v>
      </c>
      <c r="B27" s="37" t="s">
        <v>147</v>
      </c>
      <c r="C27" s="43" t="n">
        <f aca="false">C25-C26</f>
        <v>238.1138</v>
      </c>
      <c r="D27" s="43" t="n">
        <f aca="false">D25-D26</f>
        <v>370.1237</v>
      </c>
      <c r="E27" s="43" t="n">
        <f aca="false">E25-E26</f>
        <v>488.7402</v>
      </c>
      <c r="F27" s="43" t="n">
        <f aca="false">F25-F26</f>
        <v>537.6482</v>
      </c>
      <c r="G27" s="43" t="n">
        <f aca="false">G25-G26</f>
        <v>314.2095</v>
      </c>
      <c r="H27" s="43" t="n">
        <f aca="false">H25-H26</f>
        <v>443.1847</v>
      </c>
      <c r="I27" s="41" t="n">
        <f aca="false">I25-I26</f>
        <v>617.923120054259</v>
      </c>
      <c r="J27" s="41" t="n">
        <f aca="false">J25-J26</f>
        <v>751.23552150013</v>
      </c>
      <c r="K27" s="41" t="n">
        <f aca="false">K25-K26</f>
        <v>964.733581755544</v>
      </c>
      <c r="L27" s="41" t="n">
        <f aca="false">L25-L26</f>
        <v>1110.32812536441</v>
      </c>
      <c r="M27" s="41" t="n">
        <f aca="false">M25-M26</f>
        <v>1207.21137504184</v>
      </c>
    </row>
    <row r="28" customFormat="false" ht="15" hidden="false" customHeight="false" outlineLevel="0" collapsed="false">
      <c r="A28" s="32" t="s">
        <v>151</v>
      </c>
      <c r="B28" s="23" t="s">
        <v>94</v>
      </c>
      <c r="D28" s="13" t="n">
        <f aca="false">D27/C27-1</f>
        <v>0.554398359103923</v>
      </c>
      <c r="E28" s="13" t="n">
        <f aca="false">E27/D27-1</f>
        <v>0.32047799154715</v>
      </c>
      <c r="F28" s="13" t="n">
        <f aca="false">F27/E27-1</f>
        <v>0.100069525690746</v>
      </c>
      <c r="G28" s="13" t="n">
        <f aca="false">G27/F27-1</f>
        <v>-0.415585321405335</v>
      </c>
      <c r="H28" s="13" t="n">
        <f aca="false">H27/G27-1</f>
        <v>0.41047517659396</v>
      </c>
      <c r="I28" s="13" t="n">
        <f aca="false">I27/H27-1</f>
        <v>0.394278999374886</v>
      </c>
      <c r="J28" s="13" t="n">
        <f aca="false">J27/I27-1</f>
        <v>0.215742698596817</v>
      </c>
      <c r="K28" s="13" t="n">
        <f aca="false">K27/J27-1</f>
        <v>0.28419590680308</v>
      </c>
      <c r="L28" s="13" t="n">
        <f aca="false">L27/K27-1</f>
        <v>0.150916840008744</v>
      </c>
      <c r="M28" s="13" t="n">
        <f aca="false">M27/L27-1</f>
        <v>0.0872564131847384</v>
      </c>
    </row>
    <row r="29" customFormat="false" ht="15" hidden="false" customHeight="false" outlineLevel="0" collapsed="false">
      <c r="A29" s="22" t="s">
        <v>474</v>
      </c>
      <c r="B29" s="37" t="s">
        <v>439</v>
      </c>
      <c r="C29" s="61" t="n">
        <f aca="false">C27/融资!C29</f>
        <v>0.469735850545462</v>
      </c>
      <c r="D29" s="61" t="n">
        <f aca="false">D27/融资!D29</f>
        <v>0.730156635300152</v>
      </c>
      <c r="E29" s="61" t="n">
        <f aca="false">E27/融资!E29</f>
        <v>0.964155767295969</v>
      </c>
      <c r="F29" s="61" t="n">
        <f aca="false">F27/融资!F29</f>
        <v>1.03429687199415</v>
      </c>
      <c r="G29" s="61" t="n">
        <f aca="false">G27/融资!G29</f>
        <v>0.601622723878454</v>
      </c>
      <c r="H29" s="61" t="n">
        <f aca="false">H27/融资!H29</f>
        <v>0.848573917705402</v>
      </c>
      <c r="I29" s="62" t="n">
        <f aca="false">I27/融资!I29</f>
        <v>1.17536210612721</v>
      </c>
      <c r="J29" s="62" t="n">
        <f aca="false">J27/融资!J29</f>
        <v>1.42654734044699</v>
      </c>
      <c r="K29" s="62" t="n">
        <f aca="false">K27/融资!K29</f>
        <v>1.8289065649442</v>
      </c>
      <c r="L29" s="62" t="n">
        <f aca="false">L27/融资!L29</f>
        <v>2.09965720530169</v>
      </c>
      <c r="M29" s="62" t="n">
        <f aca="false">M27/融资!M29</f>
        <v>2.27717298021987</v>
      </c>
    </row>
    <row r="30" customFormat="false" ht="15" hidden="false" customHeight="false" outlineLevel="0" collapsed="false">
      <c r="A30" s="30" t="s">
        <v>475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5" hidden="false" customHeight="false" outlineLevel="0" collapsed="false">
      <c r="A31" s="32" t="s">
        <v>476</v>
      </c>
      <c r="B31" s="37" t="s">
        <v>147</v>
      </c>
      <c r="C31" s="44" t="n">
        <f aca="false">C10+C11+C12+C13</f>
        <v>184.9598</v>
      </c>
      <c r="D31" s="44" t="n">
        <f aca="false">D10+D11+D12+D13</f>
        <v>230.9494</v>
      </c>
      <c r="E31" s="44" t="n">
        <f aca="false">E10+E11+E12+E13</f>
        <v>347.4611</v>
      </c>
      <c r="F31" s="44" t="n">
        <f aca="false">F10+F11+F12+F13</f>
        <v>450.8434</v>
      </c>
      <c r="G31" s="44" t="n">
        <f aca="false">G10+G11+G12+G13</f>
        <v>439.441</v>
      </c>
      <c r="H31" s="44" t="n">
        <f aca="false">H10+H11+H12+H13</f>
        <v>517.7474</v>
      </c>
      <c r="I31" s="44" t="n">
        <f aca="false">I10+I11+I12+I13</f>
        <v>652.575498</v>
      </c>
      <c r="J31" s="44" t="n">
        <f aca="false">J10+J11+J12+J13</f>
        <v>796.5389473</v>
      </c>
      <c r="K31" s="44" t="n">
        <f aca="false">K10+K11+K12+K13</f>
        <v>860.4342446868</v>
      </c>
      <c r="L31" s="44" t="n">
        <f aca="false">L10+L11+L12+L13</f>
        <v>915.829832525846</v>
      </c>
      <c r="M31" s="44" t="n">
        <f aca="false">M10+M11+M12+M13</f>
        <v>962.303458623811</v>
      </c>
    </row>
    <row r="32" customFormat="false" ht="15" hidden="false" customHeight="false" outlineLevel="0" collapsed="false">
      <c r="A32" s="52" t="s">
        <v>477</v>
      </c>
      <c r="B32" s="37" t="s">
        <v>147</v>
      </c>
      <c r="C32" s="44" t="n">
        <f aca="false">C21+C14-C16-C17</f>
        <v>273.0516</v>
      </c>
      <c r="D32" s="44" t="n">
        <f aca="false">D21+D14-D16-D17</f>
        <v>403.1474</v>
      </c>
      <c r="E32" s="44" t="n">
        <f aca="false">E21+E14-E16-E17</f>
        <v>535.4326</v>
      </c>
      <c r="F32" s="44" t="n">
        <f aca="false">F21+F14-F16-F17</f>
        <v>614.7884</v>
      </c>
      <c r="G32" s="44" t="n">
        <f aca="false">G21+G14-G16-G17</f>
        <v>322.6828</v>
      </c>
      <c r="H32" s="44" t="n">
        <f aca="false">H21+H14-H16-H17</f>
        <v>438.5496</v>
      </c>
      <c r="I32" s="44" t="n">
        <f aca="false">I21+I14-I16-I17</f>
        <v>739.10608</v>
      </c>
      <c r="J32" s="44" t="n">
        <f aca="false">J21+J14-J16-J17</f>
        <v>980.13688286</v>
      </c>
      <c r="K32" s="44" t="n">
        <f aca="false">K21+K14-K16-K17</f>
        <v>1334.2708067348</v>
      </c>
      <c r="L32" s="44" t="n">
        <f aca="false">L21+L14-L16-L17</f>
        <v>1560.8699552209</v>
      </c>
      <c r="M32" s="44" t="n">
        <f aca="false">M21+M14-M16-M17</f>
        <v>1713.76527072858</v>
      </c>
    </row>
    <row r="33" customFormat="false" ht="15" hidden="false" customHeight="false" outlineLevel="0" collapsed="false">
      <c r="A33" s="52" t="s">
        <v>478</v>
      </c>
      <c r="B33" s="37" t="s">
        <v>147</v>
      </c>
      <c r="C33" s="44" t="n">
        <f aca="false">C32+资本开支!C49</f>
        <v>334.3764</v>
      </c>
      <c r="D33" s="44" t="n">
        <f aca="false">D32+资本开支!D49</f>
        <v>488.2647</v>
      </c>
      <c r="E33" s="44" t="n">
        <f aca="false">E32+资本开支!E49</f>
        <v>650.4581</v>
      </c>
      <c r="F33" s="44" t="n">
        <f aca="false">F32+资本开支!F49</f>
        <v>782.3496</v>
      </c>
      <c r="G33" s="44" t="n">
        <f aca="false">G32+资本开支!G49</f>
        <v>529.6721</v>
      </c>
      <c r="H33" s="44" t="n">
        <f aca="false">H32+资本开支!H49</f>
        <v>686.8579</v>
      </c>
      <c r="I33" s="44" t="n">
        <f aca="false">I32+资本开支!I49</f>
        <v>1039.629244768</v>
      </c>
      <c r="J33" s="44" t="n">
        <f aca="false">J32+资本开支!J49</f>
        <v>1344.24335609636</v>
      </c>
      <c r="K33" s="44" t="n">
        <f aca="false">K32+资本开支!K49</f>
        <v>1777.87717410472</v>
      </c>
      <c r="L33" s="44" t="n">
        <f aca="false">L32+资本开支!L49</f>
        <v>2080.73240088513</v>
      </c>
      <c r="M33" s="44" t="n">
        <f aca="false">M32+资本开支!M49</f>
        <v>2302.07273572885</v>
      </c>
    </row>
    <row r="34" customFormat="false" ht="15" hidden="false" customHeight="false" outlineLevel="0" collapsed="false">
      <c r="A34" s="52" t="s">
        <v>479</v>
      </c>
      <c r="B34" s="23" t="s">
        <v>94</v>
      </c>
      <c r="C34" s="13" t="n">
        <f aca="false">C32/C5</f>
        <v>0.31618626822837</v>
      </c>
      <c r="D34" s="13" t="n">
        <f aca="false">D32/D5</f>
        <v>0.329490357716948</v>
      </c>
      <c r="E34" s="13" t="n">
        <f aca="false">E32/E5</f>
        <v>0.311412956363197</v>
      </c>
      <c r="F34" s="13" t="n">
        <f aca="false">F32/F5</f>
        <v>0.294080780750414</v>
      </c>
      <c r="G34" s="13" t="n">
        <f aca="false">G32/G5</f>
        <v>0.185257026105123</v>
      </c>
      <c r="H34" s="13" t="n">
        <f aca="false">H32/H5</f>
        <v>0.217496882607965</v>
      </c>
      <c r="I34" s="13" t="n">
        <f aca="false">I32/I5</f>
        <v>0.269647644095765</v>
      </c>
      <c r="J34" s="13" t="n">
        <f aca="false">J32/J5</f>
        <v>0.279204993246262</v>
      </c>
      <c r="K34" s="13" t="n">
        <f aca="false">K32/K5</f>
        <v>0.30187338297648</v>
      </c>
      <c r="L34" s="13" t="n">
        <f aca="false">L32/L5</f>
        <v>0.303463080673206</v>
      </c>
      <c r="M34" s="13" t="n">
        <f aca="false">M32/M5</f>
        <v>0.300533194140934</v>
      </c>
    </row>
    <row r="35" customFormat="false" ht="15" hidden="false" customHeight="false" outlineLevel="0" collapsed="false">
      <c r="A35" s="32" t="s">
        <v>480</v>
      </c>
      <c r="B35" s="23" t="s">
        <v>94</v>
      </c>
      <c r="C35" s="13" t="n">
        <f aca="false">C27/C5</f>
        <v>0.275729253502549</v>
      </c>
      <c r="D35" s="13" t="n">
        <f aca="false">D27/D5</f>
        <v>0.302500252544158</v>
      </c>
      <c r="E35" s="13" t="n">
        <f aca="false">E27/E5</f>
        <v>0.284256189435496</v>
      </c>
      <c r="F35" s="13" t="n">
        <f aca="false">F27/F5</f>
        <v>0.257181173921067</v>
      </c>
      <c r="G35" s="13" t="n">
        <f aca="false">G27/G5</f>
        <v>0.180392377728151</v>
      </c>
      <c r="H35" s="13" t="n">
        <f aca="false">H27/H5</f>
        <v>0.219795641518192</v>
      </c>
      <c r="I35" s="13" t="n">
        <f aca="false">I27/I5</f>
        <v>0.225436534840757</v>
      </c>
      <c r="J35" s="13" t="n">
        <f aca="false">J27/J5</f>
        <v>0.213999403935048</v>
      </c>
      <c r="K35" s="13" t="n">
        <f aca="false">K27/K5</f>
        <v>0.218267077811773</v>
      </c>
      <c r="L35" s="13" t="n">
        <f aca="false">L27/L5</f>
        <v>0.215869100660281</v>
      </c>
      <c r="M35" s="13" t="n">
        <f aca="false">M27/M5</f>
        <v>0.211701740455011</v>
      </c>
    </row>
    <row r="36" customFormat="false" ht="15" hidden="false" customHeight="false" outlineLevel="0" collapsed="false">
      <c r="A36" s="32" t="s">
        <v>365</v>
      </c>
      <c r="B36" s="23" t="s">
        <v>94</v>
      </c>
      <c r="C36" s="13" t="n">
        <f aca="false">C13/C5</f>
        <v>0.0851025321039216</v>
      </c>
      <c r="D36" s="13" t="n">
        <f aca="false">D13/D5</f>
        <v>0.0775523060632501</v>
      </c>
      <c r="E36" s="13" t="n">
        <f aca="false">E13/E5</f>
        <v>0.0899789061683929</v>
      </c>
      <c r="F36" s="13" t="n">
        <f aca="false">F13/F5</f>
        <v>0.106769792684445</v>
      </c>
      <c r="G36" s="13" t="n">
        <f aca="false">G13/G5</f>
        <v>0.143496592110948</v>
      </c>
      <c r="H36" s="13" t="n">
        <f aca="false">H13/H5</f>
        <v>0.1399940754301</v>
      </c>
      <c r="I36" s="13" t="n">
        <f aca="false">I13/I5</f>
        <v>0.126</v>
      </c>
      <c r="J36" s="13" t="n">
        <f aca="false">J13/J5</f>
        <v>0.11</v>
      </c>
      <c r="K36" s="13" t="n">
        <f aca="false">K13/K5</f>
        <v>0.1</v>
      </c>
      <c r="L36" s="13" t="n">
        <f aca="false">L13/L5</f>
        <v>0.093</v>
      </c>
      <c r="M36" s="13" t="n">
        <f aca="false">M13/M5</f>
        <v>0.089</v>
      </c>
    </row>
    <row r="37" customFormat="false" ht="15" hidden="false" customHeight="false" outlineLevel="0" collapsed="false">
      <c r="A37" s="52" t="s">
        <v>481</v>
      </c>
      <c r="B37" s="23" t="s">
        <v>94</v>
      </c>
      <c r="C37" s="13" t="n">
        <f aca="false">C27/资产负债表!C59</f>
        <v>0.114445276099208</v>
      </c>
      <c r="D37" s="13" t="n">
        <f aca="false">D27/资产负债表!D59</f>
        <v>0.150279440551275</v>
      </c>
      <c r="E37" s="13" t="n">
        <f aca="false">E27/资产负债表!E59</f>
        <v>0.162568078306996</v>
      </c>
      <c r="F37" s="13" t="n">
        <f aca="false">F27/资产负债表!F59</f>
        <v>0.137142915155173</v>
      </c>
      <c r="G37" s="13" t="n">
        <f aca="false">G27/资产负债表!G59</f>
        <v>0.0761013189398492</v>
      </c>
      <c r="H37" s="13" t="n">
        <f aca="false">H27/资产负债表!H59</f>
        <v>0.0957714804943042</v>
      </c>
      <c r="I37" s="13" t="n">
        <f aca="false">I27/资产负债表!I59</f>
        <v>0.112021744383007</v>
      </c>
      <c r="J37" s="13" t="n">
        <f aca="false">J27/资产负债表!J59</f>
        <v>0.119549396336601</v>
      </c>
      <c r="K37" s="13" t="n">
        <f aca="false">K27/资产负债表!K59</f>
        <v>0.134366741099417</v>
      </c>
      <c r="L37" s="13" t="n">
        <f aca="false">L27/资产负债表!L59</f>
        <v>0.135990616590809</v>
      </c>
      <c r="M37" s="13" t="n">
        <f aca="false">M27/资产负债表!M59</f>
        <v>0.131240312166598</v>
      </c>
    </row>
    <row r="38" customFormat="false" ht="15" hidden="false" customHeight="false" outlineLevel="0" collapsed="false">
      <c r="A38" s="52" t="s">
        <v>482</v>
      </c>
      <c r="B38" s="23" t="s">
        <v>94</v>
      </c>
      <c r="C38" s="13" t="n">
        <f aca="false">C32*(1-费用税率!C23)/(营运资本!C37+资本开支!C41+资本开支!C29+资本开支!C46)</f>
        <v>0.203274657046767</v>
      </c>
      <c r="D38" s="13" t="n">
        <f aca="false">D32*(1-费用税率!D23)/(营运资本!D37+资本开支!D41+资本开支!D29+资本开支!D46)</f>
        <v>0.231736537149157</v>
      </c>
      <c r="E38" s="13" t="n">
        <f aca="false">E32*(1-费用税率!E23)/(营运资本!E37+资本开支!E41+资本开支!E29+资本开支!E46)</f>
        <v>0.203479037044207</v>
      </c>
      <c r="F38" s="13" t="n">
        <f aca="false">F32*(1-费用税率!F23)/(营运资本!F37+资本开支!F41+资本开支!F29+资本开支!F46)</f>
        <v>0.174185729961038</v>
      </c>
      <c r="G38" s="13" t="n">
        <f aca="false">G32*(1-费用税率!G23)/(营运资本!G37+资本开支!G41+资本开支!G29+资本开支!G46)</f>
        <v>0.0847696107993513</v>
      </c>
      <c r="H38" s="13" t="n">
        <f aca="false">H32*(1-费用税率!H23)/(营运资本!H37+资本开支!H41+资本开支!H29+资本开支!H46)</f>
        <v>0.0961386433475186</v>
      </c>
      <c r="I38" s="13" t="n">
        <f aca="false">I32*(1-费用税率!I23)/(营运资本!I37+资本开支!I41+资本开支!I29+资本开支!I46)</f>
        <v>0.126813878351934</v>
      </c>
      <c r="J38" s="13" t="n">
        <f aca="false">J32*(1-费用税率!J23)/(营运资本!J37+资本开支!J41+资本开支!J29+资本开支!J46)</f>
        <v>0.13838892078094</v>
      </c>
      <c r="K38" s="13" t="n">
        <f aca="false">K32*(1-费用税率!K23)/(营运资本!K37+资本开支!K41+资本开支!K29+资本开支!K46)</f>
        <v>0.162986582389645</v>
      </c>
      <c r="L38" s="13" t="n">
        <f aca="false">L32*(1-费用税率!L23)/(营运资本!L37+资本开支!L41+资本开支!L29+资本开支!L46)</f>
        <v>0.175542662118335</v>
      </c>
      <c r="M38" s="13" t="n">
        <f aca="false">M32*(1-费用税率!M23)/(营运资本!M37+资本开支!M41+资本开支!M29+资本开支!M46)</f>
        <v>0.181261927436793</v>
      </c>
    </row>
    <row r="39" customFormat="false" ht="15" hidden="false" customHeight="false" outlineLevel="0" collapsed="false">
      <c r="A39" s="32" t="s">
        <v>483</v>
      </c>
      <c r="B39" s="37" t="s">
        <v>147</v>
      </c>
      <c r="C39" s="19" t="n">
        <v>230.47</v>
      </c>
      <c r="D39" s="19" t="n">
        <v>349.17</v>
      </c>
      <c r="E39" s="19" t="n">
        <v>473</v>
      </c>
      <c r="F39" s="19" t="n">
        <v>495.81</v>
      </c>
      <c r="G39" s="19" t="n">
        <v>264.21</v>
      </c>
      <c r="H39" s="19" t="n">
        <v>386.25</v>
      </c>
      <c r="N39" s="21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17.35" hidden="false" customHeight="false" outlineLevel="0" collapsed="false">
      <c r="A1" s="20" t="s">
        <v>485</v>
      </c>
    </row>
    <row r="2" customFormat="false" ht="15" hidden="false" customHeight="false" outlineLevel="0" collapsed="false">
      <c r="A2" s="21" t="s">
        <v>486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487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4" t="s">
        <v>488</v>
      </c>
      <c r="B6" s="37" t="s">
        <v>147</v>
      </c>
      <c r="C6" s="42" t="n">
        <v>394.6839</v>
      </c>
      <c r="D6" s="42" t="n">
        <v>678.8377</v>
      </c>
      <c r="E6" s="42" t="n">
        <v>824.4059</v>
      </c>
      <c r="F6" s="42" t="n">
        <v>586.4147</v>
      </c>
      <c r="G6" s="42" t="n">
        <v>685.1896</v>
      </c>
      <c r="H6" s="42" t="n">
        <v>811.7069</v>
      </c>
      <c r="I6" s="41" t="n">
        <f aca="false">H6+现金流量表!I26</f>
        <v>883.633498799969</v>
      </c>
      <c r="J6" s="41" t="n">
        <f aca="false">I6+现金流量表!J26</f>
        <v>660.810057211377</v>
      </c>
      <c r="K6" s="41" t="n">
        <f aca="false">J6+现金流量表!K26</f>
        <v>897.095124738651</v>
      </c>
      <c r="L6" s="41" t="n">
        <f aca="false">K6+现金流量表!L26</f>
        <v>1562.83193979848</v>
      </c>
      <c r="M6" s="41" t="n">
        <f aca="false">L6+现金流量表!M26</f>
        <v>2374.40457429807</v>
      </c>
    </row>
    <row r="7" customFormat="false" ht="15" hidden="false" customHeight="false" outlineLevel="0" collapsed="false">
      <c r="A7" s="32" t="s">
        <v>415</v>
      </c>
      <c r="B7" s="37" t="s">
        <v>147</v>
      </c>
      <c r="C7" s="19" t="n">
        <v>452.7902</v>
      </c>
      <c r="D7" s="19" t="n">
        <v>280.944</v>
      </c>
      <c r="E7" s="19" t="n">
        <v>204.1341</v>
      </c>
      <c r="F7" s="19" t="n">
        <v>363.8887</v>
      </c>
      <c r="G7" s="19" t="n">
        <v>392.1992</v>
      </c>
      <c r="H7" s="19" t="n">
        <v>708.1757</v>
      </c>
      <c r="I7" s="45" t="n">
        <f aca="false">融资!I18</f>
        <v>500</v>
      </c>
      <c r="J7" s="45" t="n">
        <f aca="false">融资!J18</f>
        <v>500</v>
      </c>
      <c r="K7" s="45" t="n">
        <f aca="false">融资!K18</f>
        <v>500</v>
      </c>
      <c r="L7" s="45" t="n">
        <f aca="false">融资!L18</f>
        <v>500</v>
      </c>
      <c r="M7" s="45" t="n">
        <f aca="false">融资!M18</f>
        <v>500</v>
      </c>
    </row>
    <row r="8" customFormat="false" ht="15" hidden="false" customHeight="false" outlineLevel="0" collapsed="false">
      <c r="A8" s="32" t="s">
        <v>333</v>
      </c>
      <c r="B8" s="37" t="s">
        <v>147</v>
      </c>
      <c r="C8" s="19" t="n">
        <v>218.8513</v>
      </c>
      <c r="D8" s="19" t="n">
        <v>240.8312</v>
      </c>
      <c r="E8" s="19" t="n">
        <v>398.4657</v>
      </c>
      <c r="F8" s="19" t="n">
        <v>405.7188</v>
      </c>
      <c r="G8" s="19" t="n">
        <v>280.4393</v>
      </c>
      <c r="H8" s="19" t="n">
        <v>350.7365</v>
      </c>
      <c r="I8" s="45" t="n">
        <f aca="false">营运资本!I22</f>
        <v>450.576493150685</v>
      </c>
      <c r="J8" s="45" t="n">
        <f aca="false">营运资本!J22</f>
        <v>557.825907178082</v>
      </c>
      <c r="K8" s="45" t="n">
        <f aca="false">营运资本!K22</f>
        <v>678.132134614795</v>
      </c>
      <c r="L8" s="45" t="n">
        <f aca="false">营运资本!L22</f>
        <v>775.051718883863</v>
      </c>
      <c r="M8" s="45" t="n">
        <f aca="false">营运资本!M22</f>
        <v>859.26815231416</v>
      </c>
    </row>
    <row r="9" customFormat="false" ht="15" hidden="false" customHeight="false" outlineLevel="0" collapsed="false">
      <c r="A9" s="32" t="s">
        <v>332</v>
      </c>
      <c r="B9" s="37" t="s">
        <v>147</v>
      </c>
      <c r="C9" s="19" t="n">
        <v>219.3734</v>
      </c>
      <c r="D9" s="19" t="n">
        <v>231.9502</v>
      </c>
      <c r="E9" s="19" t="n">
        <v>335.0477</v>
      </c>
      <c r="F9" s="19" t="n">
        <v>482.4831</v>
      </c>
      <c r="G9" s="19" t="n">
        <v>501.4117</v>
      </c>
      <c r="H9" s="19" t="n">
        <v>716.2445</v>
      </c>
      <c r="I9" s="45" t="n">
        <f aca="false">营运资本!I21</f>
        <v>938.70102739726</v>
      </c>
      <c r="J9" s="45" t="n">
        <f aca="false">营运资本!J21</f>
        <v>1192.59331879452</v>
      </c>
      <c r="K9" s="45" t="n">
        <f aca="false">营运资本!K21</f>
        <v>1489.46879567178</v>
      </c>
      <c r="L9" s="45" t="n">
        <f aca="false">营运资本!L21</f>
        <v>1719.20563097875</v>
      </c>
      <c r="M9" s="45" t="n">
        <f aca="false">营运资本!M21</f>
        <v>1906.01299240595</v>
      </c>
    </row>
    <row r="10" customFormat="false" ht="15" hidden="false" customHeight="false" outlineLevel="0" collapsed="false">
      <c r="A10" s="32" t="s">
        <v>334</v>
      </c>
      <c r="B10" s="37" t="s">
        <v>147</v>
      </c>
      <c r="C10" s="19" t="n">
        <v>0</v>
      </c>
      <c r="D10" s="19" t="n">
        <v>55.3505</v>
      </c>
      <c r="E10" s="19" t="n">
        <v>41.3399</v>
      </c>
      <c r="F10" s="19" t="n">
        <v>106.2006</v>
      </c>
      <c r="G10" s="19" t="n">
        <v>114.0197</v>
      </c>
      <c r="H10" s="19" t="n">
        <v>89.4289</v>
      </c>
      <c r="I10" s="45" t="n">
        <f aca="false">营运资本!I23</f>
        <v>112.644123287671</v>
      </c>
      <c r="J10" s="45" t="n">
        <f aca="false">营运资本!J23</f>
        <v>144.265320821918</v>
      </c>
      <c r="K10" s="45" t="n">
        <f aca="false">营运资本!K23</f>
        <v>181.642536057534</v>
      </c>
      <c r="L10" s="45" t="n">
        <f aca="false">营运资本!L23</f>
        <v>211.377741513781</v>
      </c>
      <c r="M10" s="45" t="n">
        <f aca="false">营运资本!M23</f>
        <v>234.345859722044</v>
      </c>
    </row>
    <row r="11" customFormat="false" ht="15" hidden="false" customHeight="false" outlineLevel="0" collapsed="false">
      <c r="A11" s="32" t="s">
        <v>335</v>
      </c>
      <c r="B11" s="37" t="s">
        <v>147</v>
      </c>
      <c r="C11" s="19" t="n">
        <v>99.8956</v>
      </c>
      <c r="D11" s="19" t="n">
        <v>39.4738</v>
      </c>
      <c r="E11" s="19" t="n">
        <v>64.245</v>
      </c>
      <c r="F11" s="19" t="n">
        <v>196.8847</v>
      </c>
      <c r="G11" s="19" t="n">
        <v>90.3373</v>
      </c>
      <c r="H11" s="19" t="n">
        <v>108.1176</v>
      </c>
      <c r="I11" s="45" t="n">
        <f aca="false">营运资本!I24</f>
        <v>112.11694109589</v>
      </c>
      <c r="J11" s="45" t="n">
        <f aca="false">营运资本!J24</f>
        <v>143.656613786301</v>
      </c>
      <c r="K11" s="45" t="n">
        <f aca="false">营运资本!K24</f>
        <v>184.351495848329</v>
      </c>
      <c r="L11" s="45" t="n">
        <f aca="false">营运资本!L24</f>
        <v>220.459383360473</v>
      </c>
      <c r="M11" s="45" t="n">
        <f aca="false">营运资本!M24</f>
        <v>249.678248415656</v>
      </c>
    </row>
    <row r="12" customFormat="false" ht="15" hidden="false" customHeight="false" outlineLevel="0" collapsed="false">
      <c r="A12" s="32" t="s">
        <v>336</v>
      </c>
      <c r="B12" s="37" t="s">
        <v>147</v>
      </c>
      <c r="C12" s="19" t="n">
        <v>0.6937</v>
      </c>
      <c r="D12" s="19" t="n">
        <v>5.91</v>
      </c>
      <c r="E12" s="19" t="n">
        <v>1.8565</v>
      </c>
      <c r="F12" s="19" t="n">
        <v>2.8109</v>
      </c>
      <c r="G12" s="19" t="n">
        <v>19.1425</v>
      </c>
      <c r="H12" s="19" t="n">
        <v>45.2905</v>
      </c>
      <c r="I12" s="45" t="n">
        <f aca="false">营运资本!I25</f>
        <v>30.0384328767123</v>
      </c>
      <c r="J12" s="45" t="n">
        <f aca="false">营运资本!J25</f>
        <v>38.4707522191781</v>
      </c>
      <c r="K12" s="45" t="n">
        <f aca="false">营运资本!K25</f>
        <v>48.4380096153425</v>
      </c>
      <c r="L12" s="45" t="n">
        <f aca="false">营运资本!L25</f>
        <v>56.3673977370082</v>
      </c>
      <c r="M12" s="45" t="n">
        <f aca="false">营运资本!M25</f>
        <v>62.4922292592116</v>
      </c>
    </row>
    <row r="13" customFormat="false" ht="15" hidden="false" customHeight="false" outlineLevel="0" collapsed="false">
      <c r="A13" s="32" t="s">
        <v>337</v>
      </c>
      <c r="B13" s="37" t="s">
        <v>147</v>
      </c>
      <c r="C13" s="19" t="n">
        <v>199.3023</v>
      </c>
      <c r="D13" s="19" t="n">
        <v>323.8021</v>
      </c>
      <c r="E13" s="19" t="n">
        <v>463.9703</v>
      </c>
      <c r="F13" s="19" t="n">
        <v>665.8346</v>
      </c>
      <c r="G13" s="19" t="n">
        <v>743.1362</v>
      </c>
      <c r="H13" s="19" t="n">
        <v>916.0337</v>
      </c>
      <c r="I13" s="45" t="n">
        <f aca="false">营运资本!I26</f>
        <v>1233.28635205479</v>
      </c>
      <c r="J13" s="45" t="n">
        <f aca="false">营运资本!J26</f>
        <v>1532.33721372055</v>
      </c>
      <c r="K13" s="45" t="n">
        <f aca="false">营运资本!K26</f>
        <v>1904.9654570994</v>
      </c>
      <c r="L13" s="45" t="n">
        <f aca="false">营运资本!L26</f>
        <v>2204.59383360473</v>
      </c>
      <c r="M13" s="45" t="n">
        <f aca="false">营运资本!M26</f>
        <v>2455.16944275395</v>
      </c>
    </row>
    <row r="14" customFormat="false" ht="15" hidden="false" customHeight="false" outlineLevel="0" collapsed="false">
      <c r="A14" s="32" t="s">
        <v>338</v>
      </c>
      <c r="B14" s="37" t="s">
        <v>147</v>
      </c>
      <c r="C14" s="19" t="n">
        <v>16.7631</v>
      </c>
      <c r="D14" s="19" t="n">
        <v>14.5607</v>
      </c>
      <c r="E14" s="19" t="n">
        <v>48.5052</v>
      </c>
      <c r="F14" s="19" t="n">
        <v>78.9559</v>
      </c>
      <c r="G14" s="19" t="n">
        <v>80.0299</v>
      </c>
      <c r="H14" s="19" t="n">
        <v>65.9106</v>
      </c>
      <c r="I14" s="45" t="n">
        <f aca="false">营运资本!I27</f>
        <v>75.0960821917808</v>
      </c>
      <c r="J14" s="45" t="n">
        <f aca="false">营运资本!J27</f>
        <v>96.1768805479452</v>
      </c>
      <c r="K14" s="45" t="n">
        <f aca="false">营运资本!K27</f>
        <v>121.095024038356</v>
      </c>
      <c r="L14" s="45" t="n">
        <f aca="false">营运资本!L27</f>
        <v>140.918494342521</v>
      </c>
      <c r="M14" s="45" t="n">
        <f aca="false">营运资本!M27</f>
        <v>156.230573148029</v>
      </c>
    </row>
    <row r="15" customFormat="false" ht="15" hidden="false" customHeight="false" outlineLevel="0" collapsed="false">
      <c r="A15" s="22" t="s">
        <v>489</v>
      </c>
      <c r="B15" s="37" t="s">
        <v>147</v>
      </c>
      <c r="C15" s="46" t="n">
        <f aca="false">C6+C7+C8+C9+C10+C11+C12+C13+C14</f>
        <v>1602.3535</v>
      </c>
      <c r="D15" s="46" t="n">
        <f aca="false">D6+D7+D8+D9+D10+D11+D12+D13+D14</f>
        <v>1871.6602</v>
      </c>
      <c r="E15" s="46" t="n">
        <f aca="false">E6+E7+E8+E9+E10+E11+E12+E13+E14</f>
        <v>2381.9703</v>
      </c>
      <c r="F15" s="46" t="n">
        <f aca="false">F6+F7+F8+F9+F10+F11+F12+F13+F14</f>
        <v>2889.192</v>
      </c>
      <c r="G15" s="46" t="n">
        <f aca="false">G6+G7+G8+G9+G10+G11+G12+G13+G14</f>
        <v>2905.9054</v>
      </c>
      <c r="H15" s="46" t="n">
        <f aca="false">H6+H7+H8+H9+H10+H11+H12+H13+H14</f>
        <v>3811.6449</v>
      </c>
      <c r="I15" s="46" t="n">
        <f aca="false">I6+I7+I8+I9+I10+I11+I12+I13+I14</f>
        <v>4336.09295085476</v>
      </c>
      <c r="J15" s="46" t="n">
        <f aca="false">J6+J7+J8+J9+J10+J11+J12+J13+J14</f>
        <v>4866.13606427987</v>
      </c>
      <c r="K15" s="46" t="n">
        <f aca="false">K6+K7+K8+K9+K10+K11+K12+K13+K14</f>
        <v>6005.18857768419</v>
      </c>
      <c r="L15" s="46" t="n">
        <f aca="false">L6+L7+L8+L9+L10+L11+L12+L13+L14</f>
        <v>7390.80614021961</v>
      </c>
      <c r="M15" s="46" t="n">
        <f aca="false">M6+M7+M8+M9+M10+M11+M12+M13+M14</f>
        <v>8797.60207231707</v>
      </c>
    </row>
    <row r="16" customFormat="false" ht="15" hidden="false" customHeight="false" outlineLevel="0" collapsed="false">
      <c r="A16" s="30" t="s">
        <v>490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customFormat="false" ht="15" hidden="false" customHeight="false" outlineLevel="0" collapsed="false">
      <c r="A17" s="32" t="s">
        <v>491</v>
      </c>
      <c r="B17" s="37" t="s">
        <v>147</v>
      </c>
      <c r="C17" s="19" t="n">
        <v>0</v>
      </c>
      <c r="D17" s="19" t="n">
        <v>7.1281</v>
      </c>
      <c r="E17" s="19" t="n">
        <v>6.523</v>
      </c>
      <c r="F17" s="19" t="n">
        <v>6.1584</v>
      </c>
      <c r="G17" s="19" t="n">
        <v>5.6205</v>
      </c>
      <c r="H17" s="19" t="n">
        <v>11.14</v>
      </c>
      <c r="I17" s="44" t="n">
        <f aca="false">H17</f>
        <v>11.14</v>
      </c>
      <c r="J17" s="44" t="n">
        <f aca="false">I17</f>
        <v>11.14</v>
      </c>
      <c r="K17" s="44" t="n">
        <f aca="false">J17</f>
        <v>11.14</v>
      </c>
      <c r="L17" s="44" t="n">
        <f aca="false">K17</f>
        <v>11.14</v>
      </c>
      <c r="M17" s="44" t="n">
        <f aca="false">L17</f>
        <v>11.14</v>
      </c>
    </row>
    <row r="18" customFormat="false" ht="15" hidden="false" customHeight="false" outlineLevel="0" collapsed="false">
      <c r="A18" s="32" t="s">
        <v>417</v>
      </c>
      <c r="B18" s="37" t="s">
        <v>147</v>
      </c>
      <c r="C18" s="19" t="n">
        <v>0</v>
      </c>
      <c r="D18" s="19" t="n">
        <v>0</v>
      </c>
      <c r="E18" s="19" t="n">
        <v>0</v>
      </c>
      <c r="F18" s="19" t="n">
        <v>566.2206</v>
      </c>
      <c r="G18" s="19" t="n">
        <v>452.9046</v>
      </c>
      <c r="H18" s="19" t="n">
        <v>244.1042</v>
      </c>
      <c r="I18" s="45" t="n">
        <f aca="false">融资!I19</f>
        <v>170</v>
      </c>
      <c r="J18" s="45" t="n">
        <f aca="false">融资!J19</f>
        <v>170</v>
      </c>
      <c r="K18" s="45" t="n">
        <f aca="false">融资!K19</f>
        <v>170</v>
      </c>
      <c r="L18" s="45" t="n">
        <f aca="false">融资!L19</f>
        <v>170</v>
      </c>
      <c r="M18" s="45" t="n">
        <f aca="false">融资!M19</f>
        <v>170</v>
      </c>
    </row>
    <row r="19" customFormat="false" ht="15" hidden="false" customHeight="false" outlineLevel="0" collapsed="false">
      <c r="A19" s="32" t="s">
        <v>492</v>
      </c>
      <c r="B19" s="37" t="s">
        <v>147</v>
      </c>
      <c r="C19" s="19" t="n">
        <v>605.6634</v>
      </c>
      <c r="D19" s="19" t="n">
        <v>970.4833</v>
      </c>
      <c r="E19" s="19" t="n">
        <v>1343.0813</v>
      </c>
      <c r="F19" s="19" t="n">
        <v>1765.0717</v>
      </c>
      <c r="G19" s="19" t="n">
        <v>1863.2982</v>
      </c>
      <c r="H19" s="19" t="n">
        <v>2318.4985</v>
      </c>
      <c r="I19" s="45" t="n">
        <f aca="false">资本开支!I41</f>
        <v>2637.493820032</v>
      </c>
      <c r="J19" s="45" t="n">
        <f aca="false">资本开支!J41</f>
        <v>3180.48406889164</v>
      </c>
      <c r="K19" s="45" t="n">
        <f aca="false">资本开支!K41</f>
        <v>3708.54684957352</v>
      </c>
      <c r="L19" s="45" t="n">
        <f aca="false">资本开支!L41</f>
        <v>4041.36366104618</v>
      </c>
      <c r="M19" s="45" t="n">
        <f aca="false">资本开支!M41</f>
        <v>4255.18411555497</v>
      </c>
    </row>
    <row r="20" customFormat="false" ht="15" hidden="false" customHeight="false" outlineLevel="0" collapsed="false">
      <c r="A20" s="32" t="s">
        <v>493</v>
      </c>
      <c r="B20" s="37" t="s">
        <v>147</v>
      </c>
      <c r="C20" s="19" t="n">
        <v>118.3541</v>
      </c>
      <c r="D20" s="19" t="n">
        <v>57.9785</v>
      </c>
      <c r="E20" s="19" t="n">
        <v>179.4215</v>
      </c>
      <c r="F20" s="19" t="n">
        <v>134.2695</v>
      </c>
      <c r="G20" s="19" t="n">
        <v>265.7579</v>
      </c>
      <c r="H20" s="19" t="n">
        <v>207.0485</v>
      </c>
      <c r="I20" s="45" t="n">
        <f aca="false">资本开支!I29</f>
        <v>411.7225572</v>
      </c>
      <c r="J20" s="45" t="n">
        <f aca="false">资本开支!J29</f>
        <v>487.378937184</v>
      </c>
      <c r="K20" s="45" t="n">
        <f aca="false">资本开支!K29</f>
        <v>384.7014037566</v>
      </c>
      <c r="L20" s="45" t="n">
        <f aca="false">资本开支!L29</f>
        <v>273.579659591193</v>
      </c>
      <c r="M20" s="45" t="n">
        <f aca="false">资本开支!M29</f>
        <v>213.066506351217</v>
      </c>
    </row>
    <row r="21" customFormat="false" ht="15" hidden="false" customHeight="false" outlineLevel="0" collapsed="false">
      <c r="A21" s="32" t="s">
        <v>494</v>
      </c>
      <c r="B21" s="37" t="s">
        <v>147</v>
      </c>
      <c r="C21" s="19" t="n">
        <v>0</v>
      </c>
      <c r="D21" s="19" t="n">
        <v>8.6316</v>
      </c>
      <c r="E21" s="19" t="n">
        <v>6.7115</v>
      </c>
      <c r="F21" s="19" t="n">
        <v>16.6802</v>
      </c>
      <c r="G21" s="19" t="n">
        <v>12.538</v>
      </c>
      <c r="H21" s="19" t="n">
        <v>6.5047</v>
      </c>
      <c r="I21" s="44" t="n">
        <f aca="false">H21</f>
        <v>6.5047</v>
      </c>
      <c r="J21" s="44" t="n">
        <f aca="false">I21</f>
        <v>6.5047</v>
      </c>
      <c r="K21" s="44" t="n">
        <f aca="false">J21</f>
        <v>6.5047</v>
      </c>
      <c r="L21" s="44" t="n">
        <f aca="false">K21</f>
        <v>6.5047</v>
      </c>
      <c r="M21" s="44" t="n">
        <f aca="false">L21</f>
        <v>6.5047</v>
      </c>
    </row>
    <row r="22" customFormat="false" ht="15" hidden="false" customHeight="false" outlineLevel="0" collapsed="false">
      <c r="A22" s="32" t="s">
        <v>495</v>
      </c>
      <c r="B22" s="37" t="s">
        <v>147</v>
      </c>
      <c r="C22" s="19" t="n">
        <v>56.7116</v>
      </c>
      <c r="D22" s="19" t="n">
        <v>96.5509</v>
      </c>
      <c r="E22" s="19" t="n">
        <v>151.3484</v>
      </c>
      <c r="F22" s="19" t="n">
        <v>182.4975</v>
      </c>
      <c r="G22" s="19" t="n">
        <v>212.7828</v>
      </c>
      <c r="H22" s="19" t="n">
        <v>259.6477</v>
      </c>
      <c r="I22" s="45" t="n">
        <f aca="false">资本开支!I46</f>
        <v>278.875884</v>
      </c>
      <c r="J22" s="45" t="n">
        <f aca="false">资本开支!J46</f>
        <v>286.56581328</v>
      </c>
      <c r="K22" s="45" t="n">
        <f aca="false">资本开支!K46</f>
        <v>283.6405482176</v>
      </c>
      <c r="L22" s="45" t="n">
        <f aca="false">资本开支!L46</f>
        <v>280.949304360192</v>
      </c>
      <c r="M22" s="45" t="n">
        <f aca="false">资本开支!M46</f>
        <v>278.473360011377</v>
      </c>
    </row>
    <row r="23" customFormat="false" ht="15" hidden="false" customHeight="false" outlineLevel="0" collapsed="false">
      <c r="A23" s="32" t="s">
        <v>496</v>
      </c>
      <c r="B23" s="37" t="s">
        <v>147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44" t="n">
        <f aca="false">H23</f>
        <v>0</v>
      </c>
      <c r="J23" s="44" t="n">
        <f aca="false">I23</f>
        <v>0</v>
      </c>
      <c r="K23" s="44" t="n">
        <f aca="false">J23</f>
        <v>0</v>
      </c>
      <c r="L23" s="44" t="n">
        <f aca="false">K23</f>
        <v>0</v>
      </c>
      <c r="M23" s="44" t="n">
        <f aca="false">L23</f>
        <v>0</v>
      </c>
    </row>
    <row r="24" customFormat="false" ht="15" hidden="false" customHeight="false" outlineLevel="0" collapsed="false">
      <c r="A24" s="32" t="s">
        <v>497</v>
      </c>
      <c r="B24" s="37" t="s">
        <v>147</v>
      </c>
      <c r="C24" s="19" t="n">
        <v>100.0871</v>
      </c>
      <c r="D24" s="19" t="n">
        <v>122.2838</v>
      </c>
      <c r="E24" s="19" t="n">
        <v>122.2838</v>
      </c>
      <c r="F24" s="19" t="n">
        <v>122.2838</v>
      </c>
      <c r="G24" s="19" t="n">
        <v>122.2838</v>
      </c>
      <c r="H24" s="19" t="n">
        <v>122.2838</v>
      </c>
      <c r="I24" s="44" t="n">
        <f aca="false">H24</f>
        <v>122.2838</v>
      </c>
      <c r="J24" s="44" t="n">
        <f aca="false">I24</f>
        <v>122.2838</v>
      </c>
      <c r="K24" s="44" t="n">
        <f aca="false">J24</f>
        <v>122.2838</v>
      </c>
      <c r="L24" s="44" t="n">
        <f aca="false">K24</f>
        <v>122.2838</v>
      </c>
      <c r="M24" s="44" t="n">
        <f aca="false">L24</f>
        <v>122.2838</v>
      </c>
      <c r="N24" s="21" t="s">
        <v>498</v>
      </c>
    </row>
    <row r="25" customFormat="false" ht="15" hidden="false" customHeight="false" outlineLevel="0" collapsed="false">
      <c r="A25" s="32" t="s">
        <v>499</v>
      </c>
      <c r="B25" s="37" t="s">
        <v>147</v>
      </c>
      <c r="C25" s="19" t="n">
        <v>9.6909</v>
      </c>
      <c r="D25" s="19" t="n">
        <v>6.8636</v>
      </c>
      <c r="E25" s="19" t="n">
        <v>8.0646</v>
      </c>
      <c r="F25" s="19" t="n">
        <v>7.261</v>
      </c>
      <c r="G25" s="19" t="n">
        <v>20.1157</v>
      </c>
      <c r="H25" s="19" t="n">
        <v>29.6538</v>
      </c>
      <c r="I25" s="44" t="n">
        <f aca="false">H25</f>
        <v>29.6538</v>
      </c>
      <c r="J25" s="44" t="n">
        <f aca="false">I25</f>
        <v>29.6538</v>
      </c>
      <c r="K25" s="44" t="n">
        <f aca="false">J25</f>
        <v>29.6538</v>
      </c>
      <c r="L25" s="44" t="n">
        <f aca="false">K25</f>
        <v>29.6538</v>
      </c>
      <c r="M25" s="44" t="n">
        <f aca="false">L25</f>
        <v>29.6538</v>
      </c>
    </row>
    <row r="26" customFormat="false" ht="15" hidden="false" customHeight="false" outlineLevel="0" collapsed="false">
      <c r="A26" s="32" t="s">
        <v>500</v>
      </c>
      <c r="B26" s="37" t="s">
        <v>147</v>
      </c>
      <c r="C26" s="19" t="n">
        <v>13.5358</v>
      </c>
      <c r="D26" s="19" t="n">
        <v>16.0784</v>
      </c>
      <c r="E26" s="19" t="n">
        <v>52.5425</v>
      </c>
      <c r="F26" s="19" t="n">
        <v>54.3663</v>
      </c>
      <c r="G26" s="19" t="n">
        <v>73.2587</v>
      </c>
      <c r="H26" s="19" t="n">
        <v>118.5456</v>
      </c>
      <c r="I26" s="44" t="n">
        <f aca="false">H26</f>
        <v>118.5456</v>
      </c>
      <c r="J26" s="44" t="n">
        <f aca="false">I26</f>
        <v>118.5456</v>
      </c>
      <c r="K26" s="44" t="n">
        <f aca="false">J26</f>
        <v>118.5456</v>
      </c>
      <c r="L26" s="44" t="n">
        <f aca="false">K26</f>
        <v>118.5456</v>
      </c>
      <c r="M26" s="44" t="n">
        <f aca="false">L26</f>
        <v>118.5456</v>
      </c>
    </row>
    <row r="27" customFormat="false" ht="15" hidden="false" customHeight="false" outlineLevel="0" collapsed="false">
      <c r="A27" s="32" t="s">
        <v>501</v>
      </c>
      <c r="B27" s="37" t="s">
        <v>147</v>
      </c>
      <c r="C27" s="19" t="n">
        <v>0</v>
      </c>
      <c r="D27" s="19" t="n">
        <v>94.8278</v>
      </c>
      <c r="E27" s="19" t="n">
        <v>72.2078</v>
      </c>
      <c r="F27" s="19" t="n">
        <v>171.0122</v>
      </c>
      <c r="G27" s="19" t="n">
        <v>156.4585</v>
      </c>
      <c r="H27" s="19" t="n">
        <v>234.1026</v>
      </c>
      <c r="I27" s="45" t="n">
        <f aca="false">资本开支!I22</f>
        <v>406.212084</v>
      </c>
      <c r="J27" s="45" t="n">
        <f aca="false">资本开支!J22</f>
        <v>389.48729824</v>
      </c>
      <c r="K27" s="45" t="n">
        <f aca="false">资本开支!K22</f>
        <v>317.719367548</v>
      </c>
      <c r="L27" s="45" t="n">
        <f aca="false">资本开支!L22</f>
        <v>280.764601044048</v>
      </c>
      <c r="M27" s="45" t="n">
        <f aca="false">资本开支!M22</f>
        <v>305.58281391748</v>
      </c>
    </row>
    <row r="28" customFormat="false" ht="15" hidden="false" customHeight="false" outlineLevel="0" collapsed="false">
      <c r="A28" s="22" t="s">
        <v>502</v>
      </c>
      <c r="B28" s="37" t="s">
        <v>147</v>
      </c>
      <c r="C28" s="46" t="n">
        <f aca="false">C17+C18+C19+C20+C21+C22+C23+C24+C25+C26+C27</f>
        <v>904.0429</v>
      </c>
      <c r="D28" s="46" t="n">
        <f aca="false">D17+D18+D19+D20+D21+D22+D23+D24+D25+D26+D27</f>
        <v>1380.826</v>
      </c>
      <c r="E28" s="46" t="n">
        <f aca="false">E17+E18+E19+E20+E21+E22+E23+E24+E25+E26+E27</f>
        <v>1942.1844</v>
      </c>
      <c r="F28" s="46" t="n">
        <f aca="false">F17+F18+F19+F20+F21+F22+F23+F24+F25+F26+F27</f>
        <v>3025.8212</v>
      </c>
      <c r="G28" s="46" t="n">
        <f aca="false">G17+G18+G19+G20+G21+G22+G23+G24+G25+G26+G27</f>
        <v>3185.0187</v>
      </c>
      <c r="H28" s="46" t="n">
        <f aca="false">H17+H18+H19+H20+H21+H22+H23+H24+H25+H26+H27</f>
        <v>3551.5294</v>
      </c>
      <c r="I28" s="46" t="n">
        <f aca="false">I17+I18+I19+I20+I21+I22+I23+I24+I25+I26+I27</f>
        <v>4192.432245232</v>
      </c>
      <c r="J28" s="46" t="n">
        <f aca="false">J17+J18+J19+J20+J21+J22+J23+J24+J25+J26+J27</f>
        <v>4802.04401759564</v>
      </c>
      <c r="K28" s="46" t="n">
        <f aca="false">K17+K18+K19+K20+K21+K22+K23+K24+K25+K26+K27</f>
        <v>5152.73606909572</v>
      </c>
      <c r="L28" s="46" t="n">
        <f aca="false">L17+L18+L19+L20+L21+L22+L23+L24+L25+L26+L27</f>
        <v>5334.78512604161</v>
      </c>
      <c r="M28" s="46" t="n">
        <f aca="false">M17+M18+M19+M20+M21+M22+M23+M24+M25+M26+M27</f>
        <v>5510.43469583505</v>
      </c>
    </row>
    <row r="29" customFormat="false" ht="15" hidden="false" customHeight="false" outlineLevel="0" collapsed="false">
      <c r="A29" s="22" t="s">
        <v>503</v>
      </c>
      <c r="B29" s="37" t="s">
        <v>147</v>
      </c>
      <c r="C29" s="43" t="n">
        <f aca="false">C15+C28</f>
        <v>2506.3964</v>
      </c>
      <c r="D29" s="43" t="n">
        <f aca="false">D15+D28</f>
        <v>3252.4862</v>
      </c>
      <c r="E29" s="43" t="n">
        <f aca="false">E15+E28</f>
        <v>4324.1547</v>
      </c>
      <c r="F29" s="43" t="n">
        <f aca="false">F15+F28</f>
        <v>5915.0132</v>
      </c>
      <c r="G29" s="43" t="n">
        <f aca="false">G15+G28</f>
        <v>6090.9241</v>
      </c>
      <c r="H29" s="43" t="n">
        <f aca="false">H15+H28</f>
        <v>7363.1743</v>
      </c>
      <c r="I29" s="41" t="n">
        <f aca="false">I15+I28</f>
        <v>8528.52519608676</v>
      </c>
      <c r="J29" s="41" t="n">
        <f aca="false">J15+J28</f>
        <v>9668.18008187551</v>
      </c>
      <c r="K29" s="41" t="n">
        <f aca="false">K15+K28</f>
        <v>11157.9246467799</v>
      </c>
      <c r="L29" s="41" t="n">
        <f aca="false">L15+L28</f>
        <v>12725.5912662612</v>
      </c>
      <c r="M29" s="41" t="n">
        <f aca="false">M15+M28</f>
        <v>14308.0367681521</v>
      </c>
    </row>
    <row r="30" customFormat="false" ht="15" hidden="false" customHeight="false" outlineLevel="0" collapsed="false">
      <c r="A30" s="30" t="s">
        <v>504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customFormat="false" ht="15" hidden="false" customHeight="false" outlineLevel="0" collapsed="false">
      <c r="A31" s="32" t="s">
        <v>399</v>
      </c>
      <c r="B31" s="37" t="s">
        <v>147</v>
      </c>
      <c r="C31" s="19" t="n">
        <v>0</v>
      </c>
      <c r="D31" s="19" t="n">
        <v>0</v>
      </c>
      <c r="E31" s="19" t="n">
        <v>3</v>
      </c>
      <c r="F31" s="19" t="n">
        <v>142.9382</v>
      </c>
      <c r="G31" s="19" t="n">
        <v>117.4009</v>
      </c>
      <c r="H31" s="19" t="n">
        <v>195.6741</v>
      </c>
      <c r="I31" s="45" t="n">
        <f aca="false">融资!I6</f>
        <v>120</v>
      </c>
      <c r="J31" s="45" t="n">
        <f aca="false">融资!J6</f>
        <v>120</v>
      </c>
      <c r="K31" s="45" t="n">
        <f aca="false">融资!K6</f>
        <v>120</v>
      </c>
      <c r="L31" s="45" t="n">
        <f aca="false">融资!L6</f>
        <v>120</v>
      </c>
      <c r="M31" s="45" t="n">
        <f aca="false">融资!M6</f>
        <v>120</v>
      </c>
    </row>
    <row r="32" customFormat="false" ht="15" hidden="false" customHeight="false" outlineLevel="0" collapsed="false">
      <c r="A32" s="32" t="s">
        <v>339</v>
      </c>
      <c r="B32" s="37" t="s">
        <v>147</v>
      </c>
      <c r="C32" s="19" t="n">
        <v>112.9988</v>
      </c>
      <c r="D32" s="19" t="n">
        <v>112.4339</v>
      </c>
      <c r="E32" s="19" t="n">
        <v>133.3691</v>
      </c>
      <c r="F32" s="19" t="n">
        <v>317.3687</v>
      </c>
      <c r="G32" s="19" t="n">
        <v>165.1758</v>
      </c>
      <c r="H32" s="19" t="n">
        <v>201.7146</v>
      </c>
      <c r="I32" s="45" t="n">
        <f aca="false">营运资本!I28</f>
        <v>280.292352739726</v>
      </c>
      <c r="J32" s="45" t="n">
        <f aca="false">营运资本!J28</f>
        <v>359.141534465753</v>
      </c>
      <c r="K32" s="45" t="n">
        <f aca="false">营运资本!K28</f>
        <v>460.878739620822</v>
      </c>
      <c r="L32" s="45" t="n">
        <f aca="false">营运资本!L28</f>
        <v>551.148458401183</v>
      </c>
      <c r="M32" s="45" t="n">
        <f aca="false">营运资本!M28</f>
        <v>624.195621039139</v>
      </c>
    </row>
    <row r="33" customFormat="false" ht="15" hidden="false" customHeight="false" outlineLevel="0" collapsed="false">
      <c r="A33" s="32" t="s">
        <v>340</v>
      </c>
      <c r="B33" s="37" t="s">
        <v>147</v>
      </c>
      <c r="C33" s="19" t="n">
        <v>153.0441</v>
      </c>
      <c r="D33" s="19" t="n">
        <v>203.4393</v>
      </c>
      <c r="E33" s="19" t="n">
        <v>310.7521</v>
      </c>
      <c r="F33" s="19" t="n">
        <v>303.2132</v>
      </c>
      <c r="G33" s="19" t="n">
        <v>215.8137</v>
      </c>
      <c r="H33" s="19" t="n">
        <v>342.6115</v>
      </c>
      <c r="I33" s="45" t="n">
        <f aca="false">营运资本!I29</f>
        <v>411.095450684931</v>
      </c>
      <c r="J33" s="45" t="n">
        <f aca="false">营运资本!J29</f>
        <v>536.318024802192</v>
      </c>
      <c r="K33" s="45" t="n">
        <f aca="false">营运资本!K29</f>
        <v>688.245584500427</v>
      </c>
      <c r="L33" s="45" t="n">
        <f aca="false">营运资本!L29</f>
        <v>823.048364545767</v>
      </c>
      <c r="M33" s="45" t="n">
        <f aca="false">营运资本!M29</f>
        <v>932.132127418448</v>
      </c>
    </row>
    <row r="34" customFormat="false" ht="15" hidden="false" customHeight="false" outlineLevel="0" collapsed="false">
      <c r="A34" s="32" t="s">
        <v>505</v>
      </c>
      <c r="B34" s="37" t="s">
        <v>147</v>
      </c>
      <c r="C34" s="19" t="n">
        <v>0.0669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44" t="n">
        <f aca="false">H34</f>
        <v>0</v>
      </c>
      <c r="J34" s="44" t="n">
        <f aca="false">I34</f>
        <v>0</v>
      </c>
      <c r="K34" s="44" t="n">
        <f aca="false">J34</f>
        <v>0</v>
      </c>
      <c r="L34" s="44" t="n">
        <f aca="false">K34</f>
        <v>0</v>
      </c>
      <c r="M34" s="44" t="n">
        <f aca="false">L34</f>
        <v>0</v>
      </c>
    </row>
    <row r="35" customFormat="false" ht="15" hidden="false" customHeight="false" outlineLevel="0" collapsed="false">
      <c r="A35" s="32" t="s">
        <v>341</v>
      </c>
      <c r="B35" s="37" t="s">
        <v>147</v>
      </c>
      <c r="C35" s="19" t="n">
        <v>10.1313</v>
      </c>
      <c r="D35" s="19" t="n">
        <v>8.9468</v>
      </c>
      <c r="E35" s="19" t="n">
        <v>23.1784</v>
      </c>
      <c r="F35" s="19" t="n">
        <v>17.0223</v>
      </c>
      <c r="G35" s="19" t="n">
        <v>22.7053</v>
      </c>
      <c r="H35" s="19" t="n">
        <v>20.4294</v>
      </c>
      <c r="I35" s="45" t="n">
        <f aca="false">营运资本!I30</f>
        <v>30.0384328767123</v>
      </c>
      <c r="J35" s="45" t="n">
        <f aca="false">营运资本!J30</f>
        <v>38.4707522191781</v>
      </c>
      <c r="K35" s="45" t="n">
        <f aca="false">营运资本!K30</f>
        <v>48.4380096153425</v>
      </c>
      <c r="L35" s="45" t="n">
        <f aca="false">营运资本!L30</f>
        <v>56.3673977370082</v>
      </c>
      <c r="M35" s="45" t="n">
        <f aca="false">营运资本!M30</f>
        <v>62.4922292592116</v>
      </c>
    </row>
    <row r="36" customFormat="false" ht="15" hidden="false" customHeight="false" outlineLevel="0" collapsed="false">
      <c r="A36" s="32" t="s">
        <v>342</v>
      </c>
      <c r="B36" s="37" t="s">
        <v>147</v>
      </c>
      <c r="C36" s="19" t="n">
        <v>41.1022</v>
      </c>
      <c r="D36" s="19" t="n">
        <v>45.3797</v>
      </c>
      <c r="E36" s="19" t="n">
        <v>47.2096</v>
      </c>
      <c r="F36" s="19" t="n">
        <v>60.4693</v>
      </c>
      <c r="G36" s="19" t="n">
        <v>63.7831</v>
      </c>
      <c r="H36" s="19" t="n">
        <v>80.0895</v>
      </c>
      <c r="I36" s="45" t="n">
        <f aca="false">营运资本!I31</f>
        <v>105.134515068493</v>
      </c>
      <c r="J36" s="45" t="n">
        <f aca="false">营运资本!J31</f>
        <v>134.647632767123</v>
      </c>
      <c r="K36" s="45" t="n">
        <f aca="false">营运资本!K31</f>
        <v>169.533033653699</v>
      </c>
      <c r="L36" s="45" t="n">
        <f aca="false">营运资本!L31</f>
        <v>197.285892079529</v>
      </c>
      <c r="M36" s="45" t="n">
        <f aca="false">营运资本!M31</f>
        <v>218.722802407241</v>
      </c>
    </row>
    <row r="37" customFormat="false" ht="15" hidden="false" customHeight="false" outlineLevel="0" collapsed="false">
      <c r="A37" s="32" t="s">
        <v>343</v>
      </c>
      <c r="B37" s="37" t="s">
        <v>147</v>
      </c>
      <c r="C37" s="19" t="n">
        <v>24.0286</v>
      </c>
      <c r="D37" s="19" t="n">
        <v>34.3719</v>
      </c>
      <c r="E37" s="19" t="n">
        <v>48.8534</v>
      </c>
      <c r="F37" s="19" t="n">
        <v>49.7896</v>
      </c>
      <c r="G37" s="19" t="n">
        <v>22.5359</v>
      </c>
      <c r="H37" s="19" t="n">
        <v>75.014</v>
      </c>
      <c r="I37" s="45" t="n">
        <f aca="false">营运资本!I32</f>
        <v>82.6056904109589</v>
      </c>
      <c r="J37" s="45" t="n">
        <f aca="false">营运资本!J32</f>
        <v>105.79456860274</v>
      </c>
      <c r="K37" s="45" t="n">
        <f aca="false">营运资本!K32</f>
        <v>133.204526442192</v>
      </c>
      <c r="L37" s="45" t="n">
        <f aca="false">营运资本!L32</f>
        <v>155.010343776773</v>
      </c>
      <c r="M37" s="45" t="n">
        <f aca="false">营运资本!M32</f>
        <v>171.853630462832</v>
      </c>
    </row>
    <row r="38" customFormat="false" ht="15" hidden="false" customHeight="false" outlineLevel="0" collapsed="false">
      <c r="A38" s="32" t="s">
        <v>344</v>
      </c>
      <c r="B38" s="37" t="s">
        <v>147</v>
      </c>
      <c r="C38" s="19" t="n">
        <v>11.2502</v>
      </c>
      <c r="D38" s="19" t="n">
        <v>29.623</v>
      </c>
      <c r="E38" s="19" t="n">
        <v>28.006</v>
      </c>
      <c r="F38" s="19" t="n">
        <v>30.8399</v>
      </c>
      <c r="G38" s="19" t="n">
        <v>4.8616</v>
      </c>
      <c r="H38" s="19" t="n">
        <v>99.6528</v>
      </c>
      <c r="I38" s="45" t="n">
        <f aca="false">营运资本!I33</f>
        <v>105.134515068493</v>
      </c>
      <c r="J38" s="45" t="n">
        <f aca="false">营运资本!J33</f>
        <v>115.412256657534</v>
      </c>
      <c r="K38" s="45" t="n">
        <f aca="false">营运资本!K33</f>
        <v>145.314028846027</v>
      </c>
      <c r="L38" s="45" t="n">
        <f aca="false">营运资本!L33</f>
        <v>169.102193211025</v>
      </c>
      <c r="M38" s="45" t="n">
        <f aca="false">营运资本!M33</f>
        <v>187.476687777635</v>
      </c>
    </row>
    <row r="39" customFormat="false" ht="15" hidden="false" customHeight="false" outlineLevel="0" collapsed="false">
      <c r="A39" s="32" t="s">
        <v>400</v>
      </c>
      <c r="B39" s="37" t="s">
        <v>147</v>
      </c>
      <c r="C39" s="19" t="n">
        <v>0</v>
      </c>
      <c r="D39" s="19" t="n">
        <v>1.7833</v>
      </c>
      <c r="E39" s="19" t="n">
        <v>3.7349</v>
      </c>
      <c r="F39" s="19" t="n">
        <v>38.5681</v>
      </c>
      <c r="G39" s="19" t="n">
        <v>149.9592</v>
      </c>
      <c r="H39" s="19" t="n">
        <v>5.0356</v>
      </c>
      <c r="I39" s="45" t="n">
        <f aca="false">融资!I7</f>
        <v>152</v>
      </c>
      <c r="J39" s="45" t="n">
        <f aca="false">融资!J7</f>
        <v>50</v>
      </c>
      <c r="K39" s="45" t="n">
        <f aca="false">融资!K7</f>
        <v>50</v>
      </c>
      <c r="L39" s="45" t="n">
        <f aca="false">融资!L7</f>
        <v>50</v>
      </c>
      <c r="M39" s="45" t="n">
        <f aca="false">融资!M7</f>
        <v>50</v>
      </c>
    </row>
    <row r="40" customFormat="false" ht="15" hidden="false" customHeight="false" outlineLevel="0" collapsed="false">
      <c r="A40" s="32" t="s">
        <v>506</v>
      </c>
      <c r="B40" s="37" t="s">
        <v>147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45" t="n">
        <f aca="false">融资!I12</f>
        <v>0</v>
      </c>
      <c r="J40" s="45" t="n">
        <f aca="false">融资!J12</f>
        <v>0</v>
      </c>
      <c r="K40" s="45" t="n">
        <f aca="false">融资!K12</f>
        <v>0</v>
      </c>
      <c r="L40" s="45" t="n">
        <f aca="false">融资!L12</f>
        <v>0</v>
      </c>
      <c r="M40" s="45" t="n">
        <f aca="false">融资!M12</f>
        <v>0</v>
      </c>
      <c r="N40" s="21" t="s">
        <v>507</v>
      </c>
    </row>
    <row r="41" customFormat="false" ht="15" hidden="false" customHeight="false" outlineLevel="0" collapsed="false">
      <c r="A41" s="32" t="s">
        <v>345</v>
      </c>
      <c r="B41" s="37" t="s">
        <v>147</v>
      </c>
      <c r="C41" s="19" t="n">
        <v>2.8393</v>
      </c>
      <c r="D41" s="19" t="n">
        <v>56.4239</v>
      </c>
      <c r="E41" s="19" t="n">
        <v>52.0426</v>
      </c>
      <c r="F41" s="19" t="n">
        <v>94.6658</v>
      </c>
      <c r="G41" s="19" t="n">
        <v>68.7663</v>
      </c>
      <c r="H41" s="19" t="n">
        <v>88.2123</v>
      </c>
      <c r="I41" s="45" t="n">
        <f aca="false">营运资本!I34</f>
        <v>120.153731506849</v>
      </c>
      <c r="J41" s="45" t="n">
        <f aca="false">营运资本!J34</f>
        <v>153.883008876712</v>
      </c>
      <c r="K41" s="45" t="n">
        <f aca="false">营运资本!K34</f>
        <v>193.75203846137</v>
      </c>
      <c r="L41" s="45" t="n">
        <f aca="false">营运资本!L34</f>
        <v>225.469590948033</v>
      </c>
      <c r="M41" s="45" t="n">
        <f aca="false">营运资本!M34</f>
        <v>249.968917036847</v>
      </c>
    </row>
    <row r="42" customFormat="false" ht="15" hidden="false" customHeight="false" outlineLevel="0" collapsed="false">
      <c r="A42" s="22" t="s">
        <v>508</v>
      </c>
      <c r="B42" s="37" t="s">
        <v>147</v>
      </c>
      <c r="C42" s="46" t="n">
        <f aca="false">C31+C32+C33+C34+C35+C36+C37+C38+C39+C40+C41</f>
        <v>355.4614</v>
      </c>
      <c r="D42" s="46" t="n">
        <f aca="false">D31+D32+D33+D34+D35+D36+D37+D38+D39+D40+D41</f>
        <v>492.4018</v>
      </c>
      <c r="E42" s="46" t="n">
        <f aca="false">E31+E32+E33+E34+E35+E36+E37+E38+E39+E40+E41</f>
        <v>650.1461</v>
      </c>
      <c r="F42" s="46" t="n">
        <f aca="false">F31+F32+F33+F34+F35+F36+F37+F38+F39+F40+F41</f>
        <v>1054.8751</v>
      </c>
      <c r="G42" s="46" t="n">
        <f aca="false">G31+G32+G33+G34+G35+G36+G37+G38+G39+G40+G41</f>
        <v>831.0018</v>
      </c>
      <c r="H42" s="46" t="n">
        <f aca="false">H31+H32+H33+H34+H35+H36+H37+H38+H39+H40+H41</f>
        <v>1108.4338</v>
      </c>
      <c r="I42" s="46" t="n">
        <f aca="false">I31+I32+I33+I34+I35+I36+I37+I38+I39+I40+I41</f>
        <v>1406.45468835616</v>
      </c>
      <c r="J42" s="46" t="n">
        <f aca="false">J31+J32+J33+J34+J35+J36+J37+J38+J39+J40+J41</f>
        <v>1613.66777839123</v>
      </c>
      <c r="K42" s="46" t="n">
        <f aca="false">K31+K32+K33+K34+K35+K36+K37+K38+K39+K40+K41</f>
        <v>2009.36596113988</v>
      </c>
      <c r="L42" s="46" t="n">
        <f aca="false">L31+L32+L33+L34+L35+L36+L37+L38+L39+L40+L41</f>
        <v>2347.43224069932</v>
      </c>
      <c r="M42" s="46" t="n">
        <f aca="false">M31+M32+M33+M34+M35+M36+M37+M38+M39+M40+M41</f>
        <v>2616.84201540135</v>
      </c>
    </row>
    <row r="43" customFormat="false" ht="15" hidden="false" customHeight="false" outlineLevel="0" collapsed="false">
      <c r="A43" s="30" t="s">
        <v>509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15" hidden="false" customHeight="false" outlineLevel="0" collapsed="false">
      <c r="A44" s="32" t="s">
        <v>401</v>
      </c>
      <c r="B44" s="37" t="s">
        <v>147</v>
      </c>
      <c r="C44" s="19" t="n">
        <v>0</v>
      </c>
      <c r="D44" s="19" t="n">
        <v>0</v>
      </c>
      <c r="E44" s="19" t="n">
        <v>32.9718</v>
      </c>
      <c r="F44" s="19" t="n">
        <v>113.5195</v>
      </c>
      <c r="G44" s="19" t="n">
        <v>69.012</v>
      </c>
      <c r="H44" s="19" t="n">
        <v>148.5</v>
      </c>
      <c r="I44" s="45" t="n">
        <f aca="false">融资!I8</f>
        <v>29</v>
      </c>
      <c r="J44" s="45" t="n">
        <f aca="false">融资!J8</f>
        <v>80</v>
      </c>
      <c r="K44" s="45" t="n">
        <f aca="false">融资!K8</f>
        <v>80</v>
      </c>
      <c r="L44" s="45" t="n">
        <f aca="false">融资!L8</f>
        <v>80</v>
      </c>
      <c r="M44" s="45" t="n">
        <f aca="false">融资!M8</f>
        <v>80</v>
      </c>
    </row>
    <row r="45" customFormat="false" ht="15" hidden="false" customHeight="false" outlineLevel="0" collapsed="false">
      <c r="A45" s="32" t="s">
        <v>510</v>
      </c>
      <c r="B45" s="37" t="s">
        <v>147</v>
      </c>
      <c r="C45" s="19" t="n">
        <v>0</v>
      </c>
      <c r="D45" s="19" t="n">
        <v>5.997</v>
      </c>
      <c r="E45" s="19" t="n">
        <v>4.3074</v>
      </c>
      <c r="F45" s="19" t="n">
        <v>8.8391</v>
      </c>
      <c r="G45" s="19" t="n">
        <v>5.0976</v>
      </c>
      <c r="H45" s="19" t="n">
        <v>1.8259</v>
      </c>
      <c r="I45" s="44" t="n">
        <f aca="false">H45</f>
        <v>1.8259</v>
      </c>
      <c r="J45" s="44" t="n">
        <f aca="false">I45</f>
        <v>1.8259</v>
      </c>
      <c r="K45" s="44" t="n">
        <f aca="false">J45</f>
        <v>1.8259</v>
      </c>
      <c r="L45" s="44" t="n">
        <f aca="false">K45</f>
        <v>1.8259</v>
      </c>
      <c r="M45" s="44" t="n">
        <f aca="false">L45</f>
        <v>1.8259</v>
      </c>
    </row>
    <row r="46" customFormat="false" ht="15" hidden="false" customHeight="false" outlineLevel="0" collapsed="false">
      <c r="A46" s="32" t="s">
        <v>511</v>
      </c>
      <c r="B46" s="37" t="s">
        <v>147</v>
      </c>
      <c r="C46" s="19" t="n">
        <v>25.34</v>
      </c>
      <c r="D46" s="19" t="n">
        <v>27.4</v>
      </c>
      <c r="E46" s="19" t="n">
        <v>27.4</v>
      </c>
      <c r="F46" s="19" t="n">
        <v>10</v>
      </c>
      <c r="G46" s="19" t="n">
        <v>10</v>
      </c>
      <c r="H46" s="19" t="n">
        <v>10</v>
      </c>
      <c r="I46" s="44" t="n">
        <f aca="false">H46</f>
        <v>10</v>
      </c>
      <c r="J46" s="44" t="n">
        <f aca="false">I46</f>
        <v>10</v>
      </c>
      <c r="K46" s="44" t="n">
        <f aca="false">J46</f>
        <v>10</v>
      </c>
      <c r="L46" s="44" t="n">
        <f aca="false">K46</f>
        <v>10</v>
      </c>
      <c r="M46" s="44" t="n">
        <f aca="false">L46</f>
        <v>10</v>
      </c>
    </row>
    <row r="47" customFormat="false" ht="15" hidden="false" customHeight="false" outlineLevel="0" collapsed="false">
      <c r="A47" s="32" t="s">
        <v>512</v>
      </c>
      <c r="B47" s="37" t="s">
        <v>147</v>
      </c>
      <c r="C47" s="19" t="n">
        <v>22.3126</v>
      </c>
      <c r="D47" s="19" t="n">
        <v>41.8922</v>
      </c>
      <c r="E47" s="19" t="n">
        <v>70.0443</v>
      </c>
      <c r="F47" s="19" t="n">
        <v>67.81</v>
      </c>
      <c r="G47" s="19" t="n">
        <v>67.8076</v>
      </c>
      <c r="H47" s="19" t="n">
        <v>73.7869</v>
      </c>
      <c r="I47" s="44" t="n">
        <f aca="false">H47</f>
        <v>73.7869</v>
      </c>
      <c r="J47" s="44" t="n">
        <f aca="false">I47</f>
        <v>73.7869</v>
      </c>
      <c r="K47" s="44" t="n">
        <f aca="false">J47</f>
        <v>73.7869</v>
      </c>
      <c r="L47" s="44" t="n">
        <f aca="false">K47</f>
        <v>73.7869</v>
      </c>
      <c r="M47" s="44" t="n">
        <f aca="false">L47</f>
        <v>73.7869</v>
      </c>
    </row>
    <row r="48" customFormat="false" ht="15" hidden="false" customHeight="false" outlineLevel="0" collapsed="false">
      <c r="A48" s="32" t="s">
        <v>513</v>
      </c>
      <c r="B48" s="37" t="s">
        <v>147</v>
      </c>
      <c r="C48" s="19" t="n">
        <v>14.867</v>
      </c>
      <c r="D48" s="19" t="n">
        <v>25.089</v>
      </c>
      <c r="E48" s="19" t="n">
        <v>61.0924</v>
      </c>
      <c r="F48" s="19" t="n">
        <v>158.7179</v>
      </c>
      <c r="G48" s="19" t="n">
        <v>160.8174</v>
      </c>
      <c r="H48" s="19" t="n">
        <v>231.2201</v>
      </c>
      <c r="I48" s="44" t="n">
        <f aca="false">H48</f>
        <v>231.2201</v>
      </c>
      <c r="J48" s="44" t="n">
        <f aca="false">I48</f>
        <v>231.2201</v>
      </c>
      <c r="K48" s="44" t="n">
        <f aca="false">J48</f>
        <v>231.2201</v>
      </c>
      <c r="L48" s="44" t="n">
        <f aca="false">K48</f>
        <v>231.2201</v>
      </c>
      <c r="M48" s="44" t="n">
        <f aca="false">L48</f>
        <v>231.2201</v>
      </c>
      <c r="N48" s="21" t="s">
        <v>514</v>
      </c>
    </row>
    <row r="49" customFormat="false" ht="15" hidden="false" customHeight="false" outlineLevel="0" collapsed="false">
      <c r="A49" s="32" t="s">
        <v>515</v>
      </c>
      <c r="B49" s="37" t="s">
        <v>147</v>
      </c>
      <c r="C49" s="19" t="n">
        <v>0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44" t="n">
        <f aca="false">H49</f>
        <v>0</v>
      </c>
      <c r="J49" s="44" t="n">
        <f aca="false">I49</f>
        <v>0</v>
      </c>
      <c r="K49" s="44" t="n">
        <f aca="false">J49</f>
        <v>0</v>
      </c>
      <c r="L49" s="44" t="n">
        <f aca="false">K49</f>
        <v>0</v>
      </c>
      <c r="M49" s="44" t="n">
        <f aca="false">L49</f>
        <v>0</v>
      </c>
    </row>
    <row r="50" customFormat="false" ht="15" hidden="false" customHeight="false" outlineLevel="0" collapsed="false">
      <c r="A50" s="22" t="s">
        <v>516</v>
      </c>
      <c r="B50" s="37" t="s">
        <v>147</v>
      </c>
      <c r="C50" s="46" t="n">
        <f aca="false">C44+C45+C46+C47+C48+C49</f>
        <v>62.5196</v>
      </c>
      <c r="D50" s="46" t="n">
        <f aca="false">D44+D45+D46+D47+D48+D49</f>
        <v>100.3782</v>
      </c>
      <c r="E50" s="46" t="n">
        <f aca="false">E44+E45+E46+E47+E48+E49</f>
        <v>195.8159</v>
      </c>
      <c r="F50" s="46" t="n">
        <f aca="false">F44+F45+F46+F47+F48+F49</f>
        <v>358.8865</v>
      </c>
      <c r="G50" s="46" t="n">
        <f aca="false">G44+G45+G46+G47+G48+G49</f>
        <v>312.7346</v>
      </c>
      <c r="H50" s="46" t="n">
        <f aca="false">H44+H45+H46+H47+H48+H49</f>
        <v>465.3329</v>
      </c>
      <c r="I50" s="46" t="n">
        <f aca="false">I44+I45+I46+I47+I48+I49</f>
        <v>345.8329</v>
      </c>
      <c r="J50" s="46" t="n">
        <f aca="false">J44+J45+J46+J47+J48+J49</f>
        <v>396.8329</v>
      </c>
      <c r="K50" s="46" t="n">
        <f aca="false">K44+K45+K46+K47+K48+K49</f>
        <v>396.8329</v>
      </c>
      <c r="L50" s="46" t="n">
        <f aca="false">L44+L45+L46+L47+L48+L49</f>
        <v>396.8329</v>
      </c>
      <c r="M50" s="46" t="n">
        <f aca="false">M44+M45+M46+M47+M48+M49</f>
        <v>396.8329</v>
      </c>
    </row>
    <row r="51" customFormat="false" ht="15" hidden="false" customHeight="false" outlineLevel="0" collapsed="false">
      <c r="A51" s="22" t="s">
        <v>517</v>
      </c>
      <c r="B51" s="37" t="s">
        <v>147</v>
      </c>
      <c r="C51" s="46" t="n">
        <f aca="false">C42+C50</f>
        <v>417.981</v>
      </c>
      <c r="D51" s="46" t="n">
        <f aca="false">D42+D50</f>
        <v>592.78</v>
      </c>
      <c r="E51" s="46" t="n">
        <f aca="false">E42+E50</f>
        <v>845.962</v>
      </c>
      <c r="F51" s="46" t="n">
        <f aca="false">F42+F50</f>
        <v>1413.7616</v>
      </c>
      <c r="G51" s="46" t="n">
        <f aca="false">G42+G50</f>
        <v>1143.7364</v>
      </c>
      <c r="H51" s="46" t="n">
        <f aca="false">H42+H50</f>
        <v>1573.7667</v>
      </c>
      <c r="I51" s="46" t="n">
        <f aca="false">I42+I50</f>
        <v>1752.28758835616</v>
      </c>
      <c r="J51" s="46" t="n">
        <f aca="false">J42+J50</f>
        <v>2010.50067839123</v>
      </c>
      <c r="K51" s="46" t="n">
        <f aca="false">K42+K50</f>
        <v>2406.19886113988</v>
      </c>
      <c r="L51" s="46" t="n">
        <f aca="false">L42+L50</f>
        <v>2744.26514069932</v>
      </c>
      <c r="M51" s="46" t="n">
        <f aca="false">M42+M50</f>
        <v>3013.67491540135</v>
      </c>
    </row>
    <row r="52" customFormat="false" ht="15" hidden="false" customHeight="false" outlineLevel="0" collapsed="false">
      <c r="A52" s="30" t="s">
        <v>518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customFormat="false" ht="15" hidden="false" customHeight="false" outlineLevel="0" collapsed="false">
      <c r="A53" s="32" t="s">
        <v>519</v>
      </c>
      <c r="B53" s="37" t="s">
        <v>147</v>
      </c>
      <c r="C53" s="19" t="n">
        <v>337.9488</v>
      </c>
      <c r="D53" s="19" t="n">
        <v>337.9488</v>
      </c>
      <c r="E53" s="19" t="n">
        <v>506.9233</v>
      </c>
      <c r="F53" s="19" t="n">
        <v>519.823</v>
      </c>
      <c r="G53" s="19" t="n">
        <v>522.2677</v>
      </c>
      <c r="H53" s="19" t="n">
        <v>522.2677</v>
      </c>
      <c r="I53" s="44" t="n">
        <f aca="false">H53+融资!I24</f>
        <v>525.7277</v>
      </c>
      <c r="J53" s="44" t="n">
        <f aca="false">I53+融资!J24</f>
        <v>526.6087</v>
      </c>
      <c r="K53" s="44" t="n">
        <f aca="false">J53+融资!K24</f>
        <v>527.4897</v>
      </c>
      <c r="L53" s="44" t="n">
        <f aca="false">K53+融资!L24</f>
        <v>528.8117</v>
      </c>
      <c r="M53" s="44" t="n">
        <f aca="false">L53+融资!M24</f>
        <v>530.1337</v>
      </c>
    </row>
    <row r="54" customFormat="false" ht="15" hidden="false" customHeight="false" outlineLevel="0" collapsed="false">
      <c r="A54" s="32" t="s">
        <v>520</v>
      </c>
      <c r="B54" s="37" t="s">
        <v>147</v>
      </c>
      <c r="C54" s="19" t="n">
        <v>824.6386</v>
      </c>
      <c r="D54" s="19" t="n">
        <v>888.348</v>
      </c>
      <c r="E54" s="19" t="n">
        <v>851.8325</v>
      </c>
      <c r="F54" s="19" t="n">
        <v>1313.2825</v>
      </c>
      <c r="G54" s="19" t="n">
        <v>1364.2454</v>
      </c>
      <c r="H54" s="19" t="n">
        <v>1500.4491</v>
      </c>
      <c r="I54" s="44" t="n">
        <f aca="false">H54+融资!I25-融资!I24+融资!I26</f>
        <v>1856.9891</v>
      </c>
      <c r="J54" s="44" t="n">
        <f aca="false">I54+融资!J25-融资!J24+融资!J26</f>
        <v>2008.6081</v>
      </c>
      <c r="K54" s="44" t="n">
        <f aca="false">J54+融资!K25-融资!K24+融资!K26</f>
        <v>2104.2271</v>
      </c>
      <c r="L54" s="44" t="n">
        <f aca="false">K54+融资!L25-融资!L24+融资!L26</f>
        <v>2189.7051</v>
      </c>
      <c r="M54" s="44" t="n">
        <f aca="false">L54+融资!M25-融资!M24+融资!M26</f>
        <v>2259.1831</v>
      </c>
    </row>
    <row r="55" customFormat="false" ht="15" hidden="false" customHeight="false" outlineLevel="0" collapsed="false">
      <c r="A55" s="32" t="s">
        <v>521</v>
      </c>
      <c r="B55" s="37" t="s">
        <v>147</v>
      </c>
      <c r="C55" s="19" t="n">
        <v>9.3132</v>
      </c>
      <c r="D55" s="19" t="n">
        <v>0</v>
      </c>
      <c r="E55" s="19" t="n">
        <v>0</v>
      </c>
      <c r="F55" s="19" t="n">
        <v>0</v>
      </c>
      <c r="G55" s="19" t="n">
        <v>50.1012</v>
      </c>
      <c r="H55" s="19" t="n">
        <v>63.1199</v>
      </c>
      <c r="I55" s="44" t="n">
        <f aca="false">H55+融资!I27</f>
        <v>63.1199</v>
      </c>
      <c r="J55" s="44" t="n">
        <f aca="false">I55+融资!J27</f>
        <v>63.1199</v>
      </c>
      <c r="K55" s="44" t="n">
        <f aca="false">J55+融资!K27</f>
        <v>63.1199</v>
      </c>
      <c r="L55" s="44" t="n">
        <f aca="false">K55+融资!L27</f>
        <v>63.1199</v>
      </c>
      <c r="M55" s="44" t="n">
        <f aca="false">L55+融资!M27</f>
        <v>63.1199</v>
      </c>
    </row>
    <row r="56" customFormat="false" ht="15" hidden="false" customHeight="false" outlineLevel="0" collapsed="false">
      <c r="A56" s="32" t="s">
        <v>522</v>
      </c>
      <c r="B56" s="37" t="s">
        <v>147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44" t="n">
        <f aca="false">H56</f>
        <v>0</v>
      </c>
      <c r="J56" s="44" t="n">
        <f aca="false">I56</f>
        <v>0</v>
      </c>
      <c r="K56" s="44" t="n">
        <f aca="false">J56</f>
        <v>0</v>
      </c>
      <c r="L56" s="44" t="n">
        <f aca="false">K56</f>
        <v>0</v>
      </c>
      <c r="M56" s="44" t="n">
        <f aca="false">L56</f>
        <v>0</v>
      </c>
    </row>
    <row r="57" customFormat="false" ht="15" hidden="false" customHeight="false" outlineLevel="0" collapsed="false">
      <c r="A57" s="32" t="s">
        <v>523</v>
      </c>
      <c r="B57" s="37" t="s">
        <v>147</v>
      </c>
      <c r="C57" s="19" t="n">
        <v>110.6807</v>
      </c>
      <c r="D57" s="19" t="n">
        <v>142.4882</v>
      </c>
      <c r="E57" s="19" t="n">
        <v>182.4929</v>
      </c>
      <c r="F57" s="19" t="n">
        <v>225.0746</v>
      </c>
      <c r="G57" s="19" t="n">
        <v>248.5049</v>
      </c>
      <c r="H57" s="19" t="n">
        <v>261.1338</v>
      </c>
      <c r="I57" s="44" t="n">
        <f aca="false">H57</f>
        <v>261.1338</v>
      </c>
      <c r="J57" s="44" t="n">
        <f aca="false">I57</f>
        <v>261.1338</v>
      </c>
      <c r="K57" s="44" t="n">
        <f aca="false">J57</f>
        <v>261.1338</v>
      </c>
      <c r="L57" s="44" t="n">
        <f aca="false">K57</f>
        <v>261.1338</v>
      </c>
      <c r="M57" s="44" t="n">
        <f aca="false">L57</f>
        <v>261.1338</v>
      </c>
      <c r="N57" s="21" t="s">
        <v>524</v>
      </c>
    </row>
    <row r="58" customFormat="false" ht="15" hidden="false" customHeight="false" outlineLevel="0" collapsed="false">
      <c r="A58" s="32" t="s">
        <v>525</v>
      </c>
      <c r="B58" s="37" t="s">
        <v>147</v>
      </c>
      <c r="C58" s="19" t="n">
        <v>816.636</v>
      </c>
      <c r="D58" s="19" t="n">
        <v>1094.1181</v>
      </c>
      <c r="E58" s="19" t="n">
        <v>1465.1238</v>
      </c>
      <c r="F58" s="19" t="n">
        <v>1862.1697</v>
      </c>
      <c r="G58" s="19" t="n">
        <v>2043.9144</v>
      </c>
      <c r="H58" s="19" t="n">
        <v>2406.792</v>
      </c>
      <c r="I58" s="44" t="n">
        <f aca="false">H58+利润表!I27-融资!I32</f>
        <v>2935.36908453426</v>
      </c>
      <c r="J58" s="44" t="n">
        <f aca="false">I58+利润表!J27-融资!J32</f>
        <v>3550.66151962245</v>
      </c>
      <c r="K58" s="44" t="n">
        <f aca="false">J58+利润表!K27-融资!K32</f>
        <v>4350.12328664797</v>
      </c>
      <c r="L58" s="44" t="n">
        <f aca="false">K58+利润表!L27-融资!L32</f>
        <v>5248.21002402615</v>
      </c>
      <c r="M58" s="44" t="n">
        <f aca="false">L58+利润表!M27-融资!M32</f>
        <v>6211.14921148783</v>
      </c>
    </row>
    <row r="59" customFormat="false" ht="15" hidden="false" customHeight="false" outlineLevel="0" collapsed="false">
      <c r="A59" s="22" t="s">
        <v>526</v>
      </c>
      <c r="B59" s="37" t="s">
        <v>147</v>
      </c>
      <c r="C59" s="46" t="n">
        <f aca="false">C53+C54-C55+C56+C57+C58</f>
        <v>2080.5909</v>
      </c>
      <c r="D59" s="46" t="n">
        <f aca="false">D53+D54-D55+D56+D57+D58</f>
        <v>2462.9031</v>
      </c>
      <c r="E59" s="46" t="n">
        <f aca="false">E53+E54-E55+E56+E57+E58</f>
        <v>3006.3725</v>
      </c>
      <c r="F59" s="46" t="n">
        <f aca="false">F53+F54-F55+F56+F57+F58</f>
        <v>3920.3498</v>
      </c>
      <c r="G59" s="46" t="n">
        <f aca="false">G53+G54-G55+G56+G57+G58</f>
        <v>4128.8312</v>
      </c>
      <c r="H59" s="46" t="n">
        <f aca="false">H53+H54-H55+H56+H57+H58</f>
        <v>4627.5227</v>
      </c>
      <c r="I59" s="46" t="n">
        <f aca="false">I53+I54-I55+I56+I57+I58</f>
        <v>5516.09978453426</v>
      </c>
      <c r="J59" s="46" t="n">
        <f aca="false">J53+J54-J55+J56+J57+J58</f>
        <v>6283.89221962245</v>
      </c>
      <c r="K59" s="46" t="n">
        <f aca="false">K53+K54-K55+K56+K57+K58</f>
        <v>7179.85398664797</v>
      </c>
      <c r="L59" s="46" t="n">
        <f aca="false">L53+L54-L55+L56+L57+L58</f>
        <v>8164.74072402616</v>
      </c>
      <c r="M59" s="46" t="n">
        <f aca="false">M53+M54-M55+M56+M57+M58</f>
        <v>9198.47991148782</v>
      </c>
    </row>
    <row r="60" customFormat="false" ht="15" hidden="false" customHeight="false" outlineLevel="0" collapsed="false">
      <c r="A60" s="25" t="s">
        <v>527</v>
      </c>
      <c r="B60" s="37" t="s">
        <v>147</v>
      </c>
      <c r="C60" s="19" t="n">
        <v>7.8242</v>
      </c>
      <c r="D60" s="19" t="n">
        <v>196.8032</v>
      </c>
      <c r="E60" s="19" t="n">
        <v>471.8202</v>
      </c>
      <c r="F60" s="19" t="n">
        <v>580.9015</v>
      </c>
      <c r="G60" s="19" t="n">
        <v>818.3565</v>
      </c>
      <c r="H60" s="19" t="n">
        <v>1161.885</v>
      </c>
      <c r="I60" s="44" t="n">
        <f aca="false">H60+利润表!I26+融资!I35-融资!I36</f>
        <v>1260.13792319634</v>
      </c>
      <c r="J60" s="44" t="n">
        <f aca="false">I60+利润表!J26+融资!J35-融资!J36</f>
        <v>1373.78728386183</v>
      </c>
      <c r="K60" s="44" t="n">
        <f aca="false">J60+利润表!K26+融资!K35-融资!K36</f>
        <v>1571.87189899206</v>
      </c>
      <c r="L60" s="44" t="n">
        <f aca="false">K60+利润表!L26+融资!L35-融资!L36</f>
        <v>1816.58550153575</v>
      </c>
      <c r="M60" s="44" t="n">
        <f aca="false">L60+利润表!M26+融资!M35-融资!M36</f>
        <v>2095.88204126294</v>
      </c>
    </row>
    <row r="61" customFormat="false" ht="15" hidden="false" customHeight="false" outlineLevel="0" collapsed="false">
      <c r="A61" s="22" t="s">
        <v>528</v>
      </c>
      <c r="B61" s="37" t="s">
        <v>147</v>
      </c>
      <c r="C61" s="46" t="n">
        <f aca="false">C59+C60</f>
        <v>2088.4151</v>
      </c>
      <c r="D61" s="46" t="n">
        <f aca="false">D59+D60</f>
        <v>2659.7063</v>
      </c>
      <c r="E61" s="46" t="n">
        <f aca="false">E59+E60</f>
        <v>3478.1927</v>
      </c>
      <c r="F61" s="46" t="n">
        <f aca="false">F59+F60</f>
        <v>4501.2513</v>
      </c>
      <c r="G61" s="46" t="n">
        <f aca="false">G59+G60</f>
        <v>4947.1877</v>
      </c>
      <c r="H61" s="46" t="n">
        <f aca="false">H59+H60</f>
        <v>5789.4077</v>
      </c>
      <c r="I61" s="46" t="n">
        <f aca="false">I59+I60</f>
        <v>6776.2377077306</v>
      </c>
      <c r="J61" s="46" t="n">
        <f aca="false">J59+J60</f>
        <v>7657.67950348428</v>
      </c>
      <c r="K61" s="46" t="n">
        <f aca="false">K59+K60</f>
        <v>8751.72588564003</v>
      </c>
      <c r="L61" s="46" t="n">
        <f aca="false">L59+L60</f>
        <v>9981.3262255619</v>
      </c>
      <c r="M61" s="46" t="n">
        <f aca="false">M59+M60</f>
        <v>11294.3619527508</v>
      </c>
    </row>
    <row r="62" customFormat="false" ht="15" hidden="false" customHeight="false" outlineLevel="0" collapsed="false">
      <c r="A62" s="22" t="s">
        <v>529</v>
      </c>
      <c r="B62" s="37" t="s">
        <v>147</v>
      </c>
      <c r="C62" s="43" t="n">
        <f aca="false">C51+C61</f>
        <v>2506.3961</v>
      </c>
      <c r="D62" s="43" t="n">
        <f aca="false">D51+D61</f>
        <v>3252.4863</v>
      </c>
      <c r="E62" s="43" t="n">
        <f aca="false">E51+E61</f>
        <v>4324.1547</v>
      </c>
      <c r="F62" s="43" t="n">
        <f aca="false">F51+F61</f>
        <v>5915.0129</v>
      </c>
      <c r="G62" s="43" t="n">
        <f aca="false">G51+G61</f>
        <v>6090.9241</v>
      </c>
      <c r="H62" s="43" t="n">
        <f aca="false">H51+H61</f>
        <v>7363.1744</v>
      </c>
      <c r="I62" s="41" t="n">
        <f aca="false">I51+I61</f>
        <v>8528.52529608676</v>
      </c>
      <c r="J62" s="41" t="n">
        <f aca="false">J51+J61</f>
        <v>9668.18018187551</v>
      </c>
      <c r="K62" s="41" t="n">
        <f aca="false">K51+K61</f>
        <v>11157.9247467799</v>
      </c>
      <c r="L62" s="41" t="n">
        <f aca="false">L51+L61</f>
        <v>12725.5913662612</v>
      </c>
      <c r="M62" s="41" t="n">
        <f aca="false">M51+M61</f>
        <v>14308.0368681521</v>
      </c>
    </row>
    <row r="63" customFormat="false" ht="15" hidden="false" customHeight="false" outlineLevel="0" collapsed="false">
      <c r="A63" s="32" t="s">
        <v>530</v>
      </c>
      <c r="B63" s="37" t="s">
        <v>147</v>
      </c>
      <c r="C63" s="44" t="n">
        <f aca="false">ROUND(C29-C62,3)</f>
        <v>0</v>
      </c>
      <c r="D63" s="44" t="n">
        <f aca="false">ROUND(D29-D62,3)</f>
        <v>-0</v>
      </c>
      <c r="E63" s="44" t="n">
        <f aca="false">ROUND(E29-E62,3)</f>
        <v>0</v>
      </c>
      <c r="F63" s="44" t="n">
        <f aca="false">ROUND(F29-F62,3)</f>
        <v>0</v>
      </c>
      <c r="G63" s="44" t="n">
        <f aca="false">ROUND(G29-G62,3)</f>
        <v>0</v>
      </c>
      <c r="H63" s="44" t="n">
        <f aca="false">ROUND(H29-H62,3)</f>
        <v>-0</v>
      </c>
      <c r="I63" s="44" t="n">
        <f aca="false">ROUND(I29-I62,3)</f>
        <v>-0</v>
      </c>
      <c r="J63" s="44" t="n">
        <f aca="false">ROUND(J29-J62,3)</f>
        <v>-0</v>
      </c>
      <c r="K63" s="44" t="n">
        <f aca="false">ROUND(K29-K62,3)</f>
        <v>-0</v>
      </c>
      <c r="L63" s="44" t="n">
        <f aca="false">ROUND(L29-L62,3)</f>
        <v>-0</v>
      </c>
      <c r="M63" s="44" t="n">
        <f aca="false">ROUND(M29-M62,3)</f>
        <v>-0</v>
      </c>
    </row>
    <row r="64" customFormat="false" ht="15" hidden="false" customHeight="false" outlineLevel="0" collapsed="false">
      <c r="A64" s="32" t="s">
        <v>531</v>
      </c>
      <c r="B64" s="37" t="s">
        <v>147</v>
      </c>
      <c r="C64" s="19" t="n">
        <v>2506.3963</v>
      </c>
      <c r="D64" s="19" t="n">
        <v>3252.4862</v>
      </c>
      <c r="E64" s="19" t="n">
        <v>4324.1547</v>
      </c>
      <c r="F64" s="19" t="n">
        <v>5915.013</v>
      </c>
      <c r="G64" s="19" t="n">
        <v>6090.9242</v>
      </c>
      <c r="H64" s="19" t="n">
        <v>7363.1743</v>
      </c>
      <c r="N64" s="21" t="s">
        <v>532</v>
      </c>
    </row>
    <row r="65" customFormat="false" ht="15" hidden="false" customHeight="false" outlineLevel="0" collapsed="false">
      <c r="A65" s="30" t="s">
        <v>533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customFormat="false" ht="15" hidden="false" customHeight="false" outlineLevel="0" collapsed="false">
      <c r="A66" s="32" t="s">
        <v>534</v>
      </c>
      <c r="B66" s="37" t="s">
        <v>439</v>
      </c>
      <c r="C66" s="59" t="n">
        <f aca="false">C59/融资!C28</f>
        <v>6.15668728176599</v>
      </c>
      <c r="D66" s="59" t="n">
        <f aca="false">D59/融资!D28</f>
        <v>7.2879892880393</v>
      </c>
      <c r="E66" s="59" t="n">
        <f aca="false">E59/融资!E28</f>
        <v>5.93078159831134</v>
      </c>
      <c r="F66" s="59" t="n">
        <f aca="false">F59/融资!F28</f>
        <v>7.54174483475049</v>
      </c>
      <c r="G66" s="59" t="n">
        <f aca="false">G59/融资!G28</f>
        <v>7.9055492369847</v>
      </c>
      <c r="H66" s="59" t="n">
        <f aca="false">H59/融资!H28</f>
        <v>8.86040304823176</v>
      </c>
      <c r="I66" s="59" t="n">
        <f aca="false">I59/融资!I28</f>
        <v>10.4922674843251</v>
      </c>
      <c r="J66" s="59" t="n">
        <f aca="false">J59/融资!J28</f>
        <v>11.9327021646385</v>
      </c>
      <c r="K66" s="59" t="n">
        <f aca="false">K59/融资!K28</f>
        <v>13.6113040323796</v>
      </c>
      <c r="L66" s="59" t="n">
        <f aca="false">L59/融资!L28</f>
        <v>15.4397211950254</v>
      </c>
      <c r="M66" s="59" t="n">
        <f aca="false">M59/融资!M28</f>
        <v>17.3511700987819</v>
      </c>
    </row>
    <row r="67" customFormat="false" ht="15" hidden="false" customHeight="false" outlineLevel="0" collapsed="false">
      <c r="A67" s="32" t="s">
        <v>535</v>
      </c>
      <c r="B67" s="23" t="s">
        <v>94</v>
      </c>
      <c r="C67" s="13" t="n">
        <f aca="false">C51/C29</f>
        <v>0.166765719899693</v>
      </c>
      <c r="D67" s="13" t="n">
        <f aca="false">D51/D29</f>
        <v>0.182254424323153</v>
      </c>
      <c r="E67" s="13" t="n">
        <f aca="false">E51/E29</f>
        <v>0.195636386459532</v>
      </c>
      <c r="F67" s="13" t="n">
        <f aca="false">F51/F29</f>
        <v>0.239012416743212</v>
      </c>
      <c r="G67" s="13" t="n">
        <f aca="false">G51/G29</f>
        <v>0.187777155193906</v>
      </c>
      <c r="H67" s="13" t="n">
        <f aca="false">H51/H29</f>
        <v>0.213734815431437</v>
      </c>
      <c r="I67" s="13" t="n">
        <f aca="false">I51/I29</f>
        <v>0.205461970043799</v>
      </c>
      <c r="J67" s="13" t="n">
        <f aca="false">J51/J29</f>
        <v>0.207950272064153</v>
      </c>
      <c r="K67" s="13" t="n">
        <f aca="false">K51/K29</f>
        <v>0.215649319861135</v>
      </c>
      <c r="L67" s="13" t="n">
        <f aca="false">L51/L29</f>
        <v>0.215649322949344</v>
      </c>
      <c r="M67" s="13" t="n">
        <f aca="false">M51/M29</f>
        <v>0.210628122099142</v>
      </c>
    </row>
    <row r="68" customFormat="false" ht="15" hidden="false" customHeight="false" outlineLevel="0" collapsed="false">
      <c r="A68" s="32" t="s">
        <v>536</v>
      </c>
      <c r="B68" s="23" t="s">
        <v>94</v>
      </c>
      <c r="C68" s="13" t="n">
        <f aca="false">C60/C61</f>
        <v>0.0037464774124646</v>
      </c>
      <c r="D68" s="13" t="n">
        <f aca="false">D60/D61</f>
        <v>0.073994335389588</v>
      </c>
      <c r="E68" s="13" t="n">
        <f aca="false">E60/E61</f>
        <v>0.135650966089372</v>
      </c>
      <c r="F68" s="13" t="n">
        <f aca="false">F60/F61</f>
        <v>0.129053336791039</v>
      </c>
      <c r="G68" s="13" t="n">
        <f aca="false">G60/G61</f>
        <v>0.165418526570156</v>
      </c>
      <c r="H68" s="13" t="n">
        <f aca="false">H60/H61</f>
        <v>0.200691514608653</v>
      </c>
      <c r="I68" s="13" t="n">
        <f aca="false">I60/I61</f>
        <v>0.185964244105357</v>
      </c>
      <c r="J68" s="13" t="n">
        <f aca="false">J60/J61</f>
        <v>0.179399945275425</v>
      </c>
      <c r="K68" s="13" t="n">
        <f aca="false">K60/K61</f>
        <v>0.179607076310653</v>
      </c>
      <c r="L68" s="13" t="n">
        <f aca="false">L60/L61</f>
        <v>0.181998409878992</v>
      </c>
      <c r="M68" s="13" t="n">
        <f aca="false">M60/M61</f>
        <v>0.185568874986558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13" min="3" style="1" width="10.5"/>
    <col collapsed="false" customWidth="true" hidden="false" outlineLevel="0" max="14" min="14" style="1" width="60"/>
  </cols>
  <sheetData>
    <row r="1" customFormat="false" ht="17.35" hidden="false" customHeight="false" outlineLevel="0" collapsed="false">
      <c r="A1" s="20" t="s">
        <v>537</v>
      </c>
    </row>
    <row r="2" customFormat="false" ht="15" hidden="false" customHeight="false" outlineLevel="0" collapsed="false">
      <c r="A2" s="21" t="s">
        <v>538</v>
      </c>
    </row>
    <row r="4" customFormat="false" ht="15" hidden="false" customHeight="false" outlineLevel="0" collapsed="false">
      <c r="A4" s="27" t="s">
        <v>147</v>
      </c>
      <c r="B4" s="27" t="s">
        <v>44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3</v>
      </c>
      <c r="I4" s="28" t="s">
        <v>4</v>
      </c>
      <c r="J4" s="28" t="s">
        <v>5</v>
      </c>
      <c r="K4" s="28" t="s">
        <v>6</v>
      </c>
      <c r="L4" s="28" t="s">
        <v>90</v>
      </c>
      <c r="M4" s="28" t="s">
        <v>91</v>
      </c>
      <c r="N4" s="29" t="s">
        <v>92</v>
      </c>
    </row>
    <row r="5" customFormat="false" ht="15" hidden="false" customHeight="false" outlineLevel="0" collapsed="false">
      <c r="A5" s="30" t="s">
        <v>539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5" hidden="false" customHeight="false" outlineLevel="0" collapsed="false">
      <c r="A6" s="32" t="s">
        <v>470</v>
      </c>
      <c r="B6" s="37" t="s">
        <v>147</v>
      </c>
      <c r="C6" s="19" t="n">
        <v>239.4519</v>
      </c>
      <c r="D6" s="19" t="n">
        <v>375.794</v>
      </c>
      <c r="E6" s="19" t="n">
        <v>512.7721</v>
      </c>
      <c r="F6" s="19" t="n">
        <v>574.4149</v>
      </c>
      <c r="G6" s="19" t="n">
        <v>326.2727</v>
      </c>
      <c r="H6" s="19" t="n">
        <v>426.3967</v>
      </c>
      <c r="I6" s="45" t="n">
        <f aca="false">利润表!I25</f>
        <v>664.176043250598</v>
      </c>
      <c r="J6" s="45" t="n">
        <f aca="false">利润表!J25</f>
        <v>874.884882165615</v>
      </c>
      <c r="K6" s="45" t="n">
        <f aca="false">利润表!K25</f>
        <v>1177.81819688578</v>
      </c>
      <c r="L6" s="45" t="n">
        <f aca="false">利润表!L25</f>
        <v>1375.04172790809</v>
      </c>
      <c r="M6" s="45" t="n">
        <f aca="false">利润表!M25</f>
        <v>1511.50791476903</v>
      </c>
    </row>
    <row r="7" customFormat="false" ht="15" hidden="false" customHeight="false" outlineLevel="0" collapsed="false">
      <c r="A7" s="32" t="s">
        <v>540</v>
      </c>
      <c r="B7" s="37" t="s">
        <v>147</v>
      </c>
      <c r="C7" s="45" t="n">
        <f aca="false">资本开支!C49</f>
        <v>61.3248</v>
      </c>
      <c r="D7" s="45" t="n">
        <f aca="false">资本开支!D49</f>
        <v>85.1173</v>
      </c>
      <c r="E7" s="45" t="n">
        <f aca="false">资本开支!E49</f>
        <v>115.0255</v>
      </c>
      <c r="F7" s="45" t="n">
        <f aca="false">资本开支!F49</f>
        <v>167.5612</v>
      </c>
      <c r="G7" s="45" t="n">
        <f aca="false">资本开支!G49</f>
        <v>206.9893</v>
      </c>
      <c r="H7" s="45" t="n">
        <f aca="false">资本开支!H49</f>
        <v>248.3083</v>
      </c>
      <c r="I7" s="45" t="n">
        <f aca="false">资本开支!I49</f>
        <v>300.523164768</v>
      </c>
      <c r="J7" s="45" t="n">
        <f aca="false">资本开支!J49</f>
        <v>364.10647323636</v>
      </c>
      <c r="K7" s="45" t="n">
        <f aca="false">资本开支!K49</f>
        <v>443.606367369917</v>
      </c>
      <c r="L7" s="45" t="n">
        <f aca="false">资本开支!L49</f>
        <v>519.862445664232</v>
      </c>
      <c r="M7" s="45" t="n">
        <f aca="false">资本开支!M49</f>
        <v>588.307465000266</v>
      </c>
    </row>
    <row r="8" customFormat="false" ht="15" hidden="false" customHeight="false" outlineLevel="0" collapsed="false">
      <c r="A8" s="32" t="s">
        <v>541</v>
      </c>
      <c r="B8" s="37" t="s">
        <v>147</v>
      </c>
      <c r="I8" s="45" t="n">
        <f aca="false">融资!I26</f>
        <v>66</v>
      </c>
      <c r="J8" s="45" t="n">
        <f aca="false">融资!J26</f>
        <v>112</v>
      </c>
      <c r="K8" s="45" t="n">
        <f aca="false">融资!K26</f>
        <v>56</v>
      </c>
      <c r="L8" s="45" t="n">
        <f aca="false">融资!L26</f>
        <v>26</v>
      </c>
      <c r="M8" s="45" t="n">
        <f aca="false">融资!M26</f>
        <v>10</v>
      </c>
      <c r="N8" s="21" t="s">
        <v>542</v>
      </c>
    </row>
    <row r="9" customFormat="false" ht="15" hidden="false" customHeight="false" outlineLevel="0" collapsed="false">
      <c r="A9" s="32" t="s">
        <v>543</v>
      </c>
      <c r="B9" s="37" t="s">
        <v>147</v>
      </c>
      <c r="C9" s="19" t="n">
        <v>-1.3961</v>
      </c>
      <c r="D9" s="19" t="n">
        <v>2.87</v>
      </c>
      <c r="E9" s="19" t="n">
        <v>12.6519</v>
      </c>
      <c r="F9" s="19" t="n">
        <v>20.6177</v>
      </c>
      <c r="G9" s="19" t="n">
        <v>28.4548</v>
      </c>
      <c r="H9" s="19" t="n">
        <v>52.9308</v>
      </c>
      <c r="I9" s="44" t="n">
        <v>0</v>
      </c>
      <c r="J9" s="44" t="n">
        <v>0</v>
      </c>
      <c r="K9" s="44" t="n">
        <v>0</v>
      </c>
      <c r="L9" s="44" t="n">
        <v>0</v>
      </c>
      <c r="M9" s="44" t="n">
        <v>0</v>
      </c>
      <c r="N9" s="21" t="s">
        <v>544</v>
      </c>
    </row>
    <row r="10" customFormat="false" ht="15" hidden="false" customHeight="false" outlineLevel="0" collapsed="false">
      <c r="A10" s="32" t="s">
        <v>545</v>
      </c>
      <c r="B10" s="37" t="s">
        <v>147</v>
      </c>
      <c r="C10" s="19" t="n">
        <v>-119.25</v>
      </c>
      <c r="D10" s="19" t="n">
        <v>-169.37</v>
      </c>
      <c r="E10" s="19" t="n">
        <v>-218.32</v>
      </c>
      <c r="F10" s="19" t="n">
        <v>-538.32</v>
      </c>
      <c r="G10" s="19" t="n">
        <v>-250.74</v>
      </c>
      <c r="H10" s="19" t="n">
        <v>-433.06</v>
      </c>
      <c r="I10" s="44" t="n">
        <f aca="false">-营运资本!I39</f>
        <v>-433.966563698629</v>
      </c>
      <c r="J10" s="44" t="n">
        <f aca="false">-营运资本!J39</f>
        <v>-443.65346497863</v>
      </c>
      <c r="K10" s="44" t="n">
        <f aca="false">-营运资本!K39</f>
        <v>-507.069263128394</v>
      </c>
      <c r="L10" s="44" t="n">
        <f aca="false">-营运资本!L39</f>
        <v>-381.814467916157</v>
      </c>
      <c r="M10" s="44" t="n">
        <f aca="false">-营运资本!M39</f>
        <v>-325.813522895839</v>
      </c>
    </row>
    <row r="11" customFormat="false" ht="15" hidden="false" customHeight="false" outlineLevel="0" collapsed="false">
      <c r="A11" s="32" t="s">
        <v>546</v>
      </c>
      <c r="B11" s="37" t="s">
        <v>147</v>
      </c>
      <c r="C11" s="44" t="n">
        <f aca="false">C12-C6-C7-C9-C10</f>
        <v>8.80030000000002</v>
      </c>
      <c r="D11" s="44" t="n">
        <f aca="false">D12-D6-D7-D9-D10</f>
        <v>-0.30359999999996</v>
      </c>
      <c r="E11" s="44" t="n">
        <f aca="false">E12-E6-E7-E9-E10</f>
        <v>-14.6905</v>
      </c>
      <c r="F11" s="44" t="n">
        <f aca="false">F12-F6-F7-F9-F10</f>
        <v>42.3019</v>
      </c>
      <c r="G11" s="44" t="n">
        <f aca="false">G12-G6-G7-G9-G10</f>
        <v>-46.1953</v>
      </c>
      <c r="H11" s="44" t="n">
        <f aca="false">H12-H6-H7-H9-H10</f>
        <v>-32.71</v>
      </c>
      <c r="I11" s="44" t="n">
        <v>0</v>
      </c>
      <c r="J11" s="44" t="n">
        <v>0</v>
      </c>
      <c r="K11" s="44" t="n">
        <v>0</v>
      </c>
      <c r="L11" s="44" t="n">
        <v>0</v>
      </c>
      <c r="M11" s="44" t="n">
        <v>0</v>
      </c>
    </row>
    <row r="12" customFormat="false" ht="15" hidden="false" customHeight="false" outlineLevel="0" collapsed="false">
      <c r="A12" s="22" t="s">
        <v>547</v>
      </c>
      <c r="B12" s="37" t="s">
        <v>147</v>
      </c>
      <c r="C12" s="51" t="n">
        <v>188.9309</v>
      </c>
      <c r="D12" s="51" t="n">
        <v>294.1077</v>
      </c>
      <c r="E12" s="51" t="n">
        <v>407.439</v>
      </c>
      <c r="F12" s="51" t="n">
        <v>266.5757</v>
      </c>
      <c r="G12" s="51" t="n">
        <v>264.7815</v>
      </c>
      <c r="H12" s="51" t="n">
        <v>261.8658</v>
      </c>
      <c r="I12" s="46" t="n">
        <f aca="false">I6+I7+I8+I9+I10+I11</f>
        <v>596.732644319969</v>
      </c>
      <c r="J12" s="46" t="n">
        <f aca="false">J6+J7+J8+J9+J10+J11</f>
        <v>907.337890423345</v>
      </c>
      <c r="K12" s="46" t="n">
        <f aca="false">K6+K7+K8+K9+K10+K11</f>
        <v>1170.3553011273</v>
      </c>
      <c r="L12" s="46" t="n">
        <f aca="false">L6+L7+L8+L9+L10+L11</f>
        <v>1539.08970565617</v>
      </c>
      <c r="M12" s="46" t="n">
        <f aca="false">M6+M7+M8+M9+M10+M11</f>
        <v>1784.00185687346</v>
      </c>
    </row>
    <row r="13" customFormat="false" ht="15" hidden="false" customHeight="false" outlineLevel="0" collapsed="false">
      <c r="A13" s="30" t="s">
        <v>548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5" hidden="false" customHeight="false" outlineLevel="0" collapsed="false">
      <c r="A14" s="32" t="s">
        <v>549</v>
      </c>
      <c r="B14" s="37" t="s">
        <v>147</v>
      </c>
      <c r="C14" s="19" t="n">
        <v>-203.6003</v>
      </c>
      <c r="D14" s="19" t="n">
        <v>-318.8237</v>
      </c>
      <c r="E14" s="19" t="n">
        <v>-572.6832</v>
      </c>
      <c r="F14" s="19" t="n">
        <v>-544.5963</v>
      </c>
      <c r="G14" s="19" t="n">
        <v>-369.8711</v>
      </c>
      <c r="H14" s="19" t="n">
        <v>-558.9568</v>
      </c>
      <c r="I14" s="44" t="n">
        <f aca="false">-资本开支!I17</f>
        <v>-1015.53021</v>
      </c>
      <c r="J14" s="44" t="n">
        <f aca="false">-资本开支!J17</f>
        <v>-973.7182456</v>
      </c>
      <c r="K14" s="44" t="n">
        <f aca="false">-资本开支!K17</f>
        <v>-794.29841887</v>
      </c>
      <c r="L14" s="44" t="n">
        <f aca="false">-资本开支!L17</f>
        <v>-701.91150261012</v>
      </c>
      <c r="M14" s="44" t="n">
        <f aca="false">-资本开支!M17</f>
        <v>-763.957034793699</v>
      </c>
    </row>
    <row r="15" customFormat="false" ht="15" hidden="false" customHeight="false" outlineLevel="0" collapsed="false">
      <c r="A15" s="32" t="s">
        <v>550</v>
      </c>
      <c r="B15" s="37" t="s">
        <v>147</v>
      </c>
      <c r="C15" s="19" t="n">
        <v>-445.54</v>
      </c>
      <c r="D15" s="19" t="n">
        <v>178.71</v>
      </c>
      <c r="E15" s="19" t="n">
        <v>85.95</v>
      </c>
      <c r="F15" s="19" t="n">
        <v>-668.39</v>
      </c>
      <c r="G15" s="19" t="n">
        <v>86.67</v>
      </c>
      <c r="H15" s="19" t="n">
        <v>-89.12</v>
      </c>
      <c r="I15" s="44" t="n">
        <f aca="false">-(融资!I18+融资!I19-融资!H18-融资!H19)</f>
        <v>282.2799</v>
      </c>
      <c r="J15" s="44" t="n">
        <f aca="false">-(融资!J18+融资!J19-融资!I18-融资!I19)</f>
        <v>-0</v>
      </c>
      <c r="K15" s="44" t="n">
        <f aca="false">-(融资!K18+融资!K19-融资!J18-融资!J19)</f>
        <v>-0</v>
      </c>
      <c r="L15" s="44" t="n">
        <f aca="false">-(融资!L18+融资!L19-融资!K18-融资!K19)</f>
        <v>-0</v>
      </c>
      <c r="M15" s="44" t="n">
        <f aca="false">-(融资!M18+融资!M19-融资!L18-融资!L19)</f>
        <v>-0</v>
      </c>
    </row>
    <row r="16" customFormat="false" ht="15" hidden="false" customHeight="false" outlineLevel="0" collapsed="false">
      <c r="A16" s="32" t="s">
        <v>551</v>
      </c>
      <c r="B16" s="37" t="s">
        <v>147</v>
      </c>
      <c r="C16" s="44" t="n">
        <f aca="false">C17-C14-C15</f>
        <v>0.33299999999997</v>
      </c>
      <c r="D16" s="44" t="n">
        <f aca="false">D17-D14-D15</f>
        <v>-5.03450000000004</v>
      </c>
      <c r="E16" s="44" t="n">
        <f aca="false">E17-E14-E15</f>
        <v>0.833200000000076</v>
      </c>
      <c r="F16" s="44" t="n">
        <f aca="false">F17-F14-F15</f>
        <v>0.734200000000101</v>
      </c>
      <c r="G16" s="44" t="n">
        <f aca="false">G17-G14-G15</f>
        <v>0.604499999999987</v>
      </c>
      <c r="H16" s="44" t="n">
        <f aca="false">H17-H14-H15</f>
        <v>39.9834000000001</v>
      </c>
      <c r="I16" s="44" t="n">
        <f aca="false">-(资产负债表!I17-资产负债表!H17)</f>
        <v>-0</v>
      </c>
      <c r="J16" s="44" t="n">
        <f aca="false">-(资产负债表!J17-资产负债表!I17)</f>
        <v>-0</v>
      </c>
      <c r="K16" s="44" t="n">
        <f aca="false">-(资产负债表!K17-资产负债表!J17)</f>
        <v>-0</v>
      </c>
      <c r="L16" s="44" t="n">
        <f aca="false">-(资产负债表!L17-资产负债表!K17)</f>
        <v>-0</v>
      </c>
      <c r="M16" s="44" t="n">
        <f aca="false">-(资产负债表!M17-资产负债表!L17)</f>
        <v>-0</v>
      </c>
    </row>
    <row r="17" customFormat="false" ht="15" hidden="false" customHeight="false" outlineLevel="0" collapsed="false">
      <c r="A17" s="22" t="s">
        <v>552</v>
      </c>
      <c r="B17" s="37" t="s">
        <v>147</v>
      </c>
      <c r="C17" s="51" t="n">
        <v>-648.8073</v>
      </c>
      <c r="D17" s="51" t="n">
        <v>-145.1482</v>
      </c>
      <c r="E17" s="51" t="n">
        <v>-485.9</v>
      </c>
      <c r="F17" s="51" t="n">
        <v>-1212.2521</v>
      </c>
      <c r="G17" s="51" t="n">
        <v>-282.5966</v>
      </c>
      <c r="H17" s="51" t="n">
        <v>-608.0934</v>
      </c>
      <c r="I17" s="46" t="n">
        <f aca="false">I14+I15+I16</f>
        <v>-733.25031</v>
      </c>
      <c r="J17" s="46" t="n">
        <f aca="false">J14+J15+J16</f>
        <v>-973.7182456</v>
      </c>
      <c r="K17" s="46" t="n">
        <f aca="false">K14+K15+K16</f>
        <v>-794.29841887</v>
      </c>
      <c r="L17" s="46" t="n">
        <f aca="false">L14+L15+L16</f>
        <v>-701.91150261012</v>
      </c>
      <c r="M17" s="46" t="n">
        <f aca="false">M14+M15+M16</f>
        <v>-763.957034793699</v>
      </c>
    </row>
    <row r="18" customFormat="false" ht="15" hidden="false" customHeight="false" outlineLevel="0" collapsed="false">
      <c r="A18" s="30" t="s">
        <v>553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customFormat="false" ht="15" hidden="false" customHeight="false" outlineLevel="0" collapsed="false">
      <c r="A19" s="32" t="s">
        <v>554</v>
      </c>
      <c r="B19" s="37" t="s">
        <v>147</v>
      </c>
      <c r="C19" s="19" t="n">
        <v>0</v>
      </c>
      <c r="D19" s="19" t="n">
        <v>170.3155</v>
      </c>
      <c r="E19" s="19" t="n">
        <v>296.7675</v>
      </c>
      <c r="F19" s="19" t="n">
        <v>479.2113</v>
      </c>
      <c r="G19" s="19" t="n">
        <v>309.7122</v>
      </c>
      <c r="H19" s="19" t="n">
        <v>558.3268</v>
      </c>
      <c r="I19" s="44" t="n">
        <f aca="false">融资!I25+融资!I35</f>
        <v>354</v>
      </c>
      <c r="J19" s="44" t="n">
        <f aca="false">融资!J25+融资!J35</f>
        <v>40.5</v>
      </c>
      <c r="K19" s="44" t="n">
        <f aca="false">融资!K25+融资!K35</f>
        <v>40.5</v>
      </c>
      <c r="L19" s="44" t="n">
        <f aca="false">融资!L25+融资!L35</f>
        <v>60.8</v>
      </c>
      <c r="M19" s="44" t="n">
        <f aca="false">融资!M25+融资!M35</f>
        <v>60.8</v>
      </c>
    </row>
    <row r="20" customFormat="false" ht="15" hidden="false" customHeight="false" outlineLevel="0" collapsed="false">
      <c r="A20" s="32" t="s">
        <v>555</v>
      </c>
      <c r="B20" s="37" t="s">
        <v>147</v>
      </c>
      <c r="C20" s="19" t="n">
        <v>0</v>
      </c>
      <c r="D20" s="19" t="n">
        <v>-5</v>
      </c>
      <c r="E20" s="19" t="n">
        <v>37.73</v>
      </c>
      <c r="F20" s="19" t="n">
        <v>251.25</v>
      </c>
      <c r="G20" s="19" t="n">
        <v>39.25</v>
      </c>
      <c r="H20" s="19" t="n">
        <v>16.71</v>
      </c>
      <c r="I20" s="44" t="n">
        <f aca="false">融资!I9-融资!H9</f>
        <v>-48.2097</v>
      </c>
      <c r="J20" s="44" t="n">
        <f aca="false">融资!J9-融资!I9</f>
        <v>-51</v>
      </c>
      <c r="K20" s="44" t="n">
        <f aca="false">融资!K9-融资!J9</f>
        <v>0</v>
      </c>
      <c r="L20" s="44" t="n">
        <f aca="false">融资!L9-融资!K9</f>
        <v>0</v>
      </c>
      <c r="M20" s="44" t="n">
        <f aca="false">融资!M9-融资!L9</f>
        <v>0</v>
      </c>
    </row>
    <row r="21" customFormat="false" ht="15" hidden="false" customHeight="false" outlineLevel="0" collapsed="false">
      <c r="A21" s="32" t="s">
        <v>556</v>
      </c>
      <c r="B21" s="37" t="s">
        <v>147</v>
      </c>
      <c r="I21" s="44" t="n">
        <f aca="false">融资!I12-融资!H12</f>
        <v>0</v>
      </c>
      <c r="J21" s="44" t="n">
        <f aca="false">融资!J12-融资!I12</f>
        <v>0</v>
      </c>
      <c r="K21" s="44" t="n">
        <f aca="false">融资!K12-融资!J12</f>
        <v>0</v>
      </c>
      <c r="L21" s="44" t="n">
        <f aca="false">融资!L12-融资!K12</f>
        <v>0</v>
      </c>
      <c r="M21" s="44" t="n">
        <f aca="false">融资!M12-融资!L12</f>
        <v>0</v>
      </c>
    </row>
    <row r="22" customFormat="false" ht="15" hidden="false" customHeight="false" outlineLevel="0" collapsed="false">
      <c r="A22" s="32" t="s">
        <v>557</v>
      </c>
      <c r="B22" s="37" t="s">
        <v>147</v>
      </c>
      <c r="C22" s="19" t="n">
        <v>-61.6483</v>
      </c>
      <c r="D22" s="19" t="n">
        <v>-61.3299</v>
      </c>
      <c r="E22" s="19" t="n">
        <v>-84.1424</v>
      </c>
      <c r="F22" s="19" t="n">
        <v>-102.9446</v>
      </c>
      <c r="G22" s="19" t="n">
        <v>-132.9703</v>
      </c>
      <c r="H22" s="19" t="n">
        <v>-86.2034</v>
      </c>
      <c r="I22" s="44" t="n">
        <f aca="false">-融资!I32-融资!I36</f>
        <v>-97.34603552</v>
      </c>
      <c r="J22" s="44" t="n">
        <f aca="false">-融资!J32-融资!J36</f>
        <v>-145.943086411937</v>
      </c>
      <c r="K22" s="44" t="n">
        <f aca="false">-融资!K32-融资!K36</f>
        <v>-180.271814730029</v>
      </c>
      <c r="L22" s="44" t="n">
        <f aca="false">-融资!L32-融资!L36</f>
        <v>-232.24138798622</v>
      </c>
      <c r="M22" s="44" t="n">
        <f aca="false">-融资!M32-融资!M36</f>
        <v>-269.27218758017</v>
      </c>
      <c r="N22" s="21" t="s">
        <v>558</v>
      </c>
    </row>
    <row r="23" customFormat="false" ht="15" hidden="false" customHeight="false" outlineLevel="0" collapsed="false">
      <c r="A23" s="32" t="s">
        <v>559</v>
      </c>
      <c r="B23" s="37" t="s">
        <v>147</v>
      </c>
      <c r="C23" s="44" t="n">
        <f aca="false">C24-C19-C20-C22</f>
        <v>-1.2808</v>
      </c>
      <c r="D23" s="44" t="n">
        <f aca="false">D24-D19-D20-D22</f>
        <v>-0.479399999999977</v>
      </c>
      <c r="E23" s="44" t="n">
        <f aca="false">E24-E19-E20-E22</f>
        <v>5.43980000000003</v>
      </c>
      <c r="F23" s="44" t="n">
        <f aca="false">F24-F19-F20-F22</f>
        <v>-6.33280000000001</v>
      </c>
      <c r="G23" s="44" t="n">
        <f aca="false">G24-G19-G20-G22</f>
        <v>-54.6298</v>
      </c>
      <c r="H23" s="44" t="n">
        <f aca="false">H24-H19-H20-H22</f>
        <v>-32.6184000000001</v>
      </c>
      <c r="I23" s="44" t="n">
        <f aca="false">-融资!I27</f>
        <v>-0</v>
      </c>
      <c r="J23" s="44" t="n">
        <f aca="false">-融资!J27</f>
        <v>-0</v>
      </c>
      <c r="K23" s="44" t="n">
        <f aca="false">-融资!K27</f>
        <v>-0</v>
      </c>
      <c r="L23" s="44" t="n">
        <f aca="false">-融资!L27</f>
        <v>-0</v>
      </c>
      <c r="M23" s="44" t="n">
        <f aca="false">-融资!M27</f>
        <v>-0</v>
      </c>
    </row>
    <row r="24" customFormat="false" ht="15" hidden="false" customHeight="false" outlineLevel="0" collapsed="false">
      <c r="A24" s="22" t="s">
        <v>560</v>
      </c>
      <c r="B24" s="37" t="s">
        <v>147</v>
      </c>
      <c r="C24" s="51" t="n">
        <v>-62.9291</v>
      </c>
      <c r="D24" s="51" t="n">
        <v>103.5062</v>
      </c>
      <c r="E24" s="51" t="n">
        <v>255.7949</v>
      </c>
      <c r="F24" s="51" t="n">
        <v>621.1839</v>
      </c>
      <c r="G24" s="51" t="n">
        <v>161.3621</v>
      </c>
      <c r="H24" s="51" t="n">
        <v>456.215</v>
      </c>
      <c r="I24" s="46" t="n">
        <f aca="false">I19+I20+I21+I22+I23</f>
        <v>208.44426448</v>
      </c>
      <c r="J24" s="46" t="n">
        <f aca="false">J19+J20+J21+J22+J23</f>
        <v>-156.443086411937</v>
      </c>
      <c r="K24" s="46" t="n">
        <f aca="false">K19+K20+K21+K22+K23</f>
        <v>-139.771814730029</v>
      </c>
      <c r="L24" s="46" t="n">
        <f aca="false">L19+L20+L21+L22+L23</f>
        <v>-171.44138798622</v>
      </c>
      <c r="M24" s="46" t="n">
        <f aca="false">M19+M20+M21+M22+M23</f>
        <v>-208.47218758017</v>
      </c>
    </row>
    <row r="25" customFormat="false" ht="15" hidden="false" customHeight="false" outlineLevel="0" collapsed="false">
      <c r="A25" s="25" t="s">
        <v>561</v>
      </c>
      <c r="B25" s="37" t="s">
        <v>147</v>
      </c>
      <c r="C25" s="19" t="n">
        <v>-2.5042</v>
      </c>
      <c r="D25" s="19" t="n">
        <v>-1.0604</v>
      </c>
      <c r="E25" s="19" t="n">
        <v>6.6371</v>
      </c>
      <c r="F25" s="19" t="n">
        <v>3.5088</v>
      </c>
      <c r="G25" s="19" t="n">
        <v>3.6869</v>
      </c>
      <c r="H25" s="19" t="n">
        <v>-2.2846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</row>
    <row r="26" customFormat="false" ht="15" hidden="false" customHeight="false" outlineLevel="0" collapsed="false">
      <c r="A26" s="22" t="s">
        <v>562</v>
      </c>
      <c r="B26" s="37" t="s">
        <v>147</v>
      </c>
      <c r="C26" s="42" t="n">
        <v>-525.3098</v>
      </c>
      <c r="D26" s="42" t="n">
        <v>251.4053</v>
      </c>
      <c r="E26" s="42" t="n">
        <v>183.971</v>
      </c>
      <c r="F26" s="42" t="n">
        <v>-320.9838</v>
      </c>
      <c r="G26" s="42" t="n">
        <v>147.2339</v>
      </c>
      <c r="H26" s="42" t="n">
        <v>107.7029</v>
      </c>
      <c r="I26" s="41" t="n">
        <f aca="false">I12+I17+I24+I25</f>
        <v>71.9265987999692</v>
      </c>
      <c r="J26" s="41" t="n">
        <f aca="false">J12+J17+J24+J25</f>
        <v>-222.823441588592</v>
      </c>
      <c r="K26" s="41" t="n">
        <f aca="false">K12+K17+K24+K25</f>
        <v>236.285067527274</v>
      </c>
      <c r="L26" s="41" t="n">
        <f aca="false">L12+L17+L24+L25</f>
        <v>665.736815059827</v>
      </c>
      <c r="M26" s="41" t="n">
        <f aca="false">M12+M17+M24+M25</f>
        <v>811.572634499591</v>
      </c>
    </row>
    <row r="27" customFormat="false" ht="15" hidden="false" customHeight="false" outlineLevel="0" collapsed="false">
      <c r="A27" s="32" t="s">
        <v>563</v>
      </c>
      <c r="B27" s="37" t="s">
        <v>147</v>
      </c>
      <c r="I27" s="44" t="n">
        <f aca="false">I12+I17+I19+I20+I22+I23+I25</f>
        <v>71.9265987999691</v>
      </c>
      <c r="J27" s="44" t="n">
        <f aca="false">J12+J17+J19+J20+J22+J23+J25</f>
        <v>-222.823441588592</v>
      </c>
      <c r="K27" s="44" t="n">
        <f aca="false">K12+K17+K19+K20+K22+K23+K25</f>
        <v>236.285067527274</v>
      </c>
      <c r="L27" s="44" t="n">
        <f aca="false">L12+L17+L19+L20+L22+L23+L25</f>
        <v>665.736815059827</v>
      </c>
      <c r="M27" s="44" t="n">
        <f aca="false">M12+M17+M19+M20+M22+M23+M25</f>
        <v>811.572634499591</v>
      </c>
      <c r="N27" s="21" t="s">
        <v>564</v>
      </c>
    </row>
    <row r="28" customFormat="false" ht="15" hidden="false" customHeight="false" outlineLevel="0" collapsed="false">
      <c r="A28" s="30" t="s">
        <v>565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customFormat="false" ht="15" hidden="false" customHeight="false" outlineLevel="0" collapsed="false">
      <c r="A29" s="34" t="s">
        <v>566</v>
      </c>
      <c r="B29" s="37" t="s">
        <v>147</v>
      </c>
      <c r="C29" s="43" t="n">
        <f aca="false">C12+C14</f>
        <v>-14.6694</v>
      </c>
      <c r="D29" s="43" t="n">
        <f aca="false">D12+D14</f>
        <v>-24.716</v>
      </c>
      <c r="E29" s="43" t="n">
        <f aca="false">E12+E14</f>
        <v>-165.2442</v>
      </c>
      <c r="F29" s="43" t="n">
        <f aca="false">F12+F14</f>
        <v>-278.0206</v>
      </c>
      <c r="G29" s="43" t="n">
        <f aca="false">G12+G14</f>
        <v>-105.0896</v>
      </c>
      <c r="H29" s="43" t="n">
        <f aca="false">H12+H14</f>
        <v>-297.091</v>
      </c>
      <c r="I29" s="43" t="n">
        <f aca="false">I12+I14</f>
        <v>-418.797565680031</v>
      </c>
      <c r="J29" s="43" t="n">
        <f aca="false">J12+J14</f>
        <v>-66.3803551766549</v>
      </c>
      <c r="K29" s="43" t="n">
        <f aca="false">K12+K14</f>
        <v>376.056882257303</v>
      </c>
      <c r="L29" s="43" t="n">
        <f aca="false">L12+L14</f>
        <v>837.178203046047</v>
      </c>
      <c r="M29" s="43" t="n">
        <f aca="false">M12+M14</f>
        <v>1020.04482207976</v>
      </c>
    </row>
    <row r="30" customFormat="false" ht="15" hidden="false" customHeight="false" outlineLevel="0" collapsed="false">
      <c r="A30" s="63" t="s">
        <v>567</v>
      </c>
      <c r="B30" s="37" t="s">
        <v>147</v>
      </c>
      <c r="D30" s="43" t="n">
        <f aca="false">利润表!D32*(1-费用税率!D23)+D7+D14-营运资本!D39</f>
        <v>102.846380986278</v>
      </c>
      <c r="E30" s="43" t="n">
        <f aca="false">利润表!E32*(1-费用税率!E23)+E7+E14-营运资本!E39</f>
        <v>-261.349166917714</v>
      </c>
      <c r="F30" s="43" t="n">
        <f aca="false">利润表!F32*(1-费用税率!F23)+F7+F14-营运资本!F39</f>
        <v>-184.310862228423</v>
      </c>
      <c r="G30" s="43" t="n">
        <f aca="false">利润表!G32*(1-费用税率!G23)+G7+G14-营运资本!G39</f>
        <v>-56.4971749093504</v>
      </c>
      <c r="H30" s="43" t="n">
        <f aca="false">利润表!H32*(1-费用税率!H23)+H7+H14-营运资本!H39</f>
        <v>-28.98740519416</v>
      </c>
      <c r="I30" s="41" t="n">
        <f aca="false">利润表!I32*(1-费用税率!I23)+I7+I14-营运资本!I39</f>
        <v>-496.377086823825</v>
      </c>
      <c r="J30" s="41" t="n">
        <f aca="false">利润表!J32*(1-费用税率!J23)+J7+J14-营运资本!J39</f>
        <v>-193.027659284617</v>
      </c>
      <c r="K30" s="41" t="n">
        <f aca="false">利润表!K32*(1-费用税率!K23)+K7+K14-营运资本!K39</f>
        <v>306.87826409295</v>
      </c>
      <c r="L30" s="41" t="n">
        <f aca="false">利润表!L32*(1-费用税率!L23)+L7+L14-营运资本!L39</f>
        <v>795.966224065131</v>
      </c>
      <c r="M30" s="41" t="n">
        <f aca="false">利润表!M32*(1-费用税率!M23)+M7+M14-营运资本!M39</f>
        <v>989.068140518295</v>
      </c>
      <c r="N30" s="21" t="s">
        <v>568</v>
      </c>
    </row>
    <row r="31" customFormat="false" ht="15" hidden="false" customHeight="false" outlineLevel="0" collapsed="false">
      <c r="A31" s="32" t="s">
        <v>569</v>
      </c>
      <c r="B31" s="37" t="s">
        <v>439</v>
      </c>
      <c r="C31" s="59" t="n">
        <f aca="false">C12/融资!C28</f>
        <v>0.559066402319938</v>
      </c>
      <c r="D31" s="59" t="n">
        <f aca="false">D12/融资!D28</f>
        <v>0.870295614606143</v>
      </c>
      <c r="E31" s="59" t="n">
        <f aca="false">E12/融资!E28</f>
        <v>0.803769899982245</v>
      </c>
      <c r="F31" s="59" t="n">
        <f aca="false">F12/融资!F28</f>
        <v>0.51282309260898</v>
      </c>
      <c r="G31" s="59" t="n">
        <f aca="false">G12/融资!G28</f>
        <v>0.506982020793842</v>
      </c>
      <c r="H31" s="59" t="n">
        <f aca="false">H12/融资!H28</f>
        <v>0.501399276236429</v>
      </c>
      <c r="I31" s="59" t="n">
        <f aca="false">I12/融资!I28</f>
        <v>1.13505534080225</v>
      </c>
      <c r="J31" s="59" t="n">
        <f aca="false">J12/融资!J28</f>
        <v>1.72297557480445</v>
      </c>
      <c r="K31" s="59" t="n">
        <f aca="false">K12/融资!K28</f>
        <v>2.21871668409626</v>
      </c>
      <c r="L31" s="59" t="n">
        <f aca="false">L12/融资!L28</f>
        <v>2.91045567185469</v>
      </c>
      <c r="M31" s="59" t="n">
        <f aca="false">M12/融资!M28</f>
        <v>3.36517772208162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</cols>
  <sheetData>
    <row r="1" customFormat="false" ht="17.35" hidden="false" customHeight="false" outlineLevel="0" collapsed="false">
      <c r="A1" s="20" t="s">
        <v>570</v>
      </c>
    </row>
    <row r="2" customFormat="false" ht="15" hidden="false" customHeight="false" outlineLevel="0" collapsed="false">
      <c r="A2" s="36" t="s">
        <v>571</v>
      </c>
    </row>
    <row r="4" customFormat="false" ht="15" hidden="false" customHeight="false" outlineLevel="0" collapsed="false">
      <c r="A4" s="53" t="s">
        <v>572</v>
      </c>
      <c r="B4" s="23" t="s">
        <v>94</v>
      </c>
      <c r="C4" s="33" t="n">
        <v>0.45</v>
      </c>
      <c r="D4" s="36" t="s">
        <v>573</v>
      </c>
    </row>
    <row r="5" customFormat="false" ht="15" hidden="false" customHeight="false" outlineLevel="0" collapsed="false">
      <c r="A5" s="53" t="s">
        <v>574</v>
      </c>
      <c r="B5" s="23" t="s">
        <v>94</v>
      </c>
      <c r="C5" s="33" t="n">
        <v>0</v>
      </c>
      <c r="D5" s="21" t="s">
        <v>575</v>
      </c>
    </row>
    <row r="6" customFormat="false" ht="15" hidden="false" customHeight="false" outlineLevel="0" collapsed="false">
      <c r="A6" s="4" t="s">
        <v>147</v>
      </c>
      <c r="B6" s="4" t="s">
        <v>44</v>
      </c>
      <c r="C6" s="5" t="s">
        <v>576</v>
      </c>
      <c r="D6" s="5" t="s">
        <v>577</v>
      </c>
      <c r="E6" s="5" t="s">
        <v>578</v>
      </c>
      <c r="F6" s="5" t="s">
        <v>579</v>
      </c>
      <c r="G6" s="5" t="s">
        <v>580</v>
      </c>
      <c r="H6" s="5" t="s">
        <v>581</v>
      </c>
      <c r="I6" s="5" t="s">
        <v>582</v>
      </c>
      <c r="J6" s="5" t="s">
        <v>583</v>
      </c>
      <c r="K6" s="5" t="s">
        <v>584</v>
      </c>
      <c r="L6" s="5" t="s">
        <v>585</v>
      </c>
      <c r="M6" s="5" t="s">
        <v>586</v>
      </c>
      <c r="N6" s="5" t="s">
        <v>587</v>
      </c>
      <c r="O6" s="5" t="s">
        <v>588</v>
      </c>
      <c r="P6" s="5" t="s">
        <v>589</v>
      </c>
    </row>
    <row r="7" customFormat="false" ht="15" hidden="false" customHeight="false" outlineLevel="0" collapsed="false">
      <c r="A7" s="4" t="s">
        <v>449</v>
      </c>
      <c r="B7" s="6" t="s">
        <v>147</v>
      </c>
      <c r="C7" s="19" t="n">
        <v>410.25</v>
      </c>
      <c r="D7" s="19" t="n">
        <v>504.66</v>
      </c>
      <c r="E7" s="19" t="n">
        <v>398.65</v>
      </c>
      <c r="F7" s="19" t="n">
        <v>428.25</v>
      </c>
      <c r="G7" s="19" t="n">
        <v>406.26</v>
      </c>
      <c r="H7" s="19" t="n">
        <v>501.58</v>
      </c>
      <c r="I7" s="19" t="n">
        <v>473.68</v>
      </c>
      <c r="J7" s="19" t="n">
        <v>634.82</v>
      </c>
      <c r="K7" s="19" t="n">
        <v>621.73</v>
      </c>
      <c r="L7" s="19" t="n">
        <v>686.1</v>
      </c>
      <c r="M7" s="44" t="n">
        <f aca="false">(P7-O7)*$C$4</f>
        <v>644.92965</v>
      </c>
      <c r="N7" s="44" t="n">
        <f aca="false">P7-O7-M7</f>
        <v>788.24735</v>
      </c>
      <c r="O7" s="44" t="n">
        <f aca="false">K7+L7</f>
        <v>1307.83</v>
      </c>
      <c r="P7" s="45" t="n">
        <f aca="false">利润表!I5</f>
        <v>2741.007</v>
      </c>
    </row>
    <row r="8" customFormat="false" ht="15" hidden="false" customHeight="false" outlineLevel="0" collapsed="false">
      <c r="A8" s="4" t="s">
        <v>450</v>
      </c>
      <c r="B8" s="6" t="s">
        <v>147</v>
      </c>
      <c r="C8" s="19" t="n">
        <v>247.64</v>
      </c>
      <c r="D8" s="19" t="n">
        <v>275.19</v>
      </c>
      <c r="E8" s="19" t="n">
        <v>234.28</v>
      </c>
      <c r="F8" s="19" t="n">
        <v>250.15</v>
      </c>
      <c r="G8" s="19" t="n">
        <v>203.31</v>
      </c>
      <c r="H8" s="19" t="n">
        <v>257.69</v>
      </c>
      <c r="I8" s="19" t="n">
        <v>244.1</v>
      </c>
      <c r="J8" s="19" t="n">
        <v>355.97</v>
      </c>
      <c r="K8" s="19" t="n">
        <v>306.26</v>
      </c>
      <c r="L8" s="19" t="n">
        <v>346.17</v>
      </c>
      <c r="M8" s="44" t="n">
        <f aca="false">(P8-O8)*$C$4</f>
        <v>320.2467525</v>
      </c>
      <c r="N8" s="44" t="n">
        <f aca="false">P8-O8-M8</f>
        <v>391.4126975</v>
      </c>
      <c r="O8" s="44" t="n">
        <f aca="false">K8+L8</f>
        <v>652.43</v>
      </c>
      <c r="P8" s="45" t="n">
        <f aca="false">利润表!I7</f>
        <v>1364.08945</v>
      </c>
    </row>
    <row r="9" customFormat="false" ht="15" hidden="false" customHeight="false" outlineLevel="0" collapsed="false">
      <c r="A9" s="4" t="s">
        <v>451</v>
      </c>
      <c r="B9" s="6" t="s">
        <v>147</v>
      </c>
      <c r="C9" s="19" t="n">
        <v>3.02</v>
      </c>
      <c r="D9" s="19" t="n">
        <v>5.17</v>
      </c>
      <c r="E9" s="19" t="n">
        <v>3.95</v>
      </c>
      <c r="F9" s="19" t="n">
        <v>5.57</v>
      </c>
      <c r="G9" s="19" t="n">
        <v>4.28</v>
      </c>
      <c r="H9" s="19" t="n">
        <v>8.46</v>
      </c>
      <c r="I9" s="19" t="n">
        <v>4.75</v>
      </c>
      <c r="J9" s="19" t="n">
        <v>7.27</v>
      </c>
      <c r="K9" s="19" t="n">
        <v>8.66</v>
      </c>
      <c r="L9" s="19" t="n">
        <v>8.33</v>
      </c>
      <c r="M9" s="44" t="n">
        <f aca="false">(P9-O9)*$C$4</f>
        <v>8.38939095</v>
      </c>
      <c r="N9" s="44" t="n">
        <f aca="false">P9-O9-M9</f>
        <v>10.25370005</v>
      </c>
      <c r="O9" s="44" t="n">
        <f aca="false">K9+L9</f>
        <v>16.99</v>
      </c>
      <c r="P9" s="45" t="n">
        <f aca="false">利润表!I10</f>
        <v>35.633091</v>
      </c>
    </row>
    <row r="10" customFormat="false" ht="15" hidden="false" customHeight="false" outlineLevel="0" collapsed="false">
      <c r="A10" s="4" t="s">
        <v>452</v>
      </c>
      <c r="B10" s="6" t="s">
        <v>147</v>
      </c>
      <c r="C10" s="19" t="n">
        <v>5.16</v>
      </c>
      <c r="D10" s="19" t="n">
        <v>9.22</v>
      </c>
      <c r="E10" s="19" t="n">
        <v>6.92</v>
      </c>
      <c r="F10" s="19" t="n">
        <v>3.63</v>
      </c>
      <c r="G10" s="19" t="n">
        <v>4.79</v>
      </c>
      <c r="H10" s="19" t="n">
        <v>6.92</v>
      </c>
      <c r="I10" s="19" t="n">
        <v>7.22</v>
      </c>
      <c r="J10" s="19" t="n">
        <v>12.56</v>
      </c>
      <c r="K10" s="19" t="n">
        <v>7.76</v>
      </c>
      <c r="L10" s="19" t="n">
        <v>9.04</v>
      </c>
      <c r="M10" s="44" t="n">
        <f aca="false">(P10-O10)*$C$4</f>
        <v>8.47489095</v>
      </c>
      <c r="N10" s="44" t="n">
        <f aca="false">P10-O10-M10</f>
        <v>10.35820005</v>
      </c>
      <c r="O10" s="44" t="n">
        <f aca="false">K10+L10</f>
        <v>16.8</v>
      </c>
      <c r="P10" s="45" t="n">
        <f aca="false">利润表!I11</f>
        <v>35.633091</v>
      </c>
    </row>
    <row r="11" customFormat="false" ht="15" hidden="false" customHeight="false" outlineLevel="0" collapsed="false">
      <c r="A11" s="4" t="s">
        <v>453</v>
      </c>
      <c r="B11" s="6" t="s">
        <v>147</v>
      </c>
      <c r="C11" s="19" t="n">
        <v>34.43</v>
      </c>
      <c r="D11" s="19" t="n">
        <v>42.63</v>
      </c>
      <c r="E11" s="19" t="n">
        <v>36.51</v>
      </c>
      <c r="F11" s="19" t="n">
        <v>33.29</v>
      </c>
      <c r="G11" s="19" t="n">
        <v>33.41</v>
      </c>
      <c r="H11" s="19" t="n">
        <v>37.71</v>
      </c>
      <c r="I11" s="19" t="n">
        <v>44.94</v>
      </c>
      <c r="J11" s="19" t="n">
        <v>63.16</v>
      </c>
      <c r="K11" s="19" t="n">
        <v>51.86</v>
      </c>
      <c r="L11" s="19" t="n">
        <v>55.48</v>
      </c>
      <c r="M11" s="44" t="n">
        <f aca="false">(P11-O11)*$C$4</f>
        <v>57.8710953</v>
      </c>
      <c r="N11" s="44" t="n">
        <f aca="false">P11-O11-M11</f>
        <v>70.7313387</v>
      </c>
      <c r="O11" s="44" t="n">
        <f aca="false">K11+L11</f>
        <v>107.34</v>
      </c>
      <c r="P11" s="45" t="n">
        <f aca="false">利润表!I12</f>
        <v>235.942434</v>
      </c>
    </row>
    <row r="12" customFormat="false" ht="15" hidden="false" customHeight="false" outlineLevel="0" collapsed="false">
      <c r="A12" s="4" t="s">
        <v>455</v>
      </c>
      <c r="B12" s="6" t="s">
        <v>147</v>
      </c>
      <c r="C12" s="19" t="n">
        <v>59.45</v>
      </c>
      <c r="D12" s="19" t="n">
        <v>71.23</v>
      </c>
      <c r="E12" s="19" t="n">
        <v>66.57</v>
      </c>
      <c r="F12" s="19" t="n">
        <v>52.69</v>
      </c>
      <c r="G12" s="19" t="n">
        <v>61.36</v>
      </c>
      <c r="H12" s="19" t="n">
        <v>60.69</v>
      </c>
      <c r="I12" s="19" t="n">
        <v>75.78</v>
      </c>
      <c r="J12" s="19" t="n">
        <v>84.45</v>
      </c>
      <c r="K12" s="19" t="n">
        <v>76.7</v>
      </c>
      <c r="L12" s="19" t="n">
        <v>83.93</v>
      </c>
      <c r="M12" s="44" t="n">
        <f aca="false">(P12-O12)*$C$4</f>
        <v>83.1315969</v>
      </c>
      <c r="N12" s="44" t="n">
        <f aca="false">P12-O12-M12</f>
        <v>101.6052851</v>
      </c>
      <c r="O12" s="44" t="n">
        <f aca="false">K12+L12</f>
        <v>160.63</v>
      </c>
      <c r="P12" s="45" t="n">
        <f aca="false">利润表!I13</f>
        <v>345.366882</v>
      </c>
    </row>
    <row r="13" customFormat="false" ht="15" hidden="false" customHeight="false" outlineLevel="0" collapsed="false">
      <c r="A13" s="4" t="s">
        <v>457</v>
      </c>
      <c r="B13" s="6" t="s">
        <v>147</v>
      </c>
      <c r="C13" s="19" t="n">
        <v>0.14</v>
      </c>
      <c r="D13" s="19" t="n">
        <v>-0.26</v>
      </c>
      <c r="E13" s="19" t="n">
        <v>1.9</v>
      </c>
      <c r="F13" s="19" t="n">
        <v>-1.88</v>
      </c>
      <c r="G13" s="19" t="n">
        <v>-1.33</v>
      </c>
      <c r="H13" s="19" t="n">
        <v>0.41</v>
      </c>
      <c r="I13" s="19" t="n">
        <v>2</v>
      </c>
      <c r="J13" s="19" t="n">
        <v>5.16</v>
      </c>
      <c r="K13" s="19" t="n">
        <v>5.73</v>
      </c>
      <c r="L13" s="19" t="n">
        <v>7.33</v>
      </c>
      <c r="M13" s="44" t="n">
        <f aca="false">(P13-O13)*$C$4</f>
        <v>-0.4722514875</v>
      </c>
      <c r="N13" s="44" t="n">
        <f aca="false">P13-O13-M13</f>
        <v>-0.5771962625</v>
      </c>
      <c r="O13" s="44" t="n">
        <f aca="false">K13+L13</f>
        <v>13.06</v>
      </c>
      <c r="P13" s="45" t="n">
        <f aca="false">利润表!I14</f>
        <v>12.01055225</v>
      </c>
    </row>
    <row r="14" customFormat="false" ht="15" hidden="false" customHeight="false" outlineLevel="0" collapsed="false">
      <c r="A14" s="4" t="s">
        <v>590</v>
      </c>
      <c r="B14" s="6" t="s">
        <v>147</v>
      </c>
      <c r="C14" s="19" t="n">
        <v>31.16</v>
      </c>
      <c r="D14" s="19" t="n">
        <v>8.16</v>
      </c>
      <c r="E14" s="19" t="n">
        <v>8.81</v>
      </c>
      <c r="F14" s="19" t="n">
        <v>9.96</v>
      </c>
      <c r="G14" s="19" t="n">
        <v>13.14</v>
      </c>
      <c r="H14" s="19" t="n">
        <v>8.04</v>
      </c>
      <c r="I14" s="19" t="n">
        <v>9.36</v>
      </c>
      <c r="J14" s="19" t="n">
        <v>22.65</v>
      </c>
      <c r="K14" s="19" t="n">
        <v>13.17</v>
      </c>
      <c r="L14" s="19" t="n">
        <v>7.5</v>
      </c>
      <c r="M14" s="44" t="n">
        <f aca="false">(P14-O14)*$C$4</f>
        <v>12.9006567</v>
      </c>
      <c r="N14" s="44" t="n">
        <f aca="false">P14-O14-M14</f>
        <v>15.7674693</v>
      </c>
      <c r="O14" s="44" t="n">
        <f aca="false">K14+L14</f>
        <v>20.67</v>
      </c>
      <c r="P14" s="45" t="n">
        <f aca="false">利润表!I15</f>
        <v>49.338126</v>
      </c>
    </row>
    <row r="15" customFormat="false" ht="15" hidden="false" customHeight="false" outlineLevel="0" collapsed="false">
      <c r="A15" s="4" t="s">
        <v>459</v>
      </c>
      <c r="B15" s="6" t="s">
        <v>147</v>
      </c>
      <c r="C15" s="19" t="n">
        <v>2.88</v>
      </c>
      <c r="D15" s="19" t="n">
        <v>1.67</v>
      </c>
      <c r="E15" s="19" t="n">
        <v>3.11</v>
      </c>
      <c r="F15" s="19" t="n">
        <v>4.32</v>
      </c>
      <c r="G15" s="19" t="n">
        <v>9.84</v>
      </c>
      <c r="H15" s="19" t="n">
        <v>4.81</v>
      </c>
      <c r="I15" s="19" t="n">
        <v>-10.86</v>
      </c>
      <c r="J15" s="19" t="n">
        <v>-0.06</v>
      </c>
      <c r="K15" s="19" t="n">
        <v>1.62</v>
      </c>
      <c r="L15" s="19" t="n">
        <v>0.66</v>
      </c>
      <c r="M15" s="44" t="n">
        <f aca="false">(P15-O15)*$C$4</f>
        <v>7.004285505</v>
      </c>
      <c r="N15" s="44" t="n">
        <f aca="false">P15-O15-M15</f>
        <v>8.560793395</v>
      </c>
      <c r="O15" s="44" t="n">
        <f aca="false">K15+L15</f>
        <v>2.28</v>
      </c>
      <c r="P15" s="45" t="n">
        <f aca="false">利润表!I16</f>
        <v>17.8450789</v>
      </c>
    </row>
    <row r="16" customFormat="false" ht="15" hidden="false" customHeight="false" outlineLevel="0" collapsed="false">
      <c r="A16" s="4" t="s">
        <v>460</v>
      </c>
      <c r="B16" s="6" t="s">
        <v>147</v>
      </c>
      <c r="C16" s="19" t="n">
        <v>3.31</v>
      </c>
      <c r="D16" s="19" t="n">
        <v>6.44</v>
      </c>
      <c r="E16" s="19" t="n">
        <v>4.11</v>
      </c>
      <c r="F16" s="19" t="n">
        <v>2.66</v>
      </c>
      <c r="G16" s="19" t="n">
        <v>-4.07</v>
      </c>
      <c r="H16" s="19" t="n">
        <v>1.13</v>
      </c>
      <c r="I16" s="19" t="n">
        <v>16.34</v>
      </c>
      <c r="J16" s="19" t="n">
        <v>6.45</v>
      </c>
      <c r="K16" s="19" t="n">
        <v>2.96</v>
      </c>
      <c r="L16" s="19" t="n">
        <v>4.32</v>
      </c>
      <c r="M16" s="44" t="n">
        <f aca="false">(P16-O16)*$C$4</f>
        <v>0</v>
      </c>
      <c r="N16" s="44" t="n">
        <f aca="false">P16-O16-M16</f>
        <v>0</v>
      </c>
      <c r="O16" s="44" t="n">
        <f aca="false">K16+L16</f>
        <v>7.28</v>
      </c>
      <c r="P16" s="45" t="n">
        <f aca="false">利润表!I17</f>
        <v>7.28</v>
      </c>
    </row>
    <row r="17" customFormat="false" ht="15" hidden="false" customHeight="false" outlineLevel="0" collapsed="false">
      <c r="A17" s="4" t="s">
        <v>462</v>
      </c>
      <c r="B17" s="6" t="s">
        <v>147</v>
      </c>
      <c r="C17" s="19" t="n">
        <v>-4.77</v>
      </c>
      <c r="D17" s="19" t="n">
        <v>-7.56</v>
      </c>
      <c r="E17" s="19" t="n">
        <v>4.04</v>
      </c>
      <c r="F17" s="19" t="n">
        <v>-0.09</v>
      </c>
      <c r="G17" s="19" t="n">
        <v>-11.32</v>
      </c>
      <c r="H17" s="19" t="n">
        <v>-7.91</v>
      </c>
      <c r="I17" s="19" t="n">
        <v>2.07</v>
      </c>
      <c r="J17" s="19" t="n">
        <v>0.04</v>
      </c>
      <c r="K17" s="19" t="n">
        <v>-10.27</v>
      </c>
      <c r="L17" s="19" t="n">
        <v>2.09</v>
      </c>
      <c r="M17" s="44" t="n">
        <f aca="false">(P17-O17)*$C$5</f>
        <v>-0</v>
      </c>
      <c r="N17" s="44" t="n">
        <f aca="false">P17-O17-M17</f>
        <v>-8.266042</v>
      </c>
      <c r="O17" s="44" t="n">
        <f aca="false">K17+L17</f>
        <v>-8.18</v>
      </c>
      <c r="P17" s="45" t="n">
        <f aca="false">利润表!I18</f>
        <v>-16.446042</v>
      </c>
    </row>
    <row r="18" customFormat="false" ht="15" hidden="false" customHeight="false" outlineLevel="0" collapsed="false">
      <c r="A18" s="4" t="s">
        <v>463</v>
      </c>
      <c r="B18" s="6" t="s">
        <v>147</v>
      </c>
      <c r="C18" s="19" t="n">
        <v>0.64</v>
      </c>
      <c r="D18" s="19" t="n">
        <v>-3.29</v>
      </c>
      <c r="E18" s="19" t="n">
        <v>-0.72</v>
      </c>
      <c r="F18" s="19" t="n">
        <v>-16.69</v>
      </c>
      <c r="G18" s="19" t="n">
        <v>-0.24</v>
      </c>
      <c r="H18" s="19" t="n">
        <v>-7.59</v>
      </c>
      <c r="I18" s="19" t="n">
        <v>-0.02</v>
      </c>
      <c r="J18" s="19" t="n">
        <v>-27.96</v>
      </c>
      <c r="K18" s="19" t="n">
        <v>0</v>
      </c>
      <c r="L18" s="19" t="n">
        <v>-0.33</v>
      </c>
      <c r="M18" s="44" t="n">
        <f aca="false">(P18-O18)*$C$5</f>
        <v>-0</v>
      </c>
      <c r="N18" s="44" t="n">
        <f aca="false">P18-O18-M18</f>
        <v>-21.598056</v>
      </c>
      <c r="O18" s="44" t="n">
        <f aca="false">K18+L18</f>
        <v>-0.33</v>
      </c>
      <c r="P18" s="45" t="n">
        <f aca="false">利润表!I19</f>
        <v>-21.928056</v>
      </c>
    </row>
    <row r="19" customFormat="false" ht="15" hidden="false" customHeight="false" outlineLevel="0" collapsed="false">
      <c r="A19" s="4" t="s">
        <v>464</v>
      </c>
      <c r="B19" s="6" t="s">
        <v>147</v>
      </c>
      <c r="C19" s="19" t="n">
        <v>-0.45</v>
      </c>
      <c r="D19" s="19" t="n">
        <v>-0.74</v>
      </c>
      <c r="E19" s="19" t="n">
        <v>-0.17</v>
      </c>
      <c r="F19" s="19" t="n">
        <v>-0.71</v>
      </c>
      <c r="G19" s="19" t="n">
        <v>0</v>
      </c>
      <c r="H19" s="19" t="n">
        <v>-0.06</v>
      </c>
      <c r="I19" s="19" t="n">
        <v>0.81</v>
      </c>
      <c r="J19" s="19" t="n">
        <v>0.01</v>
      </c>
      <c r="K19" s="19" t="n">
        <v>-0.07</v>
      </c>
      <c r="L19" s="19" t="n">
        <v>3.87</v>
      </c>
      <c r="M19" s="44" t="n">
        <f aca="false">(P19-O19)*$C$4</f>
        <v>0</v>
      </c>
      <c r="N19" s="44" t="n">
        <f aca="false">P19-O19-M19</f>
        <v>0</v>
      </c>
      <c r="O19" s="44" t="n">
        <f aca="false">K19+L19</f>
        <v>3.8</v>
      </c>
      <c r="P19" s="45" t="n">
        <f aca="false">利润表!I20</f>
        <v>3.8</v>
      </c>
    </row>
    <row r="20" customFormat="false" ht="15" hidden="false" customHeight="false" outlineLevel="0" collapsed="false">
      <c r="A20" s="4" t="s">
        <v>466</v>
      </c>
      <c r="B20" s="6" t="s">
        <v>147</v>
      </c>
      <c r="C20" s="19" t="n">
        <v>93.18</v>
      </c>
      <c r="D20" s="19" t="n">
        <v>106.17</v>
      </c>
      <c r="E20" s="19" t="n">
        <v>67.69</v>
      </c>
      <c r="F20" s="19" t="n">
        <v>84.23</v>
      </c>
      <c r="G20" s="19" t="n">
        <v>107.8</v>
      </c>
      <c r="H20" s="19" t="n">
        <v>128.12</v>
      </c>
      <c r="I20" s="19" t="n">
        <v>112.59</v>
      </c>
      <c r="J20" s="19" t="n">
        <v>107.38</v>
      </c>
      <c r="K20" s="19" t="n">
        <v>172.17</v>
      </c>
      <c r="L20" s="19" t="n">
        <v>193.92</v>
      </c>
      <c r="M20" s="44" t="n">
        <f aca="false">M7-M8-M9-M10-M11-M12-M13+M14+M15+M16+M17+M18+M19</f>
        <v>187.1931170925</v>
      </c>
      <c r="N20" s="44" t="n">
        <f aca="false">P20-O20-M20</f>
        <v>198.9374895575</v>
      </c>
      <c r="O20" s="44" t="n">
        <f aca="false">K20+L20</f>
        <v>366.09</v>
      </c>
      <c r="P20" s="45" t="n">
        <f aca="false">利润表!I21</f>
        <v>752.22060665</v>
      </c>
    </row>
    <row r="21" customFormat="false" ht="15" hidden="false" customHeight="false" outlineLevel="0" collapsed="false">
      <c r="A21" s="4" t="s">
        <v>468</v>
      </c>
      <c r="B21" s="6" t="s">
        <v>147</v>
      </c>
      <c r="C21" s="19" t="n">
        <v>93.87</v>
      </c>
      <c r="D21" s="19" t="n">
        <v>106.64</v>
      </c>
      <c r="E21" s="19" t="n">
        <v>64.82</v>
      </c>
      <c r="F21" s="19" t="n">
        <v>79.02</v>
      </c>
      <c r="G21" s="19" t="n">
        <v>108.6</v>
      </c>
      <c r="H21" s="19" t="n">
        <v>128.03</v>
      </c>
      <c r="I21" s="19" t="n">
        <v>110.93</v>
      </c>
      <c r="J21" s="19" t="n">
        <v>118.97</v>
      </c>
      <c r="K21" s="19" t="n">
        <v>168.96</v>
      </c>
      <c r="L21" s="19" t="n">
        <v>194.16</v>
      </c>
      <c r="M21" s="44" t="n">
        <f aca="false">M20+((P21-O21)-(P20-O20))*$C$4</f>
        <v>188.5296170925</v>
      </c>
      <c r="N21" s="44" t="n">
        <f aca="false">P21-O21-M21</f>
        <v>200.5709895575</v>
      </c>
      <c r="O21" s="44" t="n">
        <f aca="false">K21+L21</f>
        <v>363.12</v>
      </c>
      <c r="P21" s="45" t="n">
        <f aca="false">利润表!I23</f>
        <v>752.22060665</v>
      </c>
    </row>
    <row r="22" customFormat="false" ht="15" hidden="false" customHeight="false" outlineLevel="0" collapsed="false">
      <c r="A22" s="4" t="s">
        <v>376</v>
      </c>
      <c r="B22" s="6" t="s">
        <v>147</v>
      </c>
      <c r="C22" s="19" t="n">
        <v>15.15</v>
      </c>
      <c r="D22" s="19" t="n">
        <v>3.43</v>
      </c>
      <c r="E22" s="19" t="n">
        <v>3.15</v>
      </c>
      <c r="F22" s="19" t="n">
        <v>-3.66</v>
      </c>
      <c r="G22" s="19" t="n">
        <v>12.59</v>
      </c>
      <c r="H22" s="19" t="n">
        <v>15.37</v>
      </c>
      <c r="I22" s="19" t="n">
        <v>9.23</v>
      </c>
      <c r="J22" s="19" t="n">
        <v>2.95</v>
      </c>
      <c r="K22" s="19" t="n">
        <v>20.66</v>
      </c>
      <c r="L22" s="19" t="n">
        <v>34.06</v>
      </c>
      <c r="M22" s="44" t="n">
        <f aca="false">M21*(P22-O22)/(P21-O21)</f>
        <v>16.1466393783222</v>
      </c>
      <c r="N22" s="44" t="n">
        <f aca="false">P22-O22-M22</f>
        <v>17.1779240210795</v>
      </c>
      <c r="O22" s="44" t="n">
        <f aca="false">K22+L22</f>
        <v>54.72</v>
      </c>
      <c r="P22" s="45" t="n">
        <f aca="false">利润表!I24</f>
        <v>88.0445633994018</v>
      </c>
    </row>
    <row r="23" customFormat="false" ht="15" hidden="false" customHeight="false" outlineLevel="0" collapsed="false">
      <c r="A23" s="4" t="s">
        <v>470</v>
      </c>
      <c r="B23" s="6" t="s">
        <v>147</v>
      </c>
      <c r="C23" s="19" t="n">
        <v>78.72</v>
      </c>
      <c r="D23" s="19" t="n">
        <v>103.21</v>
      </c>
      <c r="E23" s="19" t="n">
        <v>61.67</v>
      </c>
      <c r="F23" s="19" t="n">
        <v>82.68</v>
      </c>
      <c r="G23" s="19" t="n">
        <v>96.01</v>
      </c>
      <c r="H23" s="19" t="n">
        <v>112.66</v>
      </c>
      <c r="I23" s="19" t="n">
        <v>101.7</v>
      </c>
      <c r="J23" s="19" t="n">
        <v>116.02</v>
      </c>
      <c r="K23" s="19" t="n">
        <v>148.3</v>
      </c>
      <c r="L23" s="19" t="n">
        <v>160.1</v>
      </c>
      <c r="M23" s="44" t="n">
        <f aca="false">M21-M22</f>
        <v>172.382977714178</v>
      </c>
      <c r="N23" s="44" t="n">
        <f aca="false">P23-O23-M23</f>
        <v>183.39306553642</v>
      </c>
      <c r="O23" s="44" t="n">
        <f aca="false">K23+L23</f>
        <v>308.4</v>
      </c>
      <c r="P23" s="45" t="n">
        <f aca="false">利润表!I25</f>
        <v>664.176043250598</v>
      </c>
    </row>
    <row r="24" customFormat="false" ht="15" hidden="false" customHeight="false" outlineLevel="0" collapsed="false">
      <c r="A24" s="4" t="s">
        <v>591</v>
      </c>
      <c r="B24" s="6" t="s">
        <v>147</v>
      </c>
      <c r="C24" s="19" t="n">
        <v>77.43</v>
      </c>
      <c r="D24" s="19" t="n">
        <v>94.82</v>
      </c>
      <c r="E24" s="19" t="n">
        <v>62.4</v>
      </c>
      <c r="F24" s="19" t="n">
        <v>79.57</v>
      </c>
      <c r="G24" s="19" t="n">
        <v>105.09</v>
      </c>
      <c r="H24" s="19" t="n">
        <v>116.63</v>
      </c>
      <c r="I24" s="19" t="n">
        <v>112.01</v>
      </c>
      <c r="J24" s="19" t="n">
        <v>109.46</v>
      </c>
      <c r="K24" s="19" t="n">
        <v>143.72</v>
      </c>
      <c r="L24" s="19" t="n">
        <v>151.06</v>
      </c>
      <c r="M24" s="44" t="n">
        <f aca="false">M23*(P24-O24)/(P23-O23)</f>
        <v>156.57145645292</v>
      </c>
      <c r="N24" s="44" t="n">
        <f aca="false">P24-O24-M24</f>
        <v>166.571663601339</v>
      </c>
      <c r="O24" s="44" t="n">
        <f aca="false">K24+L24</f>
        <v>294.78</v>
      </c>
      <c r="P24" s="45" t="n">
        <f aca="false">利润表!I27</f>
        <v>617.923120054259</v>
      </c>
    </row>
    <row r="25" customFormat="false" ht="15" hidden="false" customHeight="false" outlineLevel="0" collapsed="false">
      <c r="A25" s="6" t="s">
        <v>389</v>
      </c>
      <c r="B25" s="6" t="s">
        <v>147</v>
      </c>
      <c r="C25" s="44" t="n">
        <f aca="false">C23-C24</f>
        <v>1.28999999999999</v>
      </c>
      <c r="D25" s="44" t="n">
        <f aca="false">D23-D24</f>
        <v>8.39</v>
      </c>
      <c r="E25" s="44" t="n">
        <f aca="false">E23-E24</f>
        <v>-0.729999999999997</v>
      </c>
      <c r="F25" s="44" t="n">
        <f aca="false">F23-F24</f>
        <v>3.11000000000001</v>
      </c>
      <c r="G25" s="44" t="n">
        <f aca="false">G23-G24</f>
        <v>-9.08</v>
      </c>
      <c r="H25" s="44" t="n">
        <f aca="false">H23-H24</f>
        <v>-3.97</v>
      </c>
      <c r="I25" s="44" t="n">
        <f aca="false">I23-I24</f>
        <v>-10.31</v>
      </c>
      <c r="J25" s="44" t="n">
        <f aca="false">J23-J24</f>
        <v>6.56</v>
      </c>
      <c r="K25" s="44" t="n">
        <f aca="false">K23-K24</f>
        <v>4.58000000000001</v>
      </c>
      <c r="L25" s="44" t="n">
        <f aca="false">L23-L24</f>
        <v>9.03999999999999</v>
      </c>
      <c r="M25" s="44" t="n">
        <f aca="false">M23-M24</f>
        <v>15.8115212612579</v>
      </c>
      <c r="N25" s="44" t="n">
        <f aca="false">N23-N24</f>
        <v>16.8214019350815</v>
      </c>
      <c r="O25" s="44" t="n">
        <f aca="false">O23-O24</f>
        <v>13.62</v>
      </c>
      <c r="P25" s="44" t="n">
        <f aca="false">P23-P24</f>
        <v>46.2529231963393</v>
      </c>
    </row>
    <row r="26" customFormat="false" ht="15" hidden="false" customHeight="false" outlineLevel="0" collapsed="false">
      <c r="A26" s="6" t="s">
        <v>152</v>
      </c>
      <c r="B26" s="9" t="s">
        <v>94</v>
      </c>
      <c r="C26" s="13" t="n">
        <f aca="false">1-C8/C7</f>
        <v>0.396368068251066</v>
      </c>
      <c r="D26" s="13" t="n">
        <f aca="false">1-D8/D7</f>
        <v>0.454702175722268</v>
      </c>
      <c r="E26" s="13" t="n">
        <f aca="false">1-E8/E7</f>
        <v>0.412316568418412</v>
      </c>
      <c r="F26" s="13" t="n">
        <f aca="false">1-F8/F7</f>
        <v>0.415878575598365</v>
      </c>
      <c r="G26" s="13" t="n">
        <f aca="false">1-G8/G7</f>
        <v>0.499556933983164</v>
      </c>
      <c r="H26" s="13" t="n">
        <f aca="false">1-H8/H7</f>
        <v>0.4862434706328</v>
      </c>
      <c r="I26" s="13" t="n">
        <f aca="false">1-I8/I7</f>
        <v>0.484673197095085</v>
      </c>
      <c r="J26" s="13" t="n">
        <f aca="false">1-J8/J7</f>
        <v>0.439258372452034</v>
      </c>
      <c r="K26" s="13" t="n">
        <f aca="false">1-K8/K7</f>
        <v>0.507406752127129</v>
      </c>
      <c r="L26" s="13" t="n">
        <f aca="false">1-L8/L7</f>
        <v>0.495452557936161</v>
      </c>
      <c r="M26" s="13" t="n">
        <f aca="false">1-M8/M7</f>
        <v>0.503439247210917</v>
      </c>
      <c r="N26" s="13" t="n">
        <f aca="false">1-N8/N7</f>
        <v>0.503439247210917</v>
      </c>
      <c r="O26" s="13" t="n">
        <f aca="false">1-O8/O7</f>
        <v>0.501135468677122</v>
      </c>
      <c r="P26" s="13" t="n">
        <f aca="false">1-P8/P7</f>
        <v>0.502340034155331</v>
      </c>
    </row>
    <row r="27" customFormat="false" ht="15" hidden="false" customHeight="false" outlineLevel="0" collapsed="false">
      <c r="A27" s="6" t="s">
        <v>592</v>
      </c>
      <c r="B27" s="9" t="s">
        <v>94</v>
      </c>
      <c r="C27" s="13" t="n">
        <f aca="false">(C10+C11+C12)/C7</f>
        <v>0.241413772090189</v>
      </c>
      <c r="D27" s="13" t="n">
        <f aca="false">(D10+D11+D12)/D7</f>
        <v>0.243886973407839</v>
      </c>
      <c r="E27" s="13" t="n">
        <f aca="false">(E10+E11+E12)/E7</f>
        <v>0.2759312680296</v>
      </c>
      <c r="F27" s="13" t="n">
        <f aca="false">(F10+F11+F12)/F7</f>
        <v>0.209246935201401</v>
      </c>
      <c r="G27" s="13" t="n">
        <f aca="false">(G10+G11+G12)/G7</f>
        <v>0.245064736868016</v>
      </c>
      <c r="H27" s="13" t="n">
        <f aca="false">(H10+H11+H12)/H7</f>
        <v>0.209976474341082</v>
      </c>
      <c r="I27" s="13" t="n">
        <f aca="false">(I10+I11+I12)/I7</f>
        <v>0.270097956426279</v>
      </c>
      <c r="J27" s="13" t="n">
        <f aca="false">(J10+J11+J12)/J7</f>
        <v>0.252307740776913</v>
      </c>
      <c r="K27" s="13" t="n">
        <f aca="false">(K10+K11+K12)/K7</f>
        <v>0.219259163945764</v>
      </c>
      <c r="L27" s="13" t="n">
        <f aca="false">(L10+L11+L12)/L7</f>
        <v>0.216367876402857</v>
      </c>
      <c r="M27" s="13" t="n">
        <f aca="false">(M10+M11+M12)/M7</f>
        <v>0.231773470408749</v>
      </c>
      <c r="N27" s="13" t="n">
        <f aca="false">(N10+N11+N12)/N7</f>
        <v>0.231773470408749</v>
      </c>
      <c r="O27" s="13" t="n">
        <f aca="false">(O10+O11+O12)/O7</f>
        <v>0.217742367127226</v>
      </c>
      <c r="P27" s="13" t="n">
        <f aca="false">(P10+P11+P12)/P7</f>
        <v>0.225078741863848</v>
      </c>
    </row>
    <row r="28" customFormat="false" ht="15" hidden="false" customHeight="false" outlineLevel="0" collapsed="false">
      <c r="A28" s="6" t="s">
        <v>365</v>
      </c>
      <c r="B28" s="9" t="s">
        <v>94</v>
      </c>
      <c r="C28" s="13" t="n">
        <f aca="false">C12/C7</f>
        <v>0.144911639244363</v>
      </c>
      <c r="D28" s="13" t="n">
        <f aca="false">D12/D7</f>
        <v>0.141144532952879</v>
      </c>
      <c r="E28" s="13" t="n">
        <f aca="false">E12/E7</f>
        <v>0.166988586479368</v>
      </c>
      <c r="F28" s="13" t="n">
        <f aca="false">F12/F7</f>
        <v>0.123035610040864</v>
      </c>
      <c r="G28" s="13" t="n">
        <f aca="false">G12/G7</f>
        <v>0.151036282183823</v>
      </c>
      <c r="H28" s="13" t="n">
        <f aca="false">H12/H7</f>
        <v>0.120997647434108</v>
      </c>
      <c r="I28" s="13" t="n">
        <f aca="false">I12/I7</f>
        <v>0.159981422057085</v>
      </c>
      <c r="J28" s="13" t="n">
        <f aca="false">J12/J7</f>
        <v>0.133029835228884</v>
      </c>
      <c r="K28" s="13" t="n">
        <f aca="false">K12/K7</f>
        <v>0.123365448024062</v>
      </c>
      <c r="L28" s="13" t="n">
        <f aca="false">L12/L7</f>
        <v>0.122329106544236</v>
      </c>
      <c r="M28" s="13" t="n">
        <f aca="false">M12/M7</f>
        <v>0.128900255865116</v>
      </c>
      <c r="N28" s="13" t="n">
        <f aca="false">N12/N7</f>
        <v>0.128900255865116</v>
      </c>
      <c r="O28" s="13" t="n">
        <f aca="false">O12/O7</f>
        <v>0.122821773472087</v>
      </c>
      <c r="P28" s="13" t="n">
        <f aca="false">P12/P7</f>
        <v>0.126</v>
      </c>
    </row>
    <row r="29" customFormat="false" ht="15" hidden="false" customHeight="false" outlineLevel="0" collapsed="false">
      <c r="A29" s="6" t="s">
        <v>480</v>
      </c>
      <c r="B29" s="9" t="s">
        <v>94</v>
      </c>
      <c r="C29" s="13" t="n">
        <f aca="false">C24/C7</f>
        <v>0.188738574040219</v>
      </c>
      <c r="D29" s="13" t="n">
        <f aca="false">D24/D7</f>
        <v>0.187888875678675</v>
      </c>
      <c r="E29" s="13" t="n">
        <f aca="false">E24/E7</f>
        <v>0.156528282954973</v>
      </c>
      <c r="F29" s="13" t="n">
        <f aca="false">F24/F7</f>
        <v>0.185802685347344</v>
      </c>
      <c r="G29" s="13" t="n">
        <f aca="false">G24/G7</f>
        <v>0.258676709496382</v>
      </c>
      <c r="H29" s="13" t="n">
        <f aca="false">H24/H7</f>
        <v>0.23252522030384</v>
      </c>
      <c r="I29" s="13" t="n">
        <f aca="false">I24/I7</f>
        <v>0.236467657490289</v>
      </c>
      <c r="J29" s="13" t="n">
        <f aca="false">J24/J7</f>
        <v>0.1724268296525</v>
      </c>
      <c r="K29" s="13" t="n">
        <f aca="false">K24/K7</f>
        <v>0.231161436636482</v>
      </c>
      <c r="L29" s="13" t="n">
        <f aca="false">L24/L7</f>
        <v>0.220171986590876</v>
      </c>
      <c r="M29" s="13" t="n">
        <f aca="false">M24/M7</f>
        <v>0.24277292329934</v>
      </c>
      <c r="N29" s="13" t="n">
        <f aca="false">N24/N7</f>
        <v>0.211319027715525</v>
      </c>
      <c r="O29" s="13" t="n">
        <f aca="false">O24/O7</f>
        <v>0.225396267098935</v>
      </c>
      <c r="P29" s="13" t="n">
        <f aca="false">P24/P7</f>
        <v>0.225436534840757</v>
      </c>
    </row>
    <row r="30" customFormat="false" ht="15" hidden="false" customHeight="false" outlineLevel="0" collapsed="false">
      <c r="A30" s="6" t="s">
        <v>165</v>
      </c>
      <c r="B30" s="9" t="s">
        <v>94</v>
      </c>
      <c r="G30" s="13" t="n">
        <f aca="false">G7/C7-1</f>
        <v>-0.00972577696526511</v>
      </c>
      <c r="H30" s="13" t="n">
        <f aca="false">H7/D7-1</f>
        <v>-0.00610311893155802</v>
      </c>
      <c r="I30" s="13" t="n">
        <f aca="false">I7/E7-1</f>
        <v>0.188210209456917</v>
      </c>
      <c r="J30" s="13" t="n">
        <f aca="false">J7/F7-1</f>
        <v>0.482358435493287</v>
      </c>
      <c r="K30" s="13" t="n">
        <f aca="false">K7/G7-1</f>
        <v>0.530374636932014</v>
      </c>
      <c r="L30" s="13" t="n">
        <f aca="false">L7/H7-1</f>
        <v>0.367877507077635</v>
      </c>
      <c r="M30" s="13" t="n">
        <f aca="false">M7/I7-1</f>
        <v>0.361530252491133</v>
      </c>
      <c r="N30" s="13" t="n">
        <f aca="false">N7/J7-1</f>
        <v>0.241686383541792</v>
      </c>
    </row>
    <row r="31" customFormat="false" ht="15" hidden="false" customHeight="false" outlineLevel="0" collapsed="false">
      <c r="A31" s="6" t="s">
        <v>593</v>
      </c>
      <c r="B31" s="9" t="s">
        <v>94</v>
      </c>
      <c r="G31" s="13" t="n">
        <f aca="false">G24/C24-1</f>
        <v>0.357225881441302</v>
      </c>
      <c r="H31" s="13" t="n">
        <f aca="false">H24/D24-1</f>
        <v>0.230014764817549</v>
      </c>
      <c r="I31" s="13" t="n">
        <f aca="false">I24/E24-1</f>
        <v>0.795032051282052</v>
      </c>
      <c r="J31" s="13" t="n">
        <f aca="false">J24/F24-1</f>
        <v>0.37564408696745</v>
      </c>
      <c r="K31" s="13" t="n">
        <f aca="false">K24/G24-1</f>
        <v>0.367589685031877</v>
      </c>
      <c r="L31" s="13" t="n">
        <f aca="false">L24/H24-1</f>
        <v>0.295207065077596</v>
      </c>
      <c r="M31" s="13" t="n">
        <f aca="false">M24/I24-1</f>
        <v>0.397834625952325</v>
      </c>
      <c r="N31" s="13" t="n">
        <f aca="false">N24/J24-1</f>
        <v>0.521758300761365</v>
      </c>
    </row>
    <row r="32" customFormat="false" ht="15" hidden="false" customHeight="false" outlineLevel="0" collapsed="false">
      <c r="A32" s="6" t="s">
        <v>594</v>
      </c>
      <c r="B32" s="9" t="s">
        <v>94</v>
      </c>
      <c r="D32" s="13" t="n">
        <f aca="false">D7/C7-1</f>
        <v>0.230127970749543</v>
      </c>
      <c r="E32" s="13" t="n">
        <f aca="false">E7/D7-1</f>
        <v>-0.210062220108588</v>
      </c>
      <c r="F32" s="13" t="n">
        <f aca="false">F7/E7-1</f>
        <v>0.0742505957606925</v>
      </c>
      <c r="G32" s="13" t="n">
        <f aca="false">G7/F7-1</f>
        <v>-0.0513485113835377</v>
      </c>
      <c r="H32" s="13" t="n">
        <f aca="false">H7/G7-1</f>
        <v>0.234628070693645</v>
      </c>
      <c r="I32" s="13" t="n">
        <f aca="false">I7/H7-1</f>
        <v>-0.0556242274412855</v>
      </c>
      <c r="J32" s="13" t="n">
        <f aca="false">J7/I7-1</f>
        <v>0.340187468333052</v>
      </c>
      <c r="K32" s="13" t="n">
        <f aca="false">K7/J7-1</f>
        <v>-0.0206200182728963</v>
      </c>
      <c r="L32" s="13" t="n">
        <f aca="false">L7/K7-1</f>
        <v>0.10353368825696</v>
      </c>
      <c r="M32" s="13" t="n">
        <f aca="false">M7/L7-1</f>
        <v>-0.0600063401836467</v>
      </c>
      <c r="N32" s="13" t="n">
        <f aca="false">N7/M7-1</f>
        <v>0.222222222222222</v>
      </c>
    </row>
    <row r="33" customFormat="false" ht="15" hidden="false" customHeight="false" outlineLevel="0" collapsed="false">
      <c r="A33" s="4" t="s">
        <v>547</v>
      </c>
      <c r="B33" s="6" t="s">
        <v>147</v>
      </c>
      <c r="C33" s="19" t="n">
        <v>-116.38</v>
      </c>
      <c r="D33" s="19" t="n">
        <v>122.25</v>
      </c>
      <c r="E33" s="19" t="n">
        <v>130.99</v>
      </c>
      <c r="F33" s="19" t="n">
        <v>127.93</v>
      </c>
      <c r="G33" s="19" t="n">
        <v>158.23</v>
      </c>
      <c r="H33" s="19" t="n">
        <v>32.96</v>
      </c>
      <c r="I33" s="19" t="n">
        <v>17.92</v>
      </c>
      <c r="J33" s="19" t="n">
        <v>52.75</v>
      </c>
      <c r="K33" s="19" t="n">
        <v>20.71</v>
      </c>
      <c r="L33" s="19" t="n">
        <v>115.54</v>
      </c>
    </row>
    <row r="34" customFormat="false" ht="15" hidden="false" customHeight="false" outlineLevel="0" collapsed="false">
      <c r="A34" s="4" t="s">
        <v>595</v>
      </c>
      <c r="B34" s="6" t="s">
        <v>147</v>
      </c>
      <c r="C34" s="19" t="n">
        <v>74.84</v>
      </c>
      <c r="D34" s="19" t="n">
        <v>70.16</v>
      </c>
      <c r="E34" s="19" t="n">
        <v>103.1</v>
      </c>
      <c r="F34" s="19" t="n">
        <v>121.76</v>
      </c>
      <c r="G34" s="19" t="n">
        <v>107.29</v>
      </c>
      <c r="H34" s="19" t="n">
        <v>123.08</v>
      </c>
      <c r="I34" s="19" t="n">
        <v>197.75</v>
      </c>
      <c r="J34" s="19" t="n">
        <v>130.83</v>
      </c>
      <c r="K34" s="19" t="n">
        <v>195.28</v>
      </c>
      <c r="L34" s="19" t="n">
        <v>222.33</v>
      </c>
    </row>
    <row r="36" customFormat="false" ht="15" hidden="false" customHeight="false" outlineLevel="0" collapsed="false">
      <c r="A36" s="21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9"/>
    <col collapsed="false" customWidth="true" hidden="false" outlineLevel="0" max="17" min="3" style="1" width="10"/>
    <col collapsed="false" customWidth="true" hidden="false" outlineLevel="0" max="18" min="18" style="1" width="4"/>
    <col collapsed="false" customWidth="true" hidden="false" outlineLevel="0" max="19" min="19" style="1" width="50"/>
  </cols>
  <sheetData>
    <row r="1" customFormat="false" ht="21.6" hidden="false" customHeight="false" outlineLevel="0" collapsed="false">
      <c r="A1" s="64" t="s">
        <v>597</v>
      </c>
    </row>
    <row r="2" customFormat="false" ht="15" hidden="false" customHeight="false" outlineLevel="0" collapsed="false">
      <c r="A2" s="21" t="s">
        <v>598</v>
      </c>
    </row>
    <row r="4" customFormat="false" ht="15" hidden="false" customHeight="false" outlineLevel="0" collapsed="false">
      <c r="A4" s="30" t="s">
        <v>599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customFormat="false" ht="15" hidden="false" customHeight="false" outlineLevel="0" collapsed="false">
      <c r="A5" s="25" t="s">
        <v>600</v>
      </c>
      <c r="B5" s="37" t="s">
        <v>439</v>
      </c>
      <c r="C5" s="49" t="n">
        <v>97.43</v>
      </c>
      <c r="D5" s="36" t="s">
        <v>601</v>
      </c>
    </row>
    <row r="6" customFormat="false" ht="15" hidden="false" customHeight="false" outlineLevel="0" collapsed="false">
      <c r="A6" s="25" t="s">
        <v>602</v>
      </c>
      <c r="B6" s="37" t="s">
        <v>424</v>
      </c>
      <c r="C6" s="49" t="n">
        <v>525.7271</v>
      </c>
      <c r="D6" s="21" t="s">
        <v>603</v>
      </c>
    </row>
    <row r="7" customFormat="false" ht="15" hidden="false" customHeight="false" outlineLevel="0" collapsed="false">
      <c r="A7" s="25" t="s">
        <v>604</v>
      </c>
      <c r="B7" s="37" t="s">
        <v>147</v>
      </c>
      <c r="C7" s="65" t="n">
        <f aca="false">C5*C6</f>
        <v>51221.591353</v>
      </c>
    </row>
    <row r="8" customFormat="false" ht="15" hidden="false" customHeight="false" outlineLevel="0" collapsed="false">
      <c r="A8" s="25" t="s">
        <v>605</v>
      </c>
      <c r="B8" s="23"/>
      <c r="C8" s="66" t="n">
        <f aca="false">DATE(2026,10,6)</f>
        <v>46301</v>
      </c>
    </row>
    <row r="9" customFormat="false" ht="15" hidden="false" customHeight="false" outlineLevel="0" collapsed="false">
      <c r="A9" s="25" t="s">
        <v>606</v>
      </c>
      <c r="B9" s="23" t="s">
        <v>94</v>
      </c>
      <c r="C9" s="33" t="n">
        <v>0.0175</v>
      </c>
      <c r="D9" s="36" t="s">
        <v>607</v>
      </c>
    </row>
    <row r="10" customFormat="false" ht="15" hidden="false" customHeight="false" outlineLevel="0" collapsed="false">
      <c r="A10" s="25" t="s">
        <v>608</v>
      </c>
      <c r="B10" s="23" t="s">
        <v>94</v>
      </c>
      <c r="C10" s="33" t="n">
        <v>0.065</v>
      </c>
      <c r="D10" s="36" t="s">
        <v>609</v>
      </c>
    </row>
    <row r="11" customFormat="false" ht="15" hidden="false" customHeight="false" outlineLevel="0" collapsed="false">
      <c r="A11" s="53" t="s">
        <v>610</v>
      </c>
      <c r="B11" s="23" t="s">
        <v>195</v>
      </c>
      <c r="C11" s="49" t="n">
        <v>1.2</v>
      </c>
      <c r="D11" s="21" t="s">
        <v>611</v>
      </c>
    </row>
    <row r="12" customFormat="false" ht="15" hidden="false" customHeight="false" outlineLevel="0" collapsed="false">
      <c r="A12" s="25" t="s">
        <v>612</v>
      </c>
      <c r="B12" s="23" t="s">
        <v>94</v>
      </c>
      <c r="C12" s="67" t="n">
        <f aca="false">C9+C11*C10</f>
        <v>0.0955</v>
      </c>
    </row>
    <row r="13" customFormat="false" ht="15" hidden="false" customHeight="false" outlineLevel="0" collapsed="false">
      <c r="A13" s="25" t="s">
        <v>613</v>
      </c>
      <c r="B13" s="23" t="s">
        <v>94</v>
      </c>
      <c r="C13" s="33" t="n">
        <v>0.03</v>
      </c>
    </row>
    <row r="14" customFormat="false" ht="15" hidden="false" customHeight="false" outlineLevel="0" collapsed="false">
      <c r="A14" s="25" t="s">
        <v>614</v>
      </c>
      <c r="B14" s="23" t="s">
        <v>94</v>
      </c>
      <c r="C14" s="33" t="n">
        <v>0.15</v>
      </c>
    </row>
    <row r="15" customFormat="false" ht="15" hidden="false" customHeight="false" outlineLevel="0" collapsed="false">
      <c r="A15" s="25" t="s">
        <v>615</v>
      </c>
      <c r="B15" s="23" t="s">
        <v>94</v>
      </c>
      <c r="C15" s="33" t="n">
        <v>0.05</v>
      </c>
      <c r="D15" s="21" t="s">
        <v>616</v>
      </c>
    </row>
    <row r="16" customFormat="false" ht="15" hidden="false" customHeight="false" outlineLevel="0" collapsed="false">
      <c r="A16" s="68" t="s">
        <v>617</v>
      </c>
      <c r="B16" s="23" t="s">
        <v>94</v>
      </c>
      <c r="C16" s="35" t="n">
        <f aca="false">C12*(1-C15)+C13*(1-C14)*C15</f>
        <v>0.092</v>
      </c>
    </row>
    <row r="17" customFormat="false" ht="15" hidden="false" customHeight="false" outlineLevel="0" collapsed="false">
      <c r="A17" s="22" t="s">
        <v>618</v>
      </c>
      <c r="B17" s="23" t="s">
        <v>94</v>
      </c>
      <c r="C17" s="35" t="n">
        <f aca="false">MAX(利润表!M6,C18)</f>
        <v>0.10865911445442</v>
      </c>
      <c r="D17" s="21" t="s">
        <v>619</v>
      </c>
    </row>
    <row r="18" customFormat="false" ht="15" hidden="false" customHeight="false" outlineLevel="0" collapsed="false">
      <c r="A18" s="25" t="s">
        <v>620</v>
      </c>
      <c r="B18" s="23" t="s">
        <v>94</v>
      </c>
      <c r="C18" s="33" t="n">
        <v>0.025</v>
      </c>
    </row>
    <row r="19" customFormat="false" ht="15" hidden="false" customHeight="false" outlineLevel="0" collapsed="false">
      <c r="A19" s="25" t="s">
        <v>621</v>
      </c>
      <c r="B19" s="23" t="s">
        <v>94</v>
      </c>
      <c r="C19" s="33" t="n">
        <v>0.15</v>
      </c>
      <c r="D19" s="21" t="s">
        <v>622</v>
      </c>
    </row>
    <row r="20" customFormat="false" ht="15" hidden="false" customHeight="false" outlineLevel="0" collapsed="false">
      <c r="A20" s="25" t="s">
        <v>623</v>
      </c>
      <c r="B20" s="23" t="s">
        <v>94</v>
      </c>
      <c r="C20" s="33" t="n">
        <v>0.27</v>
      </c>
      <c r="D20" s="21" t="s">
        <v>624</v>
      </c>
    </row>
    <row r="21" customFormat="false" ht="15" hidden="false" customHeight="false" outlineLevel="0" collapsed="false">
      <c r="A21" s="53" t="s">
        <v>625</v>
      </c>
      <c r="B21" s="37" t="s">
        <v>277</v>
      </c>
      <c r="C21" s="69" t="n">
        <f aca="false">(DATE(2026,12,31)-C8)/365</f>
        <v>0.235616438356164</v>
      </c>
    </row>
    <row r="22" customFormat="false" ht="15" hidden="false" customHeight="false" outlineLevel="0" collapsed="false">
      <c r="A22" s="53" t="s">
        <v>626</v>
      </c>
      <c r="B22" s="37" t="s">
        <v>277</v>
      </c>
      <c r="C22" s="69" t="n">
        <f aca="false">(DATE(2026,9,30)-C8)/365</f>
        <v>-0.0164383561643836</v>
      </c>
      <c r="D22" s="21" t="s">
        <v>627</v>
      </c>
    </row>
    <row r="23" customFormat="false" ht="15" hidden="false" customHeight="false" outlineLevel="0" collapsed="false">
      <c r="A23" s="53" t="s">
        <v>628</v>
      </c>
      <c r="B23" s="37" t="s">
        <v>147</v>
      </c>
      <c r="C23" s="38" t="n">
        <v>-281.35</v>
      </c>
      <c r="D23" s="36" t="s">
        <v>629</v>
      </c>
    </row>
    <row r="25" customFormat="false" ht="15" hidden="false" customHeight="false" outlineLevel="0" collapsed="false">
      <c r="A25" s="30" t="s">
        <v>630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customFormat="false" ht="15" hidden="false" customHeight="false" outlineLevel="0" collapsed="false">
      <c r="A26" s="4" t="s">
        <v>147</v>
      </c>
      <c r="B26" s="4" t="s">
        <v>44</v>
      </c>
      <c r="C26" s="5" t="s">
        <v>4</v>
      </c>
      <c r="D26" s="5" t="s">
        <v>5</v>
      </c>
      <c r="E26" s="5" t="s">
        <v>6</v>
      </c>
      <c r="F26" s="5" t="s">
        <v>90</v>
      </c>
      <c r="G26" s="5" t="s">
        <v>91</v>
      </c>
      <c r="H26" s="5" t="s">
        <v>631</v>
      </c>
      <c r="I26" s="5" t="s">
        <v>632</v>
      </c>
      <c r="J26" s="5" t="s">
        <v>633</v>
      </c>
      <c r="K26" s="5" t="s">
        <v>634</v>
      </c>
      <c r="L26" s="5" t="s">
        <v>635</v>
      </c>
      <c r="M26" s="5" t="s">
        <v>636</v>
      </c>
      <c r="N26" s="5" t="s">
        <v>637</v>
      </c>
      <c r="O26" s="5" t="s">
        <v>638</v>
      </c>
      <c r="P26" s="5" t="s">
        <v>639</v>
      </c>
      <c r="Q26" s="5" t="s">
        <v>640</v>
      </c>
    </row>
    <row r="27" customFormat="false" ht="15" hidden="false" customHeight="false" outlineLevel="0" collapsed="false">
      <c r="A27" s="6" t="s">
        <v>641</v>
      </c>
      <c r="B27" s="6"/>
      <c r="C27" s="6" t="s">
        <v>642</v>
      </c>
      <c r="D27" s="6" t="s">
        <v>642</v>
      </c>
      <c r="E27" s="6" t="s">
        <v>642</v>
      </c>
      <c r="F27" s="6" t="s">
        <v>642</v>
      </c>
      <c r="G27" s="6" t="s">
        <v>642</v>
      </c>
      <c r="H27" s="6" t="s">
        <v>643</v>
      </c>
      <c r="I27" s="6" t="s">
        <v>643</v>
      </c>
      <c r="J27" s="6" t="s">
        <v>643</v>
      </c>
      <c r="K27" s="6" t="s">
        <v>643</v>
      </c>
      <c r="L27" s="6" t="s">
        <v>643</v>
      </c>
      <c r="M27" s="6" t="s">
        <v>643</v>
      </c>
      <c r="N27" s="6" t="s">
        <v>643</v>
      </c>
      <c r="O27" s="6" t="s">
        <v>643</v>
      </c>
      <c r="P27" s="6" t="s">
        <v>643</v>
      </c>
      <c r="Q27" s="6" t="s">
        <v>643</v>
      </c>
    </row>
    <row r="28" customFormat="false" ht="15" hidden="false" customHeight="false" outlineLevel="0" collapsed="false">
      <c r="A28" s="6" t="s">
        <v>449</v>
      </c>
      <c r="B28" s="6" t="s">
        <v>147</v>
      </c>
      <c r="C28" s="45" t="n">
        <f aca="false">利润表!I5</f>
        <v>2741.007</v>
      </c>
      <c r="D28" s="45" t="n">
        <f aca="false">利润表!J5</f>
        <v>3510.45614</v>
      </c>
      <c r="E28" s="45" t="n">
        <f aca="false">利润表!K5</f>
        <v>4419.9683774</v>
      </c>
      <c r="F28" s="45" t="n">
        <f aca="false">利润表!L5</f>
        <v>5143.525043502</v>
      </c>
      <c r="G28" s="45" t="n">
        <f aca="false">利润表!M5</f>
        <v>5702.41591990306</v>
      </c>
      <c r="H28" s="44" t="n">
        <f aca="false">G28*(1+H29)</f>
        <v>6322.03538401052</v>
      </c>
      <c r="I28" s="44" t="n">
        <f aca="false">H28*(1+I29)</f>
        <v>6950.21594130041</v>
      </c>
      <c r="J28" s="44" t="n">
        <f aca="false">I28*(1+J29)</f>
        <v>7576.20938165662</v>
      </c>
      <c r="K28" s="44" t="n">
        <f aca="false">J28*(1+K29)</f>
        <v>8188.16059472515</v>
      </c>
      <c r="L28" s="44" t="n">
        <f aca="false">K28*(1+L29)</f>
        <v>8773.42808979621</v>
      </c>
      <c r="M28" s="44" t="n">
        <f aca="false">L28*(1+M29)</f>
        <v>9318.97589191751</v>
      </c>
      <c r="N28" s="44" t="n">
        <f aca="false">M28*(1+N29)</f>
        <v>9811.82271279542</v>
      </c>
      <c r="O28" s="44" t="n">
        <f aca="false">N28*(1+O29)</f>
        <v>10239.5290360234</v>
      </c>
      <c r="P28" s="44" t="n">
        <f aca="false">O28*(1+P29)</f>
        <v>10590.6983654333</v>
      </c>
      <c r="Q28" s="44" t="n">
        <f aca="false">P28*(1+Q29)</f>
        <v>10855.4658245691</v>
      </c>
    </row>
    <row r="29" customFormat="false" ht="15" hidden="false" customHeight="false" outlineLevel="0" collapsed="false">
      <c r="A29" s="6" t="s">
        <v>644</v>
      </c>
      <c r="B29" s="9" t="s">
        <v>94</v>
      </c>
      <c r="C29" s="8" t="n">
        <f aca="false">利润表!I6</f>
        <v>0.359391224405657</v>
      </c>
      <c r="D29" s="8" t="n">
        <f aca="false">利润表!J6</f>
        <v>0.280717685142723</v>
      </c>
      <c r="E29" s="8" t="n">
        <f aca="false">利润表!K6</f>
        <v>0.259086626104378</v>
      </c>
      <c r="F29" s="8" t="n">
        <f aca="false">利润表!L6</f>
        <v>0.163701774384102</v>
      </c>
      <c r="G29" s="8" t="n">
        <f aca="false">利润表!M6</f>
        <v>0.10865911445442</v>
      </c>
      <c r="H29" s="13" t="n">
        <f aca="false">$C$17+($C$18-$C$17)*0/9</f>
        <v>0.10865911445442</v>
      </c>
      <c r="I29" s="13" t="n">
        <f aca="false">$C$17+($C$18-$C$17)*1/9</f>
        <v>0.0993636572928182</v>
      </c>
      <c r="J29" s="13" t="n">
        <f aca="false">$C$17+($C$18-$C$17)*2/9</f>
        <v>0.0900682001312159</v>
      </c>
      <c r="K29" s="13" t="n">
        <f aca="false">$C$17+($C$18-$C$17)*3/9</f>
        <v>0.0807727429696136</v>
      </c>
      <c r="L29" s="13" t="n">
        <f aca="false">$C$17+($C$18-$C$17)*4/9</f>
        <v>0.0714772858080114</v>
      </c>
      <c r="M29" s="13" t="n">
        <f aca="false">$C$17+($C$18-$C$17)*5/9</f>
        <v>0.0621818286464091</v>
      </c>
      <c r="N29" s="13" t="n">
        <f aca="false">$C$17+($C$18-$C$17)*6/9</f>
        <v>0.0528863714848068</v>
      </c>
      <c r="O29" s="13" t="n">
        <f aca="false">$C$17+($C$18-$C$17)*7/9</f>
        <v>0.0435909143232045</v>
      </c>
      <c r="P29" s="13" t="n">
        <f aca="false">$C$17+($C$18-$C$17)*8/9</f>
        <v>0.0342954571616023</v>
      </c>
      <c r="Q29" s="13" t="n">
        <f aca="false">$C$17+($C$18-$C$17)*9/9</f>
        <v>0.025</v>
      </c>
    </row>
    <row r="30" customFormat="false" ht="15" hidden="false" customHeight="false" outlineLevel="0" collapsed="false">
      <c r="A30" s="9" t="s">
        <v>645</v>
      </c>
      <c r="B30" s="9" t="s">
        <v>94</v>
      </c>
      <c r="C30" s="13" t="n">
        <f aca="false">C31/C28</f>
        <v>0.269647644095765</v>
      </c>
      <c r="D30" s="13" t="n">
        <f aca="false">D31/D28</f>
        <v>0.279204993246262</v>
      </c>
      <c r="E30" s="13" t="n">
        <f aca="false">E31/E28</f>
        <v>0.30187338297648</v>
      </c>
      <c r="F30" s="13" t="n">
        <f aca="false">F31/F28</f>
        <v>0.303463080673206</v>
      </c>
      <c r="G30" s="13" t="n">
        <f aca="false">G31/G28</f>
        <v>0.300533194140934</v>
      </c>
      <c r="H30" s="13" t="n">
        <f aca="false">$G$30+($C$20-$G$30)*1/10</f>
        <v>0.297479874726841</v>
      </c>
      <c r="I30" s="13" t="n">
        <f aca="false">$G$30+($C$20-$G$30)*2/10</f>
        <v>0.294426555312747</v>
      </c>
      <c r="J30" s="13" t="n">
        <f aca="false">$G$30+($C$20-$G$30)*3/10</f>
        <v>0.291373235898654</v>
      </c>
      <c r="K30" s="13" t="n">
        <f aca="false">$G$30+($C$20-$G$30)*4/10</f>
        <v>0.28831991648456</v>
      </c>
      <c r="L30" s="13" t="n">
        <f aca="false">$G$30+($C$20-$G$30)*5/10</f>
        <v>0.285266597070467</v>
      </c>
      <c r="M30" s="13" t="n">
        <f aca="false">$G$30+($C$20-$G$30)*6/10</f>
        <v>0.282213277656374</v>
      </c>
      <c r="N30" s="13" t="n">
        <f aca="false">$G$30+($C$20-$G$30)*7/10</f>
        <v>0.27915995824228</v>
      </c>
      <c r="O30" s="13" t="n">
        <f aca="false">$G$30+($C$20-$G$30)*8/10</f>
        <v>0.276106638828187</v>
      </c>
      <c r="P30" s="13" t="n">
        <f aca="false">$G$30+($C$20-$G$30)*9/10</f>
        <v>0.273053319414093</v>
      </c>
      <c r="Q30" s="13" t="n">
        <f aca="false">$G$30+($C$20-$G$30)*10/10</f>
        <v>0.27</v>
      </c>
    </row>
    <row r="31" customFormat="false" ht="15" hidden="false" customHeight="false" outlineLevel="0" collapsed="false">
      <c r="A31" s="9" t="s">
        <v>646</v>
      </c>
      <c r="B31" s="6" t="s">
        <v>147</v>
      </c>
      <c r="C31" s="45" t="n">
        <f aca="false">利润表!I32</f>
        <v>739.10608</v>
      </c>
      <c r="D31" s="45" t="n">
        <f aca="false">利润表!J32</f>
        <v>980.13688286</v>
      </c>
      <c r="E31" s="45" t="n">
        <f aca="false">利润表!K32</f>
        <v>1334.2708067348</v>
      </c>
      <c r="F31" s="45" t="n">
        <f aca="false">利润表!L32</f>
        <v>1560.8699552209</v>
      </c>
      <c r="G31" s="45" t="n">
        <f aca="false">利润表!M32</f>
        <v>1713.76527072858</v>
      </c>
      <c r="H31" s="44" t="n">
        <f aca="false">H28*H30</f>
        <v>1880.6782940541</v>
      </c>
      <c r="I31" s="44" t="n">
        <f aca="false">I28*I30</f>
        <v>2046.32813827682</v>
      </c>
      <c r="J31" s="44" t="n">
        <f aca="false">J28*J30</f>
        <v>2207.50464337903</v>
      </c>
      <c r="K31" s="44" t="n">
        <f aca="false">K28*K30</f>
        <v>2360.80977883332</v>
      </c>
      <c r="L31" s="44" t="n">
        <f aca="false">L28*L30</f>
        <v>2502.76597581861</v>
      </c>
      <c r="M31" s="44" t="n">
        <f aca="false">M28*M30</f>
        <v>2629.93873085877</v>
      </c>
      <c r="N31" s="44" t="n">
        <f aca="false">N28*N30</f>
        <v>2739.06801878463</v>
      </c>
      <c r="O31" s="44" t="n">
        <f aca="false">O28*O30</f>
        <v>2827.20194532003</v>
      </c>
      <c r="P31" s="44" t="n">
        <f aca="false">P28*P30</f>
        <v>2891.82534359497</v>
      </c>
      <c r="Q31" s="44" t="n">
        <f aca="false">Q28*Q30</f>
        <v>2930.97577263366</v>
      </c>
    </row>
    <row r="32" customFormat="false" ht="15" hidden="false" customHeight="false" outlineLevel="0" collapsed="false">
      <c r="A32" s="6" t="s">
        <v>647</v>
      </c>
      <c r="B32" s="9" t="s">
        <v>94</v>
      </c>
      <c r="C32" s="8" t="n">
        <f aca="false">费用税率!I23</f>
        <v>0.117046199773104</v>
      </c>
      <c r="D32" s="8" t="n">
        <f aca="false">费用税率!J23</f>
        <v>0.122329142897353</v>
      </c>
      <c r="E32" s="8" t="n">
        <f aca="false">费用税率!K23</f>
        <v>0.127134032429661</v>
      </c>
      <c r="F32" s="8" t="n">
        <f aca="false">费用税率!L23</f>
        <v>0.12880009998352</v>
      </c>
      <c r="G32" s="8" t="n">
        <f aca="false">费用税率!M23</f>
        <v>0.130259400942411</v>
      </c>
      <c r="H32" s="13" t="n">
        <f aca="false">$G$32</f>
        <v>0.130259400942411</v>
      </c>
      <c r="I32" s="13" t="n">
        <f aca="false">$G$32</f>
        <v>0.130259400942411</v>
      </c>
      <c r="J32" s="13" t="n">
        <f aca="false">$G$32</f>
        <v>0.130259400942411</v>
      </c>
      <c r="K32" s="13" t="n">
        <f aca="false">$G$32</f>
        <v>0.130259400942411</v>
      </c>
      <c r="L32" s="13" t="n">
        <f aca="false">$G$32</f>
        <v>0.130259400942411</v>
      </c>
      <c r="M32" s="13" t="n">
        <f aca="false">$G$32</f>
        <v>0.130259400942411</v>
      </c>
      <c r="N32" s="13" t="n">
        <f aca="false">$G$32</f>
        <v>0.130259400942411</v>
      </c>
      <c r="O32" s="13" t="n">
        <f aca="false">$G$32</f>
        <v>0.130259400942411</v>
      </c>
      <c r="P32" s="13" t="n">
        <f aca="false">$G$32</f>
        <v>0.130259400942411</v>
      </c>
      <c r="Q32" s="13" t="n">
        <f aca="false">$G$32</f>
        <v>0.130259400942411</v>
      </c>
    </row>
    <row r="33" customFormat="false" ht="15" hidden="false" customHeight="false" outlineLevel="0" collapsed="false">
      <c r="A33" s="9" t="s">
        <v>648</v>
      </c>
      <c r="B33" s="6" t="s">
        <v>147</v>
      </c>
      <c r="C33" s="44" t="n">
        <f aca="false">C31*(1-C32)</f>
        <v>652.596522106804</v>
      </c>
      <c r="D33" s="44" t="n">
        <f aca="false">D31*(1-D32)</f>
        <v>860.237578057653</v>
      </c>
      <c r="E33" s="44" t="n">
        <f aca="false">E31*(1-E32)</f>
        <v>1164.63957872143</v>
      </c>
      <c r="F33" s="44" t="n">
        <f aca="false">F31*(1-F32)</f>
        <v>1359.82974892718</v>
      </c>
      <c r="G33" s="44" t="n">
        <f aca="false">G31*(1-G32)</f>
        <v>1490.53123320757</v>
      </c>
      <c r="H33" s="44" t="n">
        <f aca="false">H31*(1-H32)</f>
        <v>1635.70226610522</v>
      </c>
      <c r="I33" s="44" t="n">
        <f aca="false">I31*(1-I32)</f>
        <v>1779.77466085328</v>
      </c>
      <c r="J33" s="44" t="n">
        <f aca="false">J31*(1-J32)</f>
        <v>1919.95641095489</v>
      </c>
      <c r="K33" s="44" t="n">
        <f aca="false">K31*(1-K32)</f>
        <v>2053.29211130351</v>
      </c>
      <c r="L33" s="44" t="n">
        <f aca="false">L31*(1-L32)</f>
        <v>2176.75717910943</v>
      </c>
      <c r="M33" s="44" t="n">
        <f aca="false">M31*(1-M32)</f>
        <v>2287.36448726186</v>
      </c>
      <c r="N33" s="44" t="n">
        <f aca="false">N31*(1-N32)</f>
        <v>2382.27865951723</v>
      </c>
      <c r="O33" s="44" t="n">
        <f aca="false">O31*(1-O32)</f>
        <v>2458.93231357943</v>
      </c>
      <c r="P33" s="44" t="n">
        <f aca="false">P31*(1-P32)</f>
        <v>2515.13790670821</v>
      </c>
      <c r="Q33" s="44" t="n">
        <f aca="false">Q31*(1-Q32)</f>
        <v>2549.18862431368</v>
      </c>
    </row>
    <row r="34" customFormat="false" ht="15" hidden="false" customHeight="false" outlineLevel="0" collapsed="false">
      <c r="A34" s="6" t="s">
        <v>649</v>
      </c>
      <c r="B34" s="6" t="s">
        <v>147</v>
      </c>
      <c r="C34" s="45" t="n">
        <f aca="false">资本开支!I49</f>
        <v>300.523164768</v>
      </c>
      <c r="D34" s="45" t="n">
        <f aca="false">资本开支!J49</f>
        <v>364.10647323636</v>
      </c>
      <c r="E34" s="45" t="n">
        <f aca="false">资本开支!K49</f>
        <v>443.606367369917</v>
      </c>
      <c r="F34" s="45" t="n">
        <f aca="false">资本开支!L49</f>
        <v>519.862445664232</v>
      </c>
      <c r="G34" s="45" t="n">
        <f aca="false">资本开支!M49</f>
        <v>588.307465000266</v>
      </c>
    </row>
    <row r="35" customFormat="false" ht="15" hidden="false" customHeight="false" outlineLevel="0" collapsed="false">
      <c r="A35" s="6" t="s">
        <v>650</v>
      </c>
      <c r="B35" s="6" t="s">
        <v>147</v>
      </c>
      <c r="C35" s="44" t="n">
        <f aca="false">-资本开支!I17</f>
        <v>-1015.53021</v>
      </c>
      <c r="D35" s="44" t="n">
        <f aca="false">-资本开支!J17</f>
        <v>-973.7182456</v>
      </c>
      <c r="E35" s="44" t="n">
        <f aca="false">-资本开支!K17</f>
        <v>-794.29841887</v>
      </c>
      <c r="F35" s="44" t="n">
        <f aca="false">-资本开支!L17</f>
        <v>-701.91150261012</v>
      </c>
      <c r="G35" s="44" t="n">
        <f aca="false">-资本开支!M17</f>
        <v>-763.957034793699</v>
      </c>
    </row>
    <row r="36" customFormat="false" ht="15" hidden="false" customHeight="false" outlineLevel="0" collapsed="false">
      <c r="A36" s="6" t="s">
        <v>651</v>
      </c>
      <c r="B36" s="6" t="s">
        <v>147</v>
      </c>
      <c r="C36" s="44" t="n">
        <f aca="false">-营运资本!I39</f>
        <v>-433.966563698629</v>
      </c>
      <c r="D36" s="44" t="n">
        <f aca="false">-营运资本!J39</f>
        <v>-443.65346497863</v>
      </c>
      <c r="E36" s="44" t="n">
        <f aca="false">-营运资本!K39</f>
        <v>-507.069263128394</v>
      </c>
      <c r="F36" s="44" t="n">
        <f aca="false">-营运资本!L39</f>
        <v>-381.814467916157</v>
      </c>
      <c r="G36" s="44" t="n">
        <f aca="false">-营运资本!M39</f>
        <v>-325.813522895839</v>
      </c>
    </row>
    <row r="37" customFormat="false" ht="15" hidden="false" customHeight="false" outlineLevel="0" collapsed="false">
      <c r="A37" s="6" t="s">
        <v>652</v>
      </c>
      <c r="B37" s="6" t="s">
        <v>147</v>
      </c>
      <c r="C37" s="44" t="n">
        <f aca="false">-C35-C36-C34</f>
        <v>1148.97360893063</v>
      </c>
      <c r="D37" s="44" t="n">
        <f aca="false">-D35-D36-D34</f>
        <v>1053.26523734227</v>
      </c>
      <c r="E37" s="44" t="n">
        <f aca="false">-E35-E36-E34</f>
        <v>857.761314628478</v>
      </c>
      <c r="F37" s="44" t="n">
        <f aca="false">-F35-F36-F34</f>
        <v>563.863524862045</v>
      </c>
      <c r="G37" s="44" t="n">
        <f aca="false">-G35-G36-G34</f>
        <v>501.463092689271</v>
      </c>
      <c r="H37" s="44" t="n">
        <f aca="false">H33*H38</f>
        <v>613.762313144391</v>
      </c>
      <c r="I37" s="44" t="n">
        <f aca="false">I33*I38</f>
        <v>714.81240291463</v>
      </c>
      <c r="J37" s="44" t="n">
        <f aca="false">J33*J38</f>
        <v>798.009000311732</v>
      </c>
      <c r="K37" s="44" t="n">
        <f aca="false">K33*K38</f>
        <v>856.743234830565</v>
      </c>
      <c r="L37" s="44" t="n">
        <f aca="false">L33*L38</f>
        <v>884.794872047256</v>
      </c>
      <c r="M37" s="44" t="n">
        <f aca="false">M33*M38</f>
        <v>876.747492902509</v>
      </c>
      <c r="N37" s="44" t="n">
        <f aca="false">N33*N38</f>
        <v>828.396441928324</v>
      </c>
      <c r="O37" s="44" t="n">
        <f aca="false">O33*O38</f>
        <v>737.117505475104</v>
      </c>
      <c r="P37" s="44" t="n">
        <f aca="false">P33*P38</f>
        <v>602.164229868539</v>
      </c>
      <c r="Q37" s="44" t="n">
        <f aca="false">Q33*Q38</f>
        <v>424.864770718947</v>
      </c>
    </row>
    <row r="38" customFormat="false" ht="15" hidden="false" customHeight="false" outlineLevel="0" collapsed="false">
      <c r="A38" s="6" t="s">
        <v>653</v>
      </c>
      <c r="B38" s="9" t="s">
        <v>94</v>
      </c>
      <c r="C38" s="13" t="n">
        <f aca="false">C37/C33</f>
        <v>1.76061865181468</v>
      </c>
      <c r="D38" s="13" t="n">
        <f aca="false">D37/D33</f>
        <v>1.22438877841219</v>
      </c>
      <c r="E38" s="13" t="n">
        <f aca="false">E37/E33</f>
        <v>0.736503661991421</v>
      </c>
      <c r="F38" s="13" t="n">
        <f aca="false">F37/F33</f>
        <v>0.414657441717906</v>
      </c>
      <c r="G38" s="13" t="n">
        <f aca="false">G37/G33</f>
        <v>0.336432462143139</v>
      </c>
      <c r="H38" s="13" t="n">
        <f aca="false">$G$38+(H29/$C$19-$G$38)*1/10</f>
        <v>0.375228625565106</v>
      </c>
      <c r="I38" s="13" t="n">
        <f aca="false">$G$38+(I29/$C$19-$G$38)*2/10</f>
        <v>0.401630846104936</v>
      </c>
      <c r="J38" s="13" t="n">
        <f aca="false">$G$38+(J29/$C$19-$G$38)*3/10</f>
        <v>0.415639123762629</v>
      </c>
      <c r="K38" s="13" t="n">
        <f aca="false">$G$38+(K29/$C$19-$G$38)*4/10</f>
        <v>0.417253458538187</v>
      </c>
      <c r="L38" s="13" t="n">
        <f aca="false">$G$38+(L29/$C$19-$G$38)*5/10</f>
        <v>0.406473850431608</v>
      </c>
      <c r="M38" s="13" t="n">
        <f aca="false">$G$38+(M29/$C$19-$G$38)*6/10</f>
        <v>0.383300299442892</v>
      </c>
      <c r="N38" s="13" t="n">
        <f aca="false">$G$38+(N29/$C$19-$G$38)*7/10</f>
        <v>0.34773280557204</v>
      </c>
      <c r="O38" s="13" t="n">
        <f aca="false">$G$38+(O29/$C$19-$G$38)*8/10</f>
        <v>0.299771368819052</v>
      </c>
      <c r="P38" s="13" t="n">
        <f aca="false">$G$38+(P29/$C$19-$G$38)*9/10</f>
        <v>0.239415989183928</v>
      </c>
      <c r="Q38" s="13" t="n">
        <f aca="false">$G$38+(Q29/$C$19-$G$38)*10/10</f>
        <v>0.166666666666667</v>
      </c>
    </row>
    <row r="39" customFormat="false" ht="15" hidden="false" customHeight="false" outlineLevel="0" collapsed="false">
      <c r="A39" s="6" t="s">
        <v>654</v>
      </c>
      <c r="B39" s="9" t="s">
        <v>94</v>
      </c>
      <c r="H39" s="13" t="n">
        <f aca="false">H29/H38</f>
        <v>0.289581090170763</v>
      </c>
      <c r="I39" s="13" t="n">
        <f aca="false">I29/I38</f>
        <v>0.247400463028323</v>
      </c>
      <c r="J39" s="13" t="n">
        <f aca="false">J29/J38</f>
        <v>0.216698080093763</v>
      </c>
      <c r="K39" s="13" t="n">
        <f aca="false">K29/K38</f>
        <v>0.19358196155544</v>
      </c>
      <c r="L39" s="13" t="n">
        <f aca="false">L29/L38</f>
        <v>0.175847193447043</v>
      </c>
      <c r="M39" s="13" t="n">
        <f aca="false">M29/M38</f>
        <v>0.162227446043708</v>
      </c>
      <c r="N39" s="13" t="n">
        <f aca="false">N29/N38</f>
        <v>0.152089105880608</v>
      </c>
      <c r="O39" s="13" t="n">
        <f aca="false">O29/O38</f>
        <v>0.14541386822541</v>
      </c>
      <c r="P39" s="13" t="n">
        <f aca="false">P29/P38</f>
        <v>0.143246310651605</v>
      </c>
      <c r="Q39" s="13" t="n">
        <f aca="false">Q29/Q38</f>
        <v>0.15</v>
      </c>
    </row>
    <row r="40" customFormat="false" ht="15" hidden="false" customHeight="false" outlineLevel="0" collapsed="false">
      <c r="A40" s="5" t="s">
        <v>655</v>
      </c>
      <c r="B40" s="4" t="s">
        <v>147</v>
      </c>
      <c r="C40" s="44" t="n">
        <f aca="false">C33-C37</f>
        <v>-496.377086823825</v>
      </c>
      <c r="D40" s="44" t="n">
        <f aca="false">D33-D37</f>
        <v>-193.027659284617</v>
      </c>
      <c r="E40" s="44" t="n">
        <f aca="false">E33-E37</f>
        <v>306.87826409295</v>
      </c>
      <c r="F40" s="44" t="n">
        <f aca="false">F33-F37</f>
        <v>795.966224065131</v>
      </c>
      <c r="G40" s="44" t="n">
        <f aca="false">G33-G37</f>
        <v>989.068140518295</v>
      </c>
      <c r="H40" s="44" t="n">
        <f aca="false">H33-H37</f>
        <v>1021.93995296083</v>
      </c>
      <c r="I40" s="44" t="n">
        <f aca="false">I33-I37</f>
        <v>1064.96225793865</v>
      </c>
      <c r="J40" s="44" t="n">
        <f aca="false">J33-J37</f>
        <v>1121.94741064315</v>
      </c>
      <c r="K40" s="44" t="n">
        <f aca="false">K33-K37</f>
        <v>1196.54887647294</v>
      </c>
      <c r="L40" s="44" t="n">
        <f aca="false">L33-L37</f>
        <v>1291.96230706218</v>
      </c>
      <c r="M40" s="44" t="n">
        <f aca="false">M33-M37</f>
        <v>1410.61699435935</v>
      </c>
      <c r="N40" s="44" t="n">
        <f aca="false">N33-N37</f>
        <v>1553.8822175889</v>
      </c>
      <c r="O40" s="44" t="n">
        <f aca="false">O33-O37</f>
        <v>1721.81480810432</v>
      </c>
      <c r="P40" s="44" t="n">
        <f aca="false">P33-P37</f>
        <v>1912.97367683967</v>
      </c>
      <c r="Q40" s="44" t="n">
        <f aca="false">Q33-Q37</f>
        <v>2124.32385359474</v>
      </c>
    </row>
    <row r="41" customFormat="false" ht="15" hidden="false" customHeight="false" outlineLevel="0" collapsed="false">
      <c r="A41" s="6" t="s">
        <v>656</v>
      </c>
      <c r="B41" s="6" t="s">
        <v>147</v>
      </c>
      <c r="C41" s="44" t="n">
        <f aca="false">-$C$23</f>
        <v>281.35</v>
      </c>
    </row>
    <row r="42" customFormat="false" ht="15" hidden="false" customHeight="false" outlineLevel="0" collapsed="false">
      <c r="A42" s="4" t="s">
        <v>657</v>
      </c>
      <c r="B42" s="4" t="s">
        <v>147</v>
      </c>
      <c r="C42" s="44" t="n">
        <f aca="false">C40+C41</f>
        <v>-215.027086823825</v>
      </c>
      <c r="D42" s="44" t="n">
        <f aca="false">D40</f>
        <v>-193.027659284617</v>
      </c>
      <c r="E42" s="44" t="n">
        <f aca="false">E40</f>
        <v>306.87826409295</v>
      </c>
      <c r="F42" s="44" t="n">
        <f aca="false">F40</f>
        <v>795.966224065131</v>
      </c>
      <c r="G42" s="44" t="n">
        <f aca="false">G40</f>
        <v>989.068140518295</v>
      </c>
      <c r="H42" s="44" t="n">
        <f aca="false">H40</f>
        <v>1021.93995296083</v>
      </c>
      <c r="I42" s="44" t="n">
        <f aca="false">I40</f>
        <v>1064.96225793865</v>
      </c>
      <c r="J42" s="44" t="n">
        <f aca="false">J40</f>
        <v>1121.94741064315</v>
      </c>
      <c r="K42" s="44" t="n">
        <f aca="false">K40</f>
        <v>1196.54887647294</v>
      </c>
      <c r="L42" s="44" t="n">
        <f aca="false">L40</f>
        <v>1291.96230706218</v>
      </c>
      <c r="M42" s="44" t="n">
        <f aca="false">M40</f>
        <v>1410.61699435935</v>
      </c>
      <c r="N42" s="44" t="n">
        <f aca="false">N40</f>
        <v>1553.8822175889</v>
      </c>
      <c r="O42" s="44" t="n">
        <f aca="false">O40</f>
        <v>1721.81480810432</v>
      </c>
      <c r="P42" s="44" t="n">
        <f aca="false">P40</f>
        <v>1912.97367683967</v>
      </c>
      <c r="Q42" s="44" t="n">
        <f aca="false">Q40</f>
        <v>2124.32385359474</v>
      </c>
    </row>
    <row r="43" customFormat="false" ht="15" hidden="false" customHeight="false" outlineLevel="0" collapsed="false">
      <c r="A43" s="6" t="s">
        <v>658</v>
      </c>
      <c r="B43" s="6"/>
      <c r="C43" s="59" t="n">
        <f aca="false">$C$22</f>
        <v>-0.0164383561643836</v>
      </c>
      <c r="D43" s="59" t="n">
        <f aca="false">$C$21+0+0.5</f>
        <v>0.735616438356164</v>
      </c>
      <c r="E43" s="59" t="n">
        <f aca="false">$C$21+1+0.5</f>
        <v>1.73561643835616</v>
      </c>
      <c r="F43" s="59" t="n">
        <f aca="false">$C$21+2+0.5</f>
        <v>2.73561643835616</v>
      </c>
      <c r="G43" s="59" t="n">
        <f aca="false">$C$21+3+0.5</f>
        <v>3.73561643835616</v>
      </c>
      <c r="H43" s="59" t="n">
        <f aca="false">$C$21+4+0.5</f>
        <v>4.73561643835616</v>
      </c>
      <c r="I43" s="59" t="n">
        <f aca="false">$C$21+5+0.5</f>
        <v>5.73561643835616</v>
      </c>
      <c r="J43" s="59" t="n">
        <f aca="false">$C$21+6+0.5</f>
        <v>6.73561643835616</v>
      </c>
      <c r="K43" s="59" t="n">
        <f aca="false">$C$21+7+0.5</f>
        <v>7.73561643835616</v>
      </c>
      <c r="L43" s="59" t="n">
        <f aca="false">$C$21+8+0.5</f>
        <v>8.73561643835616</v>
      </c>
      <c r="M43" s="59" t="n">
        <f aca="false">$C$21+9+0.5</f>
        <v>9.73561643835616</v>
      </c>
      <c r="N43" s="59" t="n">
        <f aca="false">$C$21+10+0.5</f>
        <v>10.7356164383562</v>
      </c>
      <c r="O43" s="59" t="n">
        <f aca="false">$C$21+11+0.5</f>
        <v>11.7356164383562</v>
      </c>
      <c r="P43" s="59" t="n">
        <f aca="false">$C$21+12+0.5</f>
        <v>12.7356164383562</v>
      </c>
      <c r="Q43" s="59" t="n">
        <f aca="false">$C$21+13+0.5</f>
        <v>13.7356164383562</v>
      </c>
    </row>
    <row r="44" customFormat="false" ht="15" hidden="false" customHeight="false" outlineLevel="0" collapsed="false">
      <c r="A44" s="6" t="s">
        <v>659</v>
      </c>
      <c r="B44" s="6"/>
      <c r="C44" s="59" t="n">
        <f aca="false">1/(1+$C$16)^C43</f>
        <v>1.00144780120143</v>
      </c>
      <c r="D44" s="59" t="n">
        <f aca="false">1/(1+$C$16)^D43</f>
        <v>0.937309025414781</v>
      </c>
      <c r="E44" s="59" t="n">
        <f aca="false">1/(1+$C$16)^E43</f>
        <v>0.858341598365184</v>
      </c>
      <c r="F44" s="59" t="n">
        <f aca="false">1/(1+$C$16)^F43</f>
        <v>0.786027104730022</v>
      </c>
      <c r="G44" s="59" t="n">
        <f aca="false">1/(1+$C$16)^G43</f>
        <v>0.719805040961559</v>
      </c>
      <c r="H44" s="59" t="n">
        <f aca="false">1/(1+$C$16)^H43</f>
        <v>0.659162125422673</v>
      </c>
      <c r="I44" s="59" t="n">
        <f aca="false">1/(1+$C$16)^I43</f>
        <v>0.603628319984133</v>
      </c>
      <c r="J44" s="59" t="n">
        <f aca="false">1/(1+$C$16)^J43</f>
        <v>0.552773186798656</v>
      </c>
      <c r="K44" s="59" t="n">
        <f aca="false">1/(1+$C$16)^K43</f>
        <v>0.506202552013421</v>
      </c>
      <c r="L44" s="59" t="n">
        <f aca="false">1/(1+$C$16)^L43</f>
        <v>0.463555450561741</v>
      </c>
      <c r="M44" s="59" t="n">
        <f aca="false">1/(1+$C$16)^M43</f>
        <v>0.424501328353243</v>
      </c>
      <c r="N44" s="59" t="n">
        <f aca="false">1/(1+$C$16)^N43</f>
        <v>0.388737480176962</v>
      </c>
      <c r="O44" s="59" t="n">
        <f aca="false">1/(1+$C$16)^O43</f>
        <v>0.355986703458756</v>
      </c>
      <c r="P44" s="59" t="n">
        <f aca="false">1/(1+$C$16)^P43</f>
        <v>0.325995149687506</v>
      </c>
      <c r="Q44" s="59" t="n">
        <f aca="false">1/(1+$C$16)^Q43</f>
        <v>0.29853035685669</v>
      </c>
    </row>
    <row r="45" customFormat="false" ht="15" hidden="false" customHeight="false" outlineLevel="0" collapsed="false">
      <c r="A45" s="5" t="s">
        <v>660</v>
      </c>
      <c r="B45" s="4" t="s">
        <v>147</v>
      </c>
      <c r="C45" s="44" t="n">
        <f aca="false">C42*C44</f>
        <v>-215.33840329847</v>
      </c>
      <c r="D45" s="44" t="n">
        <f aca="false">D42*D44</f>
        <v>-180.926567202161</v>
      </c>
      <c r="E45" s="44" t="n">
        <f aca="false">E42*E44</f>
        <v>263.406379705076</v>
      </c>
      <c r="F45" s="44" t="n">
        <f aca="false">F42*F44</f>
        <v>625.651026564803</v>
      </c>
      <c r="G45" s="44" t="n">
        <f aca="false">G42*G44</f>
        <v>711.936233399544</v>
      </c>
      <c r="H45" s="44" t="n">
        <f aca="false">H42*H44</f>
        <v>673.624111448006</v>
      </c>
      <c r="I45" s="44" t="n">
        <f aca="false">I42*I44</f>
        <v>642.841378606019</v>
      </c>
      <c r="J45" s="44" t="n">
        <f aca="false">J42*J44</f>
        <v>620.182445601717</v>
      </c>
      <c r="K45" s="44" t="n">
        <f aca="false">K42*K44</f>
        <v>605.696094879397</v>
      </c>
      <c r="L45" s="44" t="n">
        <f aca="false">L42*L44</f>
        <v>598.896169358994</v>
      </c>
      <c r="M45" s="44" t="n">
        <f aca="false">M42*M44</f>
        <v>598.808787903204</v>
      </c>
      <c r="N45" s="44" t="n">
        <f aca="false">N42*N44</f>
        <v>604.0522577573</v>
      </c>
      <c r="O45" s="44" t="n">
        <f aca="false">O42*O44</f>
        <v>612.94317750353</v>
      </c>
      <c r="P45" s="44" t="n">
        <f aca="false">P42*P44</f>
        <v>623.620140129607</v>
      </c>
      <c r="Q45" s="44" t="n">
        <f aca="false">Q42*Q44</f>
        <v>634.175158092816</v>
      </c>
    </row>
    <row r="46" customFormat="false" ht="15" hidden="false" customHeight="false" outlineLevel="0" collapsed="false">
      <c r="A46" s="21" t="s">
        <v>661</v>
      </c>
    </row>
    <row r="48" customFormat="false" ht="15" hidden="false" customHeight="false" outlineLevel="0" collapsed="false">
      <c r="A48" s="30" t="s">
        <v>662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25" t="s">
        <v>663</v>
      </c>
      <c r="B49" s="37" t="s">
        <v>147</v>
      </c>
      <c r="C49" s="65" t="n">
        <f aca="false">SUM(C45:G45)</f>
        <v>1204.72866916879</v>
      </c>
    </row>
    <row r="50" customFormat="false" ht="15" hidden="false" customHeight="false" outlineLevel="0" collapsed="false">
      <c r="A50" s="25" t="s">
        <v>664</v>
      </c>
      <c r="B50" s="37" t="s">
        <v>147</v>
      </c>
      <c r="C50" s="65" t="n">
        <f aca="false">SUM(H45:Q45)</f>
        <v>6214.83972128059</v>
      </c>
    </row>
    <row r="51" customFormat="false" ht="15" hidden="false" customHeight="false" outlineLevel="0" collapsed="false">
      <c r="A51" s="25" t="s">
        <v>665</v>
      </c>
      <c r="B51" s="37" t="s">
        <v>147</v>
      </c>
      <c r="C51" s="65" t="n">
        <f aca="false">Q33*(1+$C$18)*(1-$C$18/$C$19)/($C$16-$C$18)</f>
        <v>32498.9843273821</v>
      </c>
    </row>
    <row r="52" customFormat="false" ht="15" hidden="false" customHeight="false" outlineLevel="0" collapsed="false">
      <c r="A52" s="25" t="s">
        <v>666</v>
      </c>
      <c r="B52" s="37" t="s">
        <v>147</v>
      </c>
      <c r="C52" s="65" t="n">
        <f aca="false">C51/(1+$C$16)^($C$21+13+0.5)</f>
        <v>9701.93338873337</v>
      </c>
      <c r="D52" s="21" t="s">
        <v>667</v>
      </c>
    </row>
    <row r="53" customFormat="false" ht="15" hidden="false" customHeight="false" outlineLevel="0" collapsed="false">
      <c r="A53" s="22" t="s">
        <v>668</v>
      </c>
      <c r="B53" s="37" t="s">
        <v>147</v>
      </c>
      <c r="C53" s="17" t="n">
        <f aca="false">C49+C50+C52</f>
        <v>17121.5017791828</v>
      </c>
    </row>
    <row r="54" customFormat="false" ht="15" hidden="false" customHeight="false" outlineLevel="0" collapsed="false">
      <c r="A54" s="25" t="s">
        <v>669</v>
      </c>
      <c r="B54" s="23" t="s">
        <v>94</v>
      </c>
      <c r="C54" s="67" t="n">
        <f aca="false">C52/C53</f>
        <v>0.566652009494255</v>
      </c>
    </row>
    <row r="55" customFormat="false" ht="15" hidden="false" customHeight="false" outlineLevel="0" collapsed="false">
      <c r="A55" s="25" t="s">
        <v>670</v>
      </c>
      <c r="B55" s="37" t="s">
        <v>147</v>
      </c>
      <c r="C55" s="38" t="n">
        <v>1253.83</v>
      </c>
      <c r="D55" s="21" t="s">
        <v>603</v>
      </c>
    </row>
    <row r="56" customFormat="false" ht="15" hidden="false" customHeight="false" outlineLevel="0" collapsed="false">
      <c r="A56" s="25" t="s">
        <v>671</v>
      </c>
      <c r="B56" s="37" t="s">
        <v>147</v>
      </c>
      <c r="C56" s="38" t="n">
        <v>675.78</v>
      </c>
      <c r="D56" s="21" t="s">
        <v>603</v>
      </c>
    </row>
    <row r="57" customFormat="false" ht="15" hidden="false" customHeight="false" outlineLevel="0" collapsed="false">
      <c r="A57" s="25" t="s">
        <v>672</v>
      </c>
      <c r="B57" s="37" t="s">
        <v>147</v>
      </c>
      <c r="C57" s="38" t="n">
        <v>10.84</v>
      </c>
    </row>
    <row r="58" customFormat="false" ht="15" hidden="false" customHeight="false" outlineLevel="0" collapsed="false">
      <c r="A58" s="25" t="s">
        <v>673</v>
      </c>
      <c r="B58" s="37" t="s">
        <v>147</v>
      </c>
      <c r="C58" s="38" t="n">
        <v>300.96</v>
      </c>
      <c r="D58" s="21" t="s">
        <v>674</v>
      </c>
    </row>
    <row r="59" customFormat="false" ht="15" hidden="false" customHeight="false" outlineLevel="0" collapsed="false">
      <c r="A59" s="25" t="s">
        <v>675</v>
      </c>
      <c r="B59" s="37" t="s">
        <v>147</v>
      </c>
      <c r="C59" s="38" t="n">
        <v>5237.58</v>
      </c>
      <c r="D59" s="21" t="s">
        <v>603</v>
      </c>
    </row>
    <row r="60" customFormat="false" ht="15" hidden="false" customHeight="false" outlineLevel="0" collapsed="false">
      <c r="A60" s="25" t="s">
        <v>676</v>
      </c>
      <c r="B60" s="37" t="s">
        <v>147</v>
      </c>
      <c r="C60" s="38" t="n">
        <v>89.33</v>
      </c>
      <c r="D60" s="36" t="s">
        <v>677</v>
      </c>
    </row>
    <row r="61" customFormat="false" ht="15" hidden="false" customHeight="false" outlineLevel="0" collapsed="false">
      <c r="A61" s="25" t="s">
        <v>678</v>
      </c>
      <c r="B61" s="23" t="s">
        <v>94</v>
      </c>
      <c r="C61" s="70" t="n">
        <f aca="false">AVERAGE(费用税率!J27:M27)</f>
        <v>0.179019956728913</v>
      </c>
      <c r="D61" s="21" t="s">
        <v>679</v>
      </c>
    </row>
    <row r="62" customFormat="false" ht="15" hidden="false" customHeight="false" outlineLevel="0" collapsed="false">
      <c r="A62" s="25" t="s">
        <v>680</v>
      </c>
      <c r="B62" s="37" t="s">
        <v>147</v>
      </c>
      <c r="C62" s="65" t="n">
        <f aca="false">C53*C61</f>
        <v>3065.0905076433</v>
      </c>
      <c r="D62" s="21" t="s">
        <v>681</v>
      </c>
    </row>
    <row r="63" customFormat="false" ht="15" hidden="false" customHeight="false" outlineLevel="0" collapsed="false">
      <c r="A63" s="22" t="s">
        <v>682</v>
      </c>
      <c r="B63" s="37" t="s">
        <v>147</v>
      </c>
      <c r="C63" s="17" t="n">
        <f aca="false">C53-C62+($C$55+$C$56+$C$57-$C$58-$C$60)</f>
        <v>15606.5712715395</v>
      </c>
    </row>
    <row r="64" customFormat="false" ht="15" hidden="false" customHeight="false" outlineLevel="0" collapsed="false">
      <c r="A64" s="22" t="s">
        <v>683</v>
      </c>
      <c r="B64" s="37" t="s">
        <v>439</v>
      </c>
      <c r="C64" s="62" t="n">
        <f aca="false">C63/C6</f>
        <v>29.685689156103</v>
      </c>
    </row>
    <row r="65" customFormat="false" ht="15" hidden="false" customHeight="false" outlineLevel="0" collapsed="false">
      <c r="A65" s="22" t="s">
        <v>684</v>
      </c>
      <c r="B65" s="23" t="s">
        <v>94</v>
      </c>
      <c r="C65" s="47" t="n">
        <f aca="false">C64/C5-1</f>
        <v>-0.695312643373674</v>
      </c>
    </row>
    <row r="66" customFormat="false" ht="15" hidden="false" customHeight="false" outlineLevel="0" collapsed="false">
      <c r="A66" s="25" t="s">
        <v>685</v>
      </c>
      <c r="B66" s="23" t="s">
        <v>195</v>
      </c>
      <c r="C66" s="71" t="n">
        <f aca="false">C63/利润表!J27</f>
        <v>20.7745385100733</v>
      </c>
    </row>
    <row r="68" customFormat="false" ht="15" hidden="false" customHeight="false" outlineLevel="0" collapsed="false">
      <c r="A68" s="30" t="s">
        <v>686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customFormat="false" ht="15" hidden="false" customHeight="false" outlineLevel="0" collapsed="false">
      <c r="A69" s="25" t="s">
        <v>687</v>
      </c>
      <c r="B69" s="37" t="s">
        <v>147</v>
      </c>
      <c r="C69" s="65" t="n">
        <f aca="false">(C7-($C$55+$C$56+$C$57-$C$58-$C$60))/(1-C61)</f>
        <v>60502.605099986</v>
      </c>
    </row>
    <row r="70" customFormat="false" ht="15" hidden="false" customHeight="false" outlineLevel="0" collapsed="false">
      <c r="A70" s="22" t="s">
        <v>688</v>
      </c>
      <c r="B70" s="23" t="s">
        <v>195</v>
      </c>
      <c r="C70" s="72" t="n">
        <f aca="false">(C69-C49)/(C50+C52)</f>
        <v>3.72549611789781</v>
      </c>
      <c r="D70" s="36" t="s">
        <v>689</v>
      </c>
    </row>
    <row r="71" customFormat="false" ht="15" hidden="false" customHeight="false" outlineLevel="0" collapsed="false">
      <c r="A71" s="25" t="s">
        <v>690</v>
      </c>
      <c r="B71" s="37" t="s">
        <v>147</v>
      </c>
      <c r="C71" s="65" t="n">
        <f aca="false">Q33</f>
        <v>2549.18862431368</v>
      </c>
    </row>
    <row r="72" customFormat="false" ht="15" hidden="false" customHeight="false" outlineLevel="0" collapsed="false">
      <c r="A72" s="22" t="s">
        <v>691</v>
      </c>
      <c r="B72" s="37" t="s">
        <v>147</v>
      </c>
      <c r="C72" s="17" t="n">
        <f aca="false">C70*C71</f>
        <v>9496.99232366987</v>
      </c>
    </row>
    <row r="73" customFormat="false" ht="15" hidden="false" customHeight="false" outlineLevel="0" collapsed="false">
      <c r="A73" s="25" t="s">
        <v>692</v>
      </c>
      <c r="B73" s="23" t="s">
        <v>195</v>
      </c>
      <c r="C73" s="73" t="n">
        <f aca="false">C72/C71</f>
        <v>3.72549611789781</v>
      </c>
    </row>
    <row r="74" customFormat="false" ht="15" hidden="false" customHeight="false" outlineLevel="0" collapsed="false">
      <c r="A74" s="25" t="s">
        <v>693</v>
      </c>
      <c r="B74" s="37" t="s">
        <v>147</v>
      </c>
      <c r="C74" s="65" t="n">
        <f aca="false">C70*Q28</f>
        <v>40441.9957874045</v>
      </c>
    </row>
    <row r="75" customFormat="false" ht="15" hidden="false" customHeight="false" outlineLevel="0" collapsed="false">
      <c r="A75" s="22" t="s">
        <v>694</v>
      </c>
      <c r="B75" s="23" t="s">
        <v>94</v>
      </c>
      <c r="C75" s="47" t="n">
        <f aca="false">(C74/利润表!H5)^(1/15)-1</f>
        <v>0.22128716551651</v>
      </c>
    </row>
    <row r="76" customFormat="false" ht="15" hidden="false" customHeight="false" outlineLevel="0" collapsed="false">
      <c r="A76" s="25" t="s">
        <v>695</v>
      </c>
      <c r="B76" s="23" t="s">
        <v>94</v>
      </c>
      <c r="C76" s="70" t="n">
        <f aca="false">(Q28/利润表!H5)^(1/15)-1</f>
        <v>0.11876495077348</v>
      </c>
    </row>
    <row r="77" customFormat="false" ht="15" hidden="false" customHeight="false" outlineLevel="0" collapsed="false">
      <c r="A77" s="25" t="s">
        <v>696</v>
      </c>
      <c r="B77" s="23" t="s">
        <v>195</v>
      </c>
      <c r="C77" s="73" t="n">
        <f aca="false">C69/G33</f>
        <v>40.591303122033</v>
      </c>
    </row>
    <row r="79" customFormat="false" ht="15" hidden="false" customHeight="false" outlineLevel="0" collapsed="false">
      <c r="A79" s="30" t="s">
        <v>697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customFormat="false" ht="15" hidden="false" customHeight="false" outlineLevel="0" collapsed="false">
      <c r="A80" s="5" t="s">
        <v>698</v>
      </c>
      <c r="B80" s="4"/>
      <c r="C80" s="13" t="n">
        <f aca="false">$C$18+(-0.01)</f>
        <v>0.015</v>
      </c>
      <c r="D80" s="13" t="n">
        <f aca="false">$C$18+(-0.005)</f>
        <v>0.02</v>
      </c>
      <c r="E80" s="13" t="n">
        <f aca="false">$C$18+(0)</f>
        <v>0.025</v>
      </c>
      <c r="F80" s="13" t="n">
        <f aca="false">$C$18+(0.005)</f>
        <v>0.03</v>
      </c>
      <c r="G80" s="13" t="n">
        <f aca="false">$C$18+(0.01)</f>
        <v>0.035</v>
      </c>
    </row>
    <row r="81" customFormat="false" ht="15" hidden="false" customHeight="false" outlineLevel="0" collapsed="false">
      <c r="A81" s="13" t="n">
        <f aca="false">$C$16+(-0.01)</f>
        <v>0.082</v>
      </c>
      <c r="B81" s="6"/>
      <c r="C81" s="59" t="n">
        <f aca="false">((SUMPRODUCT($C$42:$Q$42,(1+$A81)^(-$C$43:$Q$43))+$Q$33*(1+C$80)*(1-C$80/$C$19)/($A81-C$80)/(1+$A81)^($C$21+13+0.5))*(1-$C$61)+($C$55+$C$56+$C$57-$C$58-$C$60))/$C$6</f>
        <v>33.8493723367978</v>
      </c>
      <c r="D81" s="59" t="n">
        <f aca="false">((SUMPRODUCT($C$42:$Q$42,(1+$A81)^(-$C$43:$Q$43))+$Q$33*(1+D$80)*(1-D$80/$C$19)/($A81-D$80)/(1+$A81)^($C$21+13+0.5))*(1-$C$61)+($C$55+$C$56+$C$57-$C$58-$C$60))/$C$6</f>
        <v>34.6904625946353</v>
      </c>
      <c r="E81" s="59" t="n">
        <f aca="false">((SUMPRODUCT($C$42:$Q$42,(1+$A81)^(-$C$43:$Q$43))+$Q$33*(1+E$80)*(1-E$80/$C$19)/($A81-E$80)/(1+$A81)^($C$21+13+0.5))*(1-$C$61)+($C$55+$C$56+$C$57-$C$58-$C$60))/$C$6</f>
        <v>35.6712267502218</v>
      </c>
      <c r="F81" s="59" t="n">
        <f aca="false">((SUMPRODUCT($C$42:$Q$42,(1+$A81)^(-$C$43:$Q$43))+$Q$33*(1+F$80)*(1-F$80/$C$19)/($A81-F$80)/(1+$A81)^($C$21+13+0.5))*(1-$C$61)+($C$55+$C$56+$C$57-$C$58-$C$60))/$C$6</f>
        <v>36.8319553509853</v>
      </c>
      <c r="G81" s="59" t="n">
        <f aca="false">((SUMPRODUCT($C$42:$Q$42,(1+$A81)^(-$C$43:$Q$43))+$Q$33*(1+G$80)*(1-G$80/$C$19)/($A81-G$80)/(1+$A81)^($C$21+13+0.5))*(1-$C$61)+($C$55+$C$56+$C$57-$C$58-$C$60))/$C$6</f>
        <v>38.2300838581521</v>
      </c>
    </row>
    <row r="82" customFormat="false" ht="15" hidden="false" customHeight="false" outlineLevel="0" collapsed="false">
      <c r="A82" s="13" t="n">
        <f aca="false">$C$16+(-0.005)</f>
        <v>0.087</v>
      </c>
      <c r="B82" s="6"/>
      <c r="C82" s="59" t="n">
        <f aca="false">((SUMPRODUCT($C$42:$Q$42,(1+$A82)^(-$C$43:$Q$43))+$Q$33*(1+C$80)*(1-C$80/$C$19)/($A82-C$80)/(1+$A82)^($C$21+13+0.5))*(1-$C$61)+($C$55+$C$56+$C$57-$C$58-$C$60))/$C$6</f>
        <v>31.0469799321857</v>
      </c>
      <c r="D82" s="59" t="n">
        <f aca="false">((SUMPRODUCT($C$42:$Q$42,(1+$A82)^(-$C$43:$Q$43))+$Q$33*(1+D$80)*(1-D$80/$C$19)/($A82-D$80)/(1+$A82)^($C$21+13+0.5))*(1-$C$61)+($C$55+$C$56+$C$57-$C$58-$C$60))/$C$6</f>
        <v>31.6881070261143</v>
      </c>
      <c r="E82" s="59" t="n">
        <f aca="false">((SUMPRODUCT($C$42:$Q$42,(1+$A82)^(-$C$43:$Q$43))+$Q$33*(1+E$80)*(1-E$80/$C$19)/($A82-E$80)/(1+$A82)^($C$21+13+0.5))*(1-$C$61)+($C$55+$C$56+$C$57-$C$58-$C$60))/$C$6</f>
        <v>32.4258367469802</v>
      </c>
      <c r="F82" s="59" t="n">
        <f aca="false">((SUMPRODUCT($C$42:$Q$42,(1+$A82)^(-$C$43:$Q$43))+$Q$33*(1+F$80)*(1-F$80/$C$19)/($A82-F$80)/(1+$A82)^($C$21+13+0.5))*(1-$C$61)+($C$55+$C$56+$C$57-$C$58-$C$60))/$C$6</f>
        <v>33.2855908387142</v>
      </c>
      <c r="G82" s="59" t="n">
        <f aca="false">((SUMPRODUCT($C$42:$Q$42,(1+$A82)^(-$C$43:$Q$43))+$Q$33*(1+G$80)*(1-G$80/$C$19)/($A82-G$80)/(1+$A82)^($C$21+13+0.5))*(1-$C$61)+($C$55+$C$56+$C$57-$C$58-$C$60))/$C$6</f>
        <v>34.3025686390667</v>
      </c>
    </row>
    <row r="83" customFormat="false" ht="15" hidden="false" customHeight="false" outlineLevel="0" collapsed="false">
      <c r="A83" s="13" t="n">
        <f aca="false">$C$16+(0)</f>
        <v>0.092</v>
      </c>
      <c r="B83" s="6"/>
      <c r="C83" s="59" t="n">
        <f aca="false">((SUMPRODUCT($C$42:$Q$42,(1+$A83)^(-$C$43:$Q$43))+$Q$33*(1+C$80)*(1-C$80/$C$19)/($A83-C$80)/(1+$A83)^($C$21+13+0.5))*(1-$C$61)+($C$55+$C$56+$C$57-$C$58-$C$60))/$C$6</f>
        <v>28.6338125637964</v>
      </c>
      <c r="D83" s="59" t="n">
        <f aca="false">((SUMPRODUCT($C$42:$Q$42,(1+$A83)^(-$C$43:$Q$43))+$Q$33*(1+D$80)*(1-D$80/$C$19)/($A83-D$80)/(1+$A83)^($C$21+13+0.5))*(1-$C$61)+($C$55+$C$56+$C$57-$C$58-$C$60))/$C$6</f>
        <v>29.125978293496</v>
      </c>
      <c r="E83" s="59" t="n">
        <f aca="false">((SUMPRODUCT($C$42:$Q$42,(1+$A83)^(-$C$43:$Q$43))+$Q$33*(1+E$80)*(1-E$80/$C$19)/($A83-E$80)/(1+$A83)^($C$21+13+0.5))*(1-$C$61)+($C$55+$C$56+$C$57-$C$58-$C$60))/$C$6</f>
        <v>29.685689156103</v>
      </c>
      <c r="F83" s="59" t="n">
        <f aca="false">((SUMPRODUCT($C$42:$Q$42,(1+$A83)^(-$C$43:$Q$43))+$Q$33*(1+F$80)*(1-F$80/$C$19)/($A83-F$80)/(1+$A83)^($C$21+13+0.5))*(1-$C$61)+($C$55+$C$56+$C$57-$C$58-$C$60))/$C$6</f>
        <v>30.3292867160305</v>
      </c>
      <c r="G83" s="59" t="n">
        <f aca="false">((SUMPRODUCT($C$42:$Q$42,(1+$A83)^(-$C$43:$Q$43))+$Q$33*(1+G$80)*(1-G$80/$C$19)/($A83-G$80)/(1+$A83)^($C$21+13+0.5))*(1-$C$61)+($C$55+$C$56+$C$57-$C$58-$C$60))/$C$6</f>
        <v>31.0788464199418</v>
      </c>
    </row>
    <row r="84" customFormat="false" ht="15" hidden="false" customHeight="false" outlineLevel="0" collapsed="false">
      <c r="A84" s="13" t="n">
        <f aca="false">$C$16+(0.005)</f>
        <v>0.097</v>
      </c>
      <c r="B84" s="6"/>
      <c r="C84" s="59" t="n">
        <f aca="false">((SUMPRODUCT($C$42:$Q$42,(1+$A84)^(-$C$43:$Q$43))+$Q$33*(1+C$80)*(1-C$80/$C$19)/($A84-C$80)/(1+$A84)^($C$21+13+0.5))*(1-$C$61)+($C$55+$C$56+$C$57-$C$58-$C$60))/$C$6</f>
        <v>26.537342555784</v>
      </c>
      <c r="D84" s="59" t="n">
        <f aca="false">((SUMPRODUCT($C$42:$Q$42,(1+$A84)^(-$C$43:$Q$43))+$Q$33*(1+D$80)*(1-D$80/$C$19)/($A84-D$80)/(1+$A84)^($C$21+13+0.5))*(1-$C$61)+($C$55+$C$56+$C$57-$C$58-$C$60))/$C$6</f>
        <v>26.9171313734185</v>
      </c>
      <c r="E84" s="59" t="n">
        <f aca="false">((SUMPRODUCT($C$42:$Q$42,(1+$A84)^(-$C$43:$Q$43))+$Q$33*(1+E$80)*(1-E$80/$C$19)/($A84-E$80)/(1+$A84)^($C$21+13+0.5))*(1-$C$61)+($C$55+$C$56+$C$57-$C$58-$C$60))/$C$6</f>
        <v>27.3445014097457</v>
      </c>
      <c r="F84" s="59" t="n">
        <f aca="false">((SUMPRODUCT($C$42:$Q$42,(1+$A84)^(-$C$43:$Q$43))+$Q$33*(1+F$80)*(1-F$80/$C$19)/($A84-F$80)/(1+$A84)^($C$21+13+0.5))*(1-$C$61)+($C$55+$C$56+$C$57-$C$58-$C$60))/$C$6</f>
        <v>27.8301051764134</v>
      </c>
      <c r="G84" s="59" t="n">
        <f aca="false">((SUMPRODUCT($C$42:$Q$42,(1+$A84)^(-$C$43:$Q$43))+$Q$33*(1+G$80)*(1-G$80/$C$19)/($A84-G$80)/(1+$A84)^($C$21+13+0.5))*(1-$C$61)+($C$55+$C$56+$C$57-$C$58-$C$60))/$C$6</f>
        <v>28.388031479149</v>
      </c>
    </row>
    <row r="85" customFormat="false" ht="15" hidden="false" customHeight="false" outlineLevel="0" collapsed="false">
      <c r="A85" s="13" t="n">
        <f aca="false">$C$16+(0.01)</f>
        <v>0.102</v>
      </c>
      <c r="B85" s="6"/>
      <c r="C85" s="59" t="n">
        <f aca="false">((SUMPRODUCT($C$42:$Q$42,(1+$A85)^(-$C$43:$Q$43))+$Q$33*(1+C$80)*(1-C$80/$C$19)/($A85-C$80)/(1+$A85)^($C$21+13+0.5))*(1-$C$61)+($C$55+$C$56+$C$57-$C$58-$C$60))/$C$6</f>
        <v>24.7017948682804</v>
      </c>
      <c r="D85" s="59" t="n">
        <f aca="false">((SUMPRODUCT($C$42:$Q$42,(1+$A85)^(-$C$43:$Q$43))+$Q$33*(1+D$80)*(1-D$80/$C$19)/($A85-D$80)/(1+$A85)^($C$21+13+0.5))*(1-$C$61)+($C$55+$C$56+$C$57-$C$58-$C$60))/$C$6</f>
        <v>24.9958968752495</v>
      </c>
      <c r="E85" s="59" t="n">
        <f aca="false">((SUMPRODUCT($C$42:$Q$42,(1+$A85)^(-$C$43:$Q$43))+$Q$33*(1+E$80)*(1-E$80/$C$19)/($A85-E$80)/(1+$A85)^($C$21+13+0.5))*(1-$C$61)+($C$55+$C$56+$C$57-$C$58-$C$60))/$C$6</f>
        <v>25.3236548242922</v>
      </c>
      <c r="F85" s="59" t="n">
        <f aca="false">((SUMPRODUCT($C$42:$Q$42,(1+$A85)^(-$C$43:$Q$43))+$Q$33*(1+F$80)*(1-F$80/$C$19)/($A85-F$80)/(1+$A85)^($C$21+13+0.5))*(1-$C$61)+($C$55+$C$56+$C$57-$C$58-$C$60))/$C$6</f>
        <v>25.6920803700072</v>
      </c>
      <c r="G85" s="59" t="n">
        <f aca="false">((SUMPRODUCT($C$42:$Q$42,(1+$A85)^(-$C$43:$Q$43))+$Q$33*(1+G$80)*(1-G$80/$C$19)/($A85-G$80)/(1+$A85)^($C$21+13+0.5))*(1-$C$61)+($C$55+$C$56+$C$57-$C$58-$C$60))/$C$6</f>
        <v>26.1102781982168</v>
      </c>
    </row>
    <row r="87" customFormat="false" ht="15" hidden="false" customHeight="false" outlineLevel="0" collapsed="false">
      <c r="A87" s="21" t="s">
        <v>699</v>
      </c>
    </row>
    <row r="89" customFormat="false" ht="15" hidden="false" customHeight="false" outlineLevel="0" collapsed="false">
      <c r="A89" s="30" t="s">
        <v>700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customFormat="false" ht="15" hidden="false" customHeight="false" outlineLevel="0" collapsed="false">
      <c r="A90" s="4" t="s">
        <v>701</v>
      </c>
      <c r="B90" s="4"/>
      <c r="C90" s="13" t="n">
        <f aca="false">$C$19+(-0.05)</f>
        <v>0.1</v>
      </c>
      <c r="D90" s="13" t="n">
        <f aca="false">$C$19+(-0.03)</f>
        <v>0.12</v>
      </c>
      <c r="E90" s="13" t="n">
        <f aca="false">$C$19+(0)</f>
        <v>0.15</v>
      </c>
      <c r="F90" s="13" t="n">
        <f aca="false">$C$19+(0.03)</f>
        <v>0.18</v>
      </c>
      <c r="G90" s="13" t="n">
        <f aca="false">$C$19+(0.07)</f>
        <v>0.22</v>
      </c>
    </row>
    <row r="91" customFormat="false" ht="15" hidden="false" customHeight="false" outlineLevel="0" collapsed="false">
      <c r="A91" s="13" t="n">
        <f aca="false">$C$17+(-0.04)</f>
        <v>0.0686591144544204</v>
      </c>
      <c r="B91" s="6"/>
      <c r="C91" s="59" t="n">
        <f aca="false">(($C$49+$G$28*(1+$A91+($C$18-$A91)*0/9)*($G$30+($C$20-$G$30)*1/10)*(1-$G$32)*(1-($G$38+(($A91+($C$18-$A91)*0/9)/C$90-$G$38)*1/10))/(1+$C$16)^($C$21+4+0.5)+$G$28*(1+$A91+($C$18-$A91)*0/9)*(1+$A91+($C$18-$A91)*1/9)*($G$30+($C$20-$G$30)*2/10)*(1-$G$32)*(1-($G$38+(($A91+($C$18-$A91)*1/9)/C$90-$G$38)*2/10))/(1+$C$16)^($C$21+5+0.5)+$G$28*(1+$A91+($C$18-$A91)*0/9)*(1+$A91+($C$18-$A91)*1/9)*(1+$A91+($C$18-$A91)*2/9)*($G$30+($C$20-$G$30)*3/10)*(1-$G$32)*(1-($G$38+(($A91+($C$18-$A91)*2/9)/C$90-$G$38)*3/10))/(1+$C$16)^($C$21+6+0.5)+$G$28*(1+$A91+($C$18-$A91)*0/9)*(1+$A91+($C$18-$A91)*1/9)*(1+$A91+($C$18-$A91)*2/9)*(1+$A91+($C$18-$A91)*3/9)*($G$30+($C$20-$G$30)*4/10)*(1-$G$32)*(1-($G$38+(($A91+($C$18-$A91)*3/9)/C$90-$G$38)*4/10))/(1+$C$16)^($C$21+7+0.5)+$G$28*(1+$A91+($C$18-$A91)*0/9)*(1+$A91+($C$18-$A91)*1/9)*(1+$A91+($C$18-$A91)*2/9)*(1+$A91+($C$18-$A91)*3/9)*(1+$A91+($C$18-$A91)*4/9)*($G$30+($C$20-$G$30)*5/10)*(1-$G$32)*(1-($G$38+(($A91+($C$18-$A91)*4/9)/C$90-$G$38)*5/10))/(1+$C$16)^($C$21+8+0.5)+$G$28*(1+$A91+($C$18-$A91)*0/9)*(1+$A91+($C$18-$A91)*1/9)*(1+$A91+($C$18-$A91)*2/9)*(1+$A91+($C$18-$A91)*3/9)*(1+$A91+($C$18-$A91)*4/9)*(1+$A91+($C$18-$A91)*5/9)*($G$30+($C$20-$G$30)*6/10)*(1-$G$32)*(1-($G$38+(($A91+($C$18-$A91)*5/9)/C$90-$G$38)*6/10))/(1+$C$16)^($C$21+9+0.5)+$G$28*(1+$A91+($C$18-$A91)*0/9)*(1+$A91+($C$18-$A91)*1/9)*(1+$A91+($C$18-$A91)*2/9)*(1+$A91+($C$18-$A91)*3/9)*(1+$A91+($C$18-$A91)*4/9)*(1+$A91+($C$18-$A91)*5/9)*(1+$A91+($C$18-$A91)*6/9)*($G$30+($C$20-$G$30)*7/10)*(1-$G$32)*(1-($G$38+(($A91+($C$18-$A91)*6/9)/C$90-$G$38)*7/10))/(1+$C$16)^($C$21+10+0.5)+$G$28*(1+$A91+($C$18-$A91)*0/9)*(1+$A91+($C$18-$A91)*1/9)*(1+$A91+($C$18-$A91)*2/9)*(1+$A91+($C$18-$A91)*3/9)*(1+$A91+($C$18-$A91)*4/9)*(1+$A91+($C$18-$A91)*5/9)*(1+$A91+($C$18-$A91)*6/9)*(1+$A91+($C$18-$A91)*7/9)*($G$30+($C$20-$G$30)*8/10)*(1-$G$32)*(1-($G$38+(($A91+($C$18-$A91)*7/9)/C$90-$G$38)*8/10))/(1+$C$16)^($C$21+11+0.5)+$G$28*(1+$A91+($C$18-$A91)*0/9)*(1+$A91+($C$18-$A91)*1/9)*(1+$A91+($C$18-$A91)*2/9)*(1+$A91+($C$18-$A91)*3/9)*(1+$A91+($C$18-$A91)*4/9)*(1+$A91+($C$18-$A91)*5/9)*(1+$A91+($C$18-$A91)*6/9)*(1+$A91+($C$18-$A91)*7/9)*(1+$A91+($C$18-$A91)*8/9)*($G$30+($C$20-$G$30)*9/10)*(1-$G$32)*(1-($G$38+(($A91+($C$18-$A91)*8/9)/C$90-$G$38)*9/10))/(1+$C$16)^($C$21+12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(1-($G$38+(($A91+($C$18-$A91)*9/9)/C$90-$G$38)*10/10))/(1+$C$16)^($C$21+13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+$C$18)*(1-$C$18/C$90)/($C$16-$C$18)/(1+$C$16)^($C$21+13+0.5))*(1-$C$61)+($C$55+$C$56+$C$57-$C$58-$C$60))/$C$6</f>
        <v>24.3743673426111</v>
      </c>
      <c r="D91" s="59" t="n">
        <f aca="false">(($C$49+$G$28*(1+$A91+($C$18-$A91)*0/9)*($G$30+($C$20-$G$30)*1/10)*(1-$G$32)*(1-($G$38+(($A91+($C$18-$A91)*0/9)/D$90-$G$38)*1/10))/(1+$C$16)^($C$21+4+0.5)+$G$28*(1+$A91+($C$18-$A91)*0/9)*(1+$A91+($C$18-$A91)*1/9)*($G$30+($C$20-$G$30)*2/10)*(1-$G$32)*(1-($G$38+(($A91+($C$18-$A91)*1/9)/D$90-$G$38)*2/10))/(1+$C$16)^($C$21+5+0.5)+$G$28*(1+$A91+($C$18-$A91)*0/9)*(1+$A91+($C$18-$A91)*1/9)*(1+$A91+($C$18-$A91)*2/9)*($G$30+($C$20-$G$30)*3/10)*(1-$G$32)*(1-($G$38+(($A91+($C$18-$A91)*2/9)/D$90-$G$38)*3/10))/(1+$C$16)^($C$21+6+0.5)+$G$28*(1+$A91+($C$18-$A91)*0/9)*(1+$A91+($C$18-$A91)*1/9)*(1+$A91+($C$18-$A91)*2/9)*(1+$A91+($C$18-$A91)*3/9)*($G$30+($C$20-$G$30)*4/10)*(1-$G$32)*(1-($G$38+(($A91+($C$18-$A91)*3/9)/D$90-$G$38)*4/10))/(1+$C$16)^($C$21+7+0.5)+$G$28*(1+$A91+($C$18-$A91)*0/9)*(1+$A91+($C$18-$A91)*1/9)*(1+$A91+($C$18-$A91)*2/9)*(1+$A91+($C$18-$A91)*3/9)*(1+$A91+($C$18-$A91)*4/9)*($G$30+($C$20-$G$30)*5/10)*(1-$G$32)*(1-($G$38+(($A91+($C$18-$A91)*4/9)/D$90-$G$38)*5/10))/(1+$C$16)^($C$21+8+0.5)+$G$28*(1+$A91+($C$18-$A91)*0/9)*(1+$A91+($C$18-$A91)*1/9)*(1+$A91+($C$18-$A91)*2/9)*(1+$A91+($C$18-$A91)*3/9)*(1+$A91+($C$18-$A91)*4/9)*(1+$A91+($C$18-$A91)*5/9)*($G$30+($C$20-$G$30)*6/10)*(1-$G$32)*(1-($G$38+(($A91+($C$18-$A91)*5/9)/D$90-$G$38)*6/10))/(1+$C$16)^($C$21+9+0.5)+$G$28*(1+$A91+($C$18-$A91)*0/9)*(1+$A91+($C$18-$A91)*1/9)*(1+$A91+($C$18-$A91)*2/9)*(1+$A91+($C$18-$A91)*3/9)*(1+$A91+($C$18-$A91)*4/9)*(1+$A91+($C$18-$A91)*5/9)*(1+$A91+($C$18-$A91)*6/9)*($G$30+($C$20-$G$30)*7/10)*(1-$G$32)*(1-($G$38+(($A91+($C$18-$A91)*6/9)/D$90-$G$38)*7/10))/(1+$C$16)^($C$21+10+0.5)+$G$28*(1+$A91+($C$18-$A91)*0/9)*(1+$A91+($C$18-$A91)*1/9)*(1+$A91+($C$18-$A91)*2/9)*(1+$A91+($C$18-$A91)*3/9)*(1+$A91+($C$18-$A91)*4/9)*(1+$A91+($C$18-$A91)*5/9)*(1+$A91+($C$18-$A91)*6/9)*(1+$A91+($C$18-$A91)*7/9)*($G$30+($C$20-$G$30)*8/10)*(1-$G$32)*(1-($G$38+(($A91+($C$18-$A91)*7/9)/D$90-$G$38)*8/10))/(1+$C$16)^($C$21+11+0.5)+$G$28*(1+$A91+($C$18-$A91)*0/9)*(1+$A91+($C$18-$A91)*1/9)*(1+$A91+($C$18-$A91)*2/9)*(1+$A91+($C$18-$A91)*3/9)*(1+$A91+($C$18-$A91)*4/9)*(1+$A91+($C$18-$A91)*5/9)*(1+$A91+($C$18-$A91)*6/9)*(1+$A91+($C$18-$A91)*7/9)*(1+$A91+($C$18-$A91)*8/9)*($G$30+($C$20-$G$30)*9/10)*(1-$G$32)*(1-($G$38+(($A91+($C$18-$A91)*8/9)/D$90-$G$38)*9/10))/(1+$C$16)^($C$21+12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(1-($G$38+(($A91+($C$18-$A91)*9/9)/D$90-$G$38)*10/10))/(1+$C$16)^($C$21+13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+$C$18)*(1-$C$18/D$90)/($C$16-$C$18)/(1+$C$16)^($C$21+13+0.5))*(1-$C$61)+($C$55+$C$56+$C$57-$C$58-$C$60))/$C$6</f>
        <v>25.4612096828285</v>
      </c>
      <c r="E91" s="59" t="n">
        <f aca="false">(($C$49+$G$28*(1+$A91+($C$18-$A91)*0/9)*($G$30+($C$20-$G$30)*1/10)*(1-$G$32)*(1-($G$38+(($A91+($C$18-$A91)*0/9)/E$90-$G$38)*1/10))/(1+$C$16)^($C$21+4+0.5)+$G$28*(1+$A91+($C$18-$A91)*0/9)*(1+$A91+($C$18-$A91)*1/9)*($G$30+($C$20-$G$30)*2/10)*(1-$G$32)*(1-($G$38+(($A91+($C$18-$A91)*1/9)/E$90-$G$38)*2/10))/(1+$C$16)^($C$21+5+0.5)+$G$28*(1+$A91+($C$18-$A91)*0/9)*(1+$A91+($C$18-$A91)*1/9)*(1+$A91+($C$18-$A91)*2/9)*($G$30+($C$20-$G$30)*3/10)*(1-$G$32)*(1-($G$38+(($A91+($C$18-$A91)*2/9)/E$90-$G$38)*3/10))/(1+$C$16)^($C$21+6+0.5)+$G$28*(1+$A91+($C$18-$A91)*0/9)*(1+$A91+($C$18-$A91)*1/9)*(1+$A91+($C$18-$A91)*2/9)*(1+$A91+($C$18-$A91)*3/9)*($G$30+($C$20-$G$30)*4/10)*(1-$G$32)*(1-($G$38+(($A91+($C$18-$A91)*3/9)/E$90-$G$38)*4/10))/(1+$C$16)^($C$21+7+0.5)+$G$28*(1+$A91+($C$18-$A91)*0/9)*(1+$A91+($C$18-$A91)*1/9)*(1+$A91+($C$18-$A91)*2/9)*(1+$A91+($C$18-$A91)*3/9)*(1+$A91+($C$18-$A91)*4/9)*($G$30+($C$20-$G$30)*5/10)*(1-$G$32)*(1-($G$38+(($A91+($C$18-$A91)*4/9)/E$90-$G$38)*5/10))/(1+$C$16)^($C$21+8+0.5)+$G$28*(1+$A91+($C$18-$A91)*0/9)*(1+$A91+($C$18-$A91)*1/9)*(1+$A91+($C$18-$A91)*2/9)*(1+$A91+($C$18-$A91)*3/9)*(1+$A91+($C$18-$A91)*4/9)*(1+$A91+($C$18-$A91)*5/9)*($G$30+($C$20-$G$30)*6/10)*(1-$G$32)*(1-($G$38+(($A91+($C$18-$A91)*5/9)/E$90-$G$38)*6/10))/(1+$C$16)^($C$21+9+0.5)+$G$28*(1+$A91+($C$18-$A91)*0/9)*(1+$A91+($C$18-$A91)*1/9)*(1+$A91+($C$18-$A91)*2/9)*(1+$A91+($C$18-$A91)*3/9)*(1+$A91+($C$18-$A91)*4/9)*(1+$A91+($C$18-$A91)*5/9)*(1+$A91+($C$18-$A91)*6/9)*($G$30+($C$20-$G$30)*7/10)*(1-$G$32)*(1-($G$38+(($A91+($C$18-$A91)*6/9)/E$90-$G$38)*7/10))/(1+$C$16)^($C$21+10+0.5)+$G$28*(1+$A91+($C$18-$A91)*0/9)*(1+$A91+($C$18-$A91)*1/9)*(1+$A91+($C$18-$A91)*2/9)*(1+$A91+($C$18-$A91)*3/9)*(1+$A91+($C$18-$A91)*4/9)*(1+$A91+($C$18-$A91)*5/9)*(1+$A91+($C$18-$A91)*6/9)*(1+$A91+($C$18-$A91)*7/9)*($G$30+($C$20-$G$30)*8/10)*(1-$G$32)*(1-($G$38+(($A91+($C$18-$A91)*7/9)/E$90-$G$38)*8/10))/(1+$C$16)^($C$21+11+0.5)+$G$28*(1+$A91+($C$18-$A91)*0/9)*(1+$A91+($C$18-$A91)*1/9)*(1+$A91+($C$18-$A91)*2/9)*(1+$A91+($C$18-$A91)*3/9)*(1+$A91+($C$18-$A91)*4/9)*(1+$A91+($C$18-$A91)*5/9)*(1+$A91+($C$18-$A91)*6/9)*(1+$A91+($C$18-$A91)*7/9)*(1+$A91+($C$18-$A91)*8/9)*($G$30+($C$20-$G$30)*9/10)*(1-$G$32)*(1-($G$38+(($A91+($C$18-$A91)*8/9)/E$90-$G$38)*9/10))/(1+$C$16)^($C$21+12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(1-($G$38+(($A91+($C$18-$A91)*9/9)/E$90-$G$38)*10/10))/(1+$C$16)^($C$21+13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+$C$18)*(1-$C$18/E$90)/($C$16-$C$18)/(1+$C$16)^($C$21+13+0.5))*(1-$C$61)+($C$55+$C$56+$C$57-$C$58-$C$60))/$C$6</f>
        <v>26.5480520230458</v>
      </c>
      <c r="F91" s="59" t="n">
        <f aca="false">(($C$49+$G$28*(1+$A91+($C$18-$A91)*0/9)*($G$30+($C$20-$G$30)*1/10)*(1-$G$32)*(1-($G$38+(($A91+($C$18-$A91)*0/9)/F$90-$G$38)*1/10))/(1+$C$16)^($C$21+4+0.5)+$G$28*(1+$A91+($C$18-$A91)*0/9)*(1+$A91+($C$18-$A91)*1/9)*($G$30+($C$20-$G$30)*2/10)*(1-$G$32)*(1-($G$38+(($A91+($C$18-$A91)*1/9)/F$90-$G$38)*2/10))/(1+$C$16)^($C$21+5+0.5)+$G$28*(1+$A91+($C$18-$A91)*0/9)*(1+$A91+($C$18-$A91)*1/9)*(1+$A91+($C$18-$A91)*2/9)*($G$30+($C$20-$G$30)*3/10)*(1-$G$32)*(1-($G$38+(($A91+($C$18-$A91)*2/9)/F$90-$G$38)*3/10))/(1+$C$16)^($C$21+6+0.5)+$G$28*(1+$A91+($C$18-$A91)*0/9)*(1+$A91+($C$18-$A91)*1/9)*(1+$A91+($C$18-$A91)*2/9)*(1+$A91+($C$18-$A91)*3/9)*($G$30+($C$20-$G$30)*4/10)*(1-$G$32)*(1-($G$38+(($A91+($C$18-$A91)*3/9)/F$90-$G$38)*4/10))/(1+$C$16)^($C$21+7+0.5)+$G$28*(1+$A91+($C$18-$A91)*0/9)*(1+$A91+($C$18-$A91)*1/9)*(1+$A91+($C$18-$A91)*2/9)*(1+$A91+($C$18-$A91)*3/9)*(1+$A91+($C$18-$A91)*4/9)*($G$30+($C$20-$G$30)*5/10)*(1-$G$32)*(1-($G$38+(($A91+($C$18-$A91)*4/9)/F$90-$G$38)*5/10))/(1+$C$16)^($C$21+8+0.5)+$G$28*(1+$A91+($C$18-$A91)*0/9)*(1+$A91+($C$18-$A91)*1/9)*(1+$A91+($C$18-$A91)*2/9)*(1+$A91+($C$18-$A91)*3/9)*(1+$A91+($C$18-$A91)*4/9)*(1+$A91+($C$18-$A91)*5/9)*($G$30+($C$20-$G$30)*6/10)*(1-$G$32)*(1-($G$38+(($A91+($C$18-$A91)*5/9)/F$90-$G$38)*6/10))/(1+$C$16)^($C$21+9+0.5)+$G$28*(1+$A91+($C$18-$A91)*0/9)*(1+$A91+($C$18-$A91)*1/9)*(1+$A91+($C$18-$A91)*2/9)*(1+$A91+($C$18-$A91)*3/9)*(1+$A91+($C$18-$A91)*4/9)*(1+$A91+($C$18-$A91)*5/9)*(1+$A91+($C$18-$A91)*6/9)*($G$30+($C$20-$G$30)*7/10)*(1-$G$32)*(1-($G$38+(($A91+($C$18-$A91)*6/9)/F$90-$G$38)*7/10))/(1+$C$16)^($C$21+10+0.5)+$G$28*(1+$A91+($C$18-$A91)*0/9)*(1+$A91+($C$18-$A91)*1/9)*(1+$A91+($C$18-$A91)*2/9)*(1+$A91+($C$18-$A91)*3/9)*(1+$A91+($C$18-$A91)*4/9)*(1+$A91+($C$18-$A91)*5/9)*(1+$A91+($C$18-$A91)*6/9)*(1+$A91+($C$18-$A91)*7/9)*($G$30+($C$20-$G$30)*8/10)*(1-$G$32)*(1-($G$38+(($A91+($C$18-$A91)*7/9)/F$90-$G$38)*8/10))/(1+$C$16)^($C$21+11+0.5)+$G$28*(1+$A91+($C$18-$A91)*0/9)*(1+$A91+($C$18-$A91)*1/9)*(1+$A91+($C$18-$A91)*2/9)*(1+$A91+($C$18-$A91)*3/9)*(1+$A91+($C$18-$A91)*4/9)*(1+$A91+($C$18-$A91)*5/9)*(1+$A91+($C$18-$A91)*6/9)*(1+$A91+($C$18-$A91)*7/9)*(1+$A91+($C$18-$A91)*8/9)*($G$30+($C$20-$G$30)*9/10)*(1-$G$32)*(1-($G$38+(($A91+($C$18-$A91)*8/9)/F$90-$G$38)*9/10))/(1+$C$16)^($C$21+12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(1-($G$38+(($A91+($C$18-$A91)*9/9)/F$90-$G$38)*10/10))/(1+$C$16)^($C$21+13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+$C$18)*(1-$C$18/F$90)/($C$16-$C$18)/(1+$C$16)^($C$21+13+0.5))*(1-$C$61)+($C$55+$C$56+$C$57-$C$58-$C$60))/$C$6</f>
        <v>27.2726135831907</v>
      </c>
      <c r="G91" s="59" t="n">
        <f aca="false">(($C$49+$G$28*(1+$A91+($C$18-$A91)*0/9)*($G$30+($C$20-$G$30)*1/10)*(1-$G$32)*(1-($G$38+(($A91+($C$18-$A91)*0/9)/G$90-$G$38)*1/10))/(1+$C$16)^($C$21+4+0.5)+$G$28*(1+$A91+($C$18-$A91)*0/9)*(1+$A91+($C$18-$A91)*1/9)*($G$30+($C$20-$G$30)*2/10)*(1-$G$32)*(1-($G$38+(($A91+($C$18-$A91)*1/9)/G$90-$G$38)*2/10))/(1+$C$16)^($C$21+5+0.5)+$G$28*(1+$A91+($C$18-$A91)*0/9)*(1+$A91+($C$18-$A91)*1/9)*(1+$A91+($C$18-$A91)*2/9)*($G$30+($C$20-$G$30)*3/10)*(1-$G$32)*(1-($G$38+(($A91+($C$18-$A91)*2/9)/G$90-$G$38)*3/10))/(1+$C$16)^($C$21+6+0.5)+$G$28*(1+$A91+($C$18-$A91)*0/9)*(1+$A91+($C$18-$A91)*1/9)*(1+$A91+($C$18-$A91)*2/9)*(1+$A91+($C$18-$A91)*3/9)*($G$30+($C$20-$G$30)*4/10)*(1-$G$32)*(1-($G$38+(($A91+($C$18-$A91)*3/9)/G$90-$G$38)*4/10))/(1+$C$16)^($C$21+7+0.5)+$G$28*(1+$A91+($C$18-$A91)*0/9)*(1+$A91+($C$18-$A91)*1/9)*(1+$A91+($C$18-$A91)*2/9)*(1+$A91+($C$18-$A91)*3/9)*(1+$A91+($C$18-$A91)*4/9)*($G$30+($C$20-$G$30)*5/10)*(1-$G$32)*(1-($G$38+(($A91+($C$18-$A91)*4/9)/G$90-$G$38)*5/10))/(1+$C$16)^($C$21+8+0.5)+$G$28*(1+$A91+($C$18-$A91)*0/9)*(1+$A91+($C$18-$A91)*1/9)*(1+$A91+($C$18-$A91)*2/9)*(1+$A91+($C$18-$A91)*3/9)*(1+$A91+($C$18-$A91)*4/9)*(1+$A91+($C$18-$A91)*5/9)*($G$30+($C$20-$G$30)*6/10)*(1-$G$32)*(1-($G$38+(($A91+($C$18-$A91)*5/9)/G$90-$G$38)*6/10))/(1+$C$16)^($C$21+9+0.5)+$G$28*(1+$A91+($C$18-$A91)*0/9)*(1+$A91+($C$18-$A91)*1/9)*(1+$A91+($C$18-$A91)*2/9)*(1+$A91+($C$18-$A91)*3/9)*(1+$A91+($C$18-$A91)*4/9)*(1+$A91+($C$18-$A91)*5/9)*(1+$A91+($C$18-$A91)*6/9)*($G$30+($C$20-$G$30)*7/10)*(1-$G$32)*(1-($G$38+(($A91+($C$18-$A91)*6/9)/G$90-$G$38)*7/10))/(1+$C$16)^($C$21+10+0.5)+$G$28*(1+$A91+($C$18-$A91)*0/9)*(1+$A91+($C$18-$A91)*1/9)*(1+$A91+($C$18-$A91)*2/9)*(1+$A91+($C$18-$A91)*3/9)*(1+$A91+($C$18-$A91)*4/9)*(1+$A91+($C$18-$A91)*5/9)*(1+$A91+($C$18-$A91)*6/9)*(1+$A91+($C$18-$A91)*7/9)*($G$30+($C$20-$G$30)*8/10)*(1-$G$32)*(1-($G$38+(($A91+($C$18-$A91)*7/9)/G$90-$G$38)*8/10))/(1+$C$16)^($C$21+11+0.5)+$G$28*(1+$A91+($C$18-$A91)*0/9)*(1+$A91+($C$18-$A91)*1/9)*(1+$A91+($C$18-$A91)*2/9)*(1+$A91+($C$18-$A91)*3/9)*(1+$A91+($C$18-$A91)*4/9)*(1+$A91+($C$18-$A91)*5/9)*(1+$A91+($C$18-$A91)*6/9)*(1+$A91+($C$18-$A91)*7/9)*(1+$A91+($C$18-$A91)*8/9)*($G$30+($C$20-$G$30)*9/10)*(1-$G$32)*(1-($G$38+(($A91+($C$18-$A91)*8/9)/G$90-$G$38)*9/10))/(1+$C$16)^($C$21+12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(1-($G$38+(($A91+($C$18-$A91)*9/9)/G$90-$G$38)*10/10))/(1+$C$16)^($C$21+13+0.5)+$G$28*(1+$A91+($C$18-$A91)*0/9)*(1+$A91+($C$18-$A91)*1/9)*(1+$A91+($C$18-$A91)*2/9)*(1+$A91+($C$18-$A91)*3/9)*(1+$A91+($C$18-$A91)*4/9)*(1+$A91+($C$18-$A91)*5/9)*(1+$A91+($C$18-$A91)*6/9)*(1+$A91+($C$18-$A91)*7/9)*(1+$A91+($C$18-$A91)*8/9)*(1+$A91+($C$18-$A91)*9/9)*($G$30+($C$20-$G$30)*10/10)*(1-$G$32)*(1+$C$18)*(1-$C$18/G$90)/($C$16-$C$18)/(1+$C$16)^($C$21+13+0.5))*(1-$C$61)+($C$55+$C$56+$C$57-$C$58-$C$60))/$C$6</f>
        <v>27.9313059105952</v>
      </c>
    </row>
    <row r="92" customFormat="false" ht="15" hidden="false" customHeight="false" outlineLevel="0" collapsed="false">
      <c r="A92" s="13" t="n">
        <f aca="false">$C$17+(-0.02)</f>
        <v>0.0886591144544204</v>
      </c>
      <c r="B92" s="6"/>
      <c r="C92" s="59" t="n">
        <f aca="false">(($C$49+$G$28*(1+$A92+($C$18-$A92)*0/9)*($G$30+($C$20-$G$30)*1/10)*(1-$G$32)*(1-($G$38+(($A92+($C$18-$A92)*0/9)/C$90-$G$38)*1/10))/(1+$C$16)^($C$21+4+0.5)+$G$28*(1+$A92+($C$18-$A92)*0/9)*(1+$A92+($C$18-$A92)*1/9)*($G$30+($C$20-$G$30)*2/10)*(1-$G$32)*(1-($G$38+(($A92+($C$18-$A92)*1/9)/C$90-$G$38)*2/10))/(1+$C$16)^($C$21+5+0.5)+$G$28*(1+$A92+($C$18-$A92)*0/9)*(1+$A92+($C$18-$A92)*1/9)*(1+$A92+($C$18-$A92)*2/9)*($G$30+($C$20-$G$30)*3/10)*(1-$G$32)*(1-($G$38+(($A92+($C$18-$A92)*2/9)/C$90-$G$38)*3/10))/(1+$C$16)^($C$21+6+0.5)+$G$28*(1+$A92+($C$18-$A92)*0/9)*(1+$A92+($C$18-$A92)*1/9)*(1+$A92+($C$18-$A92)*2/9)*(1+$A92+($C$18-$A92)*3/9)*($G$30+($C$20-$G$30)*4/10)*(1-$G$32)*(1-($G$38+(($A92+($C$18-$A92)*3/9)/C$90-$G$38)*4/10))/(1+$C$16)^($C$21+7+0.5)+$G$28*(1+$A92+($C$18-$A92)*0/9)*(1+$A92+($C$18-$A92)*1/9)*(1+$A92+($C$18-$A92)*2/9)*(1+$A92+($C$18-$A92)*3/9)*(1+$A92+($C$18-$A92)*4/9)*($G$30+($C$20-$G$30)*5/10)*(1-$G$32)*(1-($G$38+(($A92+($C$18-$A92)*4/9)/C$90-$G$38)*5/10))/(1+$C$16)^($C$21+8+0.5)+$G$28*(1+$A92+($C$18-$A92)*0/9)*(1+$A92+($C$18-$A92)*1/9)*(1+$A92+($C$18-$A92)*2/9)*(1+$A92+($C$18-$A92)*3/9)*(1+$A92+($C$18-$A92)*4/9)*(1+$A92+($C$18-$A92)*5/9)*($G$30+($C$20-$G$30)*6/10)*(1-$G$32)*(1-($G$38+(($A92+($C$18-$A92)*5/9)/C$90-$G$38)*6/10))/(1+$C$16)^($C$21+9+0.5)+$G$28*(1+$A92+($C$18-$A92)*0/9)*(1+$A92+($C$18-$A92)*1/9)*(1+$A92+($C$18-$A92)*2/9)*(1+$A92+($C$18-$A92)*3/9)*(1+$A92+($C$18-$A92)*4/9)*(1+$A92+($C$18-$A92)*5/9)*(1+$A92+($C$18-$A92)*6/9)*($G$30+($C$20-$G$30)*7/10)*(1-$G$32)*(1-($G$38+(($A92+($C$18-$A92)*6/9)/C$90-$G$38)*7/10))/(1+$C$16)^($C$21+10+0.5)+$G$28*(1+$A92+($C$18-$A92)*0/9)*(1+$A92+($C$18-$A92)*1/9)*(1+$A92+($C$18-$A92)*2/9)*(1+$A92+($C$18-$A92)*3/9)*(1+$A92+($C$18-$A92)*4/9)*(1+$A92+($C$18-$A92)*5/9)*(1+$A92+($C$18-$A92)*6/9)*(1+$A92+($C$18-$A92)*7/9)*($G$30+($C$20-$G$30)*8/10)*(1-$G$32)*(1-($G$38+(($A92+($C$18-$A92)*7/9)/C$90-$G$38)*8/10))/(1+$C$16)^($C$21+11+0.5)+$G$28*(1+$A92+($C$18-$A92)*0/9)*(1+$A92+($C$18-$A92)*1/9)*(1+$A92+($C$18-$A92)*2/9)*(1+$A92+($C$18-$A92)*3/9)*(1+$A92+($C$18-$A92)*4/9)*(1+$A92+($C$18-$A92)*5/9)*(1+$A92+($C$18-$A92)*6/9)*(1+$A92+($C$18-$A92)*7/9)*(1+$A92+($C$18-$A92)*8/9)*($G$30+($C$20-$G$30)*9/10)*(1-$G$32)*(1-($G$38+(($A92+($C$18-$A92)*8/9)/C$90-$G$38)*9/10))/(1+$C$16)^($C$21+12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(1-($G$38+(($A92+($C$18-$A92)*9/9)/C$90-$G$38)*10/10))/(1+$C$16)^($C$21+13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+$C$18)*(1-$C$18/C$90)/($C$16-$C$18)/(1+$C$16)^($C$21+13+0.5))*(1-$C$61)+($C$55+$C$56+$C$57-$C$58-$C$60))/$C$6</f>
        <v>25.523264273876</v>
      </c>
      <c r="D92" s="59" t="n">
        <f aca="false">(($C$49+$G$28*(1+$A92+($C$18-$A92)*0/9)*($G$30+($C$20-$G$30)*1/10)*(1-$G$32)*(1-($G$38+(($A92+($C$18-$A92)*0/9)/D$90-$G$38)*1/10))/(1+$C$16)^($C$21+4+0.5)+$G$28*(1+$A92+($C$18-$A92)*0/9)*(1+$A92+($C$18-$A92)*1/9)*($G$30+($C$20-$G$30)*2/10)*(1-$G$32)*(1-($G$38+(($A92+($C$18-$A92)*1/9)/D$90-$G$38)*2/10))/(1+$C$16)^($C$21+5+0.5)+$G$28*(1+$A92+($C$18-$A92)*0/9)*(1+$A92+($C$18-$A92)*1/9)*(1+$A92+($C$18-$A92)*2/9)*($G$30+($C$20-$G$30)*3/10)*(1-$G$32)*(1-($G$38+(($A92+($C$18-$A92)*2/9)/D$90-$G$38)*3/10))/(1+$C$16)^($C$21+6+0.5)+$G$28*(1+$A92+($C$18-$A92)*0/9)*(1+$A92+($C$18-$A92)*1/9)*(1+$A92+($C$18-$A92)*2/9)*(1+$A92+($C$18-$A92)*3/9)*($G$30+($C$20-$G$30)*4/10)*(1-$G$32)*(1-($G$38+(($A92+($C$18-$A92)*3/9)/D$90-$G$38)*4/10))/(1+$C$16)^($C$21+7+0.5)+$G$28*(1+$A92+($C$18-$A92)*0/9)*(1+$A92+($C$18-$A92)*1/9)*(1+$A92+($C$18-$A92)*2/9)*(1+$A92+($C$18-$A92)*3/9)*(1+$A92+($C$18-$A92)*4/9)*($G$30+($C$20-$G$30)*5/10)*(1-$G$32)*(1-($G$38+(($A92+($C$18-$A92)*4/9)/D$90-$G$38)*5/10))/(1+$C$16)^($C$21+8+0.5)+$G$28*(1+$A92+($C$18-$A92)*0/9)*(1+$A92+($C$18-$A92)*1/9)*(1+$A92+($C$18-$A92)*2/9)*(1+$A92+($C$18-$A92)*3/9)*(1+$A92+($C$18-$A92)*4/9)*(1+$A92+($C$18-$A92)*5/9)*($G$30+($C$20-$G$30)*6/10)*(1-$G$32)*(1-($G$38+(($A92+($C$18-$A92)*5/9)/D$90-$G$38)*6/10))/(1+$C$16)^($C$21+9+0.5)+$G$28*(1+$A92+($C$18-$A92)*0/9)*(1+$A92+($C$18-$A92)*1/9)*(1+$A92+($C$18-$A92)*2/9)*(1+$A92+($C$18-$A92)*3/9)*(1+$A92+($C$18-$A92)*4/9)*(1+$A92+($C$18-$A92)*5/9)*(1+$A92+($C$18-$A92)*6/9)*($G$30+($C$20-$G$30)*7/10)*(1-$G$32)*(1-($G$38+(($A92+($C$18-$A92)*6/9)/D$90-$G$38)*7/10))/(1+$C$16)^($C$21+10+0.5)+$G$28*(1+$A92+($C$18-$A92)*0/9)*(1+$A92+($C$18-$A92)*1/9)*(1+$A92+($C$18-$A92)*2/9)*(1+$A92+($C$18-$A92)*3/9)*(1+$A92+($C$18-$A92)*4/9)*(1+$A92+($C$18-$A92)*5/9)*(1+$A92+($C$18-$A92)*6/9)*(1+$A92+($C$18-$A92)*7/9)*($G$30+($C$20-$G$30)*8/10)*(1-$G$32)*(1-($G$38+(($A92+($C$18-$A92)*7/9)/D$90-$G$38)*8/10))/(1+$C$16)^($C$21+11+0.5)+$G$28*(1+$A92+($C$18-$A92)*0/9)*(1+$A92+($C$18-$A92)*1/9)*(1+$A92+($C$18-$A92)*2/9)*(1+$A92+($C$18-$A92)*3/9)*(1+$A92+($C$18-$A92)*4/9)*(1+$A92+($C$18-$A92)*5/9)*(1+$A92+($C$18-$A92)*6/9)*(1+$A92+($C$18-$A92)*7/9)*(1+$A92+($C$18-$A92)*8/9)*($G$30+($C$20-$G$30)*9/10)*(1-$G$32)*(1-($G$38+(($A92+($C$18-$A92)*8/9)/D$90-$G$38)*9/10))/(1+$C$16)^($C$21+12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(1-($G$38+(($A92+($C$18-$A92)*9/9)/D$90-$G$38)*10/10))/(1+$C$16)^($C$21+13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+$C$18)*(1-$C$18/D$90)/($C$16-$C$18)/(1+$C$16)^($C$21+13+0.5))*(1-$C$61)+($C$55+$C$56+$C$57-$C$58-$C$60))/$C$6</f>
        <v>26.7958488738574</v>
      </c>
      <c r="E92" s="59" t="n">
        <f aca="false">(($C$49+$G$28*(1+$A92+($C$18-$A92)*0/9)*($G$30+($C$20-$G$30)*1/10)*(1-$G$32)*(1-($G$38+(($A92+($C$18-$A92)*0/9)/E$90-$G$38)*1/10))/(1+$C$16)^($C$21+4+0.5)+$G$28*(1+$A92+($C$18-$A92)*0/9)*(1+$A92+($C$18-$A92)*1/9)*($G$30+($C$20-$G$30)*2/10)*(1-$G$32)*(1-($G$38+(($A92+($C$18-$A92)*1/9)/E$90-$G$38)*2/10))/(1+$C$16)^($C$21+5+0.5)+$G$28*(1+$A92+($C$18-$A92)*0/9)*(1+$A92+($C$18-$A92)*1/9)*(1+$A92+($C$18-$A92)*2/9)*($G$30+($C$20-$G$30)*3/10)*(1-$G$32)*(1-($G$38+(($A92+($C$18-$A92)*2/9)/E$90-$G$38)*3/10))/(1+$C$16)^($C$21+6+0.5)+$G$28*(1+$A92+($C$18-$A92)*0/9)*(1+$A92+($C$18-$A92)*1/9)*(1+$A92+($C$18-$A92)*2/9)*(1+$A92+($C$18-$A92)*3/9)*($G$30+($C$20-$G$30)*4/10)*(1-$G$32)*(1-($G$38+(($A92+($C$18-$A92)*3/9)/E$90-$G$38)*4/10))/(1+$C$16)^($C$21+7+0.5)+$G$28*(1+$A92+($C$18-$A92)*0/9)*(1+$A92+($C$18-$A92)*1/9)*(1+$A92+($C$18-$A92)*2/9)*(1+$A92+($C$18-$A92)*3/9)*(1+$A92+($C$18-$A92)*4/9)*($G$30+($C$20-$G$30)*5/10)*(1-$G$32)*(1-($G$38+(($A92+($C$18-$A92)*4/9)/E$90-$G$38)*5/10))/(1+$C$16)^($C$21+8+0.5)+$G$28*(1+$A92+($C$18-$A92)*0/9)*(1+$A92+($C$18-$A92)*1/9)*(1+$A92+($C$18-$A92)*2/9)*(1+$A92+($C$18-$A92)*3/9)*(1+$A92+($C$18-$A92)*4/9)*(1+$A92+($C$18-$A92)*5/9)*($G$30+($C$20-$G$30)*6/10)*(1-$G$32)*(1-($G$38+(($A92+($C$18-$A92)*5/9)/E$90-$G$38)*6/10))/(1+$C$16)^($C$21+9+0.5)+$G$28*(1+$A92+($C$18-$A92)*0/9)*(1+$A92+($C$18-$A92)*1/9)*(1+$A92+($C$18-$A92)*2/9)*(1+$A92+($C$18-$A92)*3/9)*(1+$A92+($C$18-$A92)*4/9)*(1+$A92+($C$18-$A92)*5/9)*(1+$A92+($C$18-$A92)*6/9)*($G$30+($C$20-$G$30)*7/10)*(1-$G$32)*(1-($G$38+(($A92+($C$18-$A92)*6/9)/E$90-$G$38)*7/10))/(1+$C$16)^($C$21+10+0.5)+$G$28*(1+$A92+($C$18-$A92)*0/9)*(1+$A92+($C$18-$A92)*1/9)*(1+$A92+($C$18-$A92)*2/9)*(1+$A92+($C$18-$A92)*3/9)*(1+$A92+($C$18-$A92)*4/9)*(1+$A92+($C$18-$A92)*5/9)*(1+$A92+($C$18-$A92)*6/9)*(1+$A92+($C$18-$A92)*7/9)*($G$30+($C$20-$G$30)*8/10)*(1-$G$32)*(1-($G$38+(($A92+($C$18-$A92)*7/9)/E$90-$G$38)*8/10))/(1+$C$16)^($C$21+11+0.5)+$G$28*(1+$A92+($C$18-$A92)*0/9)*(1+$A92+($C$18-$A92)*1/9)*(1+$A92+($C$18-$A92)*2/9)*(1+$A92+($C$18-$A92)*3/9)*(1+$A92+($C$18-$A92)*4/9)*(1+$A92+($C$18-$A92)*5/9)*(1+$A92+($C$18-$A92)*6/9)*(1+$A92+($C$18-$A92)*7/9)*(1+$A92+($C$18-$A92)*8/9)*($G$30+($C$20-$G$30)*9/10)*(1-$G$32)*(1-($G$38+(($A92+($C$18-$A92)*8/9)/E$90-$G$38)*9/10))/(1+$C$16)^($C$21+12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(1-($G$38+(($A92+($C$18-$A92)*9/9)/E$90-$G$38)*10/10))/(1+$C$16)^($C$21+13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+$C$18)*(1-$C$18/E$90)/($C$16-$C$18)/(1+$C$16)^($C$21+13+0.5))*(1-$C$61)+($C$55+$C$56+$C$57-$C$58-$C$60))/$C$6</f>
        <v>28.0684334738389</v>
      </c>
      <c r="F92" s="59" t="n">
        <f aca="false">(($C$49+$G$28*(1+$A92+($C$18-$A92)*0/9)*($G$30+($C$20-$G$30)*1/10)*(1-$G$32)*(1-($G$38+(($A92+($C$18-$A92)*0/9)/F$90-$G$38)*1/10))/(1+$C$16)^($C$21+4+0.5)+$G$28*(1+$A92+($C$18-$A92)*0/9)*(1+$A92+($C$18-$A92)*1/9)*($G$30+($C$20-$G$30)*2/10)*(1-$G$32)*(1-($G$38+(($A92+($C$18-$A92)*1/9)/F$90-$G$38)*2/10))/(1+$C$16)^($C$21+5+0.5)+$G$28*(1+$A92+($C$18-$A92)*0/9)*(1+$A92+($C$18-$A92)*1/9)*(1+$A92+($C$18-$A92)*2/9)*($G$30+($C$20-$G$30)*3/10)*(1-$G$32)*(1-($G$38+(($A92+($C$18-$A92)*2/9)/F$90-$G$38)*3/10))/(1+$C$16)^($C$21+6+0.5)+$G$28*(1+$A92+($C$18-$A92)*0/9)*(1+$A92+($C$18-$A92)*1/9)*(1+$A92+($C$18-$A92)*2/9)*(1+$A92+($C$18-$A92)*3/9)*($G$30+($C$20-$G$30)*4/10)*(1-$G$32)*(1-($G$38+(($A92+($C$18-$A92)*3/9)/F$90-$G$38)*4/10))/(1+$C$16)^($C$21+7+0.5)+$G$28*(1+$A92+($C$18-$A92)*0/9)*(1+$A92+($C$18-$A92)*1/9)*(1+$A92+($C$18-$A92)*2/9)*(1+$A92+($C$18-$A92)*3/9)*(1+$A92+($C$18-$A92)*4/9)*($G$30+($C$20-$G$30)*5/10)*(1-$G$32)*(1-($G$38+(($A92+($C$18-$A92)*4/9)/F$90-$G$38)*5/10))/(1+$C$16)^($C$21+8+0.5)+$G$28*(1+$A92+($C$18-$A92)*0/9)*(1+$A92+($C$18-$A92)*1/9)*(1+$A92+($C$18-$A92)*2/9)*(1+$A92+($C$18-$A92)*3/9)*(1+$A92+($C$18-$A92)*4/9)*(1+$A92+($C$18-$A92)*5/9)*($G$30+($C$20-$G$30)*6/10)*(1-$G$32)*(1-($G$38+(($A92+($C$18-$A92)*5/9)/F$90-$G$38)*6/10))/(1+$C$16)^($C$21+9+0.5)+$G$28*(1+$A92+($C$18-$A92)*0/9)*(1+$A92+($C$18-$A92)*1/9)*(1+$A92+($C$18-$A92)*2/9)*(1+$A92+($C$18-$A92)*3/9)*(1+$A92+($C$18-$A92)*4/9)*(1+$A92+($C$18-$A92)*5/9)*(1+$A92+($C$18-$A92)*6/9)*($G$30+($C$20-$G$30)*7/10)*(1-$G$32)*(1-($G$38+(($A92+($C$18-$A92)*6/9)/F$90-$G$38)*7/10))/(1+$C$16)^($C$21+10+0.5)+$G$28*(1+$A92+($C$18-$A92)*0/9)*(1+$A92+($C$18-$A92)*1/9)*(1+$A92+($C$18-$A92)*2/9)*(1+$A92+($C$18-$A92)*3/9)*(1+$A92+($C$18-$A92)*4/9)*(1+$A92+($C$18-$A92)*5/9)*(1+$A92+($C$18-$A92)*6/9)*(1+$A92+($C$18-$A92)*7/9)*($G$30+($C$20-$G$30)*8/10)*(1-$G$32)*(1-($G$38+(($A92+($C$18-$A92)*7/9)/F$90-$G$38)*8/10))/(1+$C$16)^($C$21+11+0.5)+$G$28*(1+$A92+($C$18-$A92)*0/9)*(1+$A92+($C$18-$A92)*1/9)*(1+$A92+($C$18-$A92)*2/9)*(1+$A92+($C$18-$A92)*3/9)*(1+$A92+($C$18-$A92)*4/9)*(1+$A92+($C$18-$A92)*5/9)*(1+$A92+($C$18-$A92)*6/9)*(1+$A92+($C$18-$A92)*7/9)*(1+$A92+($C$18-$A92)*8/9)*($G$30+($C$20-$G$30)*9/10)*(1-$G$32)*(1-($G$38+(($A92+($C$18-$A92)*8/9)/F$90-$G$38)*9/10))/(1+$C$16)^($C$21+12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(1-($G$38+(($A92+($C$18-$A92)*9/9)/F$90-$G$38)*10/10))/(1+$C$16)^($C$21+13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+$C$18)*(1-$C$18/F$90)/($C$16-$C$18)/(1+$C$16)^($C$21+13+0.5))*(1-$C$61)+($C$55+$C$56+$C$57-$C$58-$C$60))/$C$6</f>
        <v>28.9168232071599</v>
      </c>
      <c r="G92" s="59" t="n">
        <f aca="false">(($C$49+$G$28*(1+$A92+($C$18-$A92)*0/9)*($G$30+($C$20-$G$30)*1/10)*(1-$G$32)*(1-($G$38+(($A92+($C$18-$A92)*0/9)/G$90-$G$38)*1/10))/(1+$C$16)^($C$21+4+0.5)+$G$28*(1+$A92+($C$18-$A92)*0/9)*(1+$A92+($C$18-$A92)*1/9)*($G$30+($C$20-$G$30)*2/10)*(1-$G$32)*(1-($G$38+(($A92+($C$18-$A92)*1/9)/G$90-$G$38)*2/10))/(1+$C$16)^($C$21+5+0.5)+$G$28*(1+$A92+($C$18-$A92)*0/9)*(1+$A92+($C$18-$A92)*1/9)*(1+$A92+($C$18-$A92)*2/9)*($G$30+($C$20-$G$30)*3/10)*(1-$G$32)*(1-($G$38+(($A92+($C$18-$A92)*2/9)/G$90-$G$38)*3/10))/(1+$C$16)^($C$21+6+0.5)+$G$28*(1+$A92+($C$18-$A92)*0/9)*(1+$A92+($C$18-$A92)*1/9)*(1+$A92+($C$18-$A92)*2/9)*(1+$A92+($C$18-$A92)*3/9)*($G$30+($C$20-$G$30)*4/10)*(1-$G$32)*(1-($G$38+(($A92+($C$18-$A92)*3/9)/G$90-$G$38)*4/10))/(1+$C$16)^($C$21+7+0.5)+$G$28*(1+$A92+($C$18-$A92)*0/9)*(1+$A92+($C$18-$A92)*1/9)*(1+$A92+($C$18-$A92)*2/9)*(1+$A92+($C$18-$A92)*3/9)*(1+$A92+($C$18-$A92)*4/9)*($G$30+($C$20-$G$30)*5/10)*(1-$G$32)*(1-($G$38+(($A92+($C$18-$A92)*4/9)/G$90-$G$38)*5/10))/(1+$C$16)^($C$21+8+0.5)+$G$28*(1+$A92+($C$18-$A92)*0/9)*(1+$A92+($C$18-$A92)*1/9)*(1+$A92+($C$18-$A92)*2/9)*(1+$A92+($C$18-$A92)*3/9)*(1+$A92+($C$18-$A92)*4/9)*(1+$A92+($C$18-$A92)*5/9)*($G$30+($C$20-$G$30)*6/10)*(1-$G$32)*(1-($G$38+(($A92+($C$18-$A92)*5/9)/G$90-$G$38)*6/10))/(1+$C$16)^($C$21+9+0.5)+$G$28*(1+$A92+($C$18-$A92)*0/9)*(1+$A92+($C$18-$A92)*1/9)*(1+$A92+($C$18-$A92)*2/9)*(1+$A92+($C$18-$A92)*3/9)*(1+$A92+($C$18-$A92)*4/9)*(1+$A92+($C$18-$A92)*5/9)*(1+$A92+($C$18-$A92)*6/9)*($G$30+($C$20-$G$30)*7/10)*(1-$G$32)*(1-($G$38+(($A92+($C$18-$A92)*6/9)/G$90-$G$38)*7/10))/(1+$C$16)^($C$21+10+0.5)+$G$28*(1+$A92+($C$18-$A92)*0/9)*(1+$A92+($C$18-$A92)*1/9)*(1+$A92+($C$18-$A92)*2/9)*(1+$A92+($C$18-$A92)*3/9)*(1+$A92+($C$18-$A92)*4/9)*(1+$A92+($C$18-$A92)*5/9)*(1+$A92+($C$18-$A92)*6/9)*(1+$A92+($C$18-$A92)*7/9)*($G$30+($C$20-$G$30)*8/10)*(1-$G$32)*(1-($G$38+(($A92+($C$18-$A92)*7/9)/G$90-$G$38)*8/10))/(1+$C$16)^($C$21+11+0.5)+$G$28*(1+$A92+($C$18-$A92)*0/9)*(1+$A92+($C$18-$A92)*1/9)*(1+$A92+($C$18-$A92)*2/9)*(1+$A92+($C$18-$A92)*3/9)*(1+$A92+($C$18-$A92)*4/9)*(1+$A92+($C$18-$A92)*5/9)*(1+$A92+($C$18-$A92)*6/9)*(1+$A92+($C$18-$A92)*7/9)*(1+$A92+($C$18-$A92)*8/9)*($G$30+($C$20-$G$30)*9/10)*(1-$G$32)*(1-($G$38+(($A92+($C$18-$A92)*8/9)/G$90-$G$38)*9/10))/(1+$C$16)^($C$21+12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(1-($G$38+(($A92+($C$18-$A92)*9/9)/G$90-$G$38)*10/10))/(1+$C$16)^($C$21+13+0.5)+$G$28*(1+$A92+($C$18-$A92)*0/9)*(1+$A92+($C$18-$A92)*1/9)*(1+$A92+($C$18-$A92)*2/9)*(1+$A92+($C$18-$A92)*3/9)*(1+$A92+($C$18-$A92)*4/9)*(1+$A92+($C$18-$A92)*5/9)*(1+$A92+($C$18-$A92)*6/9)*(1+$A92+($C$18-$A92)*7/9)*(1+$A92+($C$18-$A92)*8/9)*(1+$A92+($C$18-$A92)*9/9)*($G$30+($C$20-$G$30)*10/10)*(1-$G$32)*(1+$C$18)*(1-$C$18/G$90)/($C$16-$C$18)/(1+$C$16)^($C$21+13+0.5))*(1-$C$61)+($C$55+$C$56+$C$57-$C$58-$C$60))/$C$6</f>
        <v>29.688086601088</v>
      </c>
    </row>
    <row r="93" customFormat="false" ht="15" hidden="false" customHeight="false" outlineLevel="0" collapsed="false">
      <c r="A93" s="13" t="n">
        <f aca="false">$C$17+(0)</f>
        <v>0.10865911445442</v>
      </c>
      <c r="B93" s="6"/>
      <c r="C93" s="59" t="n">
        <f aca="false">(($C$49+$G$28*(1+$A93+($C$18-$A93)*0/9)*($G$30+($C$20-$G$30)*1/10)*(1-$G$32)*(1-($G$38+(($A93+($C$18-$A93)*0/9)/C$90-$G$38)*1/10))/(1+$C$16)^($C$21+4+0.5)+$G$28*(1+$A93+($C$18-$A93)*0/9)*(1+$A93+($C$18-$A93)*1/9)*($G$30+($C$20-$G$30)*2/10)*(1-$G$32)*(1-($G$38+(($A93+($C$18-$A93)*1/9)/C$90-$G$38)*2/10))/(1+$C$16)^($C$21+5+0.5)+$G$28*(1+$A93+($C$18-$A93)*0/9)*(1+$A93+($C$18-$A93)*1/9)*(1+$A93+($C$18-$A93)*2/9)*($G$30+($C$20-$G$30)*3/10)*(1-$G$32)*(1-($G$38+(($A93+($C$18-$A93)*2/9)/C$90-$G$38)*3/10))/(1+$C$16)^($C$21+6+0.5)+$G$28*(1+$A93+($C$18-$A93)*0/9)*(1+$A93+($C$18-$A93)*1/9)*(1+$A93+($C$18-$A93)*2/9)*(1+$A93+($C$18-$A93)*3/9)*($G$30+($C$20-$G$30)*4/10)*(1-$G$32)*(1-($G$38+(($A93+($C$18-$A93)*3/9)/C$90-$G$38)*4/10))/(1+$C$16)^($C$21+7+0.5)+$G$28*(1+$A93+($C$18-$A93)*0/9)*(1+$A93+($C$18-$A93)*1/9)*(1+$A93+($C$18-$A93)*2/9)*(1+$A93+($C$18-$A93)*3/9)*(1+$A93+($C$18-$A93)*4/9)*($G$30+($C$20-$G$30)*5/10)*(1-$G$32)*(1-($G$38+(($A93+($C$18-$A93)*4/9)/C$90-$G$38)*5/10))/(1+$C$16)^($C$21+8+0.5)+$G$28*(1+$A93+($C$18-$A93)*0/9)*(1+$A93+($C$18-$A93)*1/9)*(1+$A93+($C$18-$A93)*2/9)*(1+$A93+($C$18-$A93)*3/9)*(1+$A93+($C$18-$A93)*4/9)*(1+$A93+($C$18-$A93)*5/9)*($G$30+($C$20-$G$30)*6/10)*(1-$G$32)*(1-($G$38+(($A93+($C$18-$A93)*5/9)/C$90-$G$38)*6/10))/(1+$C$16)^($C$21+9+0.5)+$G$28*(1+$A93+($C$18-$A93)*0/9)*(1+$A93+($C$18-$A93)*1/9)*(1+$A93+($C$18-$A93)*2/9)*(1+$A93+($C$18-$A93)*3/9)*(1+$A93+($C$18-$A93)*4/9)*(1+$A93+($C$18-$A93)*5/9)*(1+$A93+($C$18-$A93)*6/9)*($G$30+($C$20-$G$30)*7/10)*(1-$G$32)*(1-($G$38+(($A93+($C$18-$A93)*6/9)/C$90-$G$38)*7/10))/(1+$C$16)^($C$21+10+0.5)+$G$28*(1+$A93+($C$18-$A93)*0/9)*(1+$A93+($C$18-$A93)*1/9)*(1+$A93+($C$18-$A93)*2/9)*(1+$A93+($C$18-$A93)*3/9)*(1+$A93+($C$18-$A93)*4/9)*(1+$A93+($C$18-$A93)*5/9)*(1+$A93+($C$18-$A93)*6/9)*(1+$A93+($C$18-$A93)*7/9)*($G$30+($C$20-$G$30)*8/10)*(1-$G$32)*(1-($G$38+(($A93+($C$18-$A93)*7/9)/C$90-$G$38)*8/10))/(1+$C$16)^($C$21+11+0.5)+$G$28*(1+$A93+($C$18-$A93)*0/9)*(1+$A93+($C$18-$A93)*1/9)*(1+$A93+($C$18-$A93)*2/9)*(1+$A93+($C$18-$A93)*3/9)*(1+$A93+($C$18-$A93)*4/9)*(1+$A93+($C$18-$A93)*5/9)*(1+$A93+($C$18-$A93)*6/9)*(1+$A93+($C$18-$A93)*7/9)*(1+$A93+($C$18-$A93)*8/9)*($G$30+($C$20-$G$30)*9/10)*(1-$G$32)*(1-($G$38+(($A93+($C$18-$A93)*8/9)/C$90-$G$38)*9/10))/(1+$C$16)^($C$21+12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(1-($G$38+(($A93+($C$18-$A93)*9/9)/C$90-$G$38)*10/10))/(1+$C$16)^($C$21+13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+$C$18)*(1-$C$18/C$90)/($C$16-$C$18)/(1+$C$16)^($C$21+13+0.5))*(1-$C$61)+($C$55+$C$56+$C$57-$C$58-$C$60))/$C$6</f>
        <v>26.7300170656749</v>
      </c>
      <c r="D93" s="59" t="n">
        <f aca="false">(($C$49+$G$28*(1+$A93+($C$18-$A93)*0/9)*($G$30+($C$20-$G$30)*1/10)*(1-$G$32)*(1-($G$38+(($A93+($C$18-$A93)*0/9)/D$90-$G$38)*1/10))/(1+$C$16)^($C$21+4+0.5)+$G$28*(1+$A93+($C$18-$A93)*0/9)*(1+$A93+($C$18-$A93)*1/9)*($G$30+($C$20-$G$30)*2/10)*(1-$G$32)*(1-($G$38+(($A93+($C$18-$A93)*1/9)/D$90-$G$38)*2/10))/(1+$C$16)^($C$21+5+0.5)+$G$28*(1+$A93+($C$18-$A93)*0/9)*(1+$A93+($C$18-$A93)*1/9)*(1+$A93+($C$18-$A93)*2/9)*($G$30+($C$20-$G$30)*3/10)*(1-$G$32)*(1-($G$38+(($A93+($C$18-$A93)*2/9)/D$90-$G$38)*3/10))/(1+$C$16)^($C$21+6+0.5)+$G$28*(1+$A93+($C$18-$A93)*0/9)*(1+$A93+($C$18-$A93)*1/9)*(1+$A93+($C$18-$A93)*2/9)*(1+$A93+($C$18-$A93)*3/9)*($G$30+($C$20-$G$30)*4/10)*(1-$G$32)*(1-($G$38+(($A93+($C$18-$A93)*3/9)/D$90-$G$38)*4/10))/(1+$C$16)^($C$21+7+0.5)+$G$28*(1+$A93+($C$18-$A93)*0/9)*(1+$A93+($C$18-$A93)*1/9)*(1+$A93+($C$18-$A93)*2/9)*(1+$A93+($C$18-$A93)*3/9)*(1+$A93+($C$18-$A93)*4/9)*($G$30+($C$20-$G$30)*5/10)*(1-$G$32)*(1-($G$38+(($A93+($C$18-$A93)*4/9)/D$90-$G$38)*5/10))/(1+$C$16)^($C$21+8+0.5)+$G$28*(1+$A93+($C$18-$A93)*0/9)*(1+$A93+($C$18-$A93)*1/9)*(1+$A93+($C$18-$A93)*2/9)*(1+$A93+($C$18-$A93)*3/9)*(1+$A93+($C$18-$A93)*4/9)*(1+$A93+($C$18-$A93)*5/9)*($G$30+($C$20-$G$30)*6/10)*(1-$G$32)*(1-($G$38+(($A93+($C$18-$A93)*5/9)/D$90-$G$38)*6/10))/(1+$C$16)^($C$21+9+0.5)+$G$28*(1+$A93+($C$18-$A93)*0/9)*(1+$A93+($C$18-$A93)*1/9)*(1+$A93+($C$18-$A93)*2/9)*(1+$A93+($C$18-$A93)*3/9)*(1+$A93+($C$18-$A93)*4/9)*(1+$A93+($C$18-$A93)*5/9)*(1+$A93+($C$18-$A93)*6/9)*($G$30+($C$20-$G$30)*7/10)*(1-$G$32)*(1-($G$38+(($A93+($C$18-$A93)*6/9)/D$90-$G$38)*7/10))/(1+$C$16)^($C$21+10+0.5)+$G$28*(1+$A93+($C$18-$A93)*0/9)*(1+$A93+($C$18-$A93)*1/9)*(1+$A93+($C$18-$A93)*2/9)*(1+$A93+($C$18-$A93)*3/9)*(1+$A93+($C$18-$A93)*4/9)*(1+$A93+($C$18-$A93)*5/9)*(1+$A93+($C$18-$A93)*6/9)*(1+$A93+($C$18-$A93)*7/9)*($G$30+($C$20-$G$30)*8/10)*(1-$G$32)*(1-($G$38+(($A93+($C$18-$A93)*7/9)/D$90-$G$38)*8/10))/(1+$C$16)^($C$21+11+0.5)+$G$28*(1+$A93+($C$18-$A93)*0/9)*(1+$A93+($C$18-$A93)*1/9)*(1+$A93+($C$18-$A93)*2/9)*(1+$A93+($C$18-$A93)*3/9)*(1+$A93+($C$18-$A93)*4/9)*(1+$A93+($C$18-$A93)*5/9)*(1+$A93+($C$18-$A93)*6/9)*(1+$A93+($C$18-$A93)*7/9)*(1+$A93+($C$18-$A93)*8/9)*($G$30+($C$20-$G$30)*9/10)*(1-$G$32)*(1-($G$38+(($A93+($C$18-$A93)*8/9)/D$90-$G$38)*9/10))/(1+$C$16)^($C$21+12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(1-($G$38+(($A93+($C$18-$A93)*9/9)/D$90-$G$38)*10/10))/(1+$C$16)^($C$21+13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+$C$18)*(1-$C$18/D$90)/($C$16-$C$18)/(1+$C$16)^($C$21+13+0.5))*(1-$C$61)+($C$55+$C$56+$C$57-$C$58-$C$60))/$C$6</f>
        <v>28.2078531108889</v>
      </c>
      <c r="E93" s="59" t="n">
        <f aca="false">(($C$49+$G$28*(1+$A93+($C$18-$A93)*0/9)*($G$30+($C$20-$G$30)*1/10)*(1-$G$32)*(1-($G$38+(($A93+($C$18-$A93)*0/9)/E$90-$G$38)*1/10))/(1+$C$16)^($C$21+4+0.5)+$G$28*(1+$A93+($C$18-$A93)*0/9)*(1+$A93+($C$18-$A93)*1/9)*($G$30+($C$20-$G$30)*2/10)*(1-$G$32)*(1-($G$38+(($A93+($C$18-$A93)*1/9)/E$90-$G$38)*2/10))/(1+$C$16)^($C$21+5+0.5)+$G$28*(1+$A93+($C$18-$A93)*0/9)*(1+$A93+($C$18-$A93)*1/9)*(1+$A93+($C$18-$A93)*2/9)*($G$30+($C$20-$G$30)*3/10)*(1-$G$32)*(1-($G$38+(($A93+($C$18-$A93)*2/9)/E$90-$G$38)*3/10))/(1+$C$16)^($C$21+6+0.5)+$G$28*(1+$A93+($C$18-$A93)*0/9)*(1+$A93+($C$18-$A93)*1/9)*(1+$A93+($C$18-$A93)*2/9)*(1+$A93+($C$18-$A93)*3/9)*($G$30+($C$20-$G$30)*4/10)*(1-$G$32)*(1-($G$38+(($A93+($C$18-$A93)*3/9)/E$90-$G$38)*4/10))/(1+$C$16)^($C$21+7+0.5)+$G$28*(1+$A93+($C$18-$A93)*0/9)*(1+$A93+($C$18-$A93)*1/9)*(1+$A93+($C$18-$A93)*2/9)*(1+$A93+($C$18-$A93)*3/9)*(1+$A93+($C$18-$A93)*4/9)*($G$30+($C$20-$G$30)*5/10)*(1-$G$32)*(1-($G$38+(($A93+($C$18-$A93)*4/9)/E$90-$G$38)*5/10))/(1+$C$16)^($C$21+8+0.5)+$G$28*(1+$A93+($C$18-$A93)*0/9)*(1+$A93+($C$18-$A93)*1/9)*(1+$A93+($C$18-$A93)*2/9)*(1+$A93+($C$18-$A93)*3/9)*(1+$A93+($C$18-$A93)*4/9)*(1+$A93+($C$18-$A93)*5/9)*($G$30+($C$20-$G$30)*6/10)*(1-$G$32)*(1-($G$38+(($A93+($C$18-$A93)*5/9)/E$90-$G$38)*6/10))/(1+$C$16)^($C$21+9+0.5)+$G$28*(1+$A93+($C$18-$A93)*0/9)*(1+$A93+($C$18-$A93)*1/9)*(1+$A93+($C$18-$A93)*2/9)*(1+$A93+($C$18-$A93)*3/9)*(1+$A93+($C$18-$A93)*4/9)*(1+$A93+($C$18-$A93)*5/9)*(1+$A93+($C$18-$A93)*6/9)*($G$30+($C$20-$G$30)*7/10)*(1-$G$32)*(1-($G$38+(($A93+($C$18-$A93)*6/9)/E$90-$G$38)*7/10))/(1+$C$16)^($C$21+10+0.5)+$G$28*(1+$A93+($C$18-$A93)*0/9)*(1+$A93+($C$18-$A93)*1/9)*(1+$A93+($C$18-$A93)*2/9)*(1+$A93+($C$18-$A93)*3/9)*(1+$A93+($C$18-$A93)*4/9)*(1+$A93+($C$18-$A93)*5/9)*(1+$A93+($C$18-$A93)*6/9)*(1+$A93+($C$18-$A93)*7/9)*($G$30+($C$20-$G$30)*8/10)*(1-$G$32)*(1-($G$38+(($A93+($C$18-$A93)*7/9)/E$90-$G$38)*8/10))/(1+$C$16)^($C$21+11+0.5)+$G$28*(1+$A93+($C$18-$A93)*0/9)*(1+$A93+($C$18-$A93)*1/9)*(1+$A93+($C$18-$A93)*2/9)*(1+$A93+($C$18-$A93)*3/9)*(1+$A93+($C$18-$A93)*4/9)*(1+$A93+($C$18-$A93)*5/9)*(1+$A93+($C$18-$A93)*6/9)*(1+$A93+($C$18-$A93)*7/9)*(1+$A93+($C$18-$A93)*8/9)*($G$30+($C$20-$G$30)*9/10)*(1-$G$32)*(1-($G$38+(($A93+($C$18-$A93)*8/9)/E$90-$G$38)*9/10))/(1+$C$16)^($C$21+12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(1-($G$38+(($A93+($C$18-$A93)*9/9)/E$90-$G$38)*10/10))/(1+$C$16)^($C$21+13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+$C$18)*(1-$C$18/E$90)/($C$16-$C$18)/(1+$C$16)^($C$21+13+0.5))*(1-$C$61)+($C$55+$C$56+$C$57-$C$58-$C$60))/$C$6</f>
        <v>29.685689156103</v>
      </c>
      <c r="F93" s="59" t="n">
        <f aca="false">(($C$49+$G$28*(1+$A93+($C$18-$A93)*0/9)*($G$30+($C$20-$G$30)*1/10)*(1-$G$32)*(1-($G$38+(($A93+($C$18-$A93)*0/9)/F$90-$G$38)*1/10))/(1+$C$16)^($C$21+4+0.5)+$G$28*(1+$A93+($C$18-$A93)*0/9)*(1+$A93+($C$18-$A93)*1/9)*($G$30+($C$20-$G$30)*2/10)*(1-$G$32)*(1-($G$38+(($A93+($C$18-$A93)*1/9)/F$90-$G$38)*2/10))/(1+$C$16)^($C$21+5+0.5)+$G$28*(1+$A93+($C$18-$A93)*0/9)*(1+$A93+($C$18-$A93)*1/9)*(1+$A93+($C$18-$A93)*2/9)*($G$30+($C$20-$G$30)*3/10)*(1-$G$32)*(1-($G$38+(($A93+($C$18-$A93)*2/9)/F$90-$G$38)*3/10))/(1+$C$16)^($C$21+6+0.5)+$G$28*(1+$A93+($C$18-$A93)*0/9)*(1+$A93+($C$18-$A93)*1/9)*(1+$A93+($C$18-$A93)*2/9)*(1+$A93+($C$18-$A93)*3/9)*($G$30+($C$20-$G$30)*4/10)*(1-$G$32)*(1-($G$38+(($A93+($C$18-$A93)*3/9)/F$90-$G$38)*4/10))/(1+$C$16)^($C$21+7+0.5)+$G$28*(1+$A93+($C$18-$A93)*0/9)*(1+$A93+($C$18-$A93)*1/9)*(1+$A93+($C$18-$A93)*2/9)*(1+$A93+($C$18-$A93)*3/9)*(1+$A93+($C$18-$A93)*4/9)*($G$30+($C$20-$G$30)*5/10)*(1-$G$32)*(1-($G$38+(($A93+($C$18-$A93)*4/9)/F$90-$G$38)*5/10))/(1+$C$16)^($C$21+8+0.5)+$G$28*(1+$A93+($C$18-$A93)*0/9)*(1+$A93+($C$18-$A93)*1/9)*(1+$A93+($C$18-$A93)*2/9)*(1+$A93+($C$18-$A93)*3/9)*(1+$A93+($C$18-$A93)*4/9)*(1+$A93+($C$18-$A93)*5/9)*($G$30+($C$20-$G$30)*6/10)*(1-$G$32)*(1-($G$38+(($A93+($C$18-$A93)*5/9)/F$90-$G$38)*6/10))/(1+$C$16)^($C$21+9+0.5)+$G$28*(1+$A93+($C$18-$A93)*0/9)*(1+$A93+($C$18-$A93)*1/9)*(1+$A93+($C$18-$A93)*2/9)*(1+$A93+($C$18-$A93)*3/9)*(1+$A93+($C$18-$A93)*4/9)*(1+$A93+($C$18-$A93)*5/9)*(1+$A93+($C$18-$A93)*6/9)*($G$30+($C$20-$G$30)*7/10)*(1-$G$32)*(1-($G$38+(($A93+($C$18-$A93)*6/9)/F$90-$G$38)*7/10))/(1+$C$16)^($C$21+10+0.5)+$G$28*(1+$A93+($C$18-$A93)*0/9)*(1+$A93+($C$18-$A93)*1/9)*(1+$A93+($C$18-$A93)*2/9)*(1+$A93+($C$18-$A93)*3/9)*(1+$A93+($C$18-$A93)*4/9)*(1+$A93+($C$18-$A93)*5/9)*(1+$A93+($C$18-$A93)*6/9)*(1+$A93+($C$18-$A93)*7/9)*($G$30+($C$20-$G$30)*8/10)*(1-$G$32)*(1-($G$38+(($A93+($C$18-$A93)*7/9)/F$90-$G$38)*8/10))/(1+$C$16)^($C$21+11+0.5)+$G$28*(1+$A93+($C$18-$A93)*0/9)*(1+$A93+($C$18-$A93)*1/9)*(1+$A93+($C$18-$A93)*2/9)*(1+$A93+($C$18-$A93)*3/9)*(1+$A93+($C$18-$A93)*4/9)*(1+$A93+($C$18-$A93)*5/9)*(1+$A93+($C$18-$A93)*6/9)*(1+$A93+($C$18-$A93)*7/9)*(1+$A93+($C$18-$A93)*8/9)*($G$30+($C$20-$G$30)*9/10)*(1-$G$32)*(1-($G$38+(($A93+($C$18-$A93)*8/9)/F$90-$G$38)*9/10))/(1+$C$16)^($C$21+12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(1-($G$38+(($A93+($C$18-$A93)*9/9)/F$90-$G$38)*10/10))/(1+$C$16)^($C$21+13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+$C$18)*(1-$C$18/F$90)/($C$16-$C$18)/(1+$C$16)^($C$21+13+0.5))*(1-$C$61)+($C$55+$C$56+$C$57-$C$58-$C$60))/$C$6</f>
        <v>30.6709131862456</v>
      </c>
      <c r="G93" s="59" t="n">
        <f aca="false">(($C$49+$G$28*(1+$A93+($C$18-$A93)*0/9)*($G$30+($C$20-$G$30)*1/10)*(1-$G$32)*(1-($G$38+(($A93+($C$18-$A93)*0/9)/G$90-$G$38)*1/10))/(1+$C$16)^($C$21+4+0.5)+$G$28*(1+$A93+($C$18-$A93)*0/9)*(1+$A93+($C$18-$A93)*1/9)*($G$30+($C$20-$G$30)*2/10)*(1-$G$32)*(1-($G$38+(($A93+($C$18-$A93)*1/9)/G$90-$G$38)*2/10))/(1+$C$16)^($C$21+5+0.5)+$G$28*(1+$A93+($C$18-$A93)*0/9)*(1+$A93+($C$18-$A93)*1/9)*(1+$A93+($C$18-$A93)*2/9)*($G$30+($C$20-$G$30)*3/10)*(1-$G$32)*(1-($G$38+(($A93+($C$18-$A93)*2/9)/G$90-$G$38)*3/10))/(1+$C$16)^($C$21+6+0.5)+$G$28*(1+$A93+($C$18-$A93)*0/9)*(1+$A93+($C$18-$A93)*1/9)*(1+$A93+($C$18-$A93)*2/9)*(1+$A93+($C$18-$A93)*3/9)*($G$30+($C$20-$G$30)*4/10)*(1-$G$32)*(1-($G$38+(($A93+($C$18-$A93)*3/9)/G$90-$G$38)*4/10))/(1+$C$16)^($C$21+7+0.5)+$G$28*(1+$A93+($C$18-$A93)*0/9)*(1+$A93+($C$18-$A93)*1/9)*(1+$A93+($C$18-$A93)*2/9)*(1+$A93+($C$18-$A93)*3/9)*(1+$A93+($C$18-$A93)*4/9)*($G$30+($C$20-$G$30)*5/10)*(1-$G$32)*(1-($G$38+(($A93+($C$18-$A93)*4/9)/G$90-$G$38)*5/10))/(1+$C$16)^($C$21+8+0.5)+$G$28*(1+$A93+($C$18-$A93)*0/9)*(1+$A93+($C$18-$A93)*1/9)*(1+$A93+($C$18-$A93)*2/9)*(1+$A93+($C$18-$A93)*3/9)*(1+$A93+($C$18-$A93)*4/9)*(1+$A93+($C$18-$A93)*5/9)*($G$30+($C$20-$G$30)*6/10)*(1-$G$32)*(1-($G$38+(($A93+($C$18-$A93)*5/9)/G$90-$G$38)*6/10))/(1+$C$16)^($C$21+9+0.5)+$G$28*(1+$A93+($C$18-$A93)*0/9)*(1+$A93+($C$18-$A93)*1/9)*(1+$A93+($C$18-$A93)*2/9)*(1+$A93+($C$18-$A93)*3/9)*(1+$A93+($C$18-$A93)*4/9)*(1+$A93+($C$18-$A93)*5/9)*(1+$A93+($C$18-$A93)*6/9)*($G$30+($C$20-$G$30)*7/10)*(1-$G$32)*(1-($G$38+(($A93+($C$18-$A93)*6/9)/G$90-$G$38)*7/10))/(1+$C$16)^($C$21+10+0.5)+$G$28*(1+$A93+($C$18-$A93)*0/9)*(1+$A93+($C$18-$A93)*1/9)*(1+$A93+($C$18-$A93)*2/9)*(1+$A93+($C$18-$A93)*3/9)*(1+$A93+($C$18-$A93)*4/9)*(1+$A93+($C$18-$A93)*5/9)*(1+$A93+($C$18-$A93)*6/9)*(1+$A93+($C$18-$A93)*7/9)*($G$30+($C$20-$G$30)*8/10)*(1-$G$32)*(1-($G$38+(($A93+($C$18-$A93)*7/9)/G$90-$G$38)*8/10))/(1+$C$16)^($C$21+11+0.5)+$G$28*(1+$A93+($C$18-$A93)*0/9)*(1+$A93+($C$18-$A93)*1/9)*(1+$A93+($C$18-$A93)*2/9)*(1+$A93+($C$18-$A93)*3/9)*(1+$A93+($C$18-$A93)*4/9)*(1+$A93+($C$18-$A93)*5/9)*(1+$A93+($C$18-$A93)*6/9)*(1+$A93+($C$18-$A93)*7/9)*(1+$A93+($C$18-$A93)*8/9)*($G$30+($C$20-$G$30)*9/10)*(1-$G$32)*(1-($G$38+(($A93+($C$18-$A93)*8/9)/G$90-$G$38)*9/10))/(1+$C$16)^($C$21+12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(1-($G$38+(($A93+($C$18-$A93)*9/9)/G$90-$G$38)*10/10))/(1+$C$16)^($C$21+13+0.5)+$G$28*(1+$A93+($C$18-$A93)*0/9)*(1+$A93+($C$18-$A93)*1/9)*(1+$A93+($C$18-$A93)*2/9)*(1+$A93+($C$18-$A93)*3/9)*(1+$A93+($C$18-$A93)*4/9)*(1+$A93+($C$18-$A93)*5/9)*(1+$A93+($C$18-$A93)*6/9)*(1+$A93+($C$18-$A93)*7/9)*(1+$A93+($C$18-$A93)*8/9)*(1+$A93+($C$18-$A93)*9/9)*($G$30+($C$20-$G$30)*10/10)*(1-$G$32)*(1+$C$18)*(1-$C$18/G$90)/($C$16-$C$18)/(1+$C$16)^($C$21+13+0.5))*(1-$C$61)+($C$55+$C$56+$C$57-$C$58-$C$60))/$C$6</f>
        <v>31.5665713954663</v>
      </c>
    </row>
    <row r="94" customFormat="false" ht="15" hidden="false" customHeight="false" outlineLevel="0" collapsed="false">
      <c r="A94" s="13" t="n">
        <f aca="false">$C$17+(0.02)</f>
        <v>0.12865911445442</v>
      </c>
      <c r="B94" s="6"/>
      <c r="C94" s="59" t="n">
        <f aca="false">(($C$49+$G$28*(1+$A94+($C$18-$A94)*0/9)*($G$30+($C$20-$G$30)*1/10)*(1-$G$32)*(1-($G$38+(($A94+($C$18-$A94)*0/9)/C$90-$G$38)*1/10))/(1+$C$16)^($C$21+4+0.5)+$G$28*(1+$A94+($C$18-$A94)*0/9)*(1+$A94+($C$18-$A94)*1/9)*($G$30+($C$20-$G$30)*2/10)*(1-$G$32)*(1-($G$38+(($A94+($C$18-$A94)*1/9)/C$90-$G$38)*2/10))/(1+$C$16)^($C$21+5+0.5)+$G$28*(1+$A94+($C$18-$A94)*0/9)*(1+$A94+($C$18-$A94)*1/9)*(1+$A94+($C$18-$A94)*2/9)*($G$30+($C$20-$G$30)*3/10)*(1-$G$32)*(1-($G$38+(($A94+($C$18-$A94)*2/9)/C$90-$G$38)*3/10))/(1+$C$16)^($C$21+6+0.5)+$G$28*(1+$A94+($C$18-$A94)*0/9)*(1+$A94+($C$18-$A94)*1/9)*(1+$A94+($C$18-$A94)*2/9)*(1+$A94+($C$18-$A94)*3/9)*($G$30+($C$20-$G$30)*4/10)*(1-$G$32)*(1-($G$38+(($A94+($C$18-$A94)*3/9)/C$90-$G$38)*4/10))/(1+$C$16)^($C$21+7+0.5)+$G$28*(1+$A94+($C$18-$A94)*0/9)*(1+$A94+($C$18-$A94)*1/9)*(1+$A94+($C$18-$A94)*2/9)*(1+$A94+($C$18-$A94)*3/9)*(1+$A94+($C$18-$A94)*4/9)*($G$30+($C$20-$G$30)*5/10)*(1-$G$32)*(1-($G$38+(($A94+($C$18-$A94)*4/9)/C$90-$G$38)*5/10))/(1+$C$16)^($C$21+8+0.5)+$G$28*(1+$A94+($C$18-$A94)*0/9)*(1+$A94+($C$18-$A94)*1/9)*(1+$A94+($C$18-$A94)*2/9)*(1+$A94+($C$18-$A94)*3/9)*(1+$A94+($C$18-$A94)*4/9)*(1+$A94+($C$18-$A94)*5/9)*($G$30+($C$20-$G$30)*6/10)*(1-$G$32)*(1-($G$38+(($A94+($C$18-$A94)*5/9)/C$90-$G$38)*6/10))/(1+$C$16)^($C$21+9+0.5)+$G$28*(1+$A94+($C$18-$A94)*0/9)*(1+$A94+($C$18-$A94)*1/9)*(1+$A94+($C$18-$A94)*2/9)*(1+$A94+($C$18-$A94)*3/9)*(1+$A94+($C$18-$A94)*4/9)*(1+$A94+($C$18-$A94)*5/9)*(1+$A94+($C$18-$A94)*6/9)*($G$30+($C$20-$G$30)*7/10)*(1-$G$32)*(1-($G$38+(($A94+($C$18-$A94)*6/9)/C$90-$G$38)*7/10))/(1+$C$16)^($C$21+10+0.5)+$G$28*(1+$A94+($C$18-$A94)*0/9)*(1+$A94+($C$18-$A94)*1/9)*(1+$A94+($C$18-$A94)*2/9)*(1+$A94+($C$18-$A94)*3/9)*(1+$A94+($C$18-$A94)*4/9)*(1+$A94+($C$18-$A94)*5/9)*(1+$A94+($C$18-$A94)*6/9)*(1+$A94+($C$18-$A94)*7/9)*($G$30+($C$20-$G$30)*8/10)*(1-$G$32)*(1-($G$38+(($A94+($C$18-$A94)*7/9)/C$90-$G$38)*8/10))/(1+$C$16)^($C$21+11+0.5)+$G$28*(1+$A94+($C$18-$A94)*0/9)*(1+$A94+($C$18-$A94)*1/9)*(1+$A94+($C$18-$A94)*2/9)*(1+$A94+($C$18-$A94)*3/9)*(1+$A94+($C$18-$A94)*4/9)*(1+$A94+($C$18-$A94)*5/9)*(1+$A94+($C$18-$A94)*6/9)*(1+$A94+($C$18-$A94)*7/9)*(1+$A94+($C$18-$A94)*8/9)*($G$30+($C$20-$G$30)*9/10)*(1-$G$32)*(1-($G$38+(($A94+($C$18-$A94)*8/9)/C$90-$G$38)*9/10))/(1+$C$16)^($C$21+12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(1-($G$38+(($A94+($C$18-$A94)*9/9)/C$90-$G$38)*10/10))/(1+$C$16)^($C$21+13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+$C$18)*(1-$C$18/C$90)/($C$16-$C$18)/(1+$C$16)^($C$21+13+0.5))*(1-$C$61)+($C$55+$C$56+$C$57-$C$58-$C$60))/$C$6</f>
        <v>27.9968864250187</v>
      </c>
      <c r="D94" s="59" t="n">
        <f aca="false">(($C$49+$G$28*(1+$A94+($C$18-$A94)*0/9)*($G$30+($C$20-$G$30)*1/10)*(1-$G$32)*(1-($G$38+(($A94+($C$18-$A94)*0/9)/D$90-$G$38)*1/10))/(1+$C$16)^($C$21+4+0.5)+$G$28*(1+$A94+($C$18-$A94)*0/9)*(1+$A94+($C$18-$A94)*1/9)*($G$30+($C$20-$G$30)*2/10)*(1-$G$32)*(1-($G$38+(($A94+($C$18-$A94)*1/9)/D$90-$G$38)*2/10))/(1+$C$16)^($C$21+5+0.5)+$G$28*(1+$A94+($C$18-$A94)*0/9)*(1+$A94+($C$18-$A94)*1/9)*(1+$A94+($C$18-$A94)*2/9)*($G$30+($C$20-$G$30)*3/10)*(1-$G$32)*(1-($G$38+(($A94+($C$18-$A94)*2/9)/D$90-$G$38)*3/10))/(1+$C$16)^($C$21+6+0.5)+$G$28*(1+$A94+($C$18-$A94)*0/9)*(1+$A94+($C$18-$A94)*1/9)*(1+$A94+($C$18-$A94)*2/9)*(1+$A94+($C$18-$A94)*3/9)*($G$30+($C$20-$G$30)*4/10)*(1-$G$32)*(1-($G$38+(($A94+($C$18-$A94)*3/9)/D$90-$G$38)*4/10))/(1+$C$16)^($C$21+7+0.5)+$G$28*(1+$A94+($C$18-$A94)*0/9)*(1+$A94+($C$18-$A94)*1/9)*(1+$A94+($C$18-$A94)*2/9)*(1+$A94+($C$18-$A94)*3/9)*(1+$A94+($C$18-$A94)*4/9)*($G$30+($C$20-$G$30)*5/10)*(1-$G$32)*(1-($G$38+(($A94+($C$18-$A94)*4/9)/D$90-$G$38)*5/10))/(1+$C$16)^($C$21+8+0.5)+$G$28*(1+$A94+($C$18-$A94)*0/9)*(1+$A94+($C$18-$A94)*1/9)*(1+$A94+($C$18-$A94)*2/9)*(1+$A94+($C$18-$A94)*3/9)*(1+$A94+($C$18-$A94)*4/9)*(1+$A94+($C$18-$A94)*5/9)*($G$30+($C$20-$G$30)*6/10)*(1-$G$32)*(1-($G$38+(($A94+($C$18-$A94)*5/9)/D$90-$G$38)*6/10))/(1+$C$16)^($C$21+9+0.5)+$G$28*(1+$A94+($C$18-$A94)*0/9)*(1+$A94+($C$18-$A94)*1/9)*(1+$A94+($C$18-$A94)*2/9)*(1+$A94+($C$18-$A94)*3/9)*(1+$A94+($C$18-$A94)*4/9)*(1+$A94+($C$18-$A94)*5/9)*(1+$A94+($C$18-$A94)*6/9)*($G$30+($C$20-$G$30)*7/10)*(1-$G$32)*(1-($G$38+(($A94+($C$18-$A94)*6/9)/D$90-$G$38)*7/10))/(1+$C$16)^($C$21+10+0.5)+$G$28*(1+$A94+($C$18-$A94)*0/9)*(1+$A94+($C$18-$A94)*1/9)*(1+$A94+($C$18-$A94)*2/9)*(1+$A94+($C$18-$A94)*3/9)*(1+$A94+($C$18-$A94)*4/9)*(1+$A94+($C$18-$A94)*5/9)*(1+$A94+($C$18-$A94)*6/9)*(1+$A94+($C$18-$A94)*7/9)*($G$30+($C$20-$G$30)*8/10)*(1-$G$32)*(1-($G$38+(($A94+($C$18-$A94)*7/9)/D$90-$G$38)*8/10))/(1+$C$16)^($C$21+11+0.5)+$G$28*(1+$A94+($C$18-$A94)*0/9)*(1+$A94+($C$18-$A94)*1/9)*(1+$A94+($C$18-$A94)*2/9)*(1+$A94+($C$18-$A94)*3/9)*(1+$A94+($C$18-$A94)*4/9)*(1+$A94+($C$18-$A94)*5/9)*(1+$A94+($C$18-$A94)*6/9)*(1+$A94+($C$18-$A94)*7/9)*(1+$A94+($C$18-$A94)*8/9)*($G$30+($C$20-$G$30)*9/10)*(1-$G$32)*(1-($G$38+(($A94+($C$18-$A94)*8/9)/D$90-$G$38)*9/10))/(1+$C$16)^($C$21+12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(1-($G$38+(($A94+($C$18-$A94)*9/9)/D$90-$G$38)*10/10))/(1+$C$16)^($C$21+13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+$C$18)*(1-$C$18/D$90)/($C$16-$C$18)/(1+$C$16)^($C$21+13+0.5))*(1-$C$61)+($C$55+$C$56+$C$57-$C$58-$C$60))/$C$6</f>
        <v>29.7010396007143</v>
      </c>
      <c r="E94" s="59" t="n">
        <f aca="false">(($C$49+$G$28*(1+$A94+($C$18-$A94)*0/9)*($G$30+($C$20-$G$30)*1/10)*(1-$G$32)*(1-($G$38+(($A94+($C$18-$A94)*0/9)/E$90-$G$38)*1/10))/(1+$C$16)^($C$21+4+0.5)+$G$28*(1+$A94+($C$18-$A94)*0/9)*(1+$A94+($C$18-$A94)*1/9)*($G$30+($C$20-$G$30)*2/10)*(1-$G$32)*(1-($G$38+(($A94+($C$18-$A94)*1/9)/E$90-$G$38)*2/10))/(1+$C$16)^($C$21+5+0.5)+$G$28*(1+$A94+($C$18-$A94)*0/9)*(1+$A94+($C$18-$A94)*1/9)*(1+$A94+($C$18-$A94)*2/9)*($G$30+($C$20-$G$30)*3/10)*(1-$G$32)*(1-($G$38+(($A94+($C$18-$A94)*2/9)/E$90-$G$38)*3/10))/(1+$C$16)^($C$21+6+0.5)+$G$28*(1+$A94+($C$18-$A94)*0/9)*(1+$A94+($C$18-$A94)*1/9)*(1+$A94+($C$18-$A94)*2/9)*(1+$A94+($C$18-$A94)*3/9)*($G$30+($C$20-$G$30)*4/10)*(1-$G$32)*(1-($G$38+(($A94+($C$18-$A94)*3/9)/E$90-$G$38)*4/10))/(1+$C$16)^($C$21+7+0.5)+$G$28*(1+$A94+($C$18-$A94)*0/9)*(1+$A94+($C$18-$A94)*1/9)*(1+$A94+($C$18-$A94)*2/9)*(1+$A94+($C$18-$A94)*3/9)*(1+$A94+($C$18-$A94)*4/9)*($G$30+($C$20-$G$30)*5/10)*(1-$G$32)*(1-($G$38+(($A94+($C$18-$A94)*4/9)/E$90-$G$38)*5/10))/(1+$C$16)^($C$21+8+0.5)+$G$28*(1+$A94+($C$18-$A94)*0/9)*(1+$A94+($C$18-$A94)*1/9)*(1+$A94+($C$18-$A94)*2/9)*(1+$A94+($C$18-$A94)*3/9)*(1+$A94+($C$18-$A94)*4/9)*(1+$A94+($C$18-$A94)*5/9)*($G$30+($C$20-$G$30)*6/10)*(1-$G$32)*(1-($G$38+(($A94+($C$18-$A94)*5/9)/E$90-$G$38)*6/10))/(1+$C$16)^($C$21+9+0.5)+$G$28*(1+$A94+($C$18-$A94)*0/9)*(1+$A94+($C$18-$A94)*1/9)*(1+$A94+($C$18-$A94)*2/9)*(1+$A94+($C$18-$A94)*3/9)*(1+$A94+($C$18-$A94)*4/9)*(1+$A94+($C$18-$A94)*5/9)*(1+$A94+($C$18-$A94)*6/9)*($G$30+($C$20-$G$30)*7/10)*(1-$G$32)*(1-($G$38+(($A94+($C$18-$A94)*6/9)/E$90-$G$38)*7/10))/(1+$C$16)^($C$21+10+0.5)+$G$28*(1+$A94+($C$18-$A94)*0/9)*(1+$A94+($C$18-$A94)*1/9)*(1+$A94+($C$18-$A94)*2/9)*(1+$A94+($C$18-$A94)*3/9)*(1+$A94+($C$18-$A94)*4/9)*(1+$A94+($C$18-$A94)*5/9)*(1+$A94+($C$18-$A94)*6/9)*(1+$A94+($C$18-$A94)*7/9)*($G$30+($C$20-$G$30)*8/10)*(1-$G$32)*(1-($G$38+(($A94+($C$18-$A94)*7/9)/E$90-$G$38)*8/10))/(1+$C$16)^($C$21+11+0.5)+$G$28*(1+$A94+($C$18-$A94)*0/9)*(1+$A94+($C$18-$A94)*1/9)*(1+$A94+($C$18-$A94)*2/9)*(1+$A94+($C$18-$A94)*3/9)*(1+$A94+($C$18-$A94)*4/9)*(1+$A94+($C$18-$A94)*5/9)*(1+$A94+($C$18-$A94)*6/9)*(1+$A94+($C$18-$A94)*7/9)*(1+$A94+($C$18-$A94)*8/9)*($G$30+($C$20-$G$30)*9/10)*(1-$G$32)*(1-($G$38+(($A94+($C$18-$A94)*8/9)/E$90-$G$38)*9/10))/(1+$C$16)^($C$21+12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(1-($G$38+(($A94+($C$18-$A94)*9/9)/E$90-$G$38)*10/10))/(1+$C$16)^($C$21+13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+$C$18)*(1-$C$18/E$90)/($C$16-$C$18)/(1+$C$16)^($C$21+13+0.5))*(1-$C$61)+($C$55+$C$56+$C$57-$C$58-$C$60))/$C$6</f>
        <v>31.4051927764099</v>
      </c>
      <c r="F94" s="59" t="n">
        <f aca="false">(($C$49+$G$28*(1+$A94+($C$18-$A94)*0/9)*($G$30+($C$20-$G$30)*1/10)*(1-$G$32)*(1-($G$38+(($A94+($C$18-$A94)*0/9)/F$90-$G$38)*1/10))/(1+$C$16)^($C$21+4+0.5)+$G$28*(1+$A94+($C$18-$A94)*0/9)*(1+$A94+($C$18-$A94)*1/9)*($G$30+($C$20-$G$30)*2/10)*(1-$G$32)*(1-($G$38+(($A94+($C$18-$A94)*1/9)/F$90-$G$38)*2/10))/(1+$C$16)^($C$21+5+0.5)+$G$28*(1+$A94+($C$18-$A94)*0/9)*(1+$A94+($C$18-$A94)*1/9)*(1+$A94+($C$18-$A94)*2/9)*($G$30+($C$20-$G$30)*3/10)*(1-$G$32)*(1-($G$38+(($A94+($C$18-$A94)*2/9)/F$90-$G$38)*3/10))/(1+$C$16)^($C$21+6+0.5)+$G$28*(1+$A94+($C$18-$A94)*0/9)*(1+$A94+($C$18-$A94)*1/9)*(1+$A94+($C$18-$A94)*2/9)*(1+$A94+($C$18-$A94)*3/9)*($G$30+($C$20-$G$30)*4/10)*(1-$G$32)*(1-($G$38+(($A94+($C$18-$A94)*3/9)/F$90-$G$38)*4/10))/(1+$C$16)^($C$21+7+0.5)+$G$28*(1+$A94+($C$18-$A94)*0/9)*(1+$A94+($C$18-$A94)*1/9)*(1+$A94+($C$18-$A94)*2/9)*(1+$A94+($C$18-$A94)*3/9)*(1+$A94+($C$18-$A94)*4/9)*($G$30+($C$20-$G$30)*5/10)*(1-$G$32)*(1-($G$38+(($A94+($C$18-$A94)*4/9)/F$90-$G$38)*5/10))/(1+$C$16)^($C$21+8+0.5)+$G$28*(1+$A94+($C$18-$A94)*0/9)*(1+$A94+($C$18-$A94)*1/9)*(1+$A94+($C$18-$A94)*2/9)*(1+$A94+($C$18-$A94)*3/9)*(1+$A94+($C$18-$A94)*4/9)*(1+$A94+($C$18-$A94)*5/9)*($G$30+($C$20-$G$30)*6/10)*(1-$G$32)*(1-($G$38+(($A94+($C$18-$A94)*5/9)/F$90-$G$38)*6/10))/(1+$C$16)^($C$21+9+0.5)+$G$28*(1+$A94+($C$18-$A94)*0/9)*(1+$A94+($C$18-$A94)*1/9)*(1+$A94+($C$18-$A94)*2/9)*(1+$A94+($C$18-$A94)*3/9)*(1+$A94+($C$18-$A94)*4/9)*(1+$A94+($C$18-$A94)*5/9)*(1+$A94+($C$18-$A94)*6/9)*($G$30+($C$20-$G$30)*7/10)*(1-$G$32)*(1-($G$38+(($A94+($C$18-$A94)*6/9)/F$90-$G$38)*7/10))/(1+$C$16)^($C$21+10+0.5)+$G$28*(1+$A94+($C$18-$A94)*0/9)*(1+$A94+($C$18-$A94)*1/9)*(1+$A94+($C$18-$A94)*2/9)*(1+$A94+($C$18-$A94)*3/9)*(1+$A94+($C$18-$A94)*4/9)*(1+$A94+($C$18-$A94)*5/9)*(1+$A94+($C$18-$A94)*6/9)*(1+$A94+($C$18-$A94)*7/9)*($G$30+($C$20-$G$30)*8/10)*(1-$G$32)*(1-($G$38+(($A94+($C$18-$A94)*7/9)/F$90-$G$38)*8/10))/(1+$C$16)^($C$21+11+0.5)+$G$28*(1+$A94+($C$18-$A94)*0/9)*(1+$A94+($C$18-$A94)*1/9)*(1+$A94+($C$18-$A94)*2/9)*(1+$A94+($C$18-$A94)*3/9)*(1+$A94+($C$18-$A94)*4/9)*(1+$A94+($C$18-$A94)*5/9)*(1+$A94+($C$18-$A94)*6/9)*(1+$A94+($C$18-$A94)*7/9)*(1+$A94+($C$18-$A94)*8/9)*($G$30+($C$20-$G$30)*9/10)*(1-$G$32)*(1-($G$38+(($A94+($C$18-$A94)*8/9)/F$90-$G$38)*9/10))/(1+$C$16)^($C$21+12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(1-($G$38+(($A94+($C$18-$A94)*9/9)/F$90-$G$38)*10/10))/(1+$C$16)^($C$21+13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+$C$18)*(1-$C$18/F$90)/($C$16-$C$18)/(1+$C$16)^($C$21+13+0.5))*(1-$C$61)+($C$55+$C$56+$C$57-$C$58-$C$60))/$C$6</f>
        <v>32.5412948935403</v>
      </c>
      <c r="G94" s="59" t="n">
        <f aca="false">(($C$49+$G$28*(1+$A94+($C$18-$A94)*0/9)*($G$30+($C$20-$G$30)*1/10)*(1-$G$32)*(1-($G$38+(($A94+($C$18-$A94)*0/9)/G$90-$G$38)*1/10))/(1+$C$16)^($C$21+4+0.5)+$G$28*(1+$A94+($C$18-$A94)*0/9)*(1+$A94+($C$18-$A94)*1/9)*($G$30+($C$20-$G$30)*2/10)*(1-$G$32)*(1-($G$38+(($A94+($C$18-$A94)*1/9)/G$90-$G$38)*2/10))/(1+$C$16)^($C$21+5+0.5)+$G$28*(1+$A94+($C$18-$A94)*0/9)*(1+$A94+($C$18-$A94)*1/9)*(1+$A94+($C$18-$A94)*2/9)*($G$30+($C$20-$G$30)*3/10)*(1-$G$32)*(1-($G$38+(($A94+($C$18-$A94)*2/9)/G$90-$G$38)*3/10))/(1+$C$16)^($C$21+6+0.5)+$G$28*(1+$A94+($C$18-$A94)*0/9)*(1+$A94+($C$18-$A94)*1/9)*(1+$A94+($C$18-$A94)*2/9)*(1+$A94+($C$18-$A94)*3/9)*($G$30+($C$20-$G$30)*4/10)*(1-$G$32)*(1-($G$38+(($A94+($C$18-$A94)*3/9)/G$90-$G$38)*4/10))/(1+$C$16)^($C$21+7+0.5)+$G$28*(1+$A94+($C$18-$A94)*0/9)*(1+$A94+($C$18-$A94)*1/9)*(1+$A94+($C$18-$A94)*2/9)*(1+$A94+($C$18-$A94)*3/9)*(1+$A94+($C$18-$A94)*4/9)*($G$30+($C$20-$G$30)*5/10)*(1-$G$32)*(1-($G$38+(($A94+($C$18-$A94)*4/9)/G$90-$G$38)*5/10))/(1+$C$16)^($C$21+8+0.5)+$G$28*(1+$A94+($C$18-$A94)*0/9)*(1+$A94+($C$18-$A94)*1/9)*(1+$A94+($C$18-$A94)*2/9)*(1+$A94+($C$18-$A94)*3/9)*(1+$A94+($C$18-$A94)*4/9)*(1+$A94+($C$18-$A94)*5/9)*($G$30+($C$20-$G$30)*6/10)*(1-$G$32)*(1-($G$38+(($A94+($C$18-$A94)*5/9)/G$90-$G$38)*6/10))/(1+$C$16)^($C$21+9+0.5)+$G$28*(1+$A94+($C$18-$A94)*0/9)*(1+$A94+($C$18-$A94)*1/9)*(1+$A94+($C$18-$A94)*2/9)*(1+$A94+($C$18-$A94)*3/9)*(1+$A94+($C$18-$A94)*4/9)*(1+$A94+($C$18-$A94)*5/9)*(1+$A94+($C$18-$A94)*6/9)*($G$30+($C$20-$G$30)*7/10)*(1-$G$32)*(1-($G$38+(($A94+($C$18-$A94)*6/9)/G$90-$G$38)*7/10))/(1+$C$16)^($C$21+10+0.5)+$G$28*(1+$A94+($C$18-$A94)*0/9)*(1+$A94+($C$18-$A94)*1/9)*(1+$A94+($C$18-$A94)*2/9)*(1+$A94+($C$18-$A94)*3/9)*(1+$A94+($C$18-$A94)*4/9)*(1+$A94+($C$18-$A94)*5/9)*(1+$A94+($C$18-$A94)*6/9)*(1+$A94+($C$18-$A94)*7/9)*($G$30+($C$20-$G$30)*8/10)*(1-$G$32)*(1-($G$38+(($A94+($C$18-$A94)*7/9)/G$90-$G$38)*8/10))/(1+$C$16)^($C$21+11+0.5)+$G$28*(1+$A94+($C$18-$A94)*0/9)*(1+$A94+($C$18-$A94)*1/9)*(1+$A94+($C$18-$A94)*2/9)*(1+$A94+($C$18-$A94)*3/9)*(1+$A94+($C$18-$A94)*4/9)*(1+$A94+($C$18-$A94)*5/9)*(1+$A94+($C$18-$A94)*6/9)*(1+$A94+($C$18-$A94)*7/9)*(1+$A94+($C$18-$A94)*8/9)*($G$30+($C$20-$G$30)*9/10)*(1-$G$32)*(1-($G$38+(($A94+($C$18-$A94)*8/9)/G$90-$G$38)*9/10))/(1+$C$16)^($C$21+12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(1-($G$38+(($A94+($C$18-$A94)*9/9)/G$90-$G$38)*10/10))/(1+$C$16)^($C$21+13+0.5)+$G$28*(1+$A94+($C$18-$A94)*0/9)*(1+$A94+($C$18-$A94)*1/9)*(1+$A94+($C$18-$A94)*2/9)*(1+$A94+($C$18-$A94)*3/9)*(1+$A94+($C$18-$A94)*4/9)*(1+$A94+($C$18-$A94)*5/9)*(1+$A94+($C$18-$A94)*6/9)*(1+$A94+($C$18-$A94)*7/9)*(1+$A94+($C$18-$A94)*8/9)*(1+$A94+($C$18-$A94)*9/9)*($G$30+($C$20-$G$30)*10/10)*(1-$G$32)*(1+$C$18)*(1-$C$18/G$90)/($C$16-$C$18)/(1+$C$16)^($C$21+13+0.5))*(1-$C$61)+($C$55+$C$56+$C$57-$C$58-$C$60))/$C$6</f>
        <v>33.5741150000225</v>
      </c>
    </row>
    <row r="95" customFormat="false" ht="15" hidden="false" customHeight="false" outlineLevel="0" collapsed="false">
      <c r="A95" s="13" t="n">
        <f aca="false">$C$17+(0.04)</f>
        <v>0.14865911445442</v>
      </c>
      <c r="B95" s="6"/>
      <c r="C95" s="59" t="n">
        <f aca="false">(($C$49+$G$28*(1+$A95+($C$18-$A95)*0/9)*($G$30+($C$20-$G$30)*1/10)*(1-$G$32)*(1-($G$38+(($A95+($C$18-$A95)*0/9)/C$90-$G$38)*1/10))/(1+$C$16)^($C$21+4+0.5)+$G$28*(1+$A95+($C$18-$A95)*0/9)*(1+$A95+($C$18-$A95)*1/9)*($G$30+($C$20-$G$30)*2/10)*(1-$G$32)*(1-($G$38+(($A95+($C$18-$A95)*1/9)/C$90-$G$38)*2/10))/(1+$C$16)^($C$21+5+0.5)+$G$28*(1+$A95+($C$18-$A95)*0/9)*(1+$A95+($C$18-$A95)*1/9)*(1+$A95+($C$18-$A95)*2/9)*($G$30+($C$20-$G$30)*3/10)*(1-$G$32)*(1-($G$38+(($A95+($C$18-$A95)*2/9)/C$90-$G$38)*3/10))/(1+$C$16)^($C$21+6+0.5)+$G$28*(1+$A95+($C$18-$A95)*0/9)*(1+$A95+($C$18-$A95)*1/9)*(1+$A95+($C$18-$A95)*2/9)*(1+$A95+($C$18-$A95)*3/9)*($G$30+($C$20-$G$30)*4/10)*(1-$G$32)*(1-($G$38+(($A95+($C$18-$A95)*3/9)/C$90-$G$38)*4/10))/(1+$C$16)^($C$21+7+0.5)+$G$28*(1+$A95+($C$18-$A95)*0/9)*(1+$A95+($C$18-$A95)*1/9)*(1+$A95+($C$18-$A95)*2/9)*(1+$A95+($C$18-$A95)*3/9)*(1+$A95+($C$18-$A95)*4/9)*($G$30+($C$20-$G$30)*5/10)*(1-$G$32)*(1-($G$38+(($A95+($C$18-$A95)*4/9)/C$90-$G$38)*5/10))/(1+$C$16)^($C$21+8+0.5)+$G$28*(1+$A95+($C$18-$A95)*0/9)*(1+$A95+($C$18-$A95)*1/9)*(1+$A95+($C$18-$A95)*2/9)*(1+$A95+($C$18-$A95)*3/9)*(1+$A95+($C$18-$A95)*4/9)*(1+$A95+($C$18-$A95)*5/9)*($G$30+($C$20-$G$30)*6/10)*(1-$G$32)*(1-($G$38+(($A95+($C$18-$A95)*5/9)/C$90-$G$38)*6/10))/(1+$C$16)^($C$21+9+0.5)+$G$28*(1+$A95+($C$18-$A95)*0/9)*(1+$A95+($C$18-$A95)*1/9)*(1+$A95+($C$18-$A95)*2/9)*(1+$A95+($C$18-$A95)*3/9)*(1+$A95+($C$18-$A95)*4/9)*(1+$A95+($C$18-$A95)*5/9)*(1+$A95+($C$18-$A95)*6/9)*($G$30+($C$20-$G$30)*7/10)*(1-$G$32)*(1-($G$38+(($A95+($C$18-$A95)*6/9)/C$90-$G$38)*7/10))/(1+$C$16)^($C$21+10+0.5)+$G$28*(1+$A95+($C$18-$A95)*0/9)*(1+$A95+($C$18-$A95)*1/9)*(1+$A95+($C$18-$A95)*2/9)*(1+$A95+($C$18-$A95)*3/9)*(1+$A95+($C$18-$A95)*4/9)*(1+$A95+($C$18-$A95)*5/9)*(1+$A95+($C$18-$A95)*6/9)*(1+$A95+($C$18-$A95)*7/9)*($G$30+($C$20-$G$30)*8/10)*(1-$G$32)*(1-($G$38+(($A95+($C$18-$A95)*7/9)/C$90-$G$38)*8/10))/(1+$C$16)^($C$21+11+0.5)+$G$28*(1+$A95+($C$18-$A95)*0/9)*(1+$A95+($C$18-$A95)*1/9)*(1+$A95+($C$18-$A95)*2/9)*(1+$A95+($C$18-$A95)*3/9)*(1+$A95+($C$18-$A95)*4/9)*(1+$A95+($C$18-$A95)*5/9)*(1+$A95+($C$18-$A95)*6/9)*(1+$A95+($C$18-$A95)*7/9)*(1+$A95+($C$18-$A95)*8/9)*($G$30+($C$20-$G$30)*9/10)*(1-$G$32)*(1-($G$38+(($A95+($C$18-$A95)*8/9)/C$90-$G$38)*9/10))/(1+$C$16)^($C$21+12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(1-($G$38+(($A95+($C$18-$A95)*9/9)/C$90-$G$38)*10/10))/(1+$C$16)^($C$21+13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+$C$18)*(1-$C$18/C$90)/($C$16-$C$18)/(1+$C$16)^($C$21+13+0.5))*(1-$C$61)+($C$55+$C$56+$C$57-$C$58-$C$60))/$C$6</f>
        <v>29.3261762744156</v>
      </c>
      <c r="D95" s="59" t="n">
        <f aca="false">(($C$49+$G$28*(1+$A95+($C$18-$A95)*0/9)*($G$30+($C$20-$G$30)*1/10)*(1-$G$32)*(1-($G$38+(($A95+($C$18-$A95)*0/9)/D$90-$G$38)*1/10))/(1+$C$16)^($C$21+4+0.5)+$G$28*(1+$A95+($C$18-$A95)*0/9)*(1+$A95+($C$18-$A95)*1/9)*($G$30+($C$20-$G$30)*2/10)*(1-$G$32)*(1-($G$38+(($A95+($C$18-$A95)*1/9)/D$90-$G$38)*2/10))/(1+$C$16)^($C$21+5+0.5)+$G$28*(1+$A95+($C$18-$A95)*0/9)*(1+$A95+($C$18-$A95)*1/9)*(1+$A95+($C$18-$A95)*2/9)*($G$30+($C$20-$G$30)*3/10)*(1-$G$32)*(1-($G$38+(($A95+($C$18-$A95)*2/9)/D$90-$G$38)*3/10))/(1+$C$16)^($C$21+6+0.5)+$G$28*(1+$A95+($C$18-$A95)*0/9)*(1+$A95+($C$18-$A95)*1/9)*(1+$A95+($C$18-$A95)*2/9)*(1+$A95+($C$18-$A95)*3/9)*($G$30+($C$20-$G$30)*4/10)*(1-$G$32)*(1-($G$38+(($A95+($C$18-$A95)*3/9)/D$90-$G$38)*4/10))/(1+$C$16)^($C$21+7+0.5)+$G$28*(1+$A95+($C$18-$A95)*0/9)*(1+$A95+($C$18-$A95)*1/9)*(1+$A95+($C$18-$A95)*2/9)*(1+$A95+($C$18-$A95)*3/9)*(1+$A95+($C$18-$A95)*4/9)*($G$30+($C$20-$G$30)*5/10)*(1-$G$32)*(1-($G$38+(($A95+($C$18-$A95)*4/9)/D$90-$G$38)*5/10))/(1+$C$16)^($C$21+8+0.5)+$G$28*(1+$A95+($C$18-$A95)*0/9)*(1+$A95+($C$18-$A95)*1/9)*(1+$A95+($C$18-$A95)*2/9)*(1+$A95+($C$18-$A95)*3/9)*(1+$A95+($C$18-$A95)*4/9)*(1+$A95+($C$18-$A95)*5/9)*($G$30+($C$20-$G$30)*6/10)*(1-$G$32)*(1-($G$38+(($A95+($C$18-$A95)*5/9)/D$90-$G$38)*6/10))/(1+$C$16)^($C$21+9+0.5)+$G$28*(1+$A95+($C$18-$A95)*0/9)*(1+$A95+($C$18-$A95)*1/9)*(1+$A95+($C$18-$A95)*2/9)*(1+$A95+($C$18-$A95)*3/9)*(1+$A95+($C$18-$A95)*4/9)*(1+$A95+($C$18-$A95)*5/9)*(1+$A95+($C$18-$A95)*6/9)*($G$30+($C$20-$G$30)*7/10)*(1-$G$32)*(1-($G$38+(($A95+($C$18-$A95)*6/9)/D$90-$G$38)*7/10))/(1+$C$16)^($C$21+10+0.5)+$G$28*(1+$A95+($C$18-$A95)*0/9)*(1+$A95+($C$18-$A95)*1/9)*(1+$A95+($C$18-$A95)*2/9)*(1+$A95+($C$18-$A95)*3/9)*(1+$A95+($C$18-$A95)*4/9)*(1+$A95+($C$18-$A95)*5/9)*(1+$A95+($C$18-$A95)*6/9)*(1+$A95+($C$18-$A95)*7/9)*($G$30+($C$20-$G$30)*8/10)*(1-$G$32)*(1-($G$38+(($A95+($C$18-$A95)*7/9)/D$90-$G$38)*8/10))/(1+$C$16)^($C$21+11+0.5)+$G$28*(1+$A95+($C$18-$A95)*0/9)*(1+$A95+($C$18-$A95)*1/9)*(1+$A95+($C$18-$A95)*2/9)*(1+$A95+($C$18-$A95)*3/9)*(1+$A95+($C$18-$A95)*4/9)*(1+$A95+($C$18-$A95)*5/9)*(1+$A95+($C$18-$A95)*6/9)*(1+$A95+($C$18-$A95)*7/9)*(1+$A95+($C$18-$A95)*8/9)*($G$30+($C$20-$G$30)*9/10)*(1-$G$32)*(1-($G$38+(($A95+($C$18-$A95)*8/9)/D$90-$G$38)*9/10))/(1+$C$16)^($C$21+12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(1-($G$38+(($A95+($C$18-$A95)*9/9)/D$90-$G$38)*10/10))/(1+$C$16)^($C$21+13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+$C$18)*(1-$C$18/D$90)/($C$16-$C$18)/(1+$C$16)^($C$21+13+0.5))*(1-$C$61)+($C$55+$C$56+$C$57-$C$58-$C$60))/$C$6</f>
        <v>31.2793673723079</v>
      </c>
      <c r="E95" s="59" t="n">
        <f aca="false">(($C$49+$G$28*(1+$A95+($C$18-$A95)*0/9)*($G$30+($C$20-$G$30)*1/10)*(1-$G$32)*(1-($G$38+(($A95+($C$18-$A95)*0/9)/E$90-$G$38)*1/10))/(1+$C$16)^($C$21+4+0.5)+$G$28*(1+$A95+($C$18-$A95)*0/9)*(1+$A95+($C$18-$A95)*1/9)*($G$30+($C$20-$G$30)*2/10)*(1-$G$32)*(1-($G$38+(($A95+($C$18-$A95)*1/9)/E$90-$G$38)*2/10))/(1+$C$16)^($C$21+5+0.5)+$G$28*(1+$A95+($C$18-$A95)*0/9)*(1+$A95+($C$18-$A95)*1/9)*(1+$A95+($C$18-$A95)*2/9)*($G$30+($C$20-$G$30)*3/10)*(1-$G$32)*(1-($G$38+(($A95+($C$18-$A95)*2/9)/E$90-$G$38)*3/10))/(1+$C$16)^($C$21+6+0.5)+$G$28*(1+$A95+($C$18-$A95)*0/9)*(1+$A95+($C$18-$A95)*1/9)*(1+$A95+($C$18-$A95)*2/9)*(1+$A95+($C$18-$A95)*3/9)*($G$30+($C$20-$G$30)*4/10)*(1-$G$32)*(1-($G$38+(($A95+($C$18-$A95)*3/9)/E$90-$G$38)*4/10))/(1+$C$16)^($C$21+7+0.5)+$G$28*(1+$A95+($C$18-$A95)*0/9)*(1+$A95+($C$18-$A95)*1/9)*(1+$A95+($C$18-$A95)*2/9)*(1+$A95+($C$18-$A95)*3/9)*(1+$A95+($C$18-$A95)*4/9)*($G$30+($C$20-$G$30)*5/10)*(1-$G$32)*(1-($G$38+(($A95+($C$18-$A95)*4/9)/E$90-$G$38)*5/10))/(1+$C$16)^($C$21+8+0.5)+$G$28*(1+$A95+($C$18-$A95)*0/9)*(1+$A95+($C$18-$A95)*1/9)*(1+$A95+($C$18-$A95)*2/9)*(1+$A95+($C$18-$A95)*3/9)*(1+$A95+($C$18-$A95)*4/9)*(1+$A95+($C$18-$A95)*5/9)*($G$30+($C$20-$G$30)*6/10)*(1-$G$32)*(1-($G$38+(($A95+($C$18-$A95)*5/9)/E$90-$G$38)*6/10))/(1+$C$16)^($C$21+9+0.5)+$G$28*(1+$A95+($C$18-$A95)*0/9)*(1+$A95+($C$18-$A95)*1/9)*(1+$A95+($C$18-$A95)*2/9)*(1+$A95+($C$18-$A95)*3/9)*(1+$A95+($C$18-$A95)*4/9)*(1+$A95+($C$18-$A95)*5/9)*(1+$A95+($C$18-$A95)*6/9)*($G$30+($C$20-$G$30)*7/10)*(1-$G$32)*(1-($G$38+(($A95+($C$18-$A95)*6/9)/E$90-$G$38)*7/10))/(1+$C$16)^($C$21+10+0.5)+$G$28*(1+$A95+($C$18-$A95)*0/9)*(1+$A95+($C$18-$A95)*1/9)*(1+$A95+($C$18-$A95)*2/9)*(1+$A95+($C$18-$A95)*3/9)*(1+$A95+($C$18-$A95)*4/9)*(1+$A95+($C$18-$A95)*5/9)*(1+$A95+($C$18-$A95)*6/9)*(1+$A95+($C$18-$A95)*7/9)*($G$30+($C$20-$G$30)*8/10)*(1-$G$32)*(1-($G$38+(($A95+($C$18-$A95)*7/9)/E$90-$G$38)*8/10))/(1+$C$16)^($C$21+11+0.5)+$G$28*(1+$A95+($C$18-$A95)*0/9)*(1+$A95+($C$18-$A95)*1/9)*(1+$A95+($C$18-$A95)*2/9)*(1+$A95+($C$18-$A95)*3/9)*(1+$A95+($C$18-$A95)*4/9)*(1+$A95+($C$18-$A95)*5/9)*(1+$A95+($C$18-$A95)*6/9)*(1+$A95+($C$18-$A95)*7/9)*(1+$A95+($C$18-$A95)*8/9)*($G$30+($C$20-$G$30)*9/10)*(1-$G$32)*(1-($G$38+(($A95+($C$18-$A95)*8/9)/E$90-$G$38)*9/10))/(1+$C$16)^($C$21+12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(1-($G$38+(($A95+($C$18-$A95)*9/9)/E$90-$G$38)*10/10))/(1+$C$16)^($C$21+13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+$C$18)*(1-$C$18/E$90)/($C$16-$C$18)/(1+$C$16)^($C$21+13+0.5))*(1-$C$61)+($C$55+$C$56+$C$57-$C$58-$C$60))/$C$6</f>
        <v>33.2325584702002</v>
      </c>
      <c r="F95" s="59" t="n">
        <f aca="false">(($C$49+$G$28*(1+$A95+($C$18-$A95)*0/9)*($G$30+($C$20-$G$30)*1/10)*(1-$G$32)*(1-($G$38+(($A95+($C$18-$A95)*0/9)/F$90-$G$38)*1/10))/(1+$C$16)^($C$21+4+0.5)+$G$28*(1+$A95+($C$18-$A95)*0/9)*(1+$A95+($C$18-$A95)*1/9)*($G$30+($C$20-$G$30)*2/10)*(1-$G$32)*(1-($G$38+(($A95+($C$18-$A95)*1/9)/F$90-$G$38)*2/10))/(1+$C$16)^($C$21+5+0.5)+$G$28*(1+$A95+($C$18-$A95)*0/9)*(1+$A95+($C$18-$A95)*1/9)*(1+$A95+($C$18-$A95)*2/9)*($G$30+($C$20-$G$30)*3/10)*(1-$G$32)*(1-($G$38+(($A95+($C$18-$A95)*2/9)/F$90-$G$38)*3/10))/(1+$C$16)^($C$21+6+0.5)+$G$28*(1+$A95+($C$18-$A95)*0/9)*(1+$A95+($C$18-$A95)*1/9)*(1+$A95+($C$18-$A95)*2/9)*(1+$A95+($C$18-$A95)*3/9)*($G$30+($C$20-$G$30)*4/10)*(1-$G$32)*(1-($G$38+(($A95+($C$18-$A95)*3/9)/F$90-$G$38)*4/10))/(1+$C$16)^($C$21+7+0.5)+$G$28*(1+$A95+($C$18-$A95)*0/9)*(1+$A95+($C$18-$A95)*1/9)*(1+$A95+($C$18-$A95)*2/9)*(1+$A95+($C$18-$A95)*3/9)*(1+$A95+($C$18-$A95)*4/9)*($G$30+($C$20-$G$30)*5/10)*(1-$G$32)*(1-($G$38+(($A95+($C$18-$A95)*4/9)/F$90-$G$38)*5/10))/(1+$C$16)^($C$21+8+0.5)+$G$28*(1+$A95+($C$18-$A95)*0/9)*(1+$A95+($C$18-$A95)*1/9)*(1+$A95+($C$18-$A95)*2/9)*(1+$A95+($C$18-$A95)*3/9)*(1+$A95+($C$18-$A95)*4/9)*(1+$A95+($C$18-$A95)*5/9)*($G$30+($C$20-$G$30)*6/10)*(1-$G$32)*(1-($G$38+(($A95+($C$18-$A95)*5/9)/F$90-$G$38)*6/10))/(1+$C$16)^($C$21+9+0.5)+$G$28*(1+$A95+($C$18-$A95)*0/9)*(1+$A95+($C$18-$A95)*1/9)*(1+$A95+($C$18-$A95)*2/9)*(1+$A95+($C$18-$A95)*3/9)*(1+$A95+($C$18-$A95)*4/9)*(1+$A95+($C$18-$A95)*5/9)*(1+$A95+($C$18-$A95)*6/9)*($G$30+($C$20-$G$30)*7/10)*(1-$G$32)*(1-($G$38+(($A95+($C$18-$A95)*6/9)/F$90-$G$38)*7/10))/(1+$C$16)^($C$21+10+0.5)+$G$28*(1+$A95+($C$18-$A95)*0/9)*(1+$A95+($C$18-$A95)*1/9)*(1+$A95+($C$18-$A95)*2/9)*(1+$A95+($C$18-$A95)*3/9)*(1+$A95+($C$18-$A95)*4/9)*(1+$A95+($C$18-$A95)*5/9)*(1+$A95+($C$18-$A95)*6/9)*(1+$A95+($C$18-$A95)*7/9)*($G$30+($C$20-$G$30)*8/10)*(1-$G$32)*(1-($G$38+(($A95+($C$18-$A95)*7/9)/F$90-$G$38)*8/10))/(1+$C$16)^($C$21+11+0.5)+$G$28*(1+$A95+($C$18-$A95)*0/9)*(1+$A95+($C$18-$A95)*1/9)*(1+$A95+($C$18-$A95)*2/9)*(1+$A95+($C$18-$A95)*3/9)*(1+$A95+($C$18-$A95)*4/9)*(1+$A95+($C$18-$A95)*5/9)*(1+$A95+($C$18-$A95)*6/9)*(1+$A95+($C$18-$A95)*7/9)*(1+$A95+($C$18-$A95)*8/9)*($G$30+($C$20-$G$30)*9/10)*(1-$G$32)*(1-($G$38+(($A95+($C$18-$A95)*8/9)/F$90-$G$38)*9/10))/(1+$C$16)^($C$21+12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(1-($G$38+(($A95+($C$18-$A95)*9/9)/F$90-$G$38)*10/10))/(1+$C$16)^($C$21+13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+$C$18)*(1-$C$18/F$90)/($C$16-$C$18)/(1+$C$16)^($C$21+13+0.5))*(1-$C$61)+($C$55+$C$56+$C$57-$C$58-$C$60))/$C$6</f>
        <v>34.5346858687951</v>
      </c>
      <c r="G95" s="59" t="n">
        <f aca="false">(($C$49+$G$28*(1+$A95+($C$18-$A95)*0/9)*($G$30+($C$20-$G$30)*1/10)*(1-$G$32)*(1-($G$38+(($A95+($C$18-$A95)*0/9)/G$90-$G$38)*1/10))/(1+$C$16)^($C$21+4+0.5)+$G$28*(1+$A95+($C$18-$A95)*0/9)*(1+$A95+($C$18-$A95)*1/9)*($G$30+($C$20-$G$30)*2/10)*(1-$G$32)*(1-($G$38+(($A95+($C$18-$A95)*1/9)/G$90-$G$38)*2/10))/(1+$C$16)^($C$21+5+0.5)+$G$28*(1+$A95+($C$18-$A95)*0/9)*(1+$A95+($C$18-$A95)*1/9)*(1+$A95+($C$18-$A95)*2/9)*($G$30+($C$20-$G$30)*3/10)*(1-$G$32)*(1-($G$38+(($A95+($C$18-$A95)*2/9)/G$90-$G$38)*3/10))/(1+$C$16)^($C$21+6+0.5)+$G$28*(1+$A95+($C$18-$A95)*0/9)*(1+$A95+($C$18-$A95)*1/9)*(1+$A95+($C$18-$A95)*2/9)*(1+$A95+($C$18-$A95)*3/9)*($G$30+($C$20-$G$30)*4/10)*(1-$G$32)*(1-($G$38+(($A95+($C$18-$A95)*3/9)/G$90-$G$38)*4/10))/(1+$C$16)^($C$21+7+0.5)+$G$28*(1+$A95+($C$18-$A95)*0/9)*(1+$A95+($C$18-$A95)*1/9)*(1+$A95+($C$18-$A95)*2/9)*(1+$A95+($C$18-$A95)*3/9)*(1+$A95+($C$18-$A95)*4/9)*($G$30+($C$20-$G$30)*5/10)*(1-$G$32)*(1-($G$38+(($A95+($C$18-$A95)*4/9)/G$90-$G$38)*5/10))/(1+$C$16)^($C$21+8+0.5)+$G$28*(1+$A95+($C$18-$A95)*0/9)*(1+$A95+($C$18-$A95)*1/9)*(1+$A95+($C$18-$A95)*2/9)*(1+$A95+($C$18-$A95)*3/9)*(1+$A95+($C$18-$A95)*4/9)*(1+$A95+($C$18-$A95)*5/9)*($G$30+($C$20-$G$30)*6/10)*(1-$G$32)*(1-($G$38+(($A95+($C$18-$A95)*5/9)/G$90-$G$38)*6/10))/(1+$C$16)^($C$21+9+0.5)+$G$28*(1+$A95+($C$18-$A95)*0/9)*(1+$A95+($C$18-$A95)*1/9)*(1+$A95+($C$18-$A95)*2/9)*(1+$A95+($C$18-$A95)*3/9)*(1+$A95+($C$18-$A95)*4/9)*(1+$A95+($C$18-$A95)*5/9)*(1+$A95+($C$18-$A95)*6/9)*($G$30+($C$20-$G$30)*7/10)*(1-$G$32)*(1-($G$38+(($A95+($C$18-$A95)*6/9)/G$90-$G$38)*7/10))/(1+$C$16)^($C$21+10+0.5)+$G$28*(1+$A95+($C$18-$A95)*0/9)*(1+$A95+($C$18-$A95)*1/9)*(1+$A95+($C$18-$A95)*2/9)*(1+$A95+($C$18-$A95)*3/9)*(1+$A95+($C$18-$A95)*4/9)*(1+$A95+($C$18-$A95)*5/9)*(1+$A95+($C$18-$A95)*6/9)*(1+$A95+($C$18-$A95)*7/9)*($G$30+($C$20-$G$30)*8/10)*(1-$G$32)*(1-($G$38+(($A95+($C$18-$A95)*7/9)/G$90-$G$38)*8/10))/(1+$C$16)^($C$21+11+0.5)+$G$28*(1+$A95+($C$18-$A95)*0/9)*(1+$A95+($C$18-$A95)*1/9)*(1+$A95+($C$18-$A95)*2/9)*(1+$A95+($C$18-$A95)*3/9)*(1+$A95+($C$18-$A95)*4/9)*(1+$A95+($C$18-$A95)*5/9)*(1+$A95+($C$18-$A95)*6/9)*(1+$A95+($C$18-$A95)*7/9)*(1+$A95+($C$18-$A95)*8/9)*($G$30+($C$20-$G$30)*9/10)*(1-$G$32)*(1-($G$38+(($A95+($C$18-$A95)*8/9)/G$90-$G$38)*9/10))/(1+$C$16)^($C$21+12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(1-($G$38+(($A95+($C$18-$A95)*9/9)/G$90-$G$38)*10/10))/(1+$C$16)^($C$21+13+0.5)+$G$28*(1+$A95+($C$18-$A95)*0/9)*(1+$A95+($C$18-$A95)*1/9)*(1+$A95+($C$18-$A95)*2/9)*(1+$A95+($C$18-$A95)*3/9)*(1+$A95+($C$18-$A95)*4/9)*(1+$A95+($C$18-$A95)*5/9)*(1+$A95+($C$18-$A95)*6/9)*(1+$A95+($C$18-$A95)*7/9)*(1+$A95+($C$18-$A95)*8/9)*(1+$A95+($C$18-$A95)*9/9)*($G$30+($C$20-$G$30)*10/10)*(1-$G$32)*(1+$C$18)*(1-$C$18/G$90)/($C$16-$C$18)/(1+$C$16)^($C$21+13+0.5))*(1-$C$61)+($C$55+$C$56+$C$57-$C$58-$C$60))/$C$6</f>
        <v>35.7184380493359</v>
      </c>
    </row>
    <row r="97" customFormat="false" ht="15" hidden="false" customHeight="false" outlineLevel="0" collapsed="false">
      <c r="A97" s="21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2"/>
    <col collapsed="false" customWidth="true" hidden="false" outlineLevel="0" max="10" min="10" style="1" width="40"/>
  </cols>
  <sheetData>
    <row r="1" customFormat="false" ht="21.6" hidden="false" customHeight="false" outlineLevel="0" collapsed="false">
      <c r="A1" s="20" t="s">
        <v>703</v>
      </c>
    </row>
    <row r="2" customFormat="false" ht="15" hidden="false" customHeight="false" outlineLevel="0" collapsed="false">
      <c r="A2" s="21" t="s">
        <v>704</v>
      </c>
    </row>
    <row r="4" customFormat="false" ht="15" hidden="false" customHeight="false" outlineLevel="0" collapsed="false">
      <c r="A4" s="30" t="s">
        <v>705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customFormat="false" ht="15" hidden="false" customHeight="false" outlineLevel="0" collapsed="false">
      <c r="A5" s="4" t="s">
        <v>706</v>
      </c>
      <c r="B5" s="4" t="s">
        <v>707</v>
      </c>
      <c r="C5" s="4" t="s">
        <v>708</v>
      </c>
      <c r="D5" s="4" t="s">
        <v>709</v>
      </c>
      <c r="E5" s="5" t="s">
        <v>710</v>
      </c>
      <c r="F5" s="5" t="s">
        <v>711</v>
      </c>
      <c r="G5" s="5" t="s">
        <v>712</v>
      </c>
      <c r="H5" s="5" t="s">
        <v>713</v>
      </c>
      <c r="I5" s="4" t="s">
        <v>714</v>
      </c>
      <c r="J5" s="4" t="s">
        <v>715</v>
      </c>
    </row>
    <row r="6" customFormat="false" ht="15" hidden="false" customHeight="false" outlineLevel="0" collapsed="false">
      <c r="A6" s="6" t="s">
        <v>716</v>
      </c>
      <c r="B6" s="9" t="s">
        <v>717</v>
      </c>
      <c r="C6" s="58" t="n">
        <v>50.2</v>
      </c>
      <c r="D6" s="12" t="n">
        <v>842</v>
      </c>
      <c r="E6" s="74" t="n">
        <v>46.4</v>
      </c>
      <c r="F6" s="74" t="n">
        <v>28.5</v>
      </c>
      <c r="I6" s="6" t="s">
        <v>718</v>
      </c>
      <c r="J6" s="6" t="s">
        <v>719</v>
      </c>
    </row>
    <row r="7" customFormat="false" ht="15" hidden="false" customHeight="false" outlineLevel="0" collapsed="false">
      <c r="A7" s="6" t="s">
        <v>720</v>
      </c>
      <c r="B7" s="9" t="s">
        <v>721</v>
      </c>
      <c r="D7" s="12" t="n">
        <v>3336</v>
      </c>
      <c r="E7" s="74" t="n">
        <v>100.1</v>
      </c>
      <c r="F7" s="74" t="n">
        <v>50</v>
      </c>
      <c r="I7" s="6" t="s">
        <v>722</v>
      </c>
      <c r="J7" s="6" t="s">
        <v>723</v>
      </c>
    </row>
    <row r="8" customFormat="false" ht="15" hidden="false" customHeight="false" outlineLevel="0" collapsed="false">
      <c r="A8" s="6" t="s">
        <v>724</v>
      </c>
      <c r="B8" s="9" t="s">
        <v>725</v>
      </c>
      <c r="C8" s="58" t="n">
        <v>144.25</v>
      </c>
      <c r="D8" s="12" t="n">
        <v>1305</v>
      </c>
      <c r="E8" s="74" t="n">
        <v>646</v>
      </c>
      <c r="F8" s="74" t="n">
        <v>173.5</v>
      </c>
      <c r="I8" s="6" t="s">
        <v>726</v>
      </c>
      <c r="J8" s="6" t="s">
        <v>727</v>
      </c>
    </row>
    <row r="9" customFormat="false" ht="15" hidden="false" customHeight="false" outlineLevel="0" collapsed="false">
      <c r="A9" s="6" t="s">
        <v>728</v>
      </c>
      <c r="B9" s="9" t="s">
        <v>729</v>
      </c>
      <c r="D9" s="12" t="n">
        <v>189</v>
      </c>
      <c r="E9" s="74" t="n">
        <v>31.3</v>
      </c>
      <c r="F9" s="74" t="n">
        <v>26</v>
      </c>
      <c r="I9" s="6" t="s">
        <v>730</v>
      </c>
      <c r="J9" s="6" t="s">
        <v>731</v>
      </c>
    </row>
    <row r="10" customFormat="false" ht="15" hidden="false" customHeight="false" outlineLevel="0" collapsed="false">
      <c r="A10" s="6" t="s">
        <v>732</v>
      </c>
      <c r="B10" s="9" t="s">
        <v>733</v>
      </c>
      <c r="D10" s="12" t="n">
        <v>173</v>
      </c>
      <c r="F10" s="74" t="n">
        <v>33.2</v>
      </c>
      <c r="G10" s="74" t="n">
        <v>29.4</v>
      </c>
      <c r="I10" s="6" t="s">
        <v>734</v>
      </c>
      <c r="J10" s="6" t="s">
        <v>735</v>
      </c>
    </row>
    <row r="11" customFormat="false" ht="15" hidden="false" customHeight="false" outlineLevel="0" collapsed="false">
      <c r="A11" s="6" t="s">
        <v>736</v>
      </c>
      <c r="B11" s="9" t="s">
        <v>737</v>
      </c>
      <c r="D11" s="12" t="n">
        <v>235</v>
      </c>
      <c r="E11" s="74" t="n">
        <v>153.8</v>
      </c>
      <c r="I11" s="6" t="s">
        <v>738</v>
      </c>
      <c r="J11" s="9" t="s">
        <v>739</v>
      </c>
    </row>
    <row r="12" customFormat="false" ht="15" hidden="false" customHeight="false" outlineLevel="0" collapsed="false">
      <c r="A12" s="4" t="s">
        <v>740</v>
      </c>
      <c r="B12" s="4"/>
      <c r="E12" s="75" t="n">
        <f aca="false">MEDIAN(E6:E11)</f>
        <v>100.1</v>
      </c>
      <c r="F12" s="75" t="n">
        <f aca="false">MEDIAN(F6:F11)</f>
        <v>33.2</v>
      </c>
      <c r="G12" s="75" t="n">
        <f aca="false">MEDIAN(G6:G11)</f>
        <v>29.4</v>
      </c>
    </row>
    <row r="13" customFormat="false" ht="15" hidden="false" customHeight="false" outlineLevel="0" collapsed="false">
      <c r="A13" s="4" t="s">
        <v>741</v>
      </c>
      <c r="B13" s="4"/>
      <c r="E13" s="75" t="n">
        <f aca="false">AVERAGE(E6:E11)</f>
        <v>195.52</v>
      </c>
      <c r="F13" s="75" t="n">
        <f aca="false">AVERAGE(F6:F11)</f>
        <v>62.24</v>
      </c>
      <c r="G13" s="75" t="n">
        <f aca="false">AVERAGE(G6:G11)</f>
        <v>29.4</v>
      </c>
    </row>
    <row r="14" customFormat="false" ht="15" hidden="false" customHeight="false" outlineLevel="0" collapsed="false">
      <c r="A14" s="4" t="s">
        <v>742</v>
      </c>
      <c r="B14" s="5" t="s">
        <v>743</v>
      </c>
      <c r="C14" s="16" t="n">
        <f aca="false">DCF!C5</f>
        <v>97.43</v>
      </c>
      <c r="D14" s="17" t="n">
        <f aca="false">DCF!C7/100</f>
        <v>512.21591353</v>
      </c>
      <c r="E14" s="75" t="n">
        <f aca="false">DCF!C5/利润表!H29</f>
        <v>114.816161523627</v>
      </c>
      <c r="F14" s="75" t="n">
        <f aca="false">DCF!C5/利润表!I29</f>
        <v>82.8936031645851</v>
      </c>
      <c r="G14" s="75" t="n">
        <f aca="false">DCF!C5/利润表!J29</f>
        <v>68.2977684914905</v>
      </c>
      <c r="H14" s="75" t="n">
        <f aca="false">DCF!C5/(DCF!C59/DCF!C6)</f>
        <v>9.77962940002826</v>
      </c>
    </row>
    <row r="15" customFormat="false" ht="15" hidden="false" customHeight="false" outlineLevel="0" collapsed="false">
      <c r="A15" s="21" t="s">
        <v>744</v>
      </c>
    </row>
    <row r="17" customFormat="false" ht="15" hidden="false" customHeight="false" outlineLevel="0" collapsed="false">
      <c r="A17" s="30" t="s">
        <v>745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15" hidden="false" customHeight="false" outlineLevel="0" collapsed="false">
      <c r="A18" s="25" t="s">
        <v>746</v>
      </c>
      <c r="B18" s="23" t="s">
        <v>195</v>
      </c>
      <c r="C18" s="76" t="n">
        <v>45</v>
      </c>
      <c r="D18" s="21" t="s">
        <v>747</v>
      </c>
    </row>
    <row r="19" customFormat="false" ht="15" hidden="false" customHeight="false" outlineLevel="0" collapsed="false">
      <c r="A19" s="25" t="s">
        <v>748</v>
      </c>
      <c r="B19" s="23" t="s">
        <v>195</v>
      </c>
      <c r="C19" s="76" t="n">
        <v>35</v>
      </c>
    </row>
    <row r="20" customFormat="false" ht="15" hidden="false" customHeight="false" outlineLevel="0" collapsed="false">
      <c r="A20" s="25" t="s">
        <v>749</v>
      </c>
      <c r="B20" s="23" t="s">
        <v>195</v>
      </c>
      <c r="C20" s="76" t="n">
        <v>55</v>
      </c>
    </row>
    <row r="21" customFormat="false" ht="15" hidden="false" customHeight="false" outlineLevel="0" collapsed="false">
      <c r="A21" s="53" t="s">
        <v>750</v>
      </c>
      <c r="B21" s="37" t="s">
        <v>439</v>
      </c>
      <c r="C21" s="10" t="n">
        <f aca="false">利润表!J29</f>
        <v>1.42654734044699</v>
      </c>
    </row>
    <row r="22" customFormat="false" ht="15" hidden="false" customHeight="false" outlineLevel="0" collapsed="false">
      <c r="A22" s="68" t="s">
        <v>751</v>
      </c>
      <c r="B22" s="37" t="s">
        <v>439</v>
      </c>
      <c r="C22" s="62" t="n">
        <f aca="false">C21*C18</f>
        <v>64.1946303201145</v>
      </c>
    </row>
    <row r="23" customFormat="false" ht="15" hidden="false" customHeight="false" outlineLevel="0" collapsed="false">
      <c r="A23" s="25" t="s">
        <v>752</v>
      </c>
      <c r="B23" s="37" t="s">
        <v>439</v>
      </c>
      <c r="C23" s="69" t="n">
        <f aca="false">C21*C19</f>
        <v>49.9291569156446</v>
      </c>
    </row>
    <row r="24" customFormat="false" ht="15" hidden="false" customHeight="false" outlineLevel="0" collapsed="false">
      <c r="A24" s="25" t="s">
        <v>753</v>
      </c>
      <c r="B24" s="37" t="s">
        <v>439</v>
      </c>
      <c r="C24" s="69" t="n">
        <f aca="false">C21*C20</f>
        <v>78.4601037245844</v>
      </c>
    </row>
    <row r="26" customFormat="false" ht="15" hidden="false" customHeight="false" outlineLevel="0" collapsed="false">
      <c r="A26" s="30" t="s">
        <v>754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customFormat="false" ht="15" hidden="false" customHeight="false" outlineLevel="0" collapsed="false">
      <c r="A27" s="4" t="s">
        <v>755</v>
      </c>
      <c r="B27" s="5" t="s">
        <v>26</v>
      </c>
      <c r="C27" s="4" t="s">
        <v>756</v>
      </c>
      <c r="D27" s="4" t="s">
        <v>757</v>
      </c>
      <c r="E27" s="5" t="s">
        <v>27</v>
      </c>
      <c r="F27" s="4" t="s">
        <v>756</v>
      </c>
      <c r="G27" s="4" t="s">
        <v>757</v>
      </c>
      <c r="H27" s="4"/>
      <c r="I27" s="4"/>
      <c r="J27" s="4" t="s">
        <v>758</v>
      </c>
    </row>
    <row r="28" customFormat="false" ht="15" hidden="false" customHeight="false" outlineLevel="0" collapsed="false">
      <c r="A28" s="6" t="s">
        <v>148</v>
      </c>
      <c r="B28" s="45" t="n">
        <f aca="false">业务拆分!J95</f>
        <v>267.38627134486</v>
      </c>
      <c r="C28" s="74" t="n">
        <v>40</v>
      </c>
      <c r="D28" s="77" t="n">
        <f aca="false">B28*C28</f>
        <v>10695.4508537944</v>
      </c>
      <c r="E28" s="45" t="n">
        <f aca="false">业务拆分!K95</f>
        <v>330.538484724817</v>
      </c>
      <c r="F28" s="74" t="n">
        <v>35</v>
      </c>
      <c r="G28" s="77" t="n">
        <f aca="false">E28*F28</f>
        <v>11568.8469653686</v>
      </c>
      <c r="J28" s="6" t="s">
        <v>759</v>
      </c>
    </row>
    <row r="29" customFormat="false" ht="15" hidden="false" customHeight="false" outlineLevel="0" collapsed="false">
      <c r="A29" s="6" t="s">
        <v>154</v>
      </c>
      <c r="B29" s="45" t="n">
        <f aca="false">业务拆分!J96</f>
        <v>182.470790349589</v>
      </c>
      <c r="C29" s="74" t="n">
        <v>30</v>
      </c>
      <c r="D29" s="77" t="n">
        <f aca="false">B29*C29</f>
        <v>5474.12371048766</v>
      </c>
      <c r="E29" s="45" t="n">
        <f aca="false">业务拆分!K96</f>
        <v>207.095982294582</v>
      </c>
      <c r="F29" s="74" t="n">
        <v>28</v>
      </c>
      <c r="G29" s="77" t="n">
        <f aca="false">E29*F29</f>
        <v>5798.68750424831</v>
      </c>
      <c r="J29" s="6" t="s">
        <v>760</v>
      </c>
    </row>
    <row r="30" customFormat="false" ht="15" hidden="false" customHeight="false" outlineLevel="0" collapsed="false">
      <c r="A30" s="6" t="s">
        <v>761</v>
      </c>
      <c r="B30" s="45" t="n">
        <f aca="false">业务拆分!J97</f>
        <v>21.6607171646051</v>
      </c>
      <c r="C30" s="74" t="n">
        <v>40</v>
      </c>
      <c r="D30" s="77" t="n">
        <f aca="false">B30*C30</f>
        <v>866.428686584202</v>
      </c>
      <c r="E30" s="45" t="n">
        <f aca="false">业务拆分!K97</f>
        <v>37.5124853274079</v>
      </c>
      <c r="F30" s="74" t="n">
        <v>35</v>
      </c>
      <c r="G30" s="77" t="n">
        <f aca="false">E30*F30</f>
        <v>1312.93698645928</v>
      </c>
      <c r="J30" s="6" t="s">
        <v>762</v>
      </c>
    </row>
    <row r="31" customFormat="false" ht="15" hidden="false" customHeight="false" outlineLevel="0" collapsed="false">
      <c r="A31" s="6" t="s">
        <v>156</v>
      </c>
      <c r="B31" s="45" t="n">
        <f aca="false">业务拆分!J98</f>
        <v>35.1275707112649</v>
      </c>
      <c r="C31" s="74" t="n">
        <v>20</v>
      </c>
      <c r="D31" s="77" t="n">
        <f aca="false">B31*C31</f>
        <v>702.551414225299</v>
      </c>
      <c r="E31" s="45" t="n">
        <f aca="false">业务拆分!K98</f>
        <v>29.0425558153207</v>
      </c>
      <c r="F31" s="74" t="n">
        <v>18</v>
      </c>
      <c r="G31" s="77" t="n">
        <f aca="false">E31*F31</f>
        <v>522.766004675773</v>
      </c>
      <c r="J31" s="6" t="s">
        <v>763</v>
      </c>
    </row>
    <row r="32" customFormat="false" ht="15" hidden="false" customHeight="false" outlineLevel="0" collapsed="false">
      <c r="A32" s="6" t="s">
        <v>157</v>
      </c>
      <c r="B32" s="45" t="n">
        <f aca="false">业务拆分!J99</f>
        <v>-3.46748401377319</v>
      </c>
      <c r="C32" s="74" t="n">
        <v>12</v>
      </c>
      <c r="D32" s="77" t="n">
        <f aca="false">B32*C32</f>
        <v>-41.6098081652782</v>
      </c>
      <c r="E32" s="45" t="n">
        <f aca="false">业务拆分!K99</f>
        <v>-1.33252473756574</v>
      </c>
      <c r="F32" s="74" t="n">
        <v>12</v>
      </c>
      <c r="G32" s="77" t="n">
        <f aca="false">E32*F32</f>
        <v>-15.9902968507888</v>
      </c>
      <c r="J32" s="6" t="s">
        <v>764</v>
      </c>
    </row>
    <row r="33" customFormat="false" ht="15" hidden="false" customHeight="false" outlineLevel="0" collapsed="false">
      <c r="A33" s="6" t="s">
        <v>158</v>
      </c>
      <c r="B33" s="45" t="n">
        <f aca="false">业务拆分!J100</f>
        <v>175.159788852068</v>
      </c>
      <c r="C33" s="74" t="n">
        <v>35</v>
      </c>
      <c r="D33" s="77" t="n">
        <f aca="false">B33*C33</f>
        <v>6130.59260982239</v>
      </c>
      <c r="E33" s="45" t="n">
        <f aca="false">业务拆分!K100</f>
        <v>307.389480950442</v>
      </c>
      <c r="F33" s="74" t="n">
        <v>30</v>
      </c>
      <c r="G33" s="77" t="n">
        <f aca="false">E33*F33</f>
        <v>9221.68442851326</v>
      </c>
      <c r="J33" s="6" t="s">
        <v>765</v>
      </c>
    </row>
    <row r="34" customFormat="false" ht="15" hidden="false" customHeight="false" outlineLevel="0" collapsed="false">
      <c r="A34" s="6" t="s">
        <v>166</v>
      </c>
      <c r="B34" s="45" t="n">
        <f aca="false">业务拆分!J101</f>
        <v>10.9715300414944</v>
      </c>
      <c r="C34" s="74" t="n">
        <v>18</v>
      </c>
      <c r="D34" s="77" t="n">
        <f aca="false">B34*C34</f>
        <v>197.487540746899</v>
      </c>
      <c r="E34" s="45" t="n">
        <f aca="false">业务拆分!K101</f>
        <v>11.5382761191002</v>
      </c>
      <c r="F34" s="74" t="n">
        <v>18</v>
      </c>
      <c r="G34" s="77" t="n">
        <f aca="false">E34*F34</f>
        <v>207.688970143804</v>
      </c>
      <c r="J34" s="6" t="s">
        <v>766</v>
      </c>
    </row>
    <row r="35" customFormat="false" ht="15" hidden="false" customHeight="false" outlineLevel="0" collapsed="false">
      <c r="A35" s="6" t="s">
        <v>767</v>
      </c>
      <c r="B35" s="45" t="n">
        <f aca="false">业务拆分!J103-((融资!J16+融资!J21-融资!J11)*(1-费用税率!J23))</f>
        <v>47.2790329420588</v>
      </c>
      <c r="C35" s="74" t="n">
        <v>10</v>
      </c>
      <c r="D35" s="77" t="n">
        <f aca="false">B35*C35</f>
        <v>472.790329420588</v>
      </c>
      <c r="E35" s="45" t="n">
        <f aca="false">业务拆分!K103-((融资!K16+融资!K21-融资!K11)*(1-费用税率!K23))</f>
        <v>29.7702230970871</v>
      </c>
      <c r="F35" s="74" t="n">
        <v>10</v>
      </c>
      <c r="G35" s="77" t="n">
        <f aca="false">E35*F35</f>
        <v>297.702230970871</v>
      </c>
      <c r="J35" s="6" t="s">
        <v>768</v>
      </c>
    </row>
    <row r="36" customFormat="false" ht="15" hidden="false" customHeight="false" outlineLevel="0" collapsed="false">
      <c r="A36" s="6" t="s">
        <v>769</v>
      </c>
      <c r="B36" s="45" t="n">
        <f aca="false">((融资!J16+融资!J21-融资!J11)*(1-费用税率!J23))</f>
        <v>14.6473041079623</v>
      </c>
      <c r="C36" s="74" t="n">
        <v>0</v>
      </c>
      <c r="D36" s="77" t="n">
        <f aca="false">B36*C36</f>
        <v>0</v>
      </c>
      <c r="E36" s="45" t="n">
        <f aca="false">((融资!K16+融资!K21-融资!K11)*(1-费用税率!K23))</f>
        <v>13.1786181643524</v>
      </c>
      <c r="F36" s="74" t="n">
        <v>0</v>
      </c>
      <c r="G36" s="77" t="n">
        <f aca="false">E36*F36</f>
        <v>0</v>
      </c>
      <c r="J36" s="6" t="s">
        <v>770</v>
      </c>
    </row>
    <row r="37" customFormat="false" ht="15" hidden="false" customHeight="false" outlineLevel="0" collapsed="false">
      <c r="A37" s="6" t="s">
        <v>771</v>
      </c>
      <c r="D37" s="7" t="n">
        <f aca="false">(DCF!C55+DCF!C56+DCF!C57-DCF!C58-DCF!C60)</f>
        <v>1550.16</v>
      </c>
      <c r="G37" s="7" t="n">
        <f aca="false">(DCF!C55+DCF!C56+DCF!C57-DCF!C58-DCF!C60)</f>
        <v>1550.16</v>
      </c>
      <c r="J37" s="6" t="s">
        <v>772</v>
      </c>
    </row>
    <row r="38" customFormat="false" ht="15" hidden="false" customHeight="false" outlineLevel="0" collapsed="false">
      <c r="A38" s="4" t="s">
        <v>167</v>
      </c>
      <c r="B38" s="43" t="n">
        <f aca="false">SUM(B28:B36)</f>
        <v>751.23552150013</v>
      </c>
      <c r="C38" s="75" t="n">
        <f aca="false">(D38-D37)/B38</f>
        <v>32.6100332529496</v>
      </c>
      <c r="D38" s="17" t="n">
        <f aca="false">SUM(D28:D37)</f>
        <v>26047.9753369162</v>
      </c>
      <c r="E38" s="43" t="n">
        <f aca="false">SUM(E28:E36)</f>
        <v>964.733581755544</v>
      </c>
      <c r="F38" s="75" t="n">
        <f aca="false">(G38-G37)/E38</f>
        <v>29.9713033114419</v>
      </c>
      <c r="G38" s="17" t="n">
        <f aca="false">SUM(G28:G37)</f>
        <v>30464.4827935291</v>
      </c>
    </row>
    <row r="39" customFormat="false" ht="15" hidden="false" customHeight="false" outlineLevel="0" collapsed="false">
      <c r="A39" s="21" t="s">
        <v>773</v>
      </c>
    </row>
    <row r="40" customFormat="false" ht="15" hidden="false" customHeight="false" outlineLevel="0" collapsed="false">
      <c r="A40" s="68" t="s">
        <v>774</v>
      </c>
      <c r="B40" s="37" t="s">
        <v>439</v>
      </c>
      <c r="C40" s="62" t="n">
        <f aca="false">D38/DCF!C6</f>
        <v>49.5465714758021</v>
      </c>
    </row>
    <row r="41" customFormat="false" ht="15" hidden="false" customHeight="false" outlineLevel="0" collapsed="false">
      <c r="A41" s="68" t="s">
        <v>775</v>
      </c>
      <c r="B41" s="37" t="s">
        <v>439</v>
      </c>
      <c r="C41" s="62" t="n">
        <f aca="false">((G38-G37)/(1+DCF!C12)+G37)/DCF!C6</f>
        <v>53.152828364125</v>
      </c>
    </row>
    <row r="42" customFormat="false" ht="15" hidden="false" customHeight="false" outlineLevel="0" collapsed="false">
      <c r="A42" s="53" t="s">
        <v>776</v>
      </c>
      <c r="B42" s="23" t="s">
        <v>195</v>
      </c>
      <c r="C42" s="71" t="n">
        <f aca="false">((C22*DCF!C6-(DCF!C55+DCF!C56+DCF!C57-DCF!C58-DCF!C60))/(1-DCF!C61)-DCF!C49)/(DCF!C50+DCF!C52)</f>
        <v>2.38836728876031</v>
      </c>
      <c r="D42" s="21" t="s">
        <v>777</v>
      </c>
    </row>
    <row r="43" customFormat="false" ht="15" hidden="false" customHeight="false" outlineLevel="0" collapsed="false">
      <c r="A43" s="25" t="s">
        <v>778</v>
      </c>
      <c r="B43" s="23" t="s">
        <v>94</v>
      </c>
      <c r="C43" s="67" t="n">
        <f aca="false">G28/(G38-G37-G33)</f>
        <v>0.587470645168642</v>
      </c>
    </row>
    <row r="45" customFormat="false" ht="15" hidden="false" customHeight="false" outlineLevel="0" collapsed="false">
      <c r="A45" s="30" t="s">
        <v>779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customFormat="false" ht="15" hidden="false" customHeight="false" outlineLevel="0" collapsed="false">
      <c r="A46" s="25" t="s">
        <v>780</v>
      </c>
      <c r="B46" s="37" t="s">
        <v>147</v>
      </c>
      <c r="C46" s="7" t="n">
        <f aca="false">DCF!C7</f>
        <v>51221.591353</v>
      </c>
    </row>
    <row r="47" customFormat="false" ht="15" hidden="false" customHeight="false" outlineLevel="0" collapsed="false">
      <c r="A47" s="25" t="s">
        <v>781</v>
      </c>
      <c r="B47" s="37" t="s">
        <v>147</v>
      </c>
      <c r="C47" s="78" t="n">
        <f aca="false">(G38-G37-G33)/(1+DCF!C12)+G37</f>
        <v>19526.0964354321</v>
      </c>
    </row>
    <row r="48" customFormat="false" ht="15" hidden="false" customHeight="false" outlineLevel="0" collapsed="false">
      <c r="A48" s="22" t="s">
        <v>782</v>
      </c>
      <c r="B48" s="37" t="s">
        <v>147</v>
      </c>
      <c r="C48" s="17" t="n">
        <f aca="false">C46-C47</f>
        <v>31695.4949175679</v>
      </c>
    </row>
    <row r="49" customFormat="false" ht="15" hidden="false" customHeight="false" outlineLevel="0" collapsed="false">
      <c r="A49" s="25" t="s">
        <v>783</v>
      </c>
      <c r="B49" s="23" t="s">
        <v>195</v>
      </c>
      <c r="C49" s="73" t="n">
        <f aca="false">F33</f>
        <v>30</v>
      </c>
    </row>
    <row r="50" customFormat="false" ht="15" hidden="false" customHeight="false" outlineLevel="0" collapsed="false">
      <c r="A50" s="25" t="s">
        <v>784</v>
      </c>
      <c r="B50" s="37" t="s">
        <v>147</v>
      </c>
      <c r="C50" s="78" t="n">
        <f aca="false">C48*(1+DCF!C12)/C49</f>
        <v>1157.41382273986</v>
      </c>
    </row>
    <row r="51" customFormat="false" ht="15" hidden="false" customHeight="false" outlineLevel="0" collapsed="false">
      <c r="A51" s="25" t="s">
        <v>785</v>
      </c>
      <c r="B51" s="23" t="s">
        <v>94</v>
      </c>
      <c r="C51" s="70" t="n">
        <f aca="false">IFERROR(业务拆分!K100/业务拆分!K35,0)</f>
        <v>0.225193758938053</v>
      </c>
    </row>
    <row r="52" customFormat="false" ht="15" hidden="false" customHeight="false" outlineLevel="0" collapsed="false">
      <c r="A52" s="25" t="s">
        <v>786</v>
      </c>
      <c r="B52" s="37" t="s">
        <v>147</v>
      </c>
      <c r="C52" s="65" t="n">
        <f aca="false">IFERROR(C50/C51,0)</f>
        <v>5139.63543305053</v>
      </c>
    </row>
    <row r="53" customFormat="false" ht="15" hidden="false" customHeight="false" outlineLevel="0" collapsed="false">
      <c r="A53" s="22" t="s">
        <v>787</v>
      </c>
      <c r="B53" s="37" t="s">
        <v>135</v>
      </c>
      <c r="C53" s="39" t="n">
        <f aca="false">IFERROR(C52*100/业务拆分!K34,0)</f>
        <v>2447.44544430978</v>
      </c>
    </row>
    <row r="54" customFormat="false" ht="15" hidden="false" customHeight="false" outlineLevel="0" collapsed="false">
      <c r="A54" s="25" t="s">
        <v>788</v>
      </c>
      <c r="B54" s="37" t="s">
        <v>135</v>
      </c>
      <c r="C54" s="7" t="n">
        <f aca="false">业务拆分!K32</f>
        <v>650</v>
      </c>
    </row>
    <row r="55" customFormat="false" ht="15" hidden="false" customHeight="false" outlineLevel="0" collapsed="false">
      <c r="A55" s="22" t="s">
        <v>789</v>
      </c>
      <c r="B55" s="23" t="s">
        <v>195</v>
      </c>
      <c r="C55" s="75" t="n">
        <f aca="false">IFERROR(C53/C54,0)</f>
        <v>3.7653006835535</v>
      </c>
      <c r="D55" s="36" t="s">
        <v>790</v>
      </c>
    </row>
    <row r="56" customFormat="false" ht="15" hidden="false" customHeight="false" outlineLevel="0" collapsed="false">
      <c r="A56" s="6" t="s">
        <v>791</v>
      </c>
      <c r="B56" s="11" t="n">
        <f aca="false">C49+(-5)</f>
        <v>25</v>
      </c>
      <c r="C56" s="11" t="n">
        <f aca="false">C49+(0)</f>
        <v>30</v>
      </c>
      <c r="D56" s="11" t="n">
        <f aca="false">C49+(5)</f>
        <v>35</v>
      </c>
      <c r="E56" s="11" t="n">
        <f aca="false">C49+(10)</f>
        <v>40</v>
      </c>
      <c r="F56" s="11" t="n">
        <f aca="false">C49+(15)</f>
        <v>45</v>
      </c>
    </row>
    <row r="57" customFormat="false" ht="15" hidden="false" customHeight="false" outlineLevel="0" collapsed="false">
      <c r="A57" s="6" t="s">
        <v>792</v>
      </c>
      <c r="B57" s="77" t="n">
        <f aca="false">IFERROR(C48*(1+DCF!C12)/B56/C51*100/业务拆分!K34,0)</f>
        <v>2936.93453317173</v>
      </c>
      <c r="C57" s="77" t="n">
        <f aca="false">IFERROR(C48*(1+DCF!C12)/C56/C51*100/业务拆分!K34,0)</f>
        <v>2447.44544430978</v>
      </c>
      <c r="D57" s="77" t="n">
        <f aca="false">IFERROR(C48*(1+DCF!C12)/D56/C51*100/业务拆分!K34,0)</f>
        <v>2097.81038083695</v>
      </c>
      <c r="E57" s="77" t="n">
        <f aca="false">IFERROR(C48*(1+DCF!C12)/E56/C51*100/业务拆分!K34,0)</f>
        <v>1835.58408323233</v>
      </c>
      <c r="F57" s="77" t="n">
        <f aca="false">IFERROR(C48*(1+DCF!C12)/F56/C51*100/业务拆分!K34,0)</f>
        <v>1631.63029620652</v>
      </c>
    </row>
    <row r="59" customFormat="false" ht="15" hidden="false" customHeight="false" outlineLevel="0" collapsed="false">
      <c r="A59" s="30" t="s">
        <v>793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customFormat="false" ht="15" hidden="false" customHeight="false" outlineLevel="0" collapsed="false">
      <c r="A60" s="25" t="s">
        <v>794</v>
      </c>
      <c r="B60" s="37" t="s">
        <v>139</v>
      </c>
      <c r="C60" s="79" t="n">
        <f aca="false">业务拆分!K34*(1-业务拆分!K36)</f>
        <v>100.8</v>
      </c>
      <c r="D60" s="21" t="s">
        <v>795</v>
      </c>
    </row>
    <row r="61" customFormat="false" ht="15" hidden="false" customHeight="false" outlineLevel="0" collapsed="false">
      <c r="A61" s="25" t="s">
        <v>796</v>
      </c>
      <c r="B61" s="37" t="s">
        <v>139</v>
      </c>
      <c r="C61" s="79" t="n">
        <f aca="false">(业务拆分!K37-业务拆分!K86)*100/业务拆分!K32</f>
        <v>21.8150998198779</v>
      </c>
    </row>
    <row r="62" customFormat="false" ht="15" hidden="false" customHeight="false" outlineLevel="0" collapsed="false">
      <c r="A62" s="25" t="s">
        <v>797</v>
      </c>
      <c r="B62" s="23" t="s">
        <v>94</v>
      </c>
      <c r="C62" s="70" t="n">
        <f aca="false">(1-费用税率!K23)*(1-业务拆分!K93)</f>
        <v>0.54117689989361</v>
      </c>
    </row>
    <row r="63" customFormat="false" ht="15" hidden="false" customHeight="false" outlineLevel="0" collapsed="false">
      <c r="A63" s="4" t="s">
        <v>798</v>
      </c>
      <c r="B63" s="12" t="n">
        <v>150</v>
      </c>
      <c r="C63" s="12" t="n">
        <v>180</v>
      </c>
      <c r="D63" s="12" t="n">
        <v>210</v>
      </c>
      <c r="E63" s="12" t="n">
        <v>240</v>
      </c>
      <c r="F63" s="12" t="n">
        <v>270</v>
      </c>
    </row>
    <row r="64" customFormat="false" ht="15" hidden="false" customHeight="false" outlineLevel="0" collapsed="false">
      <c r="A64" s="12" t="n">
        <v>400</v>
      </c>
      <c r="B64" s="59" t="n">
        <f aca="false">$A64*MAX(0,B$63-$C$60-$C$61)*$C$62/100*$F$33/(1+DCF!$C$12)/DCF!$C$6</f>
        <v>3.08786931924753</v>
      </c>
      <c r="C64" s="59" t="n">
        <f aca="false">$A64*MAX(0,C$63-$C$60-$C$61)*$C$62/100*$F$33/(1+DCF!$C$12)/DCF!$C$6</f>
        <v>6.47061232609141</v>
      </c>
      <c r="D64" s="59" t="n">
        <f aca="false">$A64*MAX(0,D$63-$C$60-$C$61)*$C$62/100*$F$33/(1+DCF!$C$12)/DCF!$C$6</f>
        <v>9.8533553329353</v>
      </c>
      <c r="E64" s="59" t="n">
        <f aca="false">$A64*MAX(0,E$63-$C$60-$C$61)*$C$62/100*$F$33/(1+DCF!$C$12)/DCF!$C$6</f>
        <v>13.2360983397792</v>
      </c>
      <c r="F64" s="59" t="n">
        <f aca="false">$A64*MAX(0,F$63-$C$60-$C$61)*$C$62/100*$F$33/(1+DCF!$C$12)/DCF!$C$6</f>
        <v>16.6188413466231</v>
      </c>
    </row>
    <row r="65" customFormat="false" ht="15" hidden="false" customHeight="false" outlineLevel="0" collapsed="false">
      <c r="A65" s="12" t="n">
        <v>800</v>
      </c>
      <c r="B65" s="59" t="n">
        <f aca="false">$A65*MAX(0,B$63-$C$60-$C$61)*$C$62/100*$F$33/(1+DCF!$C$12)/DCF!$C$6</f>
        <v>6.17573863849506</v>
      </c>
      <c r="C65" s="59" t="n">
        <f aca="false">$A65*MAX(0,C$63-$C$60-$C$61)*$C$62/100*$F$33/(1+DCF!$C$12)/DCF!$C$6</f>
        <v>12.9412246521828</v>
      </c>
      <c r="D65" s="59" t="n">
        <f aca="false">$A65*MAX(0,D$63-$C$60-$C$61)*$C$62/100*$F$33/(1+DCF!$C$12)/DCF!$C$6</f>
        <v>19.7067106658706</v>
      </c>
      <c r="E65" s="59" t="n">
        <f aca="false">$A65*MAX(0,E$63-$C$60-$C$61)*$C$62/100*$F$33/(1+DCF!$C$12)/DCF!$C$6</f>
        <v>26.4721966795584</v>
      </c>
      <c r="F65" s="59" t="n">
        <f aca="false">$A65*MAX(0,F$63-$C$60-$C$61)*$C$62/100*$F$33/(1+DCF!$C$12)/DCF!$C$6</f>
        <v>33.2376826932461</v>
      </c>
    </row>
    <row r="66" customFormat="false" ht="15" hidden="false" customHeight="false" outlineLevel="0" collapsed="false">
      <c r="A66" s="12" t="n">
        <v>1200</v>
      </c>
      <c r="B66" s="59" t="n">
        <f aca="false">$A66*MAX(0,B$63-$C$60-$C$61)*$C$62/100*$F$33/(1+DCF!$C$12)/DCF!$C$6</f>
        <v>9.2636079577426</v>
      </c>
      <c r="C66" s="59" t="n">
        <f aca="false">$A66*MAX(0,C$63-$C$60-$C$61)*$C$62/100*$F$33/(1+DCF!$C$12)/DCF!$C$6</f>
        <v>19.4118369782742</v>
      </c>
      <c r="D66" s="59" t="n">
        <f aca="false">$A66*MAX(0,D$63-$C$60-$C$61)*$C$62/100*$F$33/(1+DCF!$C$12)/DCF!$C$6</f>
        <v>29.5600659988059</v>
      </c>
      <c r="E66" s="59" t="n">
        <f aca="false">$A66*MAX(0,E$63-$C$60-$C$61)*$C$62/100*$F$33/(1+DCF!$C$12)/DCF!$C$6</f>
        <v>39.7082950193375</v>
      </c>
      <c r="F66" s="59" t="n">
        <f aca="false">$A66*MAX(0,F$63-$C$60-$C$61)*$C$62/100*$F$33/(1+DCF!$C$12)/DCF!$C$6</f>
        <v>49.8565240398692</v>
      </c>
    </row>
    <row r="67" customFormat="false" ht="15" hidden="false" customHeight="false" outlineLevel="0" collapsed="false">
      <c r="A67" s="12" t="n">
        <v>1600</v>
      </c>
      <c r="B67" s="59" t="n">
        <f aca="false">$A67*MAX(0,B$63-$C$60-$C$61)*$C$62/100*$F$33/(1+DCF!$C$12)/DCF!$C$6</f>
        <v>12.3514772769901</v>
      </c>
      <c r="C67" s="59" t="n">
        <f aca="false">$A67*MAX(0,C$63-$C$60-$C$61)*$C$62/100*$F$33/(1+DCF!$C$12)/DCF!$C$6</f>
        <v>25.8824493043657</v>
      </c>
      <c r="D67" s="59" t="n">
        <f aca="false">$A67*MAX(0,D$63-$C$60-$C$61)*$C$62/100*$F$33/(1+DCF!$C$12)/DCF!$C$6</f>
        <v>39.4134213317412</v>
      </c>
      <c r="E67" s="59" t="n">
        <f aca="false">$A67*MAX(0,E$63-$C$60-$C$61)*$C$62/100*$F$33/(1+DCF!$C$12)/DCF!$C$6</f>
        <v>52.9443933591167</v>
      </c>
      <c r="F67" s="59" t="n">
        <f aca="false">$A67*MAX(0,F$63-$C$60-$C$61)*$C$62/100*$F$33/(1+DCF!$C$12)/DCF!$C$6</f>
        <v>66.4753653864922</v>
      </c>
    </row>
    <row r="68" customFormat="false" ht="15" hidden="false" customHeight="false" outlineLevel="0" collapsed="false">
      <c r="A68" s="12" t="n">
        <v>2000</v>
      </c>
      <c r="B68" s="59" t="n">
        <f aca="false">$A68*MAX(0,B$63-$C$60-$C$61)*$C$62/100*$F$33/(1+DCF!$C$12)/DCF!$C$6</f>
        <v>15.4393465962377</v>
      </c>
      <c r="C68" s="59" t="n">
        <f aca="false">$A68*MAX(0,C$63-$C$60-$C$61)*$C$62/100*$F$33/(1+DCF!$C$12)/DCF!$C$6</f>
        <v>32.3530616304571</v>
      </c>
      <c r="D68" s="59" t="n">
        <f aca="false">$A68*MAX(0,D$63-$C$60-$C$61)*$C$62/100*$F$33/(1+DCF!$C$12)/DCF!$C$6</f>
        <v>49.2667766646765</v>
      </c>
      <c r="E68" s="59" t="n">
        <f aca="false">$A68*MAX(0,E$63-$C$60-$C$61)*$C$62/100*$F$33/(1+DCF!$C$12)/DCF!$C$6</f>
        <v>66.1804916988959</v>
      </c>
      <c r="F68" s="59" t="n">
        <f aca="false">$A68*MAX(0,F$63-$C$60-$C$61)*$C$62/100*$F$33/(1+DCF!$C$12)/DCF!$C$6</f>
        <v>83.0942067331153</v>
      </c>
    </row>
    <row r="70" customFormat="false" ht="15" hidden="false" customHeight="false" outlineLevel="0" collapsed="false">
      <c r="A70" s="21" t="s">
        <v>799</v>
      </c>
    </row>
    <row r="72" customFormat="false" ht="15" hidden="false" customHeight="false" outlineLevel="0" collapsed="false">
      <c r="A72" s="30" t="s">
        <v>800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customFormat="false" ht="15" hidden="false" customHeight="false" outlineLevel="0" collapsed="false">
      <c r="A73" s="4" t="s">
        <v>801</v>
      </c>
      <c r="B73" s="4" t="s">
        <v>17</v>
      </c>
      <c r="C73" s="4" t="s">
        <v>18</v>
      </c>
      <c r="D73" s="4" t="s">
        <v>19</v>
      </c>
      <c r="E73" s="4" t="s">
        <v>802</v>
      </c>
      <c r="F73" s="22" t="s">
        <v>803</v>
      </c>
    </row>
    <row r="74" customFormat="false" ht="15" hidden="false" customHeight="false" outlineLevel="0" collapsed="false">
      <c r="A74" s="9" t="s">
        <v>804</v>
      </c>
      <c r="B74" s="10" t="n">
        <f aca="false">DCF!E84</f>
        <v>27.3445014097457</v>
      </c>
      <c r="C74" s="16" t="n">
        <f aca="false">DCF!C64</f>
        <v>29.685689156103</v>
      </c>
      <c r="D74" s="10" t="n">
        <f aca="false">DCF!E82</f>
        <v>32.4258367469802</v>
      </c>
      <c r="E74" s="6" t="s">
        <v>805</v>
      </c>
      <c r="F74" s="80" t="n">
        <f aca="false">D74-B74</f>
        <v>5.08133533723456</v>
      </c>
    </row>
    <row r="75" customFormat="false" ht="15" hidden="false" customHeight="false" outlineLevel="0" collapsed="false">
      <c r="A75" s="9" t="s">
        <v>806</v>
      </c>
      <c r="B75" s="59" t="n">
        <f aca="false">C23</f>
        <v>49.9291569156446</v>
      </c>
      <c r="C75" s="61" t="n">
        <f aca="false">C22</f>
        <v>64.1946303201145</v>
      </c>
      <c r="D75" s="59" t="n">
        <f aca="false">C24</f>
        <v>78.4601037245844</v>
      </c>
      <c r="E75" s="6" t="s">
        <v>807</v>
      </c>
      <c r="F75" s="80" t="n">
        <f aca="false">D75-B75</f>
        <v>28.5309468089398</v>
      </c>
    </row>
    <row r="76" customFormat="false" ht="15" hidden="false" customHeight="false" outlineLevel="0" collapsed="false">
      <c r="A76" s="9" t="s">
        <v>808</v>
      </c>
      <c r="B76" s="59" t="n">
        <f aca="false">MIN(C40,C41)</f>
        <v>49.5465714758021</v>
      </c>
      <c r="C76" s="61" t="n">
        <f aca="false">AVERAGE(C40,C41)</f>
        <v>51.3496999199636</v>
      </c>
      <c r="D76" s="59" t="n">
        <f aca="false">MAX(C40,C41)</f>
        <v>53.152828364125</v>
      </c>
      <c r="E76" s="6" t="s">
        <v>809</v>
      </c>
      <c r="F76" s="80" t="n">
        <f aca="false">D76-B76</f>
        <v>3.60625688832289</v>
      </c>
    </row>
    <row r="77" customFormat="false" ht="15" hidden="false" customHeight="false" outlineLevel="0" collapsed="false">
      <c r="A77" s="6" t="s">
        <v>810</v>
      </c>
      <c r="B77" s="58" t="n">
        <v>107.05</v>
      </c>
      <c r="C77" s="58" t="n">
        <v>124.7</v>
      </c>
      <c r="D77" s="58" t="n">
        <v>142.59</v>
      </c>
      <c r="E77" s="6" t="s">
        <v>811</v>
      </c>
      <c r="F77" s="80" t="n">
        <f aca="false">D77-B77</f>
        <v>35.54</v>
      </c>
    </row>
    <row r="78" customFormat="false" ht="15" hidden="false" customHeight="false" outlineLevel="0" collapsed="false">
      <c r="A78" s="9" t="s">
        <v>812</v>
      </c>
      <c r="B78" s="58" t="n">
        <v>75.36</v>
      </c>
      <c r="C78" s="10" t="n">
        <f aca="false">DCF!C5</f>
        <v>97.43</v>
      </c>
      <c r="D78" s="58" t="n">
        <v>150</v>
      </c>
      <c r="E78" s="6" t="s">
        <v>813</v>
      </c>
      <c r="F78" s="80" t="n">
        <f aca="false">D78-B78</f>
        <v>74.64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2"/>
  </cols>
  <sheetData>
    <row r="1" customFormat="false" ht="21.6" hidden="false" customHeight="false" outlineLevel="0" collapsed="false">
      <c r="A1" s="20" t="s">
        <v>814</v>
      </c>
    </row>
    <row r="3" customFormat="false" ht="15" hidden="false" customHeight="false" outlineLevel="0" collapsed="false">
      <c r="A3" s="4" t="s">
        <v>147</v>
      </c>
      <c r="B3" s="5" t="s">
        <v>4</v>
      </c>
      <c r="C3" s="5" t="s">
        <v>5</v>
      </c>
      <c r="D3" s="5" t="s">
        <v>6</v>
      </c>
    </row>
    <row r="4" customFormat="false" ht="15" hidden="false" customHeight="false" outlineLevel="0" collapsed="false">
      <c r="A4" s="4" t="s">
        <v>815</v>
      </c>
      <c r="B4" s="19" t="n">
        <v>3072.12</v>
      </c>
      <c r="C4" s="19" t="n">
        <v>4367.98</v>
      </c>
      <c r="D4" s="19" t="n">
        <v>5900.52</v>
      </c>
    </row>
    <row r="5" customFormat="false" ht="15" hidden="false" customHeight="false" outlineLevel="0" collapsed="false">
      <c r="A5" s="4" t="s">
        <v>816</v>
      </c>
      <c r="B5" s="45" t="n">
        <f aca="false">利润表!I5</f>
        <v>2741.007</v>
      </c>
      <c r="C5" s="45" t="n">
        <f aca="false">利润表!J5</f>
        <v>3510.45614</v>
      </c>
      <c r="D5" s="45" t="n">
        <f aca="false">利润表!K5</f>
        <v>4419.9683774</v>
      </c>
    </row>
    <row r="6" customFormat="false" ht="15" hidden="false" customHeight="false" outlineLevel="0" collapsed="false">
      <c r="A6" s="6" t="s">
        <v>817</v>
      </c>
      <c r="B6" s="13" t="n">
        <f aca="false">B5/B4-1</f>
        <v>-0.10777996953244</v>
      </c>
      <c r="C6" s="13" t="n">
        <f aca="false">C5/C4-1</f>
        <v>-0.196320463921538</v>
      </c>
      <c r="D6" s="13" t="n">
        <f aca="false">D5/D4-1</f>
        <v>-0.250918838102405</v>
      </c>
    </row>
    <row r="7" customFormat="false" ht="15" hidden="false" customHeight="false" outlineLevel="0" collapsed="false">
      <c r="A7" s="4" t="s">
        <v>818</v>
      </c>
      <c r="B7" s="19" t="n">
        <v>739.39</v>
      </c>
      <c r="C7" s="19" t="n">
        <v>1105.27</v>
      </c>
      <c r="D7" s="19" t="n">
        <v>1553.36</v>
      </c>
    </row>
    <row r="8" customFormat="false" ht="15" hidden="false" customHeight="false" outlineLevel="0" collapsed="false">
      <c r="A8" s="4" t="s">
        <v>819</v>
      </c>
      <c r="B8" s="45" t="n">
        <f aca="false">利润表!I27</f>
        <v>617.923120054259</v>
      </c>
      <c r="C8" s="45" t="n">
        <f aca="false">利润表!J27</f>
        <v>751.23552150013</v>
      </c>
      <c r="D8" s="45" t="n">
        <f aca="false">利润表!K27</f>
        <v>964.733581755544</v>
      </c>
    </row>
    <row r="9" customFormat="false" ht="15" hidden="false" customHeight="false" outlineLevel="0" collapsed="false">
      <c r="A9" s="6" t="s">
        <v>817</v>
      </c>
      <c r="B9" s="13" t="n">
        <f aca="false">B8/B7-1</f>
        <v>-0.164279852237305</v>
      </c>
      <c r="C9" s="13" t="n">
        <f aca="false">C8/C7-1</f>
        <v>-0.320314926217006</v>
      </c>
      <c r="D9" s="13" t="n">
        <f aca="false">D8/D7-1</f>
        <v>-0.378937540714616</v>
      </c>
    </row>
    <row r="10" customFormat="false" ht="15" hidden="false" customHeight="false" outlineLevel="0" collapsed="false">
      <c r="A10" s="5" t="s">
        <v>820</v>
      </c>
      <c r="B10" s="58" t="n">
        <v>1.41</v>
      </c>
      <c r="C10" s="58" t="n">
        <v>2.1</v>
      </c>
      <c r="D10" s="58" t="n">
        <v>2.95</v>
      </c>
    </row>
    <row r="11" customFormat="false" ht="15" hidden="false" customHeight="false" outlineLevel="0" collapsed="false">
      <c r="A11" s="5" t="s">
        <v>821</v>
      </c>
      <c r="B11" s="10" t="n">
        <f aca="false">利润表!I29</f>
        <v>1.17536210612721</v>
      </c>
      <c r="C11" s="10" t="n">
        <f aca="false">利润表!J29</f>
        <v>1.42654734044699</v>
      </c>
      <c r="D11" s="10" t="n">
        <f aca="false">利润表!K29</f>
        <v>1.8289065649442</v>
      </c>
    </row>
    <row r="12" customFormat="false" ht="15" hidden="false" customHeight="false" outlineLevel="0" collapsed="false">
      <c r="A12" s="4" t="s">
        <v>822</v>
      </c>
      <c r="B12" s="19" t="n">
        <v>720</v>
      </c>
      <c r="C12" s="19" t="n">
        <v>1058</v>
      </c>
      <c r="D12" s="19" t="n">
        <v>1437</v>
      </c>
    </row>
    <row r="13" customFormat="false" ht="15" hidden="false" customHeight="false" outlineLevel="0" collapsed="false">
      <c r="A13" s="4" t="s">
        <v>823</v>
      </c>
      <c r="B13" s="19" t="n">
        <v>1041</v>
      </c>
      <c r="C13" s="19" t="n">
        <v>1451</v>
      </c>
      <c r="D13" s="19" t="n">
        <v>2481</v>
      </c>
    </row>
    <row r="14" customFormat="false" ht="15" hidden="false" customHeight="false" outlineLevel="0" collapsed="false">
      <c r="A14" s="4" t="s">
        <v>824</v>
      </c>
      <c r="B14" s="19" t="n">
        <v>583</v>
      </c>
      <c r="C14" s="19" t="n">
        <v>785.95</v>
      </c>
      <c r="D14" s="19" t="n">
        <v>981.92</v>
      </c>
    </row>
    <row r="16" customFormat="false" ht="15" hidden="false" customHeight="false" outlineLevel="0" collapsed="false">
      <c r="A16" s="21" t="s">
        <v>825</v>
      </c>
    </row>
    <row r="18" customFormat="false" ht="15" hidden="false" customHeight="false" outlineLevel="0" collapsed="false">
      <c r="A18" s="81" t="s">
        <v>826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customFormat="false" ht="15" hidden="false" customHeight="false" outlineLevel="0" collapsed="false">
      <c r="A19" s="4" t="s">
        <v>827</v>
      </c>
      <c r="B19" s="4" t="s">
        <v>828</v>
      </c>
      <c r="C19" s="4" t="s">
        <v>829</v>
      </c>
      <c r="D19" s="4" t="s">
        <v>830</v>
      </c>
      <c r="E19" s="5" t="s">
        <v>831</v>
      </c>
    </row>
    <row r="20" customFormat="false" ht="15" hidden="false" customHeight="false" outlineLevel="0" collapsed="false">
      <c r="A20" s="9" t="s">
        <v>832</v>
      </c>
      <c r="B20" s="12" t="n">
        <v>6</v>
      </c>
      <c r="C20" s="12" t="n">
        <v>0</v>
      </c>
      <c r="D20" s="12" t="n">
        <v>2</v>
      </c>
      <c r="E20" s="58" t="n">
        <v>1.65</v>
      </c>
    </row>
    <row r="21" customFormat="false" ht="15" hidden="false" customHeight="false" outlineLevel="0" collapsed="false">
      <c r="A21" s="9" t="s">
        <v>833</v>
      </c>
      <c r="B21" s="12" t="n">
        <v>6</v>
      </c>
      <c r="C21" s="12" t="n">
        <v>0</v>
      </c>
      <c r="D21" s="12" t="n">
        <v>2</v>
      </c>
      <c r="E21" s="58" t="n">
        <v>1.65</v>
      </c>
    </row>
    <row r="22" customFormat="false" ht="15" hidden="false" customHeight="false" outlineLevel="0" collapsed="false">
      <c r="A22" s="9" t="s">
        <v>834</v>
      </c>
      <c r="B22" s="12" t="n">
        <v>6</v>
      </c>
      <c r="C22" s="12" t="n">
        <v>0</v>
      </c>
      <c r="D22" s="12" t="n">
        <v>2</v>
      </c>
      <c r="E22" s="58" t="n">
        <v>1.65</v>
      </c>
    </row>
    <row r="23" customFormat="false" ht="15" hidden="false" customHeight="false" outlineLevel="0" collapsed="false">
      <c r="A23" s="9" t="s">
        <v>835</v>
      </c>
      <c r="B23" s="12" t="n">
        <v>6</v>
      </c>
      <c r="C23" s="12" t="n">
        <v>0</v>
      </c>
      <c r="D23" s="12" t="n">
        <v>2</v>
      </c>
      <c r="E23" s="58" t="n">
        <v>1.65</v>
      </c>
    </row>
    <row r="24" customFormat="false" ht="15" hidden="false" customHeight="false" outlineLevel="0" collapsed="false">
      <c r="A24" s="9" t="s">
        <v>836</v>
      </c>
      <c r="B24" s="12" t="n">
        <v>6</v>
      </c>
      <c r="C24" s="12" t="n">
        <v>0</v>
      </c>
      <c r="D24" s="12" t="n">
        <v>2</v>
      </c>
      <c r="E24" s="58" t="n">
        <v>1.65</v>
      </c>
    </row>
    <row r="25" customFormat="false" ht="15" hidden="false" customHeight="false" outlineLevel="0" collapsed="false">
      <c r="A25" s="9" t="s">
        <v>837</v>
      </c>
      <c r="B25" s="12" t="n">
        <v>6</v>
      </c>
      <c r="C25" s="12" t="n">
        <v>0</v>
      </c>
      <c r="D25" s="12" t="n">
        <v>2</v>
      </c>
      <c r="E25" s="58" t="n">
        <v>1.65</v>
      </c>
    </row>
    <row r="26" customFormat="false" ht="15" hidden="false" customHeight="false" outlineLevel="0" collapsed="false">
      <c r="A26" s="9" t="s">
        <v>838</v>
      </c>
      <c r="B26" s="12" t="n">
        <v>7</v>
      </c>
      <c r="C26" s="12" t="n">
        <v>1</v>
      </c>
      <c r="D26" s="12" t="n">
        <v>1</v>
      </c>
      <c r="E26" s="58" t="n">
        <v>1.65</v>
      </c>
    </row>
    <row r="27" customFormat="false" ht="15" hidden="false" customHeight="false" outlineLevel="0" collapsed="false">
      <c r="A27" s="9" t="s">
        <v>839</v>
      </c>
      <c r="B27" s="12" t="n">
        <v>7</v>
      </c>
      <c r="C27" s="12" t="n">
        <v>1</v>
      </c>
      <c r="D27" s="12" t="n">
        <v>1</v>
      </c>
      <c r="E27" s="58" t="n">
        <v>1.65</v>
      </c>
    </row>
    <row r="28" customFormat="false" ht="15" hidden="false" customHeight="false" outlineLevel="0" collapsed="false">
      <c r="A28" s="9" t="s">
        <v>840</v>
      </c>
      <c r="B28" s="12" t="n">
        <v>8</v>
      </c>
      <c r="C28" s="12" t="n">
        <v>0</v>
      </c>
      <c r="D28" s="12" t="n">
        <v>1</v>
      </c>
      <c r="E28" s="58" t="n">
        <v>1.67</v>
      </c>
    </row>
    <row r="29" customFormat="false" ht="15" hidden="false" customHeight="false" outlineLevel="0" collapsed="false">
      <c r="A29" s="9" t="s">
        <v>841</v>
      </c>
      <c r="B29" s="12" t="n">
        <v>8</v>
      </c>
      <c r="C29" s="12" t="n">
        <v>0</v>
      </c>
      <c r="D29" s="12" t="n">
        <v>1</v>
      </c>
      <c r="E29" s="58" t="n">
        <v>1.67</v>
      </c>
    </row>
    <row r="30" customFormat="false" ht="15" hidden="false" customHeight="false" outlineLevel="0" collapsed="false">
      <c r="A30" s="9" t="s">
        <v>842</v>
      </c>
      <c r="B30" s="12" t="n">
        <v>8</v>
      </c>
      <c r="C30" s="12" t="n">
        <v>0</v>
      </c>
      <c r="D30" s="12" t="n">
        <v>1</v>
      </c>
      <c r="E30" s="58" t="n">
        <v>1.67</v>
      </c>
    </row>
    <row r="31" customFormat="false" ht="15" hidden="false" customHeight="false" outlineLevel="0" collapsed="false">
      <c r="A31" s="9" t="s">
        <v>843</v>
      </c>
      <c r="B31" s="12" t="n">
        <v>8</v>
      </c>
      <c r="C31" s="12" t="n">
        <v>0</v>
      </c>
      <c r="D31" s="12" t="n">
        <v>1</v>
      </c>
      <c r="E31" s="58" t="n">
        <v>1.67</v>
      </c>
    </row>
    <row r="32" customFormat="false" ht="15" hidden="false" customHeight="false" outlineLevel="0" collapsed="false">
      <c r="A32" s="9" t="s">
        <v>844</v>
      </c>
      <c r="B32" s="12" t="n">
        <v>5</v>
      </c>
      <c r="C32" s="12" t="n">
        <v>2</v>
      </c>
      <c r="D32" s="12" t="n">
        <v>2</v>
      </c>
      <c r="E32" s="58" t="n">
        <v>1.69</v>
      </c>
    </row>
    <row r="33" customFormat="false" ht="15" hidden="false" customHeight="false" outlineLevel="0" collapsed="false">
      <c r="A33" s="9" t="s">
        <v>845</v>
      </c>
      <c r="B33" s="12" t="n">
        <v>5</v>
      </c>
      <c r="C33" s="12" t="n">
        <v>2</v>
      </c>
      <c r="D33" s="12" t="n">
        <v>3</v>
      </c>
      <c r="E33" s="58" t="n">
        <v>1.69</v>
      </c>
    </row>
    <row r="34" customFormat="false" ht="15" hidden="false" customHeight="false" outlineLevel="0" collapsed="false">
      <c r="A34" s="9" t="s">
        <v>846</v>
      </c>
      <c r="B34" s="12" t="n">
        <v>3</v>
      </c>
      <c r="C34" s="12" t="n">
        <v>3</v>
      </c>
      <c r="D34" s="12" t="n">
        <v>3</v>
      </c>
      <c r="E34" s="58" t="n">
        <v>1.68</v>
      </c>
    </row>
    <row r="35" customFormat="false" ht="15" hidden="false" customHeight="false" outlineLevel="0" collapsed="false">
      <c r="A35" s="9" t="s">
        <v>847</v>
      </c>
      <c r="B35" s="12" t="n">
        <v>3</v>
      </c>
      <c r="C35" s="12" t="n">
        <v>3</v>
      </c>
      <c r="D35" s="12" t="n">
        <v>3</v>
      </c>
      <c r="E35" s="58" t="n">
        <v>1.71</v>
      </c>
    </row>
    <row r="36" customFormat="false" ht="15" hidden="false" customHeight="false" outlineLevel="0" collapsed="false">
      <c r="A36" s="9" t="s">
        <v>848</v>
      </c>
      <c r="B36" s="12" t="n">
        <v>3</v>
      </c>
      <c r="C36" s="12" t="n">
        <v>3</v>
      </c>
      <c r="D36" s="12" t="n">
        <v>3</v>
      </c>
      <c r="E36" s="58" t="n">
        <v>1.78</v>
      </c>
    </row>
    <row r="37" customFormat="false" ht="15" hidden="false" customHeight="false" outlineLevel="0" collapsed="false">
      <c r="A37" s="9" t="s">
        <v>849</v>
      </c>
      <c r="B37" s="12" t="n">
        <v>3</v>
      </c>
      <c r="C37" s="12" t="n">
        <v>3</v>
      </c>
      <c r="D37" s="12" t="n">
        <v>3</v>
      </c>
      <c r="E37" s="58" t="n">
        <v>1.78</v>
      </c>
    </row>
    <row r="38" customFormat="false" ht="15" hidden="false" customHeight="false" outlineLevel="0" collapsed="false">
      <c r="A38" s="9" t="s">
        <v>850</v>
      </c>
      <c r="B38" s="12" t="n">
        <v>3</v>
      </c>
      <c r="C38" s="12" t="n">
        <v>3</v>
      </c>
      <c r="D38" s="12" t="n">
        <v>3</v>
      </c>
      <c r="E38" s="58" t="n">
        <v>1.78</v>
      </c>
    </row>
    <row r="39" customFormat="false" ht="15" hidden="false" customHeight="false" outlineLevel="0" collapsed="false">
      <c r="A39" s="9" t="s">
        <v>851</v>
      </c>
      <c r="B39" s="12" t="n">
        <v>3</v>
      </c>
      <c r="C39" s="12" t="n">
        <v>3</v>
      </c>
      <c r="D39" s="12" t="n">
        <v>3</v>
      </c>
      <c r="E39" s="58" t="n">
        <v>1.78</v>
      </c>
    </row>
    <row r="40" customFormat="false" ht="15" hidden="false" customHeight="false" outlineLevel="0" collapsed="false">
      <c r="A40" s="9" t="s">
        <v>852</v>
      </c>
      <c r="B40" s="12" t="n">
        <v>3</v>
      </c>
      <c r="C40" s="12" t="n">
        <v>2</v>
      </c>
      <c r="D40" s="12" t="n">
        <v>1</v>
      </c>
      <c r="E40" s="58" t="n">
        <v>1.88</v>
      </c>
    </row>
    <row r="41" customFormat="false" ht="15" hidden="false" customHeight="false" outlineLevel="0" collapsed="false">
      <c r="A41" s="9" t="s">
        <v>853</v>
      </c>
      <c r="B41" s="12" t="n">
        <v>5</v>
      </c>
      <c r="C41" s="12" t="n">
        <v>0</v>
      </c>
      <c r="D41" s="12" t="n">
        <v>1</v>
      </c>
      <c r="E41" s="58" t="n">
        <v>1.79</v>
      </c>
    </row>
    <row r="42" customFormat="false" ht="15" hidden="false" customHeight="false" outlineLevel="0" collapsed="false">
      <c r="A42" s="9" t="s">
        <v>854</v>
      </c>
      <c r="B42" s="12" t="n">
        <v>5</v>
      </c>
      <c r="C42" s="12" t="n">
        <v>0</v>
      </c>
      <c r="D42" s="12" t="n">
        <v>2</v>
      </c>
      <c r="E42" s="58" t="n">
        <v>1.69</v>
      </c>
    </row>
    <row r="43" customFormat="false" ht="15" hidden="false" customHeight="false" outlineLevel="0" collapsed="false">
      <c r="A43" s="9" t="s">
        <v>855</v>
      </c>
      <c r="B43" s="12" t="n">
        <v>5</v>
      </c>
      <c r="C43" s="12" t="n">
        <v>0</v>
      </c>
      <c r="D43" s="12" t="n">
        <v>2</v>
      </c>
      <c r="E43" s="58" t="n">
        <v>1.69</v>
      </c>
    </row>
    <row r="44" customFormat="false" ht="15" hidden="false" customHeight="false" outlineLevel="0" collapsed="false">
      <c r="A44" s="9" t="s">
        <v>856</v>
      </c>
      <c r="B44" s="12" t="n">
        <v>5</v>
      </c>
      <c r="C44" s="12" t="n">
        <v>0</v>
      </c>
      <c r="D44" s="12" t="n">
        <v>3</v>
      </c>
      <c r="E44" s="58" t="n">
        <v>1.68</v>
      </c>
    </row>
    <row r="45" customFormat="false" ht="15" hidden="false" customHeight="false" outlineLevel="0" collapsed="false">
      <c r="A45" s="9" t="s">
        <v>857</v>
      </c>
      <c r="B45" s="12" t="n">
        <v>5</v>
      </c>
      <c r="C45" s="12" t="n">
        <v>0</v>
      </c>
      <c r="D45" s="12" t="n">
        <v>3</v>
      </c>
      <c r="E45" s="58" t="n">
        <v>1.67</v>
      </c>
    </row>
    <row r="46" customFormat="false" ht="15" hidden="false" customHeight="false" outlineLevel="0" collapsed="false">
      <c r="A46" s="9" t="s">
        <v>858</v>
      </c>
      <c r="B46" s="12" t="n">
        <v>5</v>
      </c>
      <c r="C46" s="12" t="n">
        <v>0</v>
      </c>
      <c r="D46" s="12" t="n">
        <v>4</v>
      </c>
      <c r="E46" s="58" t="n">
        <v>1.63</v>
      </c>
    </row>
    <row r="47" customFormat="false" ht="15" hidden="false" customHeight="false" outlineLevel="0" collapsed="false">
      <c r="A47" s="9" t="s">
        <v>859</v>
      </c>
      <c r="B47" s="12" t="n">
        <v>5</v>
      </c>
      <c r="C47" s="12" t="n">
        <v>0</v>
      </c>
      <c r="D47" s="12" t="n">
        <v>4</v>
      </c>
      <c r="E47" s="58" t="n">
        <v>1.63</v>
      </c>
    </row>
    <row r="48" customFormat="false" ht="15" hidden="false" customHeight="false" outlineLevel="0" collapsed="false">
      <c r="A48" s="9" t="s">
        <v>860</v>
      </c>
      <c r="B48" s="12" t="n">
        <v>5</v>
      </c>
      <c r="C48" s="12" t="n">
        <v>0</v>
      </c>
      <c r="D48" s="12" t="n">
        <v>4</v>
      </c>
      <c r="E48" s="58" t="n">
        <v>1.63</v>
      </c>
    </row>
    <row r="49" customFormat="false" ht="15" hidden="false" customHeight="false" outlineLevel="0" collapsed="false">
      <c r="A49" s="9" t="s">
        <v>861</v>
      </c>
      <c r="B49" s="12" t="n">
        <v>5</v>
      </c>
      <c r="C49" s="12" t="n">
        <v>0</v>
      </c>
      <c r="D49" s="12" t="n">
        <v>4</v>
      </c>
      <c r="E49" s="58" t="n">
        <v>1.63</v>
      </c>
    </row>
    <row r="50" customFormat="false" ht="15" hidden="false" customHeight="false" outlineLevel="0" collapsed="false">
      <c r="A50" s="9" t="s">
        <v>862</v>
      </c>
      <c r="B50" s="12" t="n">
        <v>5</v>
      </c>
      <c r="C50" s="12" t="n">
        <v>0</v>
      </c>
      <c r="D50" s="12" t="n">
        <v>4</v>
      </c>
      <c r="E50" s="58" t="n">
        <v>1.63</v>
      </c>
    </row>
    <row r="51" customFormat="false" ht="15" hidden="false" customHeight="false" outlineLevel="0" collapsed="false">
      <c r="A51" s="9" t="s">
        <v>863</v>
      </c>
      <c r="B51" s="12" t="n">
        <v>5</v>
      </c>
      <c r="C51" s="12" t="n">
        <v>0</v>
      </c>
      <c r="D51" s="12" t="n">
        <v>4</v>
      </c>
      <c r="E51" s="58" t="n">
        <v>1.63</v>
      </c>
    </row>
    <row r="52" customFormat="false" ht="15" hidden="false" customHeight="false" outlineLevel="0" collapsed="false">
      <c r="A52" s="9" t="s">
        <v>864</v>
      </c>
      <c r="B52" s="12" t="n">
        <v>5</v>
      </c>
      <c r="C52" s="12" t="n">
        <v>0</v>
      </c>
      <c r="D52" s="12" t="n">
        <v>4</v>
      </c>
      <c r="E52" s="58" t="n">
        <v>1.63</v>
      </c>
    </row>
    <row r="53" customFormat="false" ht="15" hidden="false" customHeight="false" outlineLevel="0" collapsed="false">
      <c r="A53" s="9" t="s">
        <v>865</v>
      </c>
      <c r="B53" s="12" t="n">
        <v>5</v>
      </c>
      <c r="C53" s="12" t="n">
        <v>0</v>
      </c>
      <c r="D53" s="12" t="n">
        <v>4</v>
      </c>
      <c r="E53" s="58" t="n">
        <v>1.63</v>
      </c>
    </row>
    <row r="54" customFormat="false" ht="15" hidden="false" customHeight="false" outlineLevel="0" collapsed="false">
      <c r="A54" s="9" t="s">
        <v>866</v>
      </c>
      <c r="B54" s="12" t="n">
        <v>5</v>
      </c>
      <c r="C54" s="12" t="n">
        <v>0</v>
      </c>
      <c r="D54" s="12" t="n">
        <v>4</v>
      </c>
      <c r="E54" s="58" t="n">
        <v>1.63</v>
      </c>
    </row>
    <row r="55" customFormat="false" ht="15" hidden="false" customHeight="false" outlineLevel="0" collapsed="false">
      <c r="A55" s="9" t="s">
        <v>867</v>
      </c>
      <c r="B55" s="12" t="n">
        <v>5</v>
      </c>
      <c r="C55" s="12" t="n">
        <v>0</v>
      </c>
      <c r="D55" s="12" t="n">
        <v>5</v>
      </c>
      <c r="E55" s="58" t="n">
        <v>1.59</v>
      </c>
    </row>
    <row r="56" customFormat="false" ht="15" hidden="false" customHeight="false" outlineLevel="0" collapsed="false">
      <c r="A56" s="9" t="s">
        <v>868</v>
      </c>
      <c r="B56" s="12" t="n">
        <v>5</v>
      </c>
      <c r="C56" s="12" t="n">
        <v>0</v>
      </c>
      <c r="D56" s="12" t="n">
        <v>5</v>
      </c>
      <c r="E56" s="58" t="n">
        <v>1.59</v>
      </c>
    </row>
    <row r="57" customFormat="false" ht="15" hidden="false" customHeight="false" outlineLevel="0" collapsed="false">
      <c r="A57" s="9" t="s">
        <v>869</v>
      </c>
      <c r="B57" s="12" t="n">
        <v>5</v>
      </c>
      <c r="C57" s="12" t="n">
        <v>0</v>
      </c>
      <c r="D57" s="12" t="n">
        <v>6</v>
      </c>
      <c r="E57" s="58" t="n">
        <v>1.56</v>
      </c>
    </row>
    <row r="58" customFormat="false" ht="15" hidden="false" customHeight="false" outlineLevel="0" collapsed="false">
      <c r="A58" s="9" t="s">
        <v>870</v>
      </c>
      <c r="B58" s="12" t="n">
        <v>5</v>
      </c>
      <c r="C58" s="12" t="n">
        <v>0</v>
      </c>
      <c r="D58" s="12" t="n">
        <v>6</v>
      </c>
      <c r="E58" s="58" t="n">
        <v>1.56</v>
      </c>
    </row>
    <row r="59" customFormat="false" ht="15" hidden="false" customHeight="false" outlineLevel="0" collapsed="false">
      <c r="A59" s="9" t="s">
        <v>871</v>
      </c>
      <c r="B59" s="12" t="n">
        <v>4</v>
      </c>
      <c r="C59" s="12" t="n">
        <v>0</v>
      </c>
      <c r="D59" s="12" t="n">
        <v>9</v>
      </c>
      <c r="E59" s="58" t="n">
        <v>1.5</v>
      </c>
    </row>
    <row r="60" customFormat="false" ht="15" hidden="false" customHeight="false" outlineLevel="0" collapsed="false">
      <c r="A60" s="9" t="s">
        <v>872</v>
      </c>
      <c r="B60" s="12" t="n">
        <v>4</v>
      </c>
      <c r="C60" s="12" t="n">
        <v>0</v>
      </c>
      <c r="D60" s="12" t="n">
        <v>9</v>
      </c>
      <c r="E60" s="58" t="n">
        <v>1.5</v>
      </c>
    </row>
    <row r="61" customFormat="false" ht="15" hidden="false" customHeight="false" outlineLevel="0" collapsed="false">
      <c r="A61" s="9" t="s">
        <v>873</v>
      </c>
      <c r="B61" s="12" t="n">
        <v>4</v>
      </c>
      <c r="C61" s="12" t="n">
        <v>0</v>
      </c>
      <c r="D61" s="12" t="n">
        <v>9</v>
      </c>
      <c r="E61" s="58" t="n">
        <v>1.5</v>
      </c>
    </row>
    <row r="62" customFormat="false" ht="15" hidden="false" customHeight="false" outlineLevel="0" collapsed="false">
      <c r="A62" s="9" t="s">
        <v>874</v>
      </c>
      <c r="B62" s="12" t="n">
        <v>4</v>
      </c>
      <c r="C62" s="12" t="n">
        <v>0</v>
      </c>
      <c r="D62" s="12" t="n">
        <v>9</v>
      </c>
      <c r="E62" s="58" t="n">
        <v>1.41</v>
      </c>
    </row>
    <row r="63" customFormat="false" ht="15" hidden="false" customHeight="false" outlineLevel="0" collapsed="false">
      <c r="A63" s="9" t="s">
        <v>875</v>
      </c>
      <c r="B63" s="12" t="n">
        <v>4</v>
      </c>
      <c r="C63" s="12" t="n">
        <v>0</v>
      </c>
      <c r="D63" s="12" t="n">
        <v>9</v>
      </c>
      <c r="E63" s="58" t="n">
        <v>1.41</v>
      </c>
    </row>
    <row r="64" customFormat="false" ht="15" hidden="false" customHeight="false" outlineLevel="0" collapsed="false">
      <c r="A64" s="9" t="s">
        <v>876</v>
      </c>
      <c r="B64" s="12" t="n">
        <v>4</v>
      </c>
      <c r="C64" s="12" t="n">
        <v>0</v>
      </c>
      <c r="D64" s="12" t="n">
        <v>9</v>
      </c>
      <c r="E64" s="58" t="n">
        <v>1.41</v>
      </c>
    </row>
    <row r="66" customFormat="false" ht="15" hidden="false" customHeight="false" outlineLevel="0" collapsed="false">
      <c r="A66" s="30" t="s">
        <v>877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customFormat="false" ht="15" hidden="false" customHeight="false" outlineLevel="0" collapsed="false">
      <c r="A67" s="4" t="s">
        <v>827</v>
      </c>
      <c r="B67" s="4" t="s">
        <v>878</v>
      </c>
      <c r="C67" s="4" t="s">
        <v>879</v>
      </c>
      <c r="D67" s="4" t="s">
        <v>880</v>
      </c>
      <c r="E67" s="5" t="s">
        <v>881</v>
      </c>
      <c r="F67" s="5" t="s">
        <v>882</v>
      </c>
      <c r="G67" s="4" t="s">
        <v>883</v>
      </c>
      <c r="H67" s="4" t="s">
        <v>884</v>
      </c>
      <c r="I67" s="4" t="s">
        <v>885</v>
      </c>
      <c r="J67" s="4" t="s">
        <v>886</v>
      </c>
    </row>
    <row r="68" customFormat="false" ht="15" hidden="false" customHeight="false" outlineLevel="0" collapsed="false">
      <c r="A68" s="9" t="s">
        <v>887</v>
      </c>
      <c r="B68" s="6" t="s">
        <v>888</v>
      </c>
      <c r="C68" s="6" t="s">
        <v>889</v>
      </c>
      <c r="E68" s="58" t="n">
        <v>1.14</v>
      </c>
      <c r="F68" s="58" t="n">
        <v>1.95</v>
      </c>
      <c r="G68" s="12" t="n">
        <v>2554</v>
      </c>
      <c r="H68" s="12" t="n">
        <v>3826</v>
      </c>
      <c r="I68" s="12" t="n">
        <v>601</v>
      </c>
      <c r="J68" s="12" t="n">
        <v>1025</v>
      </c>
    </row>
    <row r="69" customFormat="false" ht="15" hidden="false" customHeight="false" outlineLevel="0" collapsed="false">
      <c r="A69" s="9" t="s">
        <v>890</v>
      </c>
      <c r="B69" s="9" t="s">
        <v>891</v>
      </c>
      <c r="C69" s="6" t="s">
        <v>892</v>
      </c>
      <c r="E69" s="58" t="n">
        <v>1.2</v>
      </c>
      <c r="F69" s="58" t="n">
        <v>2.72</v>
      </c>
      <c r="G69" s="12" t="n">
        <v>2647</v>
      </c>
      <c r="H69" s="12" t="n">
        <v>4578</v>
      </c>
      <c r="I69" s="12" t="n">
        <v>630</v>
      </c>
      <c r="J69" s="12" t="n">
        <v>1432</v>
      </c>
    </row>
    <row r="70" customFormat="false" ht="15" hidden="false" customHeight="false" outlineLevel="0" collapsed="false">
      <c r="A70" s="9" t="s">
        <v>890</v>
      </c>
      <c r="B70" s="6" t="s">
        <v>893</v>
      </c>
      <c r="C70" s="6" t="s">
        <v>889</v>
      </c>
      <c r="E70" s="58" t="n">
        <v>1.37</v>
      </c>
      <c r="F70" s="58" t="n">
        <v>1.85</v>
      </c>
      <c r="G70" s="12" t="n">
        <v>2889</v>
      </c>
      <c r="H70" s="12" t="n">
        <v>3839</v>
      </c>
      <c r="I70" s="12" t="n">
        <v>720</v>
      </c>
      <c r="J70" s="12" t="n">
        <v>972</v>
      </c>
    </row>
    <row r="71" customFormat="false" ht="15" hidden="false" customHeight="false" outlineLevel="0" collapsed="false">
      <c r="A71" s="9" t="s">
        <v>894</v>
      </c>
      <c r="B71" s="6" t="s">
        <v>895</v>
      </c>
      <c r="C71" s="6" t="s">
        <v>892</v>
      </c>
      <c r="E71" s="58" t="n">
        <v>1.35</v>
      </c>
      <c r="F71" s="58" t="n">
        <v>1.96</v>
      </c>
      <c r="G71" s="12" t="n">
        <v>3031</v>
      </c>
      <c r="H71" s="12" t="n">
        <v>4089</v>
      </c>
      <c r="I71" s="12" t="n">
        <v>708</v>
      </c>
      <c r="J71" s="12" t="n">
        <v>1029</v>
      </c>
    </row>
    <row r="72" customFormat="false" ht="15" hidden="false" customHeight="false" outlineLevel="0" collapsed="false">
      <c r="A72" s="9" t="s">
        <v>896</v>
      </c>
      <c r="B72" s="6" t="s">
        <v>897</v>
      </c>
      <c r="C72" s="6" t="s">
        <v>889</v>
      </c>
      <c r="D72" s="58" t="n">
        <v>107.05</v>
      </c>
      <c r="E72" s="58" t="n">
        <v>1.34</v>
      </c>
      <c r="F72" s="58" t="n">
        <v>1.79</v>
      </c>
      <c r="G72" s="12" t="n">
        <v>2761</v>
      </c>
      <c r="H72" s="12" t="n">
        <v>3411</v>
      </c>
      <c r="I72" s="12" t="n">
        <v>703</v>
      </c>
      <c r="J72" s="12" t="n">
        <v>943</v>
      </c>
    </row>
    <row r="73" customFormat="false" ht="15" hidden="false" customHeight="false" outlineLevel="0" collapsed="false">
      <c r="A73" s="9" t="s">
        <v>898</v>
      </c>
      <c r="B73" s="6" t="s">
        <v>899</v>
      </c>
      <c r="C73" s="6" t="s">
        <v>892</v>
      </c>
      <c r="E73" s="58" t="n">
        <v>1.4</v>
      </c>
      <c r="F73" s="58" t="n">
        <v>2.1</v>
      </c>
      <c r="G73" s="12" t="n">
        <v>3310</v>
      </c>
      <c r="H73" s="12" t="n">
        <v>4652</v>
      </c>
      <c r="I73" s="12" t="n">
        <v>737</v>
      </c>
      <c r="J73" s="12" t="n">
        <v>1106</v>
      </c>
    </row>
    <row r="74" customFormat="false" ht="15" hidden="false" customHeight="false" outlineLevel="0" collapsed="false">
      <c r="A74" s="9" t="s">
        <v>869</v>
      </c>
      <c r="B74" s="9" t="s">
        <v>891</v>
      </c>
      <c r="C74" s="6" t="s">
        <v>900</v>
      </c>
      <c r="D74" s="58" t="n">
        <v>124.7</v>
      </c>
      <c r="E74" s="58" t="n">
        <v>1.41</v>
      </c>
      <c r="F74" s="58" t="n">
        <v>1.7</v>
      </c>
      <c r="G74" s="12" t="n">
        <v>4020</v>
      </c>
      <c r="H74" s="12" t="n">
        <v>4763</v>
      </c>
      <c r="I74" s="12" t="n">
        <v>740.93</v>
      </c>
      <c r="J74" s="12" t="n">
        <v>892.72</v>
      </c>
    </row>
    <row r="75" customFormat="false" ht="15" hidden="false" customHeight="false" outlineLevel="0" collapsed="false">
      <c r="A75" s="9" t="s">
        <v>869</v>
      </c>
      <c r="B75" s="6" t="s">
        <v>901</v>
      </c>
      <c r="C75" s="6" t="s">
        <v>902</v>
      </c>
      <c r="E75" s="58" t="n">
        <v>1.12</v>
      </c>
      <c r="F75" s="58" t="n">
        <v>1.55</v>
      </c>
      <c r="G75" s="12" t="n">
        <v>2616</v>
      </c>
      <c r="H75" s="12" t="n">
        <v>3493</v>
      </c>
      <c r="I75" s="12" t="n">
        <v>583</v>
      </c>
      <c r="J75" s="12" t="n">
        <v>809</v>
      </c>
    </row>
    <row r="76" customFormat="false" ht="15" hidden="false" customHeight="false" outlineLevel="0" collapsed="false">
      <c r="A76" s="9" t="s">
        <v>903</v>
      </c>
      <c r="B76" s="6" t="s">
        <v>904</v>
      </c>
      <c r="C76" s="6" t="s">
        <v>892</v>
      </c>
      <c r="D76" s="58" t="n">
        <v>142.59</v>
      </c>
      <c r="E76" s="58" t="n">
        <v>1.56</v>
      </c>
      <c r="F76" s="58" t="n">
        <v>2.38</v>
      </c>
      <c r="G76" s="12" t="n">
        <v>2876.31</v>
      </c>
      <c r="H76" s="12" t="n">
        <v>5015.29</v>
      </c>
      <c r="I76" s="12" t="n">
        <v>818.9</v>
      </c>
      <c r="J76" s="12" t="n">
        <v>1249.41</v>
      </c>
    </row>
    <row r="77" customFormat="false" ht="15" hidden="false" customHeight="false" outlineLevel="0" collapsed="false">
      <c r="A77" s="9" t="s">
        <v>905</v>
      </c>
      <c r="B77" s="6" t="s">
        <v>906</v>
      </c>
      <c r="C77" s="6" t="s">
        <v>892</v>
      </c>
      <c r="E77" s="58" t="n">
        <v>1.18</v>
      </c>
      <c r="F77" s="58" t="n">
        <v>1.49</v>
      </c>
      <c r="G77" s="12" t="n">
        <v>2719.47</v>
      </c>
      <c r="H77" s="12" t="n">
        <v>3623.41</v>
      </c>
      <c r="I77" s="12" t="n">
        <v>618.09</v>
      </c>
      <c r="J77" s="12" t="n">
        <v>785.95</v>
      </c>
    </row>
    <row r="78" customFormat="false" ht="15" hidden="false" customHeight="false" outlineLevel="0" collapsed="false">
      <c r="A78" s="9" t="s">
        <v>907</v>
      </c>
      <c r="B78" s="6" t="s">
        <v>908</v>
      </c>
      <c r="C78" s="6" t="s">
        <v>892</v>
      </c>
      <c r="D78" s="58" t="n">
        <v>126.38</v>
      </c>
      <c r="E78" s="58" t="n">
        <v>1.78</v>
      </c>
      <c r="F78" s="58" t="n">
        <v>2.45</v>
      </c>
      <c r="G78" s="12" t="n">
        <v>3838</v>
      </c>
      <c r="H78" s="12" t="n">
        <v>5366</v>
      </c>
      <c r="I78" s="12" t="n">
        <v>929</v>
      </c>
      <c r="J78" s="12" t="n">
        <v>1281</v>
      </c>
    </row>
    <row r="79" customFormat="false" ht="15" hidden="false" customHeight="false" outlineLevel="0" collapsed="false">
      <c r="A79" s="9" t="s">
        <v>909</v>
      </c>
      <c r="B79" s="9" t="s">
        <v>891</v>
      </c>
      <c r="C79" s="6" t="s">
        <v>902</v>
      </c>
      <c r="E79" s="58" t="n">
        <v>1.68</v>
      </c>
      <c r="F79" s="58" t="n">
        <v>2.78</v>
      </c>
      <c r="G79" s="12" t="n">
        <v>3247</v>
      </c>
      <c r="H79" s="12" t="n">
        <v>4868</v>
      </c>
      <c r="I79" s="12" t="n">
        <v>876</v>
      </c>
      <c r="J79" s="12" t="n">
        <v>1451</v>
      </c>
    </row>
    <row r="80" customFormat="false" ht="15" hidden="false" customHeight="false" outlineLevel="0" collapsed="false">
      <c r="A80" s="9" t="s">
        <v>910</v>
      </c>
      <c r="B80" s="6" t="s">
        <v>911</v>
      </c>
      <c r="C80" s="6" t="s">
        <v>892</v>
      </c>
      <c r="E80" s="58" t="n">
        <v>1.99</v>
      </c>
      <c r="F80" s="58" t="n">
        <v>2.7</v>
      </c>
      <c r="G80" s="12" t="n">
        <v>3650</v>
      </c>
      <c r="H80" s="12" t="n">
        <v>5008</v>
      </c>
      <c r="I80" s="12" t="n">
        <v>1041</v>
      </c>
      <c r="J80" s="12" t="n">
        <v>1410</v>
      </c>
    </row>
    <row r="81" customFormat="false" ht="15" hidden="false" customHeight="false" outlineLevel="0" collapsed="false">
      <c r="A81" s="9" t="s">
        <v>912</v>
      </c>
      <c r="B81" s="6" t="s">
        <v>913</v>
      </c>
      <c r="C81" s="6" t="s">
        <v>892</v>
      </c>
      <c r="E81" s="58" t="n">
        <v>1.45</v>
      </c>
      <c r="F81" s="58" t="n">
        <v>2.17</v>
      </c>
      <c r="G81" s="12" t="n">
        <v>3130</v>
      </c>
      <c r="H81" s="12" t="n">
        <v>4444</v>
      </c>
      <c r="I81" s="12" t="n">
        <v>756</v>
      </c>
      <c r="J81" s="12" t="n">
        <v>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</cols>
  <sheetData>
    <row r="1" customFormat="false" ht="21.6" hidden="false" customHeight="false" outlineLevel="0" collapsed="false">
      <c r="A1" s="20" t="s">
        <v>914</v>
      </c>
    </row>
    <row r="2" customFormat="false" ht="15" hidden="false" customHeight="false" outlineLevel="0" collapsed="false">
      <c r="A2" s="36" t="s">
        <v>915</v>
      </c>
    </row>
    <row r="4" customFormat="false" ht="15" hidden="false" customHeight="false" outlineLevel="0" collapsed="false">
      <c r="A4" s="4" t="s">
        <v>916</v>
      </c>
      <c r="B4" s="5" t="s">
        <v>917</v>
      </c>
      <c r="C4" s="5" t="s">
        <v>918</v>
      </c>
      <c r="D4" s="5" t="s">
        <v>919</v>
      </c>
      <c r="E4" s="5" t="s">
        <v>920</v>
      </c>
      <c r="F4" s="5" t="s">
        <v>921</v>
      </c>
      <c r="G4" s="5" t="s">
        <v>922</v>
      </c>
      <c r="H4" s="5" t="s">
        <v>923</v>
      </c>
      <c r="I4" s="5" t="s">
        <v>924</v>
      </c>
      <c r="J4" s="5" t="s">
        <v>925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3</v>
      </c>
      <c r="Q4" s="5" t="s">
        <v>926</v>
      </c>
      <c r="R4" s="5" t="s">
        <v>927</v>
      </c>
    </row>
    <row r="5" customFormat="false" ht="15" hidden="false" customHeight="false" outlineLevel="0" collapsed="false">
      <c r="A5" s="6" t="s">
        <v>928</v>
      </c>
      <c r="B5" s="12" t="n">
        <v>27072.8</v>
      </c>
      <c r="C5" s="12" t="n">
        <v>28488.15</v>
      </c>
      <c r="D5" s="12" t="n">
        <v>28225.89</v>
      </c>
      <c r="E5" s="12" t="n">
        <v>28721.56</v>
      </c>
      <c r="F5" s="12" t="n">
        <v>34027.71</v>
      </c>
      <c r="G5" s="12" t="n">
        <v>44081.32</v>
      </c>
      <c r="H5" s="12" t="n">
        <v>54534.05</v>
      </c>
      <c r="I5" s="12" t="n">
        <v>72209.79</v>
      </c>
      <c r="J5" s="12" t="n">
        <v>77901.54</v>
      </c>
      <c r="K5" s="12" t="n">
        <v>86357.83</v>
      </c>
      <c r="L5" s="12" t="n">
        <v>122354.84</v>
      </c>
      <c r="M5" s="12" t="n">
        <v>171936.52</v>
      </c>
      <c r="N5" s="12" t="n">
        <v>209054.26</v>
      </c>
      <c r="O5" s="12" t="n">
        <v>174181.14</v>
      </c>
      <c r="P5" s="12" t="n">
        <v>201634.89</v>
      </c>
      <c r="Q5" s="12" t="n">
        <v>90784.42</v>
      </c>
      <c r="R5" s="12" t="n">
        <v>130783.35</v>
      </c>
    </row>
    <row r="6" customFormat="false" ht="15" hidden="false" customHeight="false" outlineLevel="0" collapsed="false">
      <c r="A6" s="6" t="s">
        <v>449</v>
      </c>
      <c r="B6" s="12" t="n">
        <v>27072.8</v>
      </c>
      <c r="C6" s="12" t="n">
        <v>28488.15</v>
      </c>
      <c r="D6" s="12" t="n">
        <v>28225.89</v>
      </c>
      <c r="E6" s="12" t="n">
        <v>28721.56</v>
      </c>
      <c r="F6" s="12" t="n">
        <v>34027.71</v>
      </c>
      <c r="G6" s="12" t="n">
        <v>44081.32</v>
      </c>
      <c r="H6" s="12" t="n">
        <v>54534.05</v>
      </c>
      <c r="I6" s="12" t="n">
        <v>72209.79</v>
      </c>
      <c r="J6" s="12" t="n">
        <v>77901.54</v>
      </c>
      <c r="K6" s="12" t="n">
        <v>86357.83</v>
      </c>
      <c r="L6" s="12" t="n">
        <v>122354.84</v>
      </c>
      <c r="M6" s="12" t="n">
        <v>171936.52</v>
      </c>
      <c r="N6" s="12" t="n">
        <v>209054.26</v>
      </c>
      <c r="O6" s="12" t="n">
        <v>174181.14</v>
      </c>
      <c r="P6" s="12" t="n">
        <v>201634.89</v>
      </c>
      <c r="Q6" s="12" t="n">
        <v>90784.42</v>
      </c>
      <c r="R6" s="12" t="n">
        <v>130783.35</v>
      </c>
    </row>
    <row r="7" customFormat="false" ht="15" hidden="false" customHeight="false" outlineLevel="0" collapsed="false">
      <c r="A7" s="6" t="s">
        <v>929</v>
      </c>
      <c r="B7" s="12" t="n">
        <v>20917.1</v>
      </c>
      <c r="C7" s="12" t="n">
        <v>21451.48</v>
      </c>
      <c r="D7" s="12" t="n">
        <v>20305.18</v>
      </c>
      <c r="E7" s="12" t="n">
        <v>21041.67</v>
      </c>
      <c r="F7" s="12" t="n">
        <v>23900.96</v>
      </c>
      <c r="G7" s="12" t="n">
        <v>31880.13</v>
      </c>
      <c r="H7" s="12" t="n">
        <v>40738.18</v>
      </c>
      <c r="I7" s="12" t="n">
        <v>54776.03</v>
      </c>
      <c r="J7" s="12" t="n">
        <v>56450.86</v>
      </c>
      <c r="K7" s="12" t="n">
        <v>60047.91</v>
      </c>
      <c r="L7" s="12" t="n">
        <v>82498.57</v>
      </c>
      <c r="M7" s="12" t="n">
        <v>116183.69</v>
      </c>
      <c r="N7" s="12" t="n">
        <v>149251.68</v>
      </c>
      <c r="O7" s="12" t="n">
        <v>144659.55</v>
      </c>
      <c r="P7" s="12" t="n">
        <v>158505.31</v>
      </c>
      <c r="Q7" s="12" t="n">
        <v>67769.69</v>
      </c>
      <c r="R7" s="12" t="n">
        <v>96724.96</v>
      </c>
    </row>
    <row r="8" customFormat="false" ht="15" hidden="false" customHeight="false" outlineLevel="0" collapsed="false">
      <c r="A8" s="6" t="s">
        <v>450</v>
      </c>
      <c r="B8" s="12" t="n">
        <v>15062.39</v>
      </c>
      <c r="C8" s="12" t="n">
        <v>14828.83</v>
      </c>
      <c r="D8" s="12" t="n">
        <v>14043.21</v>
      </c>
      <c r="E8" s="12" t="n">
        <v>14065.65</v>
      </c>
      <c r="F8" s="12" t="n">
        <v>16684.85</v>
      </c>
      <c r="G8" s="12" t="n">
        <v>22881.03</v>
      </c>
      <c r="H8" s="12" t="n">
        <v>28401.53</v>
      </c>
      <c r="I8" s="12" t="n">
        <v>39408.96</v>
      </c>
      <c r="J8" s="12" t="n">
        <v>39163.28</v>
      </c>
      <c r="K8" s="12" t="n">
        <v>41390.59</v>
      </c>
      <c r="L8" s="12" t="n">
        <v>60207.72</v>
      </c>
      <c r="M8" s="12" t="n">
        <v>83876.01</v>
      </c>
      <c r="N8" s="12" t="n">
        <v>105617.62</v>
      </c>
      <c r="O8" s="12" t="n">
        <v>100725.5</v>
      </c>
      <c r="P8" s="12" t="n">
        <v>106107.23</v>
      </c>
      <c r="Q8" s="12" t="n">
        <v>46100.43</v>
      </c>
      <c r="R8" s="12" t="n">
        <v>65243.12</v>
      </c>
    </row>
    <row r="9" customFormat="false" ht="15" hidden="false" customHeight="false" outlineLevel="0" collapsed="false">
      <c r="A9" s="6" t="s">
        <v>451</v>
      </c>
      <c r="B9" s="12" t="n">
        <v>187.73</v>
      </c>
      <c r="C9" s="12" t="n">
        <v>206.56</v>
      </c>
      <c r="D9" s="12" t="n">
        <v>386.76</v>
      </c>
      <c r="E9" s="12" t="n">
        <v>514.76</v>
      </c>
      <c r="F9" s="12" t="n">
        <v>459.92</v>
      </c>
      <c r="G9" s="12" t="n">
        <v>580.74</v>
      </c>
      <c r="H9" s="12" t="n">
        <v>711.11</v>
      </c>
      <c r="I9" s="12" t="n">
        <v>734.28</v>
      </c>
      <c r="J9" s="12" t="n">
        <v>437.97</v>
      </c>
      <c r="K9" s="12" t="n">
        <v>896.09</v>
      </c>
      <c r="L9" s="12" t="n">
        <v>858.99</v>
      </c>
      <c r="M9" s="12" t="n">
        <v>1688.28</v>
      </c>
      <c r="N9" s="12" t="n">
        <v>2159.03</v>
      </c>
      <c r="O9" s="12" t="n">
        <v>1770.69</v>
      </c>
      <c r="P9" s="12" t="n">
        <v>2476.19</v>
      </c>
      <c r="Q9" s="12" t="n">
        <v>1273.98</v>
      </c>
      <c r="R9" s="12" t="n">
        <v>1698.6</v>
      </c>
    </row>
    <row r="10" customFormat="false" ht="15" hidden="false" customHeight="false" outlineLevel="0" collapsed="false">
      <c r="A10" s="6" t="s">
        <v>452</v>
      </c>
      <c r="B10" s="12" t="n">
        <v>603.16</v>
      </c>
      <c r="C10" s="12" t="n">
        <v>573.51</v>
      </c>
      <c r="D10" s="12" t="n">
        <v>440.51</v>
      </c>
      <c r="E10" s="12" t="n">
        <v>529.07</v>
      </c>
      <c r="F10" s="12" t="n">
        <v>588.97</v>
      </c>
      <c r="G10" s="12" t="n">
        <v>1200.81</v>
      </c>
      <c r="H10" s="12" t="n">
        <v>1223.95</v>
      </c>
      <c r="I10" s="12" t="n">
        <v>1736.75</v>
      </c>
      <c r="J10" s="12" t="n">
        <v>1842.15</v>
      </c>
      <c r="K10" s="12" t="n">
        <v>1222.1</v>
      </c>
      <c r="L10" s="12" t="n">
        <v>1468.14</v>
      </c>
      <c r="M10" s="12" t="n">
        <v>1789.09</v>
      </c>
      <c r="N10" s="12" t="n">
        <v>2424.49</v>
      </c>
      <c r="O10" s="12" t="n">
        <v>2492.86</v>
      </c>
      <c r="P10" s="12" t="n">
        <v>3148.48</v>
      </c>
      <c r="Q10" s="12" t="n">
        <v>1171.04</v>
      </c>
      <c r="R10" s="12" t="n">
        <v>1679.87</v>
      </c>
    </row>
    <row r="11" customFormat="false" ht="15" hidden="false" customHeight="false" outlineLevel="0" collapsed="false">
      <c r="A11" s="6" t="s">
        <v>453</v>
      </c>
      <c r="B11" s="12" t="n">
        <v>4719.52</v>
      </c>
      <c r="C11" s="12" t="n">
        <v>4853.59</v>
      </c>
      <c r="D11" s="12" t="n">
        <v>4892.21</v>
      </c>
      <c r="E11" s="12" t="n">
        <v>5392.93</v>
      </c>
      <c r="F11" s="12" t="n">
        <v>6868.93</v>
      </c>
      <c r="G11" s="12" t="n">
        <v>7982.89</v>
      </c>
      <c r="H11" s="12" t="n">
        <v>9333.69</v>
      </c>
      <c r="I11" s="12" t="n">
        <v>8797.28</v>
      </c>
      <c r="J11" s="12" t="n">
        <v>9413.41</v>
      </c>
      <c r="K11" s="12" t="n">
        <v>9028.52</v>
      </c>
      <c r="L11" s="12" t="n">
        <v>11278.91</v>
      </c>
      <c r="M11" s="12" t="n">
        <v>15798.08</v>
      </c>
      <c r="N11" s="12" t="n">
        <v>18180.14</v>
      </c>
      <c r="O11" s="12" t="n">
        <v>14686.15</v>
      </c>
      <c r="P11" s="12" t="n">
        <v>17922.38</v>
      </c>
      <c r="Q11" s="12" t="n">
        <v>7112.34</v>
      </c>
      <c r="R11" s="12" t="n">
        <v>10734.64</v>
      </c>
    </row>
    <row r="12" customFormat="false" ht="15" hidden="false" customHeight="false" outlineLevel="0" collapsed="false">
      <c r="A12" s="6" t="s">
        <v>455</v>
      </c>
      <c r="I12" s="12" t="n">
        <v>4796.05</v>
      </c>
      <c r="J12" s="12" t="n">
        <v>5994.03</v>
      </c>
      <c r="K12" s="12" t="n">
        <v>7349.27</v>
      </c>
      <c r="L12" s="12" t="n">
        <v>9488.9</v>
      </c>
      <c r="M12" s="12" t="n">
        <v>15470.66</v>
      </c>
      <c r="N12" s="12" t="n">
        <v>22320.68</v>
      </c>
      <c r="O12" s="12" t="n">
        <v>24994.4</v>
      </c>
      <c r="P12" s="12" t="n">
        <v>28227.69</v>
      </c>
      <c r="Q12" s="12" t="n">
        <v>12204.11</v>
      </c>
      <c r="R12" s="12" t="n">
        <v>16063.33</v>
      </c>
    </row>
    <row r="13" customFormat="false" ht="15" hidden="false" customHeight="false" outlineLevel="0" collapsed="false">
      <c r="A13" s="6" t="s">
        <v>457</v>
      </c>
      <c r="B13" s="12" t="n">
        <v>308.24</v>
      </c>
      <c r="C13" s="12" t="n">
        <v>512</v>
      </c>
      <c r="D13" s="12" t="n">
        <v>560.8</v>
      </c>
      <c r="E13" s="12" t="n">
        <v>-8.29</v>
      </c>
      <c r="F13" s="12" t="n">
        <v>-1150.8</v>
      </c>
      <c r="G13" s="12" t="n">
        <v>-829.22</v>
      </c>
      <c r="H13" s="12" t="n">
        <v>748.21</v>
      </c>
      <c r="I13" s="12" t="n">
        <v>-786.47</v>
      </c>
      <c r="J13" s="12" t="n">
        <v>-399.98</v>
      </c>
      <c r="K13" s="12" t="n">
        <v>161.35</v>
      </c>
      <c r="L13" s="12" t="n">
        <v>-804.09</v>
      </c>
      <c r="M13" s="12" t="n">
        <v>-2438.45</v>
      </c>
      <c r="N13" s="12" t="n">
        <v>-1450.28</v>
      </c>
      <c r="O13" s="12" t="n">
        <v>-10.05</v>
      </c>
      <c r="P13" s="12" t="n">
        <v>623.34</v>
      </c>
      <c r="Q13" s="12" t="n">
        <v>-92.21</v>
      </c>
      <c r="R13" s="12" t="n">
        <v>1305.41</v>
      </c>
    </row>
    <row r="14" customFormat="false" ht="15" hidden="false" customHeight="false" outlineLevel="0" collapsed="false">
      <c r="A14" s="6" t="s">
        <v>930</v>
      </c>
      <c r="I14" s="12" t="n">
        <v>64.21</v>
      </c>
      <c r="J14" s="12" t="n">
        <v>72.93</v>
      </c>
      <c r="L14" s="12" t="n">
        <v>28.23</v>
      </c>
      <c r="M14" s="12" t="n">
        <v>51.51</v>
      </c>
      <c r="N14" s="12" t="n">
        <v>455.07</v>
      </c>
      <c r="O14" s="12" t="n">
        <v>1321.21</v>
      </c>
      <c r="P14" s="12" t="n">
        <v>933.96</v>
      </c>
      <c r="Q14" s="12" t="n">
        <v>498.62</v>
      </c>
      <c r="R14" s="12" t="n">
        <v>425.47</v>
      </c>
    </row>
    <row r="15" customFormat="false" ht="15" hidden="false" customHeight="false" outlineLevel="0" collapsed="false">
      <c r="A15" s="6" t="s">
        <v>931</v>
      </c>
      <c r="I15" s="12" t="n">
        <v>152.12</v>
      </c>
      <c r="J15" s="12" t="n">
        <v>434.19</v>
      </c>
      <c r="K15" s="12" t="n">
        <v>707.32</v>
      </c>
      <c r="L15" s="12" t="n">
        <v>1113.32</v>
      </c>
      <c r="M15" s="12" t="n">
        <v>1303.11</v>
      </c>
      <c r="N15" s="12" t="n">
        <v>1598.12</v>
      </c>
      <c r="O15" s="12" t="n">
        <v>914.52</v>
      </c>
      <c r="P15" s="12" t="n">
        <v>966.8</v>
      </c>
      <c r="Q15" s="12" t="n">
        <v>469.81</v>
      </c>
      <c r="R15" s="12" t="n">
        <v>348.67</v>
      </c>
    </row>
    <row r="16" customFormat="false" ht="15" hidden="false" customHeight="false" outlineLevel="0" collapsed="false">
      <c r="A16" s="6" t="s">
        <v>458</v>
      </c>
      <c r="H16" s="12" t="n">
        <v>659.93</v>
      </c>
      <c r="I16" s="12" t="n">
        <v>1053.93</v>
      </c>
      <c r="J16" s="12" t="n">
        <v>856.07</v>
      </c>
      <c r="K16" s="12" t="n">
        <v>983.15</v>
      </c>
      <c r="L16" s="12" t="n">
        <v>2087.51</v>
      </c>
      <c r="M16" s="12" t="n">
        <v>1471.1</v>
      </c>
      <c r="N16" s="12" t="n">
        <v>5156.48</v>
      </c>
      <c r="O16" s="12" t="n">
        <v>5809.43</v>
      </c>
      <c r="P16" s="12" t="n">
        <v>5319.45</v>
      </c>
      <c r="Q16" s="12" t="n">
        <v>2118.14</v>
      </c>
      <c r="R16" s="12" t="n">
        <v>2067.08</v>
      </c>
    </row>
    <row r="17" customFormat="false" ht="15" hidden="false" customHeight="false" outlineLevel="0" collapsed="false">
      <c r="A17" s="6" t="s">
        <v>459</v>
      </c>
      <c r="G17" s="12" t="n">
        <v>-136.6</v>
      </c>
      <c r="H17" s="12" t="n">
        <v>-86.28</v>
      </c>
      <c r="I17" s="12" t="n">
        <v>177.32</v>
      </c>
      <c r="J17" s="12" t="n">
        <v>26.27</v>
      </c>
      <c r="K17" s="12" t="n">
        <v>450.59</v>
      </c>
      <c r="L17" s="12" t="n">
        <v>1304.97</v>
      </c>
      <c r="M17" s="12" t="n">
        <v>793.85</v>
      </c>
      <c r="N17" s="12" t="n">
        <v>284.56</v>
      </c>
      <c r="O17" s="12" t="n">
        <v>1197.71</v>
      </c>
      <c r="P17" s="12" t="n">
        <v>372.16</v>
      </c>
      <c r="Q17" s="12" t="n">
        <v>1464.86</v>
      </c>
      <c r="R17" s="12" t="n">
        <v>227.66</v>
      </c>
    </row>
    <row r="18" customFormat="false" ht="15" hidden="false" customHeight="false" outlineLevel="0" collapsed="false">
      <c r="A18" s="6" t="s">
        <v>932</v>
      </c>
      <c r="L18" s="12" t="n">
        <v>124.81</v>
      </c>
      <c r="M18" s="12" t="n">
        <v>-60.51</v>
      </c>
      <c r="N18" s="12" t="n">
        <v>-36.46</v>
      </c>
      <c r="O18" s="12" t="n">
        <v>-53.79</v>
      </c>
      <c r="P18" s="12" t="n">
        <v>-48.06</v>
      </c>
      <c r="Q18" s="12" t="n">
        <v>-17.15</v>
      </c>
      <c r="R18" s="12" t="n">
        <v>-30.43</v>
      </c>
    </row>
    <row r="19" customFormat="false" ht="15" hidden="false" customHeight="false" outlineLevel="0" collapsed="false">
      <c r="A19" s="6" t="s">
        <v>460</v>
      </c>
      <c r="G19" s="12" t="n">
        <v>-133.96</v>
      </c>
      <c r="K19" s="12" t="n">
        <v>279.02</v>
      </c>
      <c r="L19" s="12" t="n">
        <v>94.4</v>
      </c>
      <c r="M19" s="12" t="n">
        <v>46.97</v>
      </c>
      <c r="N19" s="12" t="n">
        <v>1612.19</v>
      </c>
      <c r="O19" s="12" t="n">
        <v>1651.86</v>
      </c>
      <c r="P19" s="12" t="n">
        <v>1985.39</v>
      </c>
      <c r="Q19" s="12" t="n">
        <v>-293.77</v>
      </c>
      <c r="R19" s="12" t="n">
        <v>727.24</v>
      </c>
    </row>
    <row r="20" customFormat="false" ht="15" hidden="false" customHeight="false" outlineLevel="0" collapsed="false">
      <c r="A20" s="6" t="s">
        <v>463</v>
      </c>
      <c r="B20" s="12" t="n">
        <v>36.05</v>
      </c>
      <c r="C20" s="12" t="n">
        <v>476.98</v>
      </c>
      <c r="D20" s="12" t="n">
        <v>-18.31</v>
      </c>
      <c r="E20" s="12" t="n">
        <v>547.55</v>
      </c>
      <c r="F20" s="12" t="n">
        <v>449.09</v>
      </c>
      <c r="G20" s="12" t="n">
        <v>63.88</v>
      </c>
      <c r="H20" s="12" t="n">
        <v>319.7</v>
      </c>
      <c r="I20" s="12" t="n">
        <v>89.18</v>
      </c>
      <c r="J20" s="12" t="n">
        <v>-101.47</v>
      </c>
      <c r="K20" s="12" t="n">
        <v>-56.41</v>
      </c>
      <c r="L20" s="12" t="n">
        <v>-226.23</v>
      </c>
      <c r="M20" s="12" t="n">
        <v>-627.4</v>
      </c>
      <c r="N20" s="12" t="n">
        <v>-996.23</v>
      </c>
      <c r="O20" s="12" t="n">
        <v>-2006.64</v>
      </c>
      <c r="P20" s="12" t="n">
        <v>-3580.86</v>
      </c>
      <c r="Q20" s="12" t="n">
        <v>-782.39</v>
      </c>
      <c r="R20" s="12" t="n">
        <v>-33.25</v>
      </c>
    </row>
    <row r="21" customFormat="false" ht="15" hidden="false" customHeight="false" outlineLevel="0" collapsed="false">
      <c r="A21" s="6" t="s">
        <v>462</v>
      </c>
      <c r="J21" s="12" t="n">
        <v>-299.94</v>
      </c>
      <c r="K21" s="12" t="n">
        <v>-83.2</v>
      </c>
      <c r="L21" s="12" t="n">
        <v>-60.77</v>
      </c>
      <c r="M21" s="12" t="n">
        <v>-637.8</v>
      </c>
      <c r="N21" s="12" t="n">
        <v>-1065.54</v>
      </c>
      <c r="O21" s="12" t="n">
        <v>-838.84</v>
      </c>
      <c r="P21" s="12" t="n">
        <v>-1712.22</v>
      </c>
      <c r="Q21" s="12" t="n">
        <v>-1923.09</v>
      </c>
      <c r="R21" s="12" t="n">
        <v>-818.06</v>
      </c>
    </row>
    <row r="22" customFormat="false" ht="15" hidden="false" customHeight="false" outlineLevel="0" collapsed="false">
      <c r="A22" s="6" t="s">
        <v>464</v>
      </c>
      <c r="H22" s="12" t="n">
        <v>37.01</v>
      </c>
      <c r="I22" s="12" t="n">
        <v>0.08</v>
      </c>
      <c r="J22" s="12" t="n">
        <v>2.76</v>
      </c>
      <c r="K22" s="12" t="n">
        <v>-9.64</v>
      </c>
      <c r="L22" s="12" t="n">
        <v>-537.95</v>
      </c>
      <c r="M22" s="12" t="n">
        <v>22.96</v>
      </c>
      <c r="N22" s="12" t="n">
        <v>31.83</v>
      </c>
      <c r="O22" s="12" t="n">
        <v>-207.21</v>
      </c>
      <c r="P22" s="12" t="n">
        <v>75.67</v>
      </c>
      <c r="Q22" s="12" t="n">
        <v>-6.39</v>
      </c>
      <c r="R22" s="12" t="n">
        <v>379.62</v>
      </c>
    </row>
    <row r="23" customFormat="false" ht="15" hidden="false" customHeight="false" outlineLevel="0" collapsed="false">
      <c r="A23" s="6" t="s">
        <v>466</v>
      </c>
      <c r="B23" s="12" t="n">
        <v>6155.7</v>
      </c>
      <c r="C23" s="12" t="n">
        <v>7036.68</v>
      </c>
      <c r="D23" s="12" t="n">
        <v>7920.72</v>
      </c>
      <c r="E23" s="12" t="n">
        <v>7679.89</v>
      </c>
      <c r="F23" s="12" t="n">
        <v>10126.74</v>
      </c>
      <c r="G23" s="12" t="n">
        <v>11930.64</v>
      </c>
      <c r="H23" s="12" t="n">
        <v>14406.53</v>
      </c>
      <c r="I23" s="12" t="n">
        <v>18665.09</v>
      </c>
      <c r="J23" s="12" t="n">
        <v>21934.38</v>
      </c>
      <c r="K23" s="12" t="n">
        <v>27873.43</v>
      </c>
      <c r="L23" s="12" t="n">
        <v>42518.2</v>
      </c>
      <c r="M23" s="12" t="n">
        <v>56822.53</v>
      </c>
      <c r="N23" s="12" t="n">
        <v>64825.87</v>
      </c>
      <c r="O23" s="12" t="n">
        <v>35127.91</v>
      </c>
      <c r="P23" s="12" t="n">
        <v>45589.17</v>
      </c>
      <c r="Q23" s="12" t="n">
        <v>23592.1</v>
      </c>
      <c r="R23" s="12" t="n">
        <v>36608.66</v>
      </c>
    </row>
    <row r="24" customFormat="false" ht="15" hidden="false" customHeight="false" outlineLevel="0" collapsed="false">
      <c r="A24" s="6" t="s">
        <v>933</v>
      </c>
      <c r="B24" s="12" t="n">
        <v>772.28</v>
      </c>
      <c r="C24" s="12" t="n">
        <v>344.78</v>
      </c>
      <c r="D24" s="12" t="n">
        <v>290.11</v>
      </c>
      <c r="E24" s="12" t="n">
        <v>640.96</v>
      </c>
      <c r="F24" s="12" t="n">
        <v>413.79</v>
      </c>
      <c r="G24" s="12" t="n">
        <v>1140.04</v>
      </c>
      <c r="H24" s="12" t="n">
        <v>22.22</v>
      </c>
      <c r="I24" s="12" t="n">
        <v>21.17</v>
      </c>
      <c r="J24" s="12" t="n">
        <v>31.6</v>
      </c>
      <c r="K24" s="12" t="n">
        <v>83.38</v>
      </c>
      <c r="L24" s="12" t="n">
        <v>90.77</v>
      </c>
      <c r="M24" s="12" t="n">
        <v>246.94</v>
      </c>
      <c r="N24" s="12" t="n">
        <v>212.84</v>
      </c>
      <c r="O24" s="12" t="n">
        <v>297.97</v>
      </c>
      <c r="P24" s="12" t="n">
        <v>1740.59</v>
      </c>
      <c r="Q24" s="12" t="n">
        <v>165.06</v>
      </c>
      <c r="R24" s="12" t="n">
        <v>157.39</v>
      </c>
    </row>
    <row r="25" customFormat="false" ht="15" hidden="false" customHeight="false" outlineLevel="0" collapsed="false">
      <c r="A25" s="6" t="s">
        <v>934</v>
      </c>
      <c r="B25" s="12" t="n">
        <v>43.31</v>
      </c>
      <c r="C25" s="12" t="n">
        <v>149.54</v>
      </c>
      <c r="D25" s="12" t="n">
        <v>139.6</v>
      </c>
      <c r="E25" s="12" t="n">
        <v>159.6</v>
      </c>
      <c r="F25" s="12" t="n">
        <v>681.24</v>
      </c>
      <c r="G25" s="12" t="n">
        <v>84.55</v>
      </c>
      <c r="H25" s="12" t="n">
        <v>138.44</v>
      </c>
      <c r="I25" s="12" t="n">
        <v>108.4</v>
      </c>
      <c r="J25" s="12" t="n">
        <v>94.67</v>
      </c>
      <c r="K25" s="12" t="n">
        <v>703.5</v>
      </c>
      <c r="L25" s="12" t="n">
        <v>329.1</v>
      </c>
      <c r="M25" s="12" t="n">
        <v>468.09</v>
      </c>
      <c r="N25" s="12" t="n">
        <v>622.89</v>
      </c>
      <c r="O25" s="12" t="n">
        <v>990.55</v>
      </c>
      <c r="P25" s="12" t="n">
        <v>676.86</v>
      </c>
      <c r="Q25" s="12" t="n">
        <v>94.16</v>
      </c>
      <c r="R25" s="12" t="n">
        <v>453.12</v>
      </c>
    </row>
    <row r="26" customFormat="false" ht="15" hidden="false" customHeight="false" outlineLevel="0" collapsed="false">
      <c r="A26" s="6" t="s">
        <v>935</v>
      </c>
      <c r="B26" s="12" t="n">
        <v>13.92</v>
      </c>
      <c r="C26" s="12" t="n">
        <v>79.41</v>
      </c>
      <c r="D26" s="12" t="n">
        <v>46.81</v>
      </c>
      <c r="E26" s="12" t="n">
        <v>1.09</v>
      </c>
      <c r="F26" s="12" t="n">
        <v>539.96</v>
      </c>
      <c r="G26" s="12" t="n">
        <v>23.8</v>
      </c>
    </row>
    <row r="27" customFormat="false" ht="15" hidden="false" customHeight="false" outlineLevel="0" collapsed="false">
      <c r="A27" s="6" t="s">
        <v>468</v>
      </c>
      <c r="B27" s="12" t="n">
        <v>6884.68</v>
      </c>
      <c r="C27" s="12" t="n">
        <v>7231.92</v>
      </c>
      <c r="D27" s="12" t="n">
        <v>8071.23</v>
      </c>
      <c r="E27" s="12" t="n">
        <v>8161.26</v>
      </c>
      <c r="F27" s="12" t="n">
        <v>9859.3</v>
      </c>
      <c r="G27" s="12" t="n">
        <v>12986.13</v>
      </c>
      <c r="H27" s="12" t="n">
        <v>14290.31</v>
      </c>
      <c r="I27" s="12" t="n">
        <v>18577.86</v>
      </c>
      <c r="J27" s="12" t="n">
        <v>21871.31</v>
      </c>
      <c r="K27" s="12" t="n">
        <v>27253.3</v>
      </c>
      <c r="L27" s="12" t="n">
        <v>42279.86</v>
      </c>
      <c r="M27" s="12" t="n">
        <v>56601.38</v>
      </c>
      <c r="N27" s="12" t="n">
        <v>64415.82</v>
      </c>
      <c r="O27" s="12" t="n">
        <v>34435.33</v>
      </c>
      <c r="P27" s="12" t="n">
        <v>46652.9</v>
      </c>
      <c r="Q27" s="12" t="n">
        <v>23663</v>
      </c>
      <c r="R27" s="12" t="n">
        <v>36312.93</v>
      </c>
    </row>
    <row r="28" customFormat="false" ht="15" hidden="false" customHeight="false" outlineLevel="0" collapsed="false">
      <c r="A28" s="6" t="s">
        <v>469</v>
      </c>
      <c r="B28" s="12" t="n">
        <v>1112.96</v>
      </c>
      <c r="C28" s="12" t="n">
        <v>1034.74</v>
      </c>
      <c r="D28" s="12" t="n">
        <v>1156.58</v>
      </c>
      <c r="E28" s="12" t="n">
        <v>1198.3</v>
      </c>
      <c r="F28" s="12" t="n">
        <v>1441.5</v>
      </c>
      <c r="G28" s="12" t="n">
        <v>2175.48</v>
      </c>
      <c r="H28" s="12" t="n">
        <v>2084.56</v>
      </c>
      <c r="I28" s="12" t="n">
        <v>2419.57</v>
      </c>
      <c r="J28" s="12" t="n">
        <v>2615.89</v>
      </c>
      <c r="K28" s="12" t="n">
        <v>3308.12</v>
      </c>
      <c r="L28" s="12" t="n">
        <v>4700.46</v>
      </c>
      <c r="M28" s="12" t="n">
        <v>5324.17</v>
      </c>
      <c r="N28" s="12" t="n">
        <v>6974.34</v>
      </c>
      <c r="O28" s="12" t="n">
        <v>1808.07</v>
      </c>
      <c r="P28" s="12" t="n">
        <v>4013.23</v>
      </c>
      <c r="Q28" s="12" t="n">
        <v>2795.09</v>
      </c>
      <c r="R28" s="12" t="n">
        <v>5472.55</v>
      </c>
    </row>
    <row r="29" customFormat="false" ht="15" hidden="false" customHeight="false" outlineLevel="0" collapsed="false">
      <c r="A29" s="6" t="s">
        <v>470</v>
      </c>
      <c r="B29" s="12" t="n">
        <v>5771.72</v>
      </c>
      <c r="C29" s="12" t="n">
        <v>6197.18</v>
      </c>
      <c r="D29" s="12" t="n">
        <v>6914.66</v>
      </c>
      <c r="E29" s="12" t="n">
        <v>6962.96</v>
      </c>
      <c r="F29" s="12" t="n">
        <v>8417.8</v>
      </c>
      <c r="G29" s="12" t="n">
        <v>10810.65</v>
      </c>
      <c r="H29" s="12" t="n">
        <v>12205.75</v>
      </c>
      <c r="I29" s="12" t="n">
        <v>16158.29</v>
      </c>
      <c r="J29" s="12" t="n">
        <v>19255.42</v>
      </c>
      <c r="K29" s="12" t="n">
        <v>23945.19</v>
      </c>
      <c r="L29" s="12" t="n">
        <v>37579.4</v>
      </c>
      <c r="M29" s="12" t="n">
        <v>51277.21</v>
      </c>
      <c r="N29" s="12" t="n">
        <v>57441.49</v>
      </c>
      <c r="O29" s="12" t="n">
        <v>32627.27</v>
      </c>
      <c r="P29" s="12" t="n">
        <v>42639.67</v>
      </c>
      <c r="Q29" s="12" t="n">
        <v>20867.91</v>
      </c>
      <c r="R29" s="12" t="n">
        <v>30840.39</v>
      </c>
    </row>
    <row r="30" customFormat="false" ht="15" hidden="false" customHeight="false" outlineLevel="0" collapsed="false">
      <c r="A30" s="6" t="s">
        <v>936</v>
      </c>
      <c r="H30" s="12" t="n">
        <v>12205.75</v>
      </c>
      <c r="I30" s="12" t="n">
        <v>16158.29</v>
      </c>
      <c r="J30" s="12" t="n">
        <v>19255.42</v>
      </c>
      <c r="K30" s="12" t="n">
        <v>23946.41</v>
      </c>
      <c r="L30" s="12" t="n">
        <v>37579.4</v>
      </c>
      <c r="M30" s="12" t="n">
        <v>51277.21</v>
      </c>
      <c r="N30" s="12" t="n">
        <v>57441.49</v>
      </c>
      <c r="O30" s="12" t="n">
        <v>32627.27</v>
      </c>
      <c r="P30" s="12" t="n">
        <v>42639.67</v>
      </c>
      <c r="Q30" s="12" t="n">
        <v>20867.91</v>
      </c>
      <c r="R30" s="12" t="n">
        <v>30840.39</v>
      </c>
    </row>
    <row r="31" customFormat="false" ht="15" hidden="false" customHeight="false" outlineLevel="0" collapsed="false">
      <c r="A31" s="6" t="s">
        <v>937</v>
      </c>
      <c r="K31" s="12" t="n">
        <v>-1.22</v>
      </c>
    </row>
    <row r="32" customFormat="false" ht="15" hidden="false" customHeight="false" outlineLevel="0" collapsed="false">
      <c r="A32" s="6" t="s">
        <v>471</v>
      </c>
      <c r="G32" s="12" t="n">
        <v>7.54</v>
      </c>
      <c r="H32" s="12" t="n">
        <v>28.13</v>
      </c>
      <c r="I32" s="12" t="n">
        <v>36.76</v>
      </c>
      <c r="J32" s="12" t="n">
        <v>98.58</v>
      </c>
      <c r="K32" s="12" t="n">
        <v>133.92</v>
      </c>
      <c r="L32" s="12" t="n">
        <v>567.37</v>
      </c>
      <c r="M32" s="12" t="n">
        <v>2403.34</v>
      </c>
      <c r="N32" s="12" t="n">
        <v>3676.71</v>
      </c>
      <c r="O32" s="12" t="n">
        <v>1205.88</v>
      </c>
      <c r="P32" s="12" t="n">
        <v>-1678.53</v>
      </c>
      <c r="Q32" s="12" t="n">
        <v>-1304.09</v>
      </c>
      <c r="R32" s="12" t="n">
        <v>1362.42</v>
      </c>
    </row>
    <row r="33" customFormat="false" ht="15" hidden="false" customHeight="false" outlineLevel="0" collapsed="false">
      <c r="A33" s="6" t="s">
        <v>938</v>
      </c>
      <c r="B33" s="12" t="n">
        <v>5771.72</v>
      </c>
      <c r="C33" s="12" t="n">
        <v>6197.18</v>
      </c>
      <c r="D33" s="12" t="n">
        <v>6914.66</v>
      </c>
      <c r="E33" s="12" t="n">
        <v>6962.96</v>
      </c>
      <c r="F33" s="12" t="n">
        <v>8417.8</v>
      </c>
      <c r="G33" s="12" t="n">
        <v>10803.11</v>
      </c>
      <c r="H33" s="12" t="n">
        <v>12177.61</v>
      </c>
      <c r="I33" s="12" t="n">
        <v>16121.53</v>
      </c>
      <c r="J33" s="12" t="n">
        <v>19156.85</v>
      </c>
      <c r="K33" s="12" t="n">
        <v>23811.27</v>
      </c>
      <c r="L33" s="12" t="n">
        <v>37012.03</v>
      </c>
      <c r="M33" s="12" t="n">
        <v>48873.87</v>
      </c>
      <c r="N33" s="12" t="n">
        <v>53764.77</v>
      </c>
      <c r="O33" s="12" t="n">
        <v>31421.39</v>
      </c>
      <c r="P33" s="12" t="n">
        <v>44318.2</v>
      </c>
      <c r="Q33" s="12" t="n">
        <v>22171.99</v>
      </c>
      <c r="R33" s="12" t="n">
        <v>29477.97</v>
      </c>
    </row>
    <row r="34" customFormat="false" ht="15" hidden="false" customHeight="false" outlineLevel="0" collapsed="false">
      <c r="A34" s="6" t="s">
        <v>939</v>
      </c>
      <c r="R34" s="12" t="n">
        <v>-1.43</v>
      </c>
    </row>
    <row r="35" customFormat="false" ht="15" hidden="false" customHeight="false" outlineLevel="0" collapsed="false">
      <c r="A35" s="6" t="s">
        <v>940</v>
      </c>
      <c r="B35" s="12" t="n">
        <v>5771.72</v>
      </c>
      <c r="C35" s="12" t="n">
        <v>6197.18</v>
      </c>
      <c r="D35" s="12" t="n">
        <v>6914.66</v>
      </c>
      <c r="E35" s="12" t="n">
        <v>6962.96</v>
      </c>
      <c r="F35" s="12" t="n">
        <v>8417.8</v>
      </c>
      <c r="G35" s="12" t="n">
        <v>10810.65</v>
      </c>
      <c r="H35" s="12" t="n">
        <v>12205.75</v>
      </c>
      <c r="I35" s="12" t="n">
        <v>16158.29</v>
      </c>
      <c r="J35" s="12" t="n">
        <v>19255.42</v>
      </c>
      <c r="K35" s="12" t="n">
        <v>23945.19</v>
      </c>
      <c r="L35" s="12" t="n">
        <v>37579.4</v>
      </c>
      <c r="M35" s="12" t="n">
        <v>51277.21</v>
      </c>
      <c r="N35" s="12" t="n">
        <v>57441.49</v>
      </c>
      <c r="O35" s="12" t="n">
        <v>32627.27</v>
      </c>
      <c r="P35" s="12" t="n">
        <v>42639.67</v>
      </c>
      <c r="Q35" s="12" t="n">
        <v>20867.91</v>
      </c>
      <c r="R35" s="12" t="n">
        <v>30838.96</v>
      </c>
    </row>
    <row r="36" customFormat="false" ht="15" hidden="false" customHeight="false" outlineLevel="0" collapsed="false">
      <c r="A36" s="6" t="s">
        <v>941</v>
      </c>
      <c r="G36" s="12" t="n">
        <v>7.54</v>
      </c>
      <c r="H36" s="12" t="n">
        <v>28.13</v>
      </c>
      <c r="I36" s="12" t="n">
        <v>36.76</v>
      </c>
      <c r="J36" s="12" t="n">
        <v>98.58</v>
      </c>
      <c r="K36" s="12" t="n">
        <v>133.92</v>
      </c>
      <c r="L36" s="12" t="n">
        <v>567.37</v>
      </c>
      <c r="M36" s="12" t="n">
        <v>2403.34</v>
      </c>
      <c r="N36" s="12" t="n">
        <v>3676.71</v>
      </c>
      <c r="O36" s="12" t="n">
        <v>1205.88</v>
      </c>
      <c r="P36" s="12" t="n">
        <v>-1678.53</v>
      </c>
      <c r="Q36" s="12" t="n">
        <v>-1304.09</v>
      </c>
      <c r="R36" s="12" t="n">
        <v>1362.42</v>
      </c>
    </row>
    <row r="37" customFormat="false" ht="15" hidden="false" customHeight="false" outlineLevel="0" collapsed="false">
      <c r="A37" s="6" t="s">
        <v>942</v>
      </c>
      <c r="B37" s="12" t="n">
        <v>5771.72</v>
      </c>
      <c r="C37" s="12" t="n">
        <v>6197.18</v>
      </c>
      <c r="D37" s="12" t="n">
        <v>6914.66</v>
      </c>
      <c r="E37" s="12" t="n">
        <v>6962.96</v>
      </c>
      <c r="F37" s="12" t="n">
        <v>8417.8</v>
      </c>
      <c r="G37" s="12" t="n">
        <v>10803.11</v>
      </c>
      <c r="H37" s="12" t="n">
        <v>12177.61</v>
      </c>
      <c r="I37" s="12" t="n">
        <v>16121.53</v>
      </c>
      <c r="J37" s="12" t="n">
        <v>19156.85</v>
      </c>
      <c r="K37" s="12" t="n">
        <v>23811.27</v>
      </c>
      <c r="L37" s="12" t="n">
        <v>37012.03</v>
      </c>
      <c r="M37" s="12" t="n">
        <v>48873.87</v>
      </c>
      <c r="N37" s="12" t="n">
        <v>53764.77</v>
      </c>
      <c r="O37" s="12" t="n">
        <v>31421.39</v>
      </c>
      <c r="P37" s="12" t="n">
        <v>44318.2</v>
      </c>
      <c r="Q37" s="12" t="n">
        <v>22171.99</v>
      </c>
      <c r="R37" s="12" t="n">
        <v>29476.54</v>
      </c>
    </row>
    <row r="38" customFormat="false" ht="15" hidden="false" customHeight="false" outlineLevel="0" collapsed="false">
      <c r="A38" s="4" t="s">
        <v>943</v>
      </c>
    </row>
    <row r="39" customFormat="false" ht="15" hidden="false" customHeight="false" outlineLevel="0" collapsed="false">
      <c r="A39" s="6" t="s">
        <v>944</v>
      </c>
      <c r="B39" s="12" t="n">
        <v>1.19</v>
      </c>
      <c r="C39" s="12" t="n">
        <v>1.28</v>
      </c>
      <c r="D39" s="12" t="n">
        <v>1.43</v>
      </c>
      <c r="E39" s="12" t="n">
        <v>1.33</v>
      </c>
      <c r="F39" s="12" t="n">
        <v>0.65</v>
      </c>
      <c r="G39" s="12" t="n">
        <v>0.55</v>
      </c>
      <c r="H39" s="12" t="n">
        <v>0.41</v>
      </c>
      <c r="I39" s="12" t="n">
        <v>0.55</v>
      </c>
      <c r="J39" s="12" t="n">
        <v>0.63</v>
      </c>
      <c r="K39" s="12" t="n">
        <v>0.71</v>
      </c>
      <c r="L39" s="12" t="n">
        <v>1.1</v>
      </c>
      <c r="M39" s="12" t="n">
        <v>0.96</v>
      </c>
      <c r="N39" s="12" t="n">
        <v>1.05</v>
      </c>
      <c r="O39" s="12" t="n">
        <v>0.61</v>
      </c>
      <c r="P39" s="12" t="n">
        <v>0.85</v>
      </c>
      <c r="Q39" s="12" t="n">
        <v>0.43</v>
      </c>
      <c r="R39" s="12" t="n">
        <v>0.57</v>
      </c>
    </row>
    <row r="40" customFormat="false" ht="15" hidden="false" customHeight="false" outlineLevel="0" collapsed="false">
      <c r="A40" s="6" t="s">
        <v>945</v>
      </c>
      <c r="B40" s="12" t="n">
        <v>1.19</v>
      </c>
      <c r="C40" s="12" t="n">
        <v>1.28</v>
      </c>
      <c r="D40" s="12" t="n">
        <v>1.43</v>
      </c>
      <c r="E40" s="12" t="n">
        <v>1.33</v>
      </c>
      <c r="F40" s="12" t="n">
        <v>0.65</v>
      </c>
      <c r="G40" s="12" t="n">
        <v>0.55</v>
      </c>
      <c r="H40" s="12" t="n">
        <v>0.41</v>
      </c>
      <c r="I40" s="12" t="n">
        <v>0.55</v>
      </c>
      <c r="J40" s="12" t="n">
        <v>0.63</v>
      </c>
      <c r="K40" s="12" t="n">
        <v>0.7</v>
      </c>
      <c r="L40" s="12" t="n">
        <v>1.09</v>
      </c>
      <c r="M40" s="12" t="n">
        <v>0.95</v>
      </c>
      <c r="N40" s="12" t="n">
        <v>1.05</v>
      </c>
      <c r="O40" s="12" t="n">
        <v>0.61</v>
      </c>
      <c r="P40" s="12" t="n">
        <v>0.85</v>
      </c>
      <c r="Q40" s="12" t="n">
        <v>0.43</v>
      </c>
      <c r="R40" s="12" t="n">
        <v>0.56</v>
      </c>
    </row>
    <row r="41" customFormat="false" ht="15" hidden="false" customHeight="false" outlineLevel="0" collapsed="false">
      <c r="A41" s="4" t="s">
        <v>946</v>
      </c>
    </row>
    <row r="44" customFormat="false" ht="15" hidden="false" customHeight="false" outlineLevel="0" collapsed="false">
      <c r="A44" s="4" t="s">
        <v>947</v>
      </c>
      <c r="B44" s="5" t="s">
        <v>917</v>
      </c>
      <c r="C44" s="5" t="s">
        <v>918</v>
      </c>
      <c r="D44" s="5" t="s">
        <v>919</v>
      </c>
      <c r="E44" s="5" t="s">
        <v>920</v>
      </c>
      <c r="F44" s="5" t="s">
        <v>921</v>
      </c>
      <c r="G44" s="5" t="s">
        <v>922</v>
      </c>
      <c r="H44" s="5" t="s">
        <v>923</v>
      </c>
      <c r="I44" s="5" t="s">
        <v>924</v>
      </c>
      <c r="J44" s="5" t="s">
        <v>925</v>
      </c>
      <c r="K44" s="5" t="s">
        <v>85</v>
      </c>
      <c r="L44" s="5" t="s">
        <v>86</v>
      </c>
      <c r="M44" s="5" t="s">
        <v>87</v>
      </c>
      <c r="N44" s="5" t="s">
        <v>88</v>
      </c>
      <c r="O44" s="5" t="s">
        <v>89</v>
      </c>
      <c r="P44" s="5" t="s">
        <v>3</v>
      </c>
      <c r="Q44" s="5" t="s">
        <v>926</v>
      </c>
      <c r="R44" s="5" t="s">
        <v>927</v>
      </c>
    </row>
    <row r="45" customFormat="false" ht="15" hidden="false" customHeight="false" outlineLevel="0" collapsed="false">
      <c r="A45" s="4" t="s">
        <v>948</v>
      </c>
    </row>
    <row r="46" customFormat="false" ht="15" hidden="false" customHeight="false" outlineLevel="0" collapsed="false">
      <c r="A46" s="6" t="s">
        <v>488</v>
      </c>
      <c r="B46" s="12" t="n">
        <v>6442.46</v>
      </c>
      <c r="C46" s="12" t="n">
        <v>10040.02</v>
      </c>
      <c r="D46" s="12" t="n">
        <v>8534.89</v>
      </c>
      <c r="E46" s="12" t="n">
        <v>37417.31</v>
      </c>
      <c r="F46" s="12" t="n">
        <v>36435.17</v>
      </c>
      <c r="G46" s="12" t="n">
        <v>29123.81</v>
      </c>
      <c r="H46" s="12" t="n">
        <v>29093.17</v>
      </c>
      <c r="I46" s="12" t="n">
        <v>25312.93</v>
      </c>
      <c r="J46" s="12" t="n">
        <v>89441.62</v>
      </c>
      <c r="K46" s="12" t="n">
        <v>39468.39</v>
      </c>
      <c r="L46" s="12" t="n">
        <v>67883.77</v>
      </c>
      <c r="M46" s="12" t="n">
        <v>82440.59</v>
      </c>
      <c r="N46" s="12" t="n">
        <v>58641.47</v>
      </c>
      <c r="O46" s="12" t="n">
        <v>68518.96</v>
      </c>
      <c r="P46" s="12" t="n">
        <v>81170.69</v>
      </c>
      <c r="Q46" s="12" t="n">
        <v>98407.06</v>
      </c>
      <c r="R46" s="12" t="n">
        <v>125382.99</v>
      </c>
    </row>
    <row r="47" customFormat="false" ht="15" hidden="false" customHeight="false" outlineLevel="0" collapsed="false">
      <c r="A47" s="6" t="s">
        <v>415</v>
      </c>
      <c r="K47" s="12" t="n">
        <v>45279.02</v>
      </c>
      <c r="L47" s="12" t="n">
        <v>28094.4</v>
      </c>
      <c r="M47" s="12" t="n">
        <v>20413.41</v>
      </c>
      <c r="N47" s="12" t="n">
        <v>36388.87</v>
      </c>
      <c r="O47" s="12" t="n">
        <v>39219.92</v>
      </c>
      <c r="P47" s="12" t="n">
        <v>70817.57</v>
      </c>
      <c r="Q47" s="12" t="n">
        <v>40503.55</v>
      </c>
      <c r="R47" s="12" t="n">
        <v>50477.02</v>
      </c>
    </row>
    <row r="48" customFormat="false" ht="15" hidden="false" customHeight="false" outlineLevel="0" collapsed="false">
      <c r="A48" s="6" t="s">
        <v>949</v>
      </c>
      <c r="N48" s="12" t="n">
        <v>0</v>
      </c>
    </row>
    <row r="49" customFormat="false" ht="15" hidden="false" customHeight="false" outlineLevel="0" collapsed="false">
      <c r="A49" s="6" t="s">
        <v>950</v>
      </c>
      <c r="B49" s="12" t="n">
        <v>3317.5</v>
      </c>
      <c r="C49" s="12" t="n">
        <v>3815.92</v>
      </c>
      <c r="D49" s="12" t="n">
        <v>8585.59</v>
      </c>
      <c r="E49" s="12" t="n">
        <v>12916.76</v>
      </c>
      <c r="F49" s="12" t="n">
        <v>15312.95</v>
      </c>
      <c r="G49" s="12" t="n">
        <v>17879.99</v>
      </c>
      <c r="H49" s="12" t="n">
        <v>24099.53</v>
      </c>
      <c r="I49" s="12" t="n">
        <v>34464.11</v>
      </c>
      <c r="J49" s="12" t="n">
        <v>34066.06</v>
      </c>
      <c r="K49" s="12" t="n">
        <v>43822.46</v>
      </c>
      <c r="L49" s="12" t="n">
        <v>47278.14</v>
      </c>
      <c r="M49" s="12" t="n">
        <v>73351.34</v>
      </c>
      <c r="N49" s="12" t="n">
        <v>88820.18</v>
      </c>
      <c r="O49" s="12" t="n">
        <v>78185.1</v>
      </c>
      <c r="P49" s="12" t="n">
        <v>106698.1</v>
      </c>
      <c r="Q49" s="12" t="n">
        <v>82168.96</v>
      </c>
      <c r="R49" s="12" t="n">
        <v>113214.79</v>
      </c>
    </row>
    <row r="50" customFormat="false" ht="15" hidden="false" customHeight="false" outlineLevel="0" collapsed="false">
      <c r="A50" s="6" t="s">
        <v>333</v>
      </c>
      <c r="B50" s="12" t="n">
        <v>15</v>
      </c>
      <c r="C50" s="12" t="n">
        <v>237.04</v>
      </c>
      <c r="D50" s="12" t="n">
        <v>3679.11</v>
      </c>
      <c r="E50" s="12" t="n">
        <v>5691.35</v>
      </c>
      <c r="F50" s="12" t="n">
        <v>7532.84</v>
      </c>
      <c r="G50" s="12" t="n">
        <v>7756.41</v>
      </c>
      <c r="H50" s="12" t="n">
        <v>8350.52</v>
      </c>
      <c r="I50" s="12" t="n">
        <v>17664.43</v>
      </c>
      <c r="J50" s="12" t="n">
        <v>12056.57</v>
      </c>
      <c r="K50" s="12" t="n">
        <v>21885.13</v>
      </c>
      <c r="L50" s="12" t="n">
        <v>24083.12</v>
      </c>
      <c r="M50" s="12" t="n">
        <v>39846.57</v>
      </c>
      <c r="N50" s="12" t="n">
        <v>40571.88</v>
      </c>
      <c r="O50" s="12" t="n">
        <v>28043.93</v>
      </c>
      <c r="P50" s="12" t="n">
        <v>35073.65</v>
      </c>
      <c r="Q50" s="12" t="n">
        <v>13847.53</v>
      </c>
      <c r="R50" s="12" t="n">
        <v>20683.82</v>
      </c>
    </row>
    <row r="51" customFormat="false" ht="15" hidden="false" customHeight="false" outlineLevel="0" collapsed="false">
      <c r="A51" s="6" t="s">
        <v>332</v>
      </c>
      <c r="B51" s="12" t="n">
        <v>3302.5</v>
      </c>
      <c r="C51" s="12" t="n">
        <v>3578.88</v>
      </c>
      <c r="D51" s="12" t="n">
        <v>4906.49</v>
      </c>
      <c r="E51" s="12" t="n">
        <v>7225.42</v>
      </c>
      <c r="F51" s="12" t="n">
        <v>7780.12</v>
      </c>
      <c r="G51" s="12" t="n">
        <v>10123.58</v>
      </c>
      <c r="H51" s="12" t="n">
        <v>15749.01</v>
      </c>
      <c r="I51" s="12" t="n">
        <v>16799.68</v>
      </c>
      <c r="J51" s="12" t="n">
        <v>22009.5</v>
      </c>
      <c r="K51" s="12" t="n">
        <v>21937.34</v>
      </c>
      <c r="L51" s="12" t="n">
        <v>23195.02</v>
      </c>
      <c r="M51" s="12" t="n">
        <v>33504.77</v>
      </c>
      <c r="N51" s="12" t="n">
        <v>48248.31</v>
      </c>
      <c r="O51" s="12" t="n">
        <v>50141.17</v>
      </c>
      <c r="P51" s="12" t="n">
        <v>71624.45</v>
      </c>
      <c r="Q51" s="12" t="n">
        <v>68321.43</v>
      </c>
      <c r="R51" s="12" t="n">
        <v>92530.97</v>
      </c>
    </row>
    <row r="52" customFormat="false" ht="15" hidden="false" customHeight="false" outlineLevel="0" collapsed="false">
      <c r="A52" s="6" t="s">
        <v>334</v>
      </c>
      <c r="L52" s="12" t="n">
        <v>5535.05</v>
      </c>
      <c r="M52" s="12" t="n">
        <v>4133.99</v>
      </c>
      <c r="N52" s="12" t="n">
        <v>10620.06</v>
      </c>
      <c r="O52" s="12" t="n">
        <v>11401.97</v>
      </c>
      <c r="P52" s="12" t="n">
        <v>8942.89</v>
      </c>
      <c r="Q52" s="12" t="n">
        <v>6737.18</v>
      </c>
      <c r="R52" s="12" t="n">
        <v>11859.28</v>
      </c>
    </row>
    <row r="53" customFormat="false" ht="15" hidden="false" customHeight="false" outlineLevel="0" collapsed="false">
      <c r="A53" s="6" t="s">
        <v>335</v>
      </c>
      <c r="B53" s="12" t="n">
        <v>3232.39</v>
      </c>
      <c r="C53" s="12" t="n">
        <v>2721.73</v>
      </c>
      <c r="D53" s="12" t="n">
        <v>1736.92</v>
      </c>
      <c r="E53" s="12" t="n">
        <v>2005</v>
      </c>
      <c r="F53" s="12" t="n">
        <v>10843.89</v>
      </c>
      <c r="G53" s="12" t="n">
        <v>5925.34</v>
      </c>
      <c r="H53" s="12" t="n">
        <v>2767.1</v>
      </c>
      <c r="I53" s="12" t="n">
        <v>4863.24</v>
      </c>
      <c r="J53" s="12" t="n">
        <v>7198.48</v>
      </c>
      <c r="K53" s="12" t="n">
        <v>9989.56</v>
      </c>
      <c r="L53" s="12" t="n">
        <v>3947.38</v>
      </c>
      <c r="M53" s="12" t="n">
        <v>6424.5</v>
      </c>
      <c r="N53" s="12" t="n">
        <v>19688.47</v>
      </c>
      <c r="O53" s="12" t="n">
        <v>9033.73</v>
      </c>
      <c r="P53" s="12" t="n">
        <v>10811.76</v>
      </c>
      <c r="Q53" s="12" t="n">
        <v>17702.64</v>
      </c>
      <c r="R53" s="12" t="n">
        <v>14608.28</v>
      </c>
    </row>
    <row r="54" customFormat="false" ht="15" hidden="false" customHeight="false" outlineLevel="0" collapsed="false">
      <c r="A54" s="6" t="s">
        <v>951</v>
      </c>
      <c r="B54" s="12" t="n">
        <v>41.29</v>
      </c>
      <c r="C54" s="12" t="n">
        <v>36.49</v>
      </c>
      <c r="D54" s="12" t="n">
        <v>41.45</v>
      </c>
      <c r="E54" s="12" t="n">
        <v>44.84</v>
      </c>
      <c r="F54" s="12" t="n">
        <v>38.52</v>
      </c>
      <c r="G54" s="12" t="n">
        <v>67.87</v>
      </c>
      <c r="H54" s="12" t="n">
        <v>61.15</v>
      </c>
      <c r="I54" s="12" t="n">
        <v>61.37</v>
      </c>
      <c r="J54" s="12" t="n">
        <v>80.93</v>
      </c>
      <c r="K54" s="12" t="n">
        <v>69.37</v>
      </c>
      <c r="L54" s="12" t="n">
        <v>591</v>
      </c>
      <c r="M54" s="12" t="n">
        <v>185.65</v>
      </c>
      <c r="N54" s="12" t="n">
        <v>281.09</v>
      </c>
      <c r="O54" s="12" t="n">
        <v>1914.25</v>
      </c>
      <c r="P54" s="12" t="n">
        <v>4529.05</v>
      </c>
      <c r="Q54" s="12" t="n">
        <v>488.05</v>
      </c>
      <c r="R54" s="12" t="n">
        <v>922.93</v>
      </c>
    </row>
    <row r="55" customFormat="false" ht="15" hidden="false" customHeight="false" outlineLevel="0" collapsed="false">
      <c r="A55" s="6" t="s">
        <v>952</v>
      </c>
      <c r="N55" s="12" t="n">
        <v>0</v>
      </c>
    </row>
    <row r="56" customFormat="false" ht="15" hidden="false" customHeight="false" outlineLevel="0" collapsed="false">
      <c r="A56" s="6" t="s">
        <v>953</v>
      </c>
      <c r="G56" s="12" t="n">
        <v>15.84</v>
      </c>
      <c r="N56" s="12" t="n">
        <v>0</v>
      </c>
    </row>
    <row r="57" customFormat="false" ht="15" hidden="false" customHeight="false" outlineLevel="0" collapsed="false">
      <c r="A57" s="6" t="s">
        <v>336</v>
      </c>
      <c r="B57" s="12" t="n">
        <v>41.29</v>
      </c>
      <c r="C57" s="12" t="n">
        <v>36.49</v>
      </c>
      <c r="D57" s="12" t="n">
        <v>41.45</v>
      </c>
      <c r="E57" s="12" t="n">
        <v>44.84</v>
      </c>
      <c r="F57" s="12" t="n">
        <v>38.52</v>
      </c>
      <c r="G57" s="12" t="n">
        <v>52.03</v>
      </c>
      <c r="H57" s="12" t="n">
        <v>61.15</v>
      </c>
      <c r="I57" s="12" t="n">
        <v>61.37</v>
      </c>
      <c r="J57" s="12" t="n">
        <v>80.93</v>
      </c>
      <c r="K57" s="12" t="n">
        <v>69.37</v>
      </c>
      <c r="L57" s="12" t="n">
        <v>591</v>
      </c>
      <c r="M57" s="12" t="n">
        <v>185.65</v>
      </c>
      <c r="N57" s="12" t="n">
        <v>281.09</v>
      </c>
      <c r="O57" s="12" t="n">
        <v>1914.25</v>
      </c>
      <c r="P57" s="12" t="n">
        <v>4529.05</v>
      </c>
      <c r="Q57" s="12" t="n">
        <v>488.05</v>
      </c>
      <c r="R57" s="12" t="n">
        <v>922.93</v>
      </c>
    </row>
    <row r="58" customFormat="false" ht="15" hidden="false" customHeight="false" outlineLevel="0" collapsed="false">
      <c r="A58" s="6" t="s">
        <v>954</v>
      </c>
      <c r="N58" s="12" t="n">
        <v>0</v>
      </c>
    </row>
    <row r="59" customFormat="false" ht="15" hidden="false" customHeight="false" outlineLevel="0" collapsed="false">
      <c r="A59" s="6" t="s">
        <v>337</v>
      </c>
      <c r="B59" s="12" t="n">
        <v>4534.87</v>
      </c>
      <c r="C59" s="12" t="n">
        <v>6010.21</v>
      </c>
      <c r="D59" s="12" t="n">
        <v>4968.86</v>
      </c>
      <c r="E59" s="12" t="n">
        <v>4446.08</v>
      </c>
      <c r="F59" s="12" t="n">
        <v>3746.56</v>
      </c>
      <c r="G59" s="12" t="n">
        <v>4848.77</v>
      </c>
      <c r="H59" s="12" t="n">
        <v>7316.81</v>
      </c>
      <c r="I59" s="12" t="n">
        <v>12740.62</v>
      </c>
      <c r="J59" s="12" t="n">
        <v>12983.82</v>
      </c>
      <c r="K59" s="12" t="n">
        <v>19930.23</v>
      </c>
      <c r="L59" s="12" t="n">
        <v>32380.21</v>
      </c>
      <c r="M59" s="12" t="n">
        <v>46397.03</v>
      </c>
      <c r="N59" s="12" t="n">
        <v>66583.46</v>
      </c>
      <c r="O59" s="12" t="n">
        <v>74313.62</v>
      </c>
      <c r="P59" s="12" t="n">
        <v>91603.37</v>
      </c>
      <c r="Q59" s="12" t="n">
        <v>76280.02</v>
      </c>
      <c r="R59" s="12" t="n">
        <v>111203.01</v>
      </c>
    </row>
    <row r="60" customFormat="false" ht="15" hidden="false" customHeight="false" outlineLevel="0" collapsed="false">
      <c r="A60" s="6" t="s">
        <v>955</v>
      </c>
      <c r="N60" s="12" t="n">
        <v>0</v>
      </c>
    </row>
    <row r="61" customFormat="false" ht="15" hidden="false" customHeight="false" outlineLevel="0" collapsed="false">
      <c r="A61" s="6" t="s">
        <v>956</v>
      </c>
      <c r="F61" s="12" t="n">
        <v>1038.65</v>
      </c>
      <c r="N61" s="12" t="n">
        <v>0</v>
      </c>
    </row>
    <row r="62" customFormat="false" ht="15" hidden="false" customHeight="false" outlineLevel="0" collapsed="false">
      <c r="A62" s="6" t="s">
        <v>957</v>
      </c>
      <c r="B62" s="12" t="n">
        <v>3.81</v>
      </c>
      <c r="N62" s="12" t="n">
        <v>0</v>
      </c>
    </row>
    <row r="63" customFormat="false" ht="15" hidden="false" customHeight="false" outlineLevel="0" collapsed="false">
      <c r="A63" s="6" t="s">
        <v>338</v>
      </c>
      <c r="G63" s="12" t="n">
        <v>1706.23</v>
      </c>
      <c r="H63" s="12" t="n">
        <v>1794.11</v>
      </c>
      <c r="I63" s="12" t="n">
        <v>1070.7</v>
      </c>
      <c r="J63" s="12" t="n">
        <v>882.35</v>
      </c>
      <c r="K63" s="12" t="n">
        <v>1676.31</v>
      </c>
      <c r="L63" s="12" t="n">
        <v>1456.07</v>
      </c>
      <c r="M63" s="12" t="n">
        <v>4850.52</v>
      </c>
      <c r="N63" s="12" t="n">
        <v>7895.59</v>
      </c>
      <c r="O63" s="12" t="n">
        <v>8002.99</v>
      </c>
      <c r="P63" s="12" t="n">
        <v>6591.06</v>
      </c>
      <c r="Q63" s="12" t="n">
        <v>7445.74</v>
      </c>
      <c r="R63" s="12" t="n">
        <v>6155.64</v>
      </c>
    </row>
    <row r="64" customFormat="false" ht="15" hidden="false" customHeight="false" outlineLevel="0" collapsed="false">
      <c r="A64" s="6" t="s">
        <v>958</v>
      </c>
      <c r="N64" s="12" t="n">
        <v>0</v>
      </c>
    </row>
    <row r="65" customFormat="false" ht="15" hidden="false" customHeight="false" outlineLevel="0" collapsed="false">
      <c r="A65" s="6" t="s">
        <v>489</v>
      </c>
      <c r="B65" s="12" t="n">
        <v>17572.31</v>
      </c>
      <c r="C65" s="12" t="n">
        <v>22624.37</v>
      </c>
      <c r="D65" s="12" t="n">
        <v>23867.72</v>
      </c>
      <c r="E65" s="12" t="n">
        <v>56829.98</v>
      </c>
      <c r="F65" s="12" t="n">
        <v>67415.74</v>
      </c>
      <c r="G65" s="12" t="n">
        <v>59552.02</v>
      </c>
      <c r="H65" s="12" t="n">
        <v>65131.87</v>
      </c>
      <c r="I65" s="12" t="n">
        <v>78512.97</v>
      </c>
      <c r="J65" s="12" t="n">
        <v>144653.25</v>
      </c>
      <c r="K65" s="12" t="n">
        <v>160235.34</v>
      </c>
      <c r="L65" s="12" t="n">
        <v>187166.02</v>
      </c>
      <c r="M65" s="12" t="n">
        <v>238197.03</v>
      </c>
      <c r="N65" s="12" t="n">
        <v>288919.19</v>
      </c>
      <c r="O65" s="12" t="n">
        <v>290590.53</v>
      </c>
      <c r="P65" s="12" t="n">
        <v>381164.49</v>
      </c>
      <c r="Q65" s="12" t="n">
        <v>329733.21</v>
      </c>
      <c r="R65" s="12" t="n">
        <v>433823.94</v>
      </c>
    </row>
    <row r="66" customFormat="false" ht="15" hidden="false" customHeight="false" outlineLevel="0" collapsed="false">
      <c r="A66" s="4" t="s">
        <v>959</v>
      </c>
    </row>
    <row r="67" customFormat="false" ht="15" hidden="false" customHeight="false" outlineLevel="0" collapsed="false">
      <c r="A67" s="6" t="s">
        <v>960</v>
      </c>
      <c r="N67" s="12" t="n">
        <v>0</v>
      </c>
    </row>
    <row r="68" customFormat="false" ht="15" hidden="false" customHeight="false" outlineLevel="0" collapsed="false">
      <c r="A68" s="6" t="s">
        <v>961</v>
      </c>
      <c r="N68" s="12" t="n">
        <v>0</v>
      </c>
    </row>
    <row r="69" customFormat="false" ht="15" hidden="false" customHeight="false" outlineLevel="0" collapsed="false">
      <c r="A69" s="6" t="s">
        <v>962</v>
      </c>
      <c r="N69" s="12" t="n">
        <v>0</v>
      </c>
    </row>
    <row r="70" customFormat="false" ht="15" hidden="false" customHeight="false" outlineLevel="0" collapsed="false">
      <c r="A70" s="6" t="s">
        <v>963</v>
      </c>
      <c r="N70" s="12" t="n">
        <v>0</v>
      </c>
    </row>
    <row r="71" customFormat="false" ht="15" hidden="false" customHeight="false" outlineLevel="0" collapsed="false">
      <c r="A71" s="6" t="s">
        <v>491</v>
      </c>
      <c r="L71" s="12" t="n">
        <v>712.81</v>
      </c>
      <c r="M71" s="12" t="n">
        <v>652.3</v>
      </c>
      <c r="N71" s="12" t="n">
        <v>615.84</v>
      </c>
      <c r="O71" s="12" t="n">
        <v>562.05</v>
      </c>
      <c r="P71" s="12" t="n">
        <v>1114</v>
      </c>
      <c r="Q71" s="12" t="n">
        <v>544.91</v>
      </c>
      <c r="R71" s="12" t="n">
        <v>1083.57</v>
      </c>
    </row>
    <row r="72" customFormat="false" ht="15" hidden="false" customHeight="false" outlineLevel="0" collapsed="false">
      <c r="A72" s="6" t="s">
        <v>964</v>
      </c>
      <c r="N72" s="12" t="n">
        <v>0</v>
      </c>
    </row>
    <row r="73" customFormat="false" ht="15" hidden="false" customHeight="false" outlineLevel="0" collapsed="false">
      <c r="A73" s="6" t="s">
        <v>417</v>
      </c>
      <c r="N73" s="12" t="n">
        <v>56622.06</v>
      </c>
      <c r="O73" s="12" t="n">
        <v>45290.46</v>
      </c>
      <c r="P73" s="12" t="n">
        <v>24410.42</v>
      </c>
      <c r="Q73" s="12" t="n">
        <v>32798.71</v>
      </c>
      <c r="R73" s="12" t="n">
        <v>17101.49</v>
      </c>
    </row>
    <row r="74" customFormat="false" ht="15" hidden="false" customHeight="false" outlineLevel="0" collapsed="false">
      <c r="A74" s="6" t="s">
        <v>965</v>
      </c>
      <c r="N74" s="12" t="n">
        <v>0</v>
      </c>
    </row>
    <row r="75" customFormat="false" ht="15" hidden="false" customHeight="false" outlineLevel="0" collapsed="false">
      <c r="A75" s="6" t="s">
        <v>966</v>
      </c>
      <c r="B75" s="12" t="n">
        <v>14110.56</v>
      </c>
      <c r="C75" s="12" t="n">
        <v>16822.31</v>
      </c>
      <c r="D75" s="12" t="n">
        <v>17131.67</v>
      </c>
      <c r="E75" s="12" t="n">
        <v>16680.13</v>
      </c>
      <c r="F75" s="12" t="n">
        <v>14372.92</v>
      </c>
      <c r="G75" s="12" t="n">
        <v>22371.11</v>
      </c>
      <c r="H75" s="12" t="n">
        <v>35021.11</v>
      </c>
      <c r="I75" s="12" t="n">
        <v>42474.41</v>
      </c>
      <c r="J75" s="12" t="n">
        <v>47888.5</v>
      </c>
      <c r="K75" s="12" t="n">
        <v>60566.34</v>
      </c>
      <c r="L75" s="12" t="n">
        <v>97048.33</v>
      </c>
      <c r="M75" s="12" t="n">
        <v>134308.13</v>
      </c>
      <c r="N75" s="12" t="n">
        <v>176507.17</v>
      </c>
      <c r="O75" s="12" t="n">
        <v>186329.82</v>
      </c>
      <c r="P75" s="12" t="n">
        <v>231849.85</v>
      </c>
      <c r="Q75" s="12" t="n">
        <v>205101.59</v>
      </c>
      <c r="R75" s="12" t="n">
        <v>236133.93</v>
      </c>
    </row>
    <row r="76" customFormat="false" ht="15" hidden="false" customHeight="false" outlineLevel="0" collapsed="false">
      <c r="A76" s="6" t="s">
        <v>492</v>
      </c>
      <c r="B76" s="12" t="n">
        <v>14110.56</v>
      </c>
      <c r="C76" s="12" t="n">
        <v>16822.31</v>
      </c>
      <c r="D76" s="12" t="n">
        <v>17131.67</v>
      </c>
      <c r="E76" s="12" t="n">
        <v>16680.13</v>
      </c>
      <c r="F76" s="12" t="n">
        <v>14372.92</v>
      </c>
      <c r="G76" s="12" t="n">
        <v>22371.11</v>
      </c>
      <c r="H76" s="12" t="n">
        <v>35021.11</v>
      </c>
      <c r="I76" s="12" t="n">
        <v>42474.41</v>
      </c>
      <c r="J76" s="12" t="n">
        <v>47888.5</v>
      </c>
      <c r="K76" s="12" t="n">
        <v>60566.34</v>
      </c>
      <c r="L76" s="12" t="n">
        <v>97048.33</v>
      </c>
      <c r="M76" s="12" t="n">
        <v>134308.13</v>
      </c>
      <c r="N76" s="12" t="n">
        <v>176507.17</v>
      </c>
      <c r="O76" s="12" t="n">
        <v>186329.82</v>
      </c>
      <c r="P76" s="12" t="n">
        <v>231849.85</v>
      </c>
      <c r="Q76" s="12" t="n">
        <v>205101.59</v>
      </c>
      <c r="R76" s="12" t="n">
        <v>236133.93</v>
      </c>
    </row>
    <row r="77" customFormat="false" ht="15" hidden="false" customHeight="false" outlineLevel="0" collapsed="false">
      <c r="A77" s="4" t="s">
        <v>967</v>
      </c>
    </row>
    <row r="78" customFormat="false" ht="15" hidden="false" customHeight="false" outlineLevel="0" collapsed="false">
      <c r="A78" s="6" t="s">
        <v>968</v>
      </c>
      <c r="B78" s="12" t="n">
        <v>633.24</v>
      </c>
      <c r="C78" s="12" t="n">
        <v>199.44</v>
      </c>
      <c r="D78" s="12" t="n">
        <v>107.95</v>
      </c>
      <c r="E78" s="12" t="n">
        <v>521.56</v>
      </c>
      <c r="F78" s="12" t="n">
        <v>2103.55</v>
      </c>
      <c r="G78" s="12" t="n">
        <v>7336.56</v>
      </c>
      <c r="H78" s="12" t="n">
        <v>3103.26</v>
      </c>
      <c r="I78" s="12" t="n">
        <v>5268.85</v>
      </c>
      <c r="J78" s="12" t="n">
        <v>6539.83</v>
      </c>
      <c r="K78" s="12" t="n">
        <v>11835.41</v>
      </c>
      <c r="L78" s="12" t="n">
        <v>5797.85</v>
      </c>
      <c r="M78" s="12" t="n">
        <v>17942.15</v>
      </c>
      <c r="N78" s="12" t="n">
        <v>13426.95</v>
      </c>
      <c r="O78" s="12" t="n">
        <v>26575.79</v>
      </c>
      <c r="P78" s="12" t="n">
        <v>20704.85</v>
      </c>
      <c r="Q78" s="12" t="n">
        <v>28435.63</v>
      </c>
      <c r="R78" s="12" t="n">
        <v>32325.16</v>
      </c>
    </row>
    <row r="79" customFormat="false" ht="15" hidden="false" customHeight="false" outlineLevel="0" collapsed="false">
      <c r="A79" s="6" t="s">
        <v>493</v>
      </c>
      <c r="B79" s="12" t="n">
        <v>633.24</v>
      </c>
      <c r="C79" s="12" t="n">
        <v>199.44</v>
      </c>
      <c r="D79" s="12" t="n">
        <v>107.95</v>
      </c>
      <c r="E79" s="12" t="n">
        <v>521.56</v>
      </c>
      <c r="F79" s="12" t="n">
        <v>2103.55</v>
      </c>
      <c r="G79" s="12" t="n">
        <v>7336.56</v>
      </c>
      <c r="H79" s="12" t="n">
        <v>3103.26</v>
      </c>
      <c r="I79" s="12" t="n">
        <v>5268.85</v>
      </c>
      <c r="J79" s="12" t="n">
        <v>6539.83</v>
      </c>
      <c r="K79" s="12" t="n">
        <v>11835.41</v>
      </c>
      <c r="L79" s="12" t="n">
        <v>5797.85</v>
      </c>
      <c r="M79" s="12" t="n">
        <v>17942.15</v>
      </c>
      <c r="N79" s="12" t="n">
        <v>13426.95</v>
      </c>
      <c r="O79" s="12" t="n">
        <v>26575.79</v>
      </c>
      <c r="P79" s="12" t="n">
        <v>20704.85</v>
      </c>
      <c r="Q79" s="12" t="n">
        <v>28435.63</v>
      </c>
      <c r="R79" s="12" t="n">
        <v>32325.16</v>
      </c>
    </row>
    <row r="80" customFormat="false" ht="15" hidden="false" customHeight="false" outlineLevel="0" collapsed="false">
      <c r="A80" s="4" t="s">
        <v>969</v>
      </c>
    </row>
    <row r="81" customFormat="false" ht="15" hidden="false" customHeight="false" outlineLevel="0" collapsed="false">
      <c r="A81" s="6" t="s">
        <v>970</v>
      </c>
      <c r="N81" s="12" t="n">
        <v>0</v>
      </c>
    </row>
    <row r="82" customFormat="false" ht="15" hidden="false" customHeight="false" outlineLevel="0" collapsed="false">
      <c r="A82" s="6" t="s">
        <v>971</v>
      </c>
      <c r="N82" s="12" t="n">
        <v>0</v>
      </c>
    </row>
    <row r="83" customFormat="false" ht="15" hidden="false" customHeight="false" outlineLevel="0" collapsed="false">
      <c r="A83" s="6" t="s">
        <v>494</v>
      </c>
      <c r="L83" s="12" t="n">
        <v>863.16</v>
      </c>
      <c r="M83" s="12" t="n">
        <v>671.15</v>
      </c>
      <c r="N83" s="12" t="n">
        <v>1668.02</v>
      </c>
      <c r="O83" s="12" t="n">
        <v>1253.8</v>
      </c>
      <c r="P83" s="12" t="n">
        <v>650.47</v>
      </c>
      <c r="Q83" s="12" t="n">
        <v>916.77</v>
      </c>
      <c r="R83" s="12" t="n">
        <v>429.04</v>
      </c>
    </row>
    <row r="84" customFormat="false" ht="15" hidden="false" customHeight="false" outlineLevel="0" collapsed="false">
      <c r="A84" s="6" t="s">
        <v>495</v>
      </c>
      <c r="B84" s="12" t="n">
        <v>929</v>
      </c>
      <c r="C84" s="12" t="n">
        <v>894.51</v>
      </c>
      <c r="D84" s="12" t="n">
        <v>860.1</v>
      </c>
      <c r="E84" s="12" t="n">
        <v>825.7</v>
      </c>
      <c r="F84" s="12" t="n">
        <v>1593.56</v>
      </c>
      <c r="G84" s="12" t="n">
        <v>2738.58</v>
      </c>
      <c r="H84" s="12" t="n">
        <v>2617.03</v>
      </c>
      <c r="I84" s="12" t="n">
        <v>2598.15</v>
      </c>
      <c r="J84" s="12" t="n">
        <v>5409.89</v>
      </c>
      <c r="K84" s="12" t="n">
        <v>5671.16</v>
      </c>
      <c r="L84" s="12" t="n">
        <v>9655.09</v>
      </c>
      <c r="M84" s="12" t="n">
        <v>15134.84</v>
      </c>
      <c r="N84" s="12" t="n">
        <v>18249.75</v>
      </c>
      <c r="O84" s="12" t="n">
        <v>21278.28</v>
      </c>
      <c r="P84" s="12" t="n">
        <v>25964.77</v>
      </c>
      <c r="Q84" s="12" t="n">
        <v>22306.15</v>
      </c>
      <c r="R84" s="12" t="n">
        <v>29547.08</v>
      </c>
    </row>
    <row r="85" customFormat="false" ht="15" hidden="false" customHeight="false" outlineLevel="0" collapsed="false">
      <c r="A85" s="6" t="s">
        <v>496</v>
      </c>
      <c r="D85" s="12" t="n">
        <v>117.31</v>
      </c>
      <c r="E85" s="12" t="n">
        <v>734.74</v>
      </c>
      <c r="F85" s="12" t="n">
        <v>988.74</v>
      </c>
      <c r="G85" s="12" t="n">
        <v>1196.16</v>
      </c>
      <c r="H85" s="12" t="n">
        <v>18.09</v>
      </c>
      <c r="I85" s="12" t="n">
        <v>389.61</v>
      </c>
      <c r="J85" s="12" t="n">
        <v>598.57</v>
      </c>
      <c r="N85" s="12" t="n">
        <v>0</v>
      </c>
    </row>
    <row r="86" customFormat="false" ht="15" hidden="false" customHeight="false" outlineLevel="0" collapsed="false">
      <c r="A86" s="6" t="s">
        <v>497</v>
      </c>
      <c r="G86" s="12" t="n">
        <v>10008.71</v>
      </c>
      <c r="H86" s="12" t="n">
        <v>10012.11</v>
      </c>
      <c r="I86" s="12" t="n">
        <v>10008.71</v>
      </c>
      <c r="J86" s="12" t="n">
        <v>10008.71</v>
      </c>
      <c r="K86" s="12" t="n">
        <v>10008.71</v>
      </c>
      <c r="L86" s="12" t="n">
        <v>12228.38</v>
      </c>
      <c r="M86" s="12" t="n">
        <v>12228.38</v>
      </c>
      <c r="N86" s="12" t="n">
        <v>12228.38</v>
      </c>
      <c r="O86" s="12" t="n">
        <v>12228.38</v>
      </c>
      <c r="P86" s="12" t="n">
        <v>12228.38</v>
      </c>
      <c r="Q86" s="12" t="n">
        <v>12228.38</v>
      </c>
      <c r="R86" s="12" t="n">
        <v>12228.38</v>
      </c>
    </row>
    <row r="87" customFormat="false" ht="15" hidden="false" customHeight="false" outlineLevel="0" collapsed="false">
      <c r="A87" s="6" t="s">
        <v>499</v>
      </c>
      <c r="J87" s="12" t="n">
        <v>331.27</v>
      </c>
      <c r="K87" s="12" t="n">
        <v>969.09</v>
      </c>
      <c r="L87" s="12" t="n">
        <v>686.36</v>
      </c>
      <c r="M87" s="12" t="n">
        <v>806.46</v>
      </c>
      <c r="N87" s="12" t="n">
        <v>726.1</v>
      </c>
      <c r="O87" s="12" t="n">
        <v>2011.57</v>
      </c>
      <c r="P87" s="12" t="n">
        <v>2965.38</v>
      </c>
      <c r="Q87" s="12" t="n">
        <v>2936.46</v>
      </c>
      <c r="R87" s="12" t="n">
        <v>2925.91</v>
      </c>
    </row>
    <row r="88" customFormat="false" ht="15" hidden="false" customHeight="false" outlineLevel="0" collapsed="false">
      <c r="A88" s="6" t="s">
        <v>500</v>
      </c>
      <c r="B88" s="12" t="n">
        <v>46.4</v>
      </c>
      <c r="C88" s="12" t="n">
        <v>118.08</v>
      </c>
      <c r="D88" s="12" t="n">
        <v>111.27</v>
      </c>
      <c r="E88" s="12" t="n">
        <v>160.21</v>
      </c>
      <c r="F88" s="12" t="n">
        <v>254.82</v>
      </c>
      <c r="G88" s="12" t="n">
        <v>319.6</v>
      </c>
      <c r="H88" s="12" t="n">
        <v>570.92</v>
      </c>
      <c r="I88" s="12" t="n">
        <v>457.64</v>
      </c>
      <c r="J88" s="12" t="n">
        <v>723.72</v>
      </c>
      <c r="K88" s="12" t="n">
        <v>1353.58</v>
      </c>
      <c r="L88" s="12" t="n">
        <v>1607.84</v>
      </c>
      <c r="M88" s="12" t="n">
        <v>5254.25</v>
      </c>
      <c r="N88" s="12" t="n">
        <v>5436.63</v>
      </c>
      <c r="O88" s="12" t="n">
        <v>7325.87</v>
      </c>
      <c r="P88" s="12" t="n">
        <v>11854.56</v>
      </c>
      <c r="Q88" s="12" t="n">
        <v>7631.23</v>
      </c>
      <c r="R88" s="12" t="n">
        <v>11848.67</v>
      </c>
    </row>
    <row r="89" customFormat="false" ht="15" hidden="false" customHeight="false" outlineLevel="0" collapsed="false">
      <c r="A89" s="6" t="s">
        <v>972</v>
      </c>
      <c r="L89" s="12" t="n">
        <v>9482.78</v>
      </c>
      <c r="M89" s="12" t="n">
        <v>7220.78</v>
      </c>
      <c r="N89" s="12" t="n">
        <v>17101.22</v>
      </c>
      <c r="O89" s="12" t="n">
        <v>15645.85</v>
      </c>
      <c r="P89" s="12" t="n">
        <v>23410.26</v>
      </c>
      <c r="Q89" s="12" t="n">
        <v>19279.43</v>
      </c>
      <c r="R89" s="12" t="n">
        <v>39572.45</v>
      </c>
    </row>
    <row r="90" customFormat="false" ht="15" hidden="false" customHeight="false" outlineLevel="0" collapsed="false">
      <c r="A90" s="6" t="s">
        <v>502</v>
      </c>
      <c r="B90" s="12" t="n">
        <v>15719.2</v>
      </c>
      <c r="C90" s="12" t="n">
        <v>18034.34</v>
      </c>
      <c r="D90" s="12" t="n">
        <v>18328.31</v>
      </c>
      <c r="E90" s="12" t="n">
        <v>18922.34</v>
      </c>
      <c r="F90" s="12" t="n">
        <v>19313.6</v>
      </c>
      <c r="G90" s="12" t="n">
        <v>43970.72</v>
      </c>
      <c r="H90" s="12" t="n">
        <v>51342.53</v>
      </c>
      <c r="I90" s="12" t="n">
        <v>61197.37</v>
      </c>
      <c r="J90" s="12" t="n">
        <v>71500.49</v>
      </c>
      <c r="K90" s="12" t="n">
        <v>90404.29</v>
      </c>
      <c r="L90" s="12" t="n">
        <v>138082.6</v>
      </c>
      <c r="M90" s="12" t="n">
        <v>194218.44</v>
      </c>
      <c r="N90" s="12" t="n">
        <v>302582.12</v>
      </c>
      <c r="O90" s="12" t="n">
        <v>318501.89</v>
      </c>
      <c r="P90" s="12" t="n">
        <v>355152.94</v>
      </c>
      <c r="Q90" s="12" t="n">
        <v>332179.25</v>
      </c>
      <c r="R90" s="12" t="n">
        <v>383195.68</v>
      </c>
    </row>
    <row r="91" customFormat="false" ht="15" hidden="false" customHeight="false" outlineLevel="0" collapsed="false">
      <c r="A91" s="6" t="s">
        <v>503</v>
      </c>
      <c r="B91" s="12" t="n">
        <v>33291.52</v>
      </c>
      <c r="C91" s="12" t="n">
        <v>40658.71</v>
      </c>
      <c r="D91" s="12" t="n">
        <v>42196.02</v>
      </c>
      <c r="E91" s="12" t="n">
        <v>75752.32</v>
      </c>
      <c r="F91" s="12" t="n">
        <v>86729.34</v>
      </c>
      <c r="G91" s="12" t="n">
        <v>103522.74</v>
      </c>
      <c r="H91" s="12" t="n">
        <v>116474.4</v>
      </c>
      <c r="I91" s="12" t="n">
        <v>139710.34</v>
      </c>
      <c r="J91" s="12" t="n">
        <v>216153.74</v>
      </c>
      <c r="K91" s="12" t="n">
        <v>250639.63</v>
      </c>
      <c r="L91" s="12" t="n">
        <v>325248.62</v>
      </c>
      <c r="M91" s="12" t="n">
        <v>432415.47</v>
      </c>
      <c r="N91" s="12" t="n">
        <v>591501.3</v>
      </c>
      <c r="O91" s="12" t="n">
        <v>609092.42</v>
      </c>
      <c r="P91" s="12" t="n">
        <v>736317.43</v>
      </c>
      <c r="Q91" s="12" t="n">
        <v>661912.46</v>
      </c>
      <c r="R91" s="12" t="n">
        <v>817019.63</v>
      </c>
    </row>
    <row r="92" customFormat="false" ht="15" hidden="false" customHeight="false" outlineLevel="0" collapsed="false">
      <c r="A92" s="4" t="s">
        <v>973</v>
      </c>
    </row>
    <row r="93" customFormat="false" ht="15" hidden="false" customHeight="false" outlineLevel="0" collapsed="false">
      <c r="A93" s="6" t="s">
        <v>399</v>
      </c>
      <c r="B93" s="12" t="n">
        <v>4900</v>
      </c>
      <c r="C93" s="12" t="n">
        <v>7400</v>
      </c>
      <c r="D93" s="12" t="n">
        <v>3300</v>
      </c>
      <c r="E93" s="12" t="n">
        <v>900</v>
      </c>
      <c r="H93" s="12" t="n">
        <v>1000</v>
      </c>
      <c r="I93" s="12" t="n">
        <v>3500</v>
      </c>
      <c r="M93" s="12" t="n">
        <v>300</v>
      </c>
      <c r="N93" s="12" t="n">
        <v>14293.82</v>
      </c>
      <c r="O93" s="12" t="n">
        <v>11740.09</v>
      </c>
      <c r="P93" s="12" t="n">
        <v>19567.41</v>
      </c>
      <c r="Q93" s="12" t="n">
        <v>20408.53</v>
      </c>
      <c r="R93" s="12" t="n">
        <v>12007.25</v>
      </c>
    </row>
    <row r="94" customFormat="false" ht="15" hidden="false" customHeight="false" outlineLevel="0" collapsed="false">
      <c r="A94" s="6" t="s">
        <v>974</v>
      </c>
      <c r="G94" s="12" t="n">
        <v>133.96</v>
      </c>
      <c r="N94" s="12" t="n">
        <v>0</v>
      </c>
    </row>
    <row r="95" customFormat="false" ht="15" hidden="false" customHeight="false" outlineLevel="0" collapsed="false">
      <c r="A95" s="6" t="s">
        <v>975</v>
      </c>
      <c r="N95" s="12" t="n">
        <v>0</v>
      </c>
    </row>
    <row r="96" customFormat="false" ht="15" hidden="false" customHeight="false" outlineLevel="0" collapsed="false">
      <c r="A96" s="6" t="s">
        <v>976</v>
      </c>
      <c r="B96" s="12" t="n">
        <v>3427.34</v>
      </c>
      <c r="C96" s="12" t="n">
        <v>3424.54</v>
      </c>
      <c r="D96" s="12" t="n">
        <v>3639.82</v>
      </c>
      <c r="E96" s="12" t="n">
        <v>3978.14</v>
      </c>
      <c r="F96" s="12" t="n">
        <v>4612.22</v>
      </c>
      <c r="G96" s="12" t="n">
        <v>7370.81</v>
      </c>
      <c r="H96" s="12" t="n">
        <v>11872.58</v>
      </c>
      <c r="I96" s="12" t="n">
        <v>19235.95</v>
      </c>
      <c r="J96" s="12" t="n">
        <v>15066.32</v>
      </c>
      <c r="K96" s="12" t="n">
        <v>26604.29</v>
      </c>
      <c r="L96" s="12" t="n">
        <v>31587.32</v>
      </c>
      <c r="M96" s="12" t="n">
        <v>44412.12</v>
      </c>
      <c r="N96" s="12" t="n">
        <v>62058.19</v>
      </c>
      <c r="O96" s="12" t="n">
        <v>38098.95</v>
      </c>
      <c r="P96" s="12" t="n">
        <v>54432.61</v>
      </c>
      <c r="Q96" s="12" t="n">
        <v>46272.67</v>
      </c>
      <c r="R96" s="12" t="n">
        <v>74781.23</v>
      </c>
    </row>
    <row r="97" customFormat="false" ht="15" hidden="false" customHeight="false" outlineLevel="0" collapsed="false">
      <c r="A97" s="6" t="s">
        <v>339</v>
      </c>
      <c r="C97" s="12" t="n">
        <v>9</v>
      </c>
      <c r="D97" s="12" t="n">
        <v>400</v>
      </c>
      <c r="E97" s="12" t="n">
        <v>958.91</v>
      </c>
      <c r="F97" s="12" t="n">
        <v>903.65</v>
      </c>
      <c r="G97" s="12" t="n">
        <v>1510.84</v>
      </c>
      <c r="H97" s="12" t="n">
        <v>4111.24</v>
      </c>
      <c r="I97" s="12" t="n">
        <v>8439.59</v>
      </c>
      <c r="J97" s="12" t="n">
        <v>5150.13</v>
      </c>
      <c r="K97" s="12" t="n">
        <v>11299.88</v>
      </c>
      <c r="L97" s="12" t="n">
        <v>11243.39</v>
      </c>
      <c r="M97" s="12" t="n">
        <v>13336.91</v>
      </c>
      <c r="N97" s="12" t="n">
        <v>31736.87</v>
      </c>
      <c r="O97" s="12" t="n">
        <v>16517.58</v>
      </c>
      <c r="P97" s="12" t="n">
        <v>20171.46</v>
      </c>
      <c r="Q97" s="12" t="n">
        <v>16187.18</v>
      </c>
      <c r="R97" s="12" t="n">
        <v>35508.07</v>
      </c>
    </row>
    <row r="98" customFormat="false" ht="15" hidden="false" customHeight="false" outlineLevel="0" collapsed="false">
      <c r="A98" s="6" t="s">
        <v>340</v>
      </c>
      <c r="B98" s="12" t="n">
        <v>3427.34</v>
      </c>
      <c r="C98" s="12" t="n">
        <v>3415.54</v>
      </c>
      <c r="D98" s="12" t="n">
        <v>3239.82</v>
      </c>
      <c r="E98" s="12" t="n">
        <v>3019.23</v>
      </c>
      <c r="F98" s="12" t="n">
        <v>3708.56</v>
      </c>
      <c r="G98" s="12" t="n">
        <v>5859.97</v>
      </c>
      <c r="H98" s="12" t="n">
        <v>7761.34</v>
      </c>
      <c r="I98" s="12" t="n">
        <v>10796.36</v>
      </c>
      <c r="J98" s="12" t="n">
        <v>9916.19</v>
      </c>
      <c r="K98" s="12" t="n">
        <v>15304.41</v>
      </c>
      <c r="L98" s="12" t="n">
        <v>20343.93</v>
      </c>
      <c r="M98" s="12" t="n">
        <v>31075.21</v>
      </c>
      <c r="N98" s="12" t="n">
        <v>30321.32</v>
      </c>
      <c r="O98" s="12" t="n">
        <v>21581.37</v>
      </c>
      <c r="P98" s="12" t="n">
        <v>34261.15</v>
      </c>
      <c r="Q98" s="12" t="n">
        <v>30085.5</v>
      </c>
      <c r="R98" s="12" t="n">
        <v>39273.16</v>
      </c>
    </row>
    <row r="99" customFormat="false" ht="15" hidden="false" customHeight="false" outlineLevel="0" collapsed="false">
      <c r="A99" s="6" t="s">
        <v>505</v>
      </c>
      <c r="B99" s="12" t="n">
        <v>116.9</v>
      </c>
      <c r="C99" s="12" t="n">
        <v>153.11</v>
      </c>
      <c r="D99" s="12" t="n">
        <v>33.66</v>
      </c>
      <c r="E99" s="12" t="n">
        <v>49.08</v>
      </c>
      <c r="F99" s="12" t="n">
        <v>117.55</v>
      </c>
      <c r="G99" s="12" t="n">
        <v>180.76</v>
      </c>
      <c r="H99" s="12" t="n">
        <v>154.95</v>
      </c>
      <c r="I99" s="12" t="n">
        <v>518.71</v>
      </c>
      <c r="J99" s="12" t="n">
        <v>245.87</v>
      </c>
      <c r="K99" s="12" t="n">
        <v>6.69</v>
      </c>
      <c r="N99" s="12" t="n">
        <v>0</v>
      </c>
    </row>
    <row r="100" customFormat="false" ht="15" hidden="false" customHeight="false" outlineLevel="0" collapsed="false">
      <c r="A100" s="6" t="s">
        <v>341</v>
      </c>
      <c r="K100" s="12" t="n">
        <v>1013.13</v>
      </c>
      <c r="L100" s="12" t="n">
        <v>894.68</v>
      </c>
      <c r="M100" s="12" t="n">
        <v>2317.84</v>
      </c>
      <c r="N100" s="12" t="n">
        <v>1702.23</v>
      </c>
      <c r="O100" s="12" t="n">
        <v>2270.53</v>
      </c>
      <c r="P100" s="12" t="n">
        <v>2042.94</v>
      </c>
      <c r="Q100" s="12" t="n">
        <v>2266.97</v>
      </c>
      <c r="R100" s="12" t="n">
        <v>1412</v>
      </c>
    </row>
    <row r="101" customFormat="false" ht="15" hidden="false" customHeight="false" outlineLevel="0" collapsed="false">
      <c r="A101" s="6" t="s">
        <v>977</v>
      </c>
      <c r="N101" s="12" t="n">
        <v>0</v>
      </c>
    </row>
    <row r="102" customFormat="false" ht="15" hidden="false" customHeight="false" outlineLevel="0" collapsed="false">
      <c r="A102" s="6" t="s">
        <v>342</v>
      </c>
      <c r="B102" s="12" t="n">
        <v>124.22</v>
      </c>
      <c r="C102" s="12" t="n">
        <v>145.21</v>
      </c>
      <c r="D102" s="12" t="n">
        <v>132.52</v>
      </c>
      <c r="E102" s="12" t="n">
        <v>132.49</v>
      </c>
      <c r="F102" s="12" t="n">
        <v>315.4</v>
      </c>
      <c r="G102" s="12" t="n">
        <v>581</v>
      </c>
      <c r="H102" s="12" t="n">
        <v>1142.13</v>
      </c>
      <c r="I102" s="12" t="n">
        <v>1945.08</v>
      </c>
      <c r="J102" s="12" t="n">
        <v>2675.22</v>
      </c>
      <c r="K102" s="12" t="n">
        <v>4110.22</v>
      </c>
      <c r="L102" s="12" t="n">
        <v>4537.97</v>
      </c>
      <c r="M102" s="12" t="n">
        <v>4720.96</v>
      </c>
      <c r="N102" s="12" t="n">
        <v>6046.93</v>
      </c>
      <c r="O102" s="12" t="n">
        <v>6378.31</v>
      </c>
      <c r="P102" s="12" t="n">
        <v>8008.95</v>
      </c>
      <c r="Q102" s="12" t="n">
        <v>4004.47</v>
      </c>
      <c r="R102" s="12" t="n">
        <v>5727.61</v>
      </c>
    </row>
    <row r="103" customFormat="false" ht="15" hidden="false" customHeight="false" outlineLevel="0" collapsed="false">
      <c r="A103" s="6" t="s">
        <v>343</v>
      </c>
      <c r="B103" s="12" t="n">
        <v>234.79</v>
      </c>
      <c r="C103" s="12" t="n">
        <v>588.79</v>
      </c>
      <c r="D103" s="12" t="n">
        <v>675.72</v>
      </c>
      <c r="E103" s="12" t="n">
        <v>953.6</v>
      </c>
      <c r="F103" s="12" t="n">
        <v>1419.15</v>
      </c>
      <c r="G103" s="12" t="n">
        <v>979.48</v>
      </c>
      <c r="H103" s="12" t="n">
        <v>989.44</v>
      </c>
      <c r="I103" s="12" t="n">
        <v>972.76</v>
      </c>
      <c r="J103" s="12" t="n">
        <v>1214.21</v>
      </c>
      <c r="K103" s="12" t="n">
        <v>2402.86</v>
      </c>
      <c r="L103" s="12" t="n">
        <v>3437.19</v>
      </c>
      <c r="M103" s="12" t="n">
        <v>4885.34</v>
      </c>
      <c r="N103" s="12" t="n">
        <v>4978.96</v>
      </c>
      <c r="O103" s="12" t="n">
        <v>2253.59</v>
      </c>
      <c r="P103" s="12" t="n">
        <v>7501.4</v>
      </c>
      <c r="Q103" s="12" t="n">
        <v>4893.65</v>
      </c>
      <c r="R103" s="12" t="n">
        <v>6184.69</v>
      </c>
    </row>
    <row r="104" customFormat="false" ht="15" hidden="false" customHeight="false" outlineLevel="0" collapsed="false">
      <c r="A104" s="6" t="s">
        <v>978</v>
      </c>
      <c r="B104" s="12" t="n">
        <v>6.91</v>
      </c>
      <c r="C104" s="12" t="n">
        <v>7.1</v>
      </c>
      <c r="D104" s="12" t="n">
        <v>4.38</v>
      </c>
      <c r="E104" s="12" t="n">
        <v>2004.73</v>
      </c>
      <c r="F104" s="12" t="n">
        <v>5207.66</v>
      </c>
      <c r="G104" s="12" t="n">
        <v>8946.6</v>
      </c>
      <c r="H104" s="12" t="n">
        <v>8339.32</v>
      </c>
      <c r="I104" s="12" t="n">
        <v>4526.73</v>
      </c>
      <c r="J104" s="12" t="n">
        <v>1254.9</v>
      </c>
      <c r="K104" s="12" t="n">
        <v>1125.02</v>
      </c>
      <c r="L104" s="12" t="n">
        <v>2962.3</v>
      </c>
      <c r="M104" s="12" t="n">
        <v>2800.6</v>
      </c>
      <c r="N104" s="12" t="n">
        <v>3083.99</v>
      </c>
      <c r="O104" s="12" t="n">
        <v>486.16</v>
      </c>
      <c r="P104" s="12" t="n">
        <v>9965.28</v>
      </c>
      <c r="Q104" s="12" t="n">
        <v>2684.85</v>
      </c>
      <c r="R104" s="12" t="n">
        <v>9855.15</v>
      </c>
    </row>
    <row r="105" customFormat="false" ht="15" hidden="false" customHeight="false" outlineLevel="0" collapsed="false">
      <c r="A105" s="6" t="s">
        <v>979</v>
      </c>
      <c r="N105" s="12" t="n">
        <v>0</v>
      </c>
      <c r="Q105" s="12" t="n">
        <v>0</v>
      </c>
      <c r="R105" s="12" t="n">
        <v>0</v>
      </c>
    </row>
    <row r="106" customFormat="false" ht="15" hidden="false" customHeight="false" outlineLevel="0" collapsed="false">
      <c r="A106" s="6" t="s">
        <v>980</v>
      </c>
      <c r="N106" s="12" t="n">
        <v>0</v>
      </c>
      <c r="Q106" s="12" t="n">
        <v>120</v>
      </c>
      <c r="R106" s="12" t="n">
        <v>1180.66</v>
      </c>
    </row>
    <row r="107" customFormat="false" ht="15" hidden="false" customHeight="false" outlineLevel="0" collapsed="false">
      <c r="A107" s="6" t="s">
        <v>344</v>
      </c>
      <c r="B107" s="12" t="n">
        <v>6.91</v>
      </c>
      <c r="C107" s="12" t="n">
        <v>7.1</v>
      </c>
      <c r="D107" s="12" t="n">
        <v>4.38</v>
      </c>
      <c r="E107" s="12" t="n">
        <v>2004.73</v>
      </c>
      <c r="F107" s="12" t="n">
        <v>5207.66</v>
      </c>
      <c r="G107" s="12" t="n">
        <v>8946.6</v>
      </c>
      <c r="H107" s="12" t="n">
        <v>8339.32</v>
      </c>
      <c r="I107" s="12" t="n">
        <v>4526.73</v>
      </c>
      <c r="J107" s="12" t="n">
        <v>1254.9</v>
      </c>
      <c r="K107" s="12" t="n">
        <v>1125.02</v>
      </c>
      <c r="L107" s="12" t="n">
        <v>2962.3</v>
      </c>
      <c r="M107" s="12" t="n">
        <v>2800.6</v>
      </c>
      <c r="N107" s="12" t="n">
        <v>3083.99</v>
      </c>
      <c r="O107" s="12" t="n">
        <v>486.16</v>
      </c>
      <c r="P107" s="12" t="n">
        <v>9965.28</v>
      </c>
      <c r="Q107" s="12" t="n">
        <v>2564.85</v>
      </c>
      <c r="R107" s="12" t="n">
        <v>8674.49</v>
      </c>
    </row>
    <row r="108" customFormat="false" ht="15" hidden="false" customHeight="false" outlineLevel="0" collapsed="false">
      <c r="A108" s="6" t="s">
        <v>981</v>
      </c>
      <c r="N108" s="12" t="n">
        <v>0</v>
      </c>
    </row>
    <row r="109" customFormat="false" ht="15" hidden="false" customHeight="false" outlineLevel="0" collapsed="false">
      <c r="A109" s="6" t="s">
        <v>400</v>
      </c>
      <c r="B109" s="12" t="n">
        <v>1000</v>
      </c>
      <c r="F109" s="12" t="n">
        <v>0.24</v>
      </c>
      <c r="L109" s="12" t="n">
        <v>178.33</v>
      </c>
      <c r="M109" s="12" t="n">
        <v>373.49</v>
      </c>
      <c r="N109" s="12" t="n">
        <v>3856.81</v>
      </c>
      <c r="O109" s="12" t="n">
        <v>14995.92</v>
      </c>
      <c r="P109" s="12" t="n">
        <v>503.56</v>
      </c>
      <c r="Q109" s="12" t="n">
        <v>12160.92</v>
      </c>
      <c r="R109" s="12" t="n">
        <v>15221.39</v>
      </c>
    </row>
    <row r="110" customFormat="false" ht="15" hidden="false" customHeight="false" outlineLevel="0" collapsed="false">
      <c r="A110" s="6" t="s">
        <v>345</v>
      </c>
      <c r="K110" s="12" t="n">
        <v>283.93</v>
      </c>
      <c r="L110" s="12" t="n">
        <v>5642.39</v>
      </c>
      <c r="M110" s="12" t="n">
        <v>5204.26</v>
      </c>
      <c r="N110" s="12" t="n">
        <v>9466.58</v>
      </c>
      <c r="O110" s="12" t="n">
        <v>6876.63</v>
      </c>
      <c r="P110" s="12" t="n">
        <v>8821.23</v>
      </c>
      <c r="Q110" s="12" t="n">
        <v>8222.8</v>
      </c>
      <c r="R110" s="12" t="n">
        <v>8709.03</v>
      </c>
    </row>
    <row r="111" customFormat="false" ht="15" hidden="false" customHeight="false" outlineLevel="0" collapsed="false">
      <c r="A111" s="6" t="s">
        <v>982</v>
      </c>
      <c r="N111" s="12" t="n">
        <v>0</v>
      </c>
    </row>
    <row r="112" customFormat="false" ht="15" hidden="false" customHeight="false" outlineLevel="0" collapsed="false">
      <c r="A112" s="6" t="s">
        <v>508</v>
      </c>
      <c r="B112" s="12" t="n">
        <v>9810.15</v>
      </c>
      <c r="C112" s="12" t="n">
        <v>11718.75</v>
      </c>
      <c r="D112" s="12" t="n">
        <v>7786.1</v>
      </c>
      <c r="E112" s="12" t="n">
        <v>8018.04</v>
      </c>
      <c r="F112" s="12" t="n">
        <v>11672.22</v>
      </c>
      <c r="G112" s="12" t="n">
        <v>18192.62</v>
      </c>
      <c r="H112" s="12" t="n">
        <v>23498.42</v>
      </c>
      <c r="I112" s="12" t="n">
        <v>30699.23</v>
      </c>
      <c r="J112" s="12" t="n">
        <v>20456.51</v>
      </c>
      <c r="K112" s="12" t="n">
        <v>35546.15</v>
      </c>
      <c r="L112" s="12" t="n">
        <v>49240.17</v>
      </c>
      <c r="M112" s="12" t="n">
        <v>65014.61</v>
      </c>
      <c r="N112" s="12" t="n">
        <v>105487.52</v>
      </c>
      <c r="O112" s="12" t="n">
        <v>83100.19</v>
      </c>
      <c r="P112" s="12" t="n">
        <v>110843.38</v>
      </c>
      <c r="Q112" s="12" t="n">
        <v>100914.85</v>
      </c>
      <c r="R112" s="12" t="n">
        <v>133898.34</v>
      </c>
    </row>
    <row r="113" customFormat="false" ht="15" hidden="false" customHeight="false" outlineLevel="0" collapsed="false">
      <c r="A113" s="4" t="s">
        <v>983</v>
      </c>
    </row>
    <row r="114" customFormat="false" ht="15" hidden="false" customHeight="false" outlineLevel="0" collapsed="false">
      <c r="A114" s="6" t="s">
        <v>401</v>
      </c>
      <c r="M114" s="12" t="n">
        <v>3297.18</v>
      </c>
      <c r="N114" s="12" t="n">
        <v>11351.95</v>
      </c>
      <c r="O114" s="12" t="n">
        <v>6901.2</v>
      </c>
      <c r="P114" s="12" t="n">
        <v>14850</v>
      </c>
      <c r="Q114" s="12" t="n">
        <v>18539.44</v>
      </c>
      <c r="R114" s="12" t="n">
        <v>2867.78</v>
      </c>
    </row>
    <row r="115" customFormat="false" ht="15" hidden="false" customHeight="false" outlineLevel="0" collapsed="false">
      <c r="A115" s="6" t="s">
        <v>510</v>
      </c>
      <c r="L115" s="12" t="n">
        <v>599.7</v>
      </c>
      <c r="M115" s="12" t="n">
        <v>430.74</v>
      </c>
      <c r="N115" s="12" t="n">
        <v>883.91</v>
      </c>
      <c r="O115" s="12" t="n">
        <v>509.76</v>
      </c>
      <c r="P115" s="12" t="n">
        <v>182.59</v>
      </c>
      <c r="Q115" s="12" t="n">
        <v>305.45</v>
      </c>
      <c r="R115" s="12" t="n">
        <v>102.11</v>
      </c>
    </row>
    <row r="116" customFormat="false" ht="15" hidden="false" customHeight="false" outlineLevel="0" collapsed="false">
      <c r="A116" s="6" t="s">
        <v>984</v>
      </c>
      <c r="B116" s="12" t="n">
        <v>1042.09</v>
      </c>
      <c r="C116" s="12" t="n">
        <v>1031.1</v>
      </c>
      <c r="D116" s="12" t="n">
        <v>1020.12</v>
      </c>
      <c r="E116" s="12" t="n">
        <v>1530</v>
      </c>
      <c r="F116" s="12" t="n">
        <v>2030</v>
      </c>
      <c r="G116" s="12" t="n">
        <v>2432.55</v>
      </c>
      <c r="H116" s="12" t="n">
        <v>1000</v>
      </c>
      <c r="I116" s="12" t="n">
        <v>1139</v>
      </c>
      <c r="J116" s="12" t="n">
        <v>3128</v>
      </c>
      <c r="K116" s="12" t="n">
        <v>2534</v>
      </c>
      <c r="L116" s="12" t="n">
        <v>2740</v>
      </c>
      <c r="M116" s="12" t="n">
        <v>2740</v>
      </c>
      <c r="N116" s="12" t="n">
        <v>1000</v>
      </c>
      <c r="O116" s="12" t="n">
        <v>1000</v>
      </c>
      <c r="P116" s="12" t="n">
        <v>1000</v>
      </c>
      <c r="Q116" s="12" t="n">
        <v>1000</v>
      </c>
      <c r="R116" s="12" t="n">
        <v>1000</v>
      </c>
    </row>
    <row r="117" customFormat="false" ht="15" hidden="false" customHeight="false" outlineLevel="0" collapsed="false">
      <c r="A117" s="6" t="s">
        <v>985</v>
      </c>
      <c r="B117" s="12" t="n">
        <v>42.09</v>
      </c>
      <c r="C117" s="12" t="n">
        <v>31.1</v>
      </c>
      <c r="D117" s="12" t="n">
        <v>20.12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 customFormat="false" ht="15" hidden="false" customHeight="false" outlineLevel="0" collapsed="false">
      <c r="A118" s="6" t="s">
        <v>986</v>
      </c>
      <c r="B118" s="12" t="n">
        <v>1000</v>
      </c>
      <c r="C118" s="12" t="n">
        <v>1000</v>
      </c>
      <c r="D118" s="12" t="n">
        <v>1000</v>
      </c>
      <c r="E118" s="12" t="n">
        <v>1530</v>
      </c>
      <c r="F118" s="12" t="n">
        <v>2030</v>
      </c>
      <c r="G118" s="12" t="n">
        <v>2432.55</v>
      </c>
      <c r="H118" s="12" t="n">
        <v>1000</v>
      </c>
      <c r="I118" s="12" t="n">
        <v>1139</v>
      </c>
      <c r="J118" s="12" t="n">
        <v>3128</v>
      </c>
      <c r="K118" s="12" t="n">
        <v>2534</v>
      </c>
      <c r="L118" s="12" t="n">
        <v>2740</v>
      </c>
      <c r="M118" s="12" t="n">
        <v>2740</v>
      </c>
      <c r="N118" s="12" t="n">
        <v>1000</v>
      </c>
      <c r="O118" s="12" t="n">
        <v>1000</v>
      </c>
      <c r="P118" s="12" t="n">
        <v>1000</v>
      </c>
      <c r="Q118" s="12" t="n">
        <v>1000</v>
      </c>
      <c r="R118" s="12" t="n">
        <v>1000</v>
      </c>
    </row>
    <row r="119" customFormat="false" ht="15" hidden="false" customHeight="false" outlineLevel="0" collapsed="false">
      <c r="A119" s="6" t="s">
        <v>987</v>
      </c>
      <c r="E119" s="12" t="n">
        <v>10.18</v>
      </c>
    </row>
    <row r="120" customFormat="false" ht="15" hidden="false" customHeight="false" outlineLevel="0" collapsed="false">
      <c r="A120" s="6" t="s">
        <v>512</v>
      </c>
      <c r="G120" s="12" t="n">
        <v>8.85</v>
      </c>
      <c r="H120" s="12" t="n">
        <v>0.03</v>
      </c>
      <c r="I120" s="12" t="n">
        <v>857.06</v>
      </c>
      <c r="J120" s="12" t="n">
        <v>1143.87</v>
      </c>
      <c r="K120" s="12" t="n">
        <v>2231.26</v>
      </c>
      <c r="L120" s="12" t="n">
        <v>4189.22</v>
      </c>
      <c r="M120" s="12" t="n">
        <v>7004.43</v>
      </c>
      <c r="N120" s="12" t="n">
        <v>6781</v>
      </c>
      <c r="O120" s="12" t="n">
        <v>6780.76</v>
      </c>
      <c r="P120" s="12" t="n">
        <v>7378.69</v>
      </c>
      <c r="Q120" s="12" t="n">
        <v>6233.12</v>
      </c>
      <c r="R120" s="12" t="n">
        <v>6656.68</v>
      </c>
    </row>
    <row r="121" customFormat="false" ht="15" hidden="false" customHeight="false" outlineLevel="0" collapsed="false">
      <c r="A121" s="6" t="s">
        <v>988</v>
      </c>
      <c r="E121" s="12" t="n">
        <v>1305.96</v>
      </c>
      <c r="F121" s="12" t="n">
        <v>1069.12</v>
      </c>
      <c r="G121" s="12" t="n">
        <v>1242.15</v>
      </c>
      <c r="H121" s="12" t="n">
        <v>1171.56</v>
      </c>
      <c r="I121" s="12" t="n">
        <v>1122.79</v>
      </c>
      <c r="J121" s="12" t="n">
        <v>1059.35</v>
      </c>
      <c r="K121" s="12" t="n">
        <v>1486.7</v>
      </c>
      <c r="L121" s="12" t="n">
        <v>2508.9</v>
      </c>
      <c r="M121" s="12" t="n">
        <v>6109.24</v>
      </c>
      <c r="N121" s="12" t="n">
        <v>15871.79</v>
      </c>
      <c r="O121" s="12" t="n">
        <v>16081.74</v>
      </c>
      <c r="P121" s="12" t="n">
        <v>23122.01</v>
      </c>
      <c r="Q121" s="12" t="n">
        <v>18587.46</v>
      </c>
      <c r="R121" s="12" t="n">
        <v>26685.28</v>
      </c>
    </row>
    <row r="122" customFormat="false" ht="15" hidden="false" customHeight="false" outlineLevel="0" collapsed="false">
      <c r="A122" s="6" t="s">
        <v>515</v>
      </c>
      <c r="B122" s="12" t="n">
        <v>1050</v>
      </c>
      <c r="C122" s="12" t="n">
        <v>1532.41</v>
      </c>
      <c r="D122" s="12" t="n">
        <v>1308.69</v>
      </c>
    </row>
    <row r="123" customFormat="false" ht="15" hidden="false" customHeight="false" outlineLevel="0" collapsed="false">
      <c r="A123" s="6" t="s">
        <v>516</v>
      </c>
      <c r="B123" s="12" t="n">
        <v>2092.09</v>
      </c>
      <c r="C123" s="12" t="n">
        <v>2563.5</v>
      </c>
      <c r="D123" s="12" t="n">
        <v>2328.81</v>
      </c>
      <c r="E123" s="12" t="n">
        <v>2846.15</v>
      </c>
      <c r="F123" s="12" t="n">
        <v>3099.12</v>
      </c>
      <c r="G123" s="12" t="n">
        <v>3683.55</v>
      </c>
      <c r="H123" s="12" t="n">
        <v>2171.59</v>
      </c>
      <c r="I123" s="12" t="n">
        <v>3118.85</v>
      </c>
      <c r="J123" s="12" t="n">
        <v>5331.23</v>
      </c>
      <c r="K123" s="12" t="n">
        <v>6251.96</v>
      </c>
      <c r="L123" s="12" t="n">
        <v>10037.82</v>
      </c>
      <c r="M123" s="12" t="n">
        <v>19581.59</v>
      </c>
      <c r="N123" s="12" t="n">
        <v>35888.66</v>
      </c>
      <c r="O123" s="12" t="n">
        <v>31273.47</v>
      </c>
      <c r="P123" s="12" t="n">
        <v>46533.29</v>
      </c>
      <c r="Q123" s="12" t="n">
        <v>44665.48</v>
      </c>
      <c r="R123" s="12" t="n">
        <v>37311.84</v>
      </c>
    </row>
    <row r="124" customFormat="false" ht="15" hidden="false" customHeight="false" outlineLevel="0" collapsed="false">
      <c r="A124" s="6" t="s">
        <v>517</v>
      </c>
      <c r="B124" s="12" t="n">
        <v>11902.24</v>
      </c>
      <c r="C124" s="12" t="n">
        <v>14282.25</v>
      </c>
      <c r="D124" s="12" t="n">
        <v>10114.91</v>
      </c>
      <c r="E124" s="12" t="n">
        <v>10864.19</v>
      </c>
      <c r="F124" s="12" t="n">
        <v>14771.34</v>
      </c>
      <c r="G124" s="12" t="n">
        <v>21876.17</v>
      </c>
      <c r="H124" s="12" t="n">
        <v>25670.01</v>
      </c>
      <c r="I124" s="12" t="n">
        <v>33818.07</v>
      </c>
      <c r="J124" s="12" t="n">
        <v>25787.74</v>
      </c>
      <c r="K124" s="12" t="n">
        <v>41798.11</v>
      </c>
      <c r="L124" s="12" t="n">
        <v>59277.99</v>
      </c>
      <c r="M124" s="12" t="n">
        <v>84596.2</v>
      </c>
      <c r="N124" s="12" t="n">
        <v>141376.18</v>
      </c>
      <c r="O124" s="12" t="n">
        <v>114373.66</v>
      </c>
      <c r="P124" s="12" t="n">
        <v>157376.67</v>
      </c>
      <c r="Q124" s="12" t="n">
        <v>145580.33</v>
      </c>
      <c r="R124" s="12" t="n">
        <v>171210.18</v>
      </c>
    </row>
    <row r="125" customFormat="false" ht="15" hidden="false" customHeight="false" outlineLevel="0" collapsed="false">
      <c r="A125" s="4" t="s">
        <v>989</v>
      </c>
    </row>
    <row r="126" customFormat="false" ht="15" hidden="false" customHeight="false" outlineLevel="0" collapsed="false">
      <c r="A126" s="6" t="s">
        <v>990</v>
      </c>
      <c r="B126" s="12" t="n">
        <v>4840</v>
      </c>
      <c r="C126" s="12" t="n">
        <v>4840</v>
      </c>
      <c r="D126" s="12" t="n">
        <v>4840</v>
      </c>
      <c r="E126" s="12" t="n">
        <v>6460</v>
      </c>
      <c r="F126" s="12" t="n">
        <v>13100</v>
      </c>
      <c r="G126" s="12" t="n">
        <v>19680</v>
      </c>
      <c r="H126" s="12" t="n">
        <v>29922.3</v>
      </c>
      <c r="I126" s="12" t="n">
        <v>29959.9</v>
      </c>
      <c r="J126" s="12" t="n">
        <v>33804.63</v>
      </c>
      <c r="K126" s="12" t="n">
        <v>33794.88</v>
      </c>
      <c r="L126" s="12" t="n">
        <v>33794.88</v>
      </c>
      <c r="M126" s="12" t="n">
        <v>50692.33</v>
      </c>
      <c r="N126" s="12" t="n">
        <v>51982.3</v>
      </c>
      <c r="O126" s="12" t="n">
        <v>52226.77</v>
      </c>
      <c r="P126" s="12" t="n">
        <v>52226.77</v>
      </c>
      <c r="Q126" s="12" t="n">
        <v>52226.77</v>
      </c>
      <c r="R126" s="12" t="n">
        <v>52572.71</v>
      </c>
    </row>
    <row r="127" customFormat="false" ht="15" hidden="false" customHeight="false" outlineLevel="0" collapsed="false">
      <c r="A127" s="6" t="s">
        <v>520</v>
      </c>
      <c r="B127" s="12" t="n">
        <v>4388.77</v>
      </c>
      <c r="C127" s="12" t="n">
        <v>4388.77</v>
      </c>
      <c r="D127" s="12" t="n">
        <v>4388.77</v>
      </c>
      <c r="E127" s="12" t="n">
        <v>29822.82</v>
      </c>
      <c r="F127" s="12" t="n">
        <v>25903.29</v>
      </c>
      <c r="G127" s="12" t="n">
        <v>20814.75</v>
      </c>
      <c r="H127" s="12" t="n">
        <v>14656.38</v>
      </c>
      <c r="I127" s="12" t="n">
        <v>16160.81</v>
      </c>
      <c r="J127" s="12" t="n">
        <v>81805.93</v>
      </c>
      <c r="K127" s="12" t="n">
        <v>82463.86</v>
      </c>
      <c r="L127" s="12" t="n">
        <v>88834.8</v>
      </c>
      <c r="M127" s="12" t="n">
        <v>85183.25</v>
      </c>
      <c r="N127" s="12" t="n">
        <v>131328.25</v>
      </c>
      <c r="O127" s="12" t="n">
        <v>136424.54</v>
      </c>
      <c r="P127" s="12" t="n">
        <v>150044.91</v>
      </c>
      <c r="Q127" s="12" t="n">
        <v>137173.7</v>
      </c>
      <c r="R127" s="12" t="n">
        <v>181228.19</v>
      </c>
    </row>
    <row r="128" customFormat="false" ht="15" hidden="false" customHeight="false" outlineLevel="0" collapsed="false">
      <c r="A128" s="6" t="s">
        <v>521</v>
      </c>
      <c r="F128" s="12" t="n">
        <v>2453.4</v>
      </c>
      <c r="G128" s="12" t="n">
        <v>1841.94</v>
      </c>
      <c r="H128" s="12" t="n">
        <v>4129.17</v>
      </c>
      <c r="I128" s="12" t="n">
        <v>2255.88</v>
      </c>
      <c r="J128" s="12" t="n">
        <v>1028.38</v>
      </c>
      <c r="K128" s="12" t="n">
        <v>931.32</v>
      </c>
      <c r="O128" s="12" t="n">
        <v>5010.12</v>
      </c>
      <c r="P128" s="12" t="n">
        <v>6311.99</v>
      </c>
      <c r="Q128" s="12" t="n">
        <v>5010.12</v>
      </c>
      <c r="R128" s="12" t="n">
        <v>6311.99</v>
      </c>
    </row>
    <row r="129" customFormat="false" ht="15" hidden="false" customHeight="false" outlineLevel="0" collapsed="false">
      <c r="A129" s="6" t="s">
        <v>522</v>
      </c>
      <c r="R129" s="12" t="n">
        <v>-1.43</v>
      </c>
    </row>
    <row r="130" customFormat="false" ht="15" hidden="false" customHeight="false" outlineLevel="0" collapsed="false">
      <c r="A130" s="6" t="s">
        <v>523</v>
      </c>
      <c r="B130" s="12" t="n">
        <v>1701.46</v>
      </c>
      <c r="C130" s="12" t="n">
        <v>2315.26</v>
      </c>
      <c r="D130" s="12" t="n">
        <v>2994.01</v>
      </c>
      <c r="E130" s="12" t="n">
        <v>3669</v>
      </c>
      <c r="F130" s="12" t="n">
        <v>4481.46</v>
      </c>
      <c r="G130" s="12" t="n">
        <v>5394.08</v>
      </c>
      <c r="H130" s="12" t="n">
        <v>6388.19</v>
      </c>
      <c r="I130" s="12" t="n">
        <v>7662.35</v>
      </c>
      <c r="J130" s="12" t="n">
        <v>9099.78</v>
      </c>
      <c r="K130" s="12" t="n">
        <v>11068.07</v>
      </c>
      <c r="L130" s="12" t="n">
        <v>14248.82</v>
      </c>
      <c r="M130" s="12" t="n">
        <v>18249.29</v>
      </c>
      <c r="N130" s="12" t="n">
        <v>22507.46</v>
      </c>
      <c r="O130" s="12" t="n">
        <v>24850.49</v>
      </c>
      <c r="P130" s="12" t="n">
        <v>26113.38</v>
      </c>
      <c r="Q130" s="12" t="n">
        <v>24850.49</v>
      </c>
      <c r="R130" s="12" t="n">
        <v>26286.35</v>
      </c>
    </row>
    <row r="131" customFormat="false" ht="15" hidden="false" customHeight="false" outlineLevel="0" collapsed="false">
      <c r="A131" s="6" t="s">
        <v>525</v>
      </c>
      <c r="B131" s="12" t="n">
        <v>10459.06</v>
      </c>
      <c r="C131" s="12" t="n">
        <v>14832.43</v>
      </c>
      <c r="D131" s="12" t="n">
        <v>19858.33</v>
      </c>
      <c r="E131" s="12" t="n">
        <v>24936.31</v>
      </c>
      <c r="F131" s="12" t="n">
        <v>30926.65</v>
      </c>
      <c r="G131" s="12" t="n">
        <v>37542.14</v>
      </c>
      <c r="H131" s="12" t="n">
        <v>43806.4</v>
      </c>
      <c r="I131" s="12" t="n">
        <v>54168.03</v>
      </c>
      <c r="J131" s="12" t="n">
        <v>65900.41</v>
      </c>
      <c r="K131" s="12" t="n">
        <v>81663.6</v>
      </c>
      <c r="L131" s="12" t="n">
        <v>109411.81</v>
      </c>
      <c r="M131" s="12" t="n">
        <v>146512.38</v>
      </c>
      <c r="N131" s="12" t="n">
        <v>186216.97</v>
      </c>
      <c r="O131" s="12" t="n">
        <v>204391.44</v>
      </c>
      <c r="P131" s="12" t="n">
        <v>240679.2</v>
      </c>
      <c r="Q131" s="12" t="n">
        <v>219795.9</v>
      </c>
      <c r="R131" s="12" t="n">
        <v>269984.2</v>
      </c>
    </row>
    <row r="132" customFormat="false" ht="15" hidden="false" customHeight="false" outlineLevel="0" collapsed="false">
      <c r="A132" s="6" t="s">
        <v>991</v>
      </c>
      <c r="B132" s="12" t="n">
        <v>21389.28</v>
      </c>
      <c r="C132" s="12" t="n">
        <v>26376.46</v>
      </c>
      <c r="D132" s="12" t="n">
        <v>32081.11</v>
      </c>
      <c r="E132" s="12" t="n">
        <v>64888.13</v>
      </c>
      <c r="F132" s="12" t="n">
        <v>71958</v>
      </c>
      <c r="G132" s="12" t="n">
        <v>81589.03</v>
      </c>
      <c r="H132" s="12" t="n">
        <v>90644.09</v>
      </c>
      <c r="I132" s="12" t="n">
        <v>105695.2</v>
      </c>
      <c r="J132" s="12" t="n">
        <v>189582.37</v>
      </c>
      <c r="K132" s="12" t="n">
        <v>208059.1</v>
      </c>
      <c r="L132" s="12" t="n">
        <v>246290.31</v>
      </c>
      <c r="M132" s="12" t="n">
        <v>300637.25</v>
      </c>
      <c r="N132" s="12" t="n">
        <v>392034.98</v>
      </c>
      <c r="O132" s="12" t="n">
        <v>412883.11</v>
      </c>
      <c r="P132" s="12" t="n">
        <v>462752.26</v>
      </c>
      <c r="Q132" s="12" t="n">
        <v>429036.72</v>
      </c>
      <c r="R132" s="12" t="n">
        <v>523758.02</v>
      </c>
    </row>
    <row r="133" customFormat="false" ht="15" hidden="false" customHeight="false" outlineLevel="0" collapsed="false">
      <c r="A133" s="6" t="s">
        <v>527</v>
      </c>
      <c r="G133" s="12" t="n">
        <v>57.54</v>
      </c>
      <c r="H133" s="12" t="n">
        <v>160.3</v>
      </c>
      <c r="I133" s="12" t="n">
        <v>197.06</v>
      </c>
      <c r="J133" s="12" t="n">
        <v>783.64</v>
      </c>
      <c r="K133" s="12" t="n">
        <v>782.42</v>
      </c>
      <c r="L133" s="12" t="n">
        <v>19680.32</v>
      </c>
      <c r="M133" s="12" t="n">
        <v>47182.02</v>
      </c>
      <c r="N133" s="12" t="n">
        <v>58090.15</v>
      </c>
      <c r="O133" s="12" t="n">
        <v>81835.65</v>
      </c>
      <c r="P133" s="12" t="n">
        <v>116188.5</v>
      </c>
      <c r="Q133" s="12" t="n">
        <v>87295.41</v>
      </c>
      <c r="R133" s="12" t="n">
        <v>122051.42</v>
      </c>
    </row>
    <row r="134" customFormat="false" ht="15" hidden="false" customHeight="false" outlineLevel="0" collapsed="false">
      <c r="A134" s="6" t="s">
        <v>992</v>
      </c>
      <c r="B134" s="12" t="n">
        <v>21389.28</v>
      </c>
      <c r="C134" s="12" t="n">
        <v>26376.46</v>
      </c>
      <c r="D134" s="12" t="n">
        <v>32081.11</v>
      </c>
      <c r="E134" s="12" t="n">
        <v>64888.13</v>
      </c>
      <c r="F134" s="12" t="n">
        <v>71958</v>
      </c>
      <c r="G134" s="12" t="n">
        <v>81646.57</v>
      </c>
      <c r="H134" s="12" t="n">
        <v>90804.39</v>
      </c>
      <c r="I134" s="12" t="n">
        <v>105892.27</v>
      </c>
      <c r="J134" s="12" t="n">
        <v>190366.01</v>
      </c>
      <c r="K134" s="12" t="n">
        <v>208841.52</v>
      </c>
      <c r="L134" s="12" t="n">
        <v>265970.63</v>
      </c>
      <c r="M134" s="12" t="n">
        <v>347819.27</v>
      </c>
      <c r="N134" s="12" t="n">
        <v>450125.12</v>
      </c>
      <c r="O134" s="12" t="n">
        <v>494718.76</v>
      </c>
      <c r="P134" s="12" t="n">
        <v>578940.76</v>
      </c>
      <c r="Q134" s="12" t="n">
        <v>516332.13</v>
      </c>
      <c r="R134" s="12" t="n">
        <v>645809.44</v>
      </c>
    </row>
    <row r="135" customFormat="false" ht="15" hidden="false" customHeight="false" outlineLevel="0" collapsed="false">
      <c r="A135" s="6" t="s">
        <v>993</v>
      </c>
      <c r="B135" s="12" t="n">
        <v>33291.52</v>
      </c>
      <c r="C135" s="12" t="n">
        <v>40658.71</v>
      </c>
      <c r="D135" s="12" t="n">
        <v>42196.02</v>
      </c>
      <c r="E135" s="12" t="n">
        <v>75752.32</v>
      </c>
      <c r="F135" s="12" t="n">
        <v>86729.34</v>
      </c>
      <c r="G135" s="12" t="n">
        <v>103522.74</v>
      </c>
      <c r="H135" s="12" t="n">
        <v>116474.4</v>
      </c>
      <c r="I135" s="12" t="n">
        <v>139710.34</v>
      </c>
      <c r="J135" s="12" t="n">
        <v>216153.74</v>
      </c>
      <c r="K135" s="12" t="n">
        <v>250639.63</v>
      </c>
      <c r="L135" s="12" t="n">
        <v>325248.62</v>
      </c>
      <c r="M135" s="12" t="n">
        <v>432415.47</v>
      </c>
      <c r="N135" s="12" t="n">
        <v>591501.3</v>
      </c>
      <c r="O135" s="12" t="n">
        <v>609092.42</v>
      </c>
      <c r="P135" s="12" t="n">
        <v>736317.43</v>
      </c>
      <c r="Q135" s="12" t="n">
        <v>661912.46</v>
      </c>
      <c r="R135" s="12" t="n">
        <v>817019.63</v>
      </c>
    </row>
    <row r="136" customFormat="false" ht="15" hidden="false" customHeight="false" outlineLevel="0" collapsed="false">
      <c r="A136" s="4" t="s">
        <v>946</v>
      </c>
    </row>
    <row r="139" customFormat="false" ht="15" hidden="false" customHeight="false" outlineLevel="0" collapsed="false">
      <c r="A139" s="4" t="s">
        <v>994</v>
      </c>
      <c r="B139" s="5" t="s">
        <v>917</v>
      </c>
      <c r="C139" s="5" t="s">
        <v>918</v>
      </c>
      <c r="D139" s="5" t="s">
        <v>919</v>
      </c>
      <c r="E139" s="5" t="s">
        <v>920</v>
      </c>
      <c r="F139" s="5" t="s">
        <v>921</v>
      </c>
      <c r="G139" s="5" t="s">
        <v>922</v>
      </c>
      <c r="H139" s="5" t="s">
        <v>923</v>
      </c>
      <c r="I139" s="5" t="s">
        <v>924</v>
      </c>
      <c r="J139" s="5" t="s">
        <v>925</v>
      </c>
      <c r="K139" s="5" t="s">
        <v>85</v>
      </c>
      <c r="L139" s="5" t="s">
        <v>86</v>
      </c>
      <c r="M139" s="5" t="s">
        <v>87</v>
      </c>
      <c r="N139" s="5" t="s">
        <v>88</v>
      </c>
      <c r="O139" s="5" t="s">
        <v>89</v>
      </c>
      <c r="P139" s="5" t="s">
        <v>3</v>
      </c>
      <c r="Q139" s="5" t="s">
        <v>926</v>
      </c>
      <c r="R139" s="5" t="s">
        <v>927</v>
      </c>
    </row>
    <row r="140" customFormat="false" ht="15" hidden="false" customHeight="false" outlineLevel="0" collapsed="false">
      <c r="A140" s="4" t="s">
        <v>995</v>
      </c>
    </row>
    <row r="141" customFormat="false" ht="15" hidden="false" customHeight="false" outlineLevel="0" collapsed="false">
      <c r="A141" s="6" t="s">
        <v>996</v>
      </c>
      <c r="B141" s="12" t="n">
        <v>22247.21</v>
      </c>
      <c r="C141" s="12" t="n">
        <v>25544.11</v>
      </c>
      <c r="D141" s="12" t="n">
        <v>20750.74</v>
      </c>
      <c r="E141" s="12" t="n">
        <v>21086.12</v>
      </c>
      <c r="F141" s="12" t="n">
        <v>28199.23</v>
      </c>
      <c r="G141" s="12" t="n">
        <v>36971.1</v>
      </c>
      <c r="H141" s="12" t="n">
        <v>43157.97</v>
      </c>
      <c r="I141" s="12" t="n">
        <v>55857.93</v>
      </c>
      <c r="J141" s="12" t="n">
        <v>67901.49</v>
      </c>
      <c r="K141" s="12" t="n">
        <v>70521.27</v>
      </c>
      <c r="L141" s="12" t="n">
        <v>93530.81</v>
      </c>
      <c r="M141" s="12" t="n">
        <v>128745.73</v>
      </c>
      <c r="N141" s="12" t="n">
        <v>129332.91</v>
      </c>
      <c r="O141" s="12" t="n">
        <v>139009.78</v>
      </c>
      <c r="P141" s="12" t="n">
        <v>160288.53</v>
      </c>
      <c r="Q141" s="12" t="n">
        <v>75362.58</v>
      </c>
      <c r="R141" s="12" t="n">
        <v>87188.74</v>
      </c>
    </row>
    <row r="142" customFormat="false" ht="15" hidden="false" customHeight="false" outlineLevel="0" collapsed="false">
      <c r="A142" s="6" t="s">
        <v>997</v>
      </c>
      <c r="B142" s="12" t="n">
        <v>43.16</v>
      </c>
      <c r="C142" s="12" t="n">
        <v>650.61</v>
      </c>
      <c r="G142" s="12" t="n">
        <v>825.46</v>
      </c>
      <c r="H142" s="12" t="n">
        <v>13.13</v>
      </c>
      <c r="J142" s="12" t="n">
        <v>490.92</v>
      </c>
      <c r="K142" s="12" t="n">
        <v>791.94</v>
      </c>
      <c r="L142" s="12" t="n">
        <v>1376.07</v>
      </c>
      <c r="M142" s="12" t="n">
        <v>2679.29</v>
      </c>
      <c r="N142" s="12" t="n">
        <v>2916.51</v>
      </c>
      <c r="O142" s="12" t="n">
        <v>3958.88</v>
      </c>
      <c r="P142" s="12" t="n">
        <v>7879.69</v>
      </c>
      <c r="Q142" s="12" t="n">
        <v>3775.28</v>
      </c>
      <c r="R142" s="12" t="n">
        <v>2349.34</v>
      </c>
    </row>
    <row r="143" customFormat="false" ht="15" hidden="false" customHeight="false" outlineLevel="0" collapsed="false">
      <c r="A143" s="6" t="s">
        <v>998</v>
      </c>
      <c r="B143" s="12" t="n">
        <v>955.51</v>
      </c>
      <c r="C143" s="12" t="n">
        <v>851.52</v>
      </c>
      <c r="D143" s="12" t="n">
        <v>88.48</v>
      </c>
      <c r="E143" s="12" t="n">
        <v>1257.54</v>
      </c>
      <c r="F143" s="12" t="n">
        <v>971.7</v>
      </c>
      <c r="G143" s="12" t="n">
        <v>2350.41</v>
      </c>
      <c r="H143" s="12" t="n">
        <v>1199.22</v>
      </c>
      <c r="I143" s="12" t="n">
        <v>2443.12</v>
      </c>
      <c r="J143" s="12" t="n">
        <v>5684.79</v>
      </c>
      <c r="K143" s="12" t="n">
        <v>2226.22</v>
      </c>
      <c r="L143" s="12" t="n">
        <v>4523.3</v>
      </c>
      <c r="M143" s="12" t="n">
        <v>6440.03</v>
      </c>
      <c r="N143" s="12" t="n">
        <v>14244.49</v>
      </c>
      <c r="O143" s="12" t="n">
        <v>6218.38</v>
      </c>
      <c r="P143" s="12" t="n">
        <v>18995.9</v>
      </c>
      <c r="Q143" s="12" t="n">
        <v>6117.93</v>
      </c>
      <c r="R143" s="12" t="n">
        <v>11011.3</v>
      </c>
    </row>
    <row r="144" customFormat="false" ht="15" hidden="false" customHeight="false" outlineLevel="0" collapsed="false">
      <c r="A144" s="6" t="s">
        <v>999</v>
      </c>
      <c r="I144" s="12" t="n">
        <v>349.42</v>
      </c>
    </row>
    <row r="145" customFormat="false" ht="15" hidden="false" customHeight="false" outlineLevel="0" collapsed="false">
      <c r="A145" s="6" t="s">
        <v>1000</v>
      </c>
      <c r="B145" s="12" t="n">
        <v>23245.89</v>
      </c>
      <c r="C145" s="12" t="n">
        <v>27046.25</v>
      </c>
      <c r="D145" s="12" t="n">
        <v>20839.22</v>
      </c>
      <c r="E145" s="12" t="n">
        <v>22343.66</v>
      </c>
      <c r="F145" s="12" t="n">
        <v>29170.93</v>
      </c>
      <c r="G145" s="12" t="n">
        <v>40146.97</v>
      </c>
      <c r="H145" s="12" t="n">
        <v>44370.32</v>
      </c>
      <c r="I145" s="12" t="n">
        <v>58650.47</v>
      </c>
      <c r="J145" s="12" t="n">
        <v>74077.19</v>
      </c>
      <c r="K145" s="12" t="n">
        <v>73539.43</v>
      </c>
      <c r="L145" s="12" t="n">
        <v>99430.19</v>
      </c>
      <c r="M145" s="12" t="n">
        <v>137865.05</v>
      </c>
      <c r="N145" s="12" t="n">
        <v>146493.91</v>
      </c>
      <c r="O145" s="12" t="n">
        <v>149187.04</v>
      </c>
      <c r="P145" s="12" t="n">
        <v>187164.12</v>
      </c>
      <c r="Q145" s="12" t="n">
        <v>85255.79</v>
      </c>
      <c r="R145" s="12" t="n">
        <v>100549.38</v>
      </c>
    </row>
    <row r="146" customFormat="false" ht="15" hidden="false" customHeight="false" outlineLevel="0" collapsed="false">
      <c r="A146" s="6" t="s">
        <v>1001</v>
      </c>
      <c r="B146" s="12" t="n">
        <v>10719.52</v>
      </c>
      <c r="C146" s="12" t="n">
        <v>10878.45</v>
      </c>
      <c r="D146" s="12" t="n">
        <v>5344.01</v>
      </c>
      <c r="E146" s="12" t="n">
        <v>8174.01</v>
      </c>
      <c r="F146" s="12" t="n">
        <v>6694.36</v>
      </c>
      <c r="G146" s="12" t="n">
        <v>10042.14</v>
      </c>
      <c r="H146" s="12" t="n">
        <v>13882.88</v>
      </c>
      <c r="I146" s="12" t="n">
        <v>27440.28</v>
      </c>
      <c r="J146" s="12" t="n">
        <v>25720.22</v>
      </c>
      <c r="K146" s="12" t="n">
        <v>28799.88</v>
      </c>
      <c r="L146" s="12" t="n">
        <v>36007.4</v>
      </c>
      <c r="M146" s="12" t="n">
        <v>51803.87</v>
      </c>
      <c r="N146" s="12" t="n">
        <v>59091.02</v>
      </c>
      <c r="O146" s="12" t="n">
        <v>59129.64</v>
      </c>
      <c r="P146" s="12" t="n">
        <v>94321.42</v>
      </c>
      <c r="Q146" s="12" t="n">
        <v>34427.86</v>
      </c>
      <c r="R146" s="12" t="n">
        <v>34470.65</v>
      </c>
    </row>
    <row r="147" customFormat="false" ht="15" hidden="false" customHeight="false" outlineLevel="0" collapsed="false">
      <c r="A147" s="6" t="s">
        <v>1002</v>
      </c>
      <c r="B147" s="12" t="n">
        <v>3324.6</v>
      </c>
      <c r="C147" s="12" t="n">
        <v>4076.05</v>
      </c>
      <c r="D147" s="12" t="n">
        <v>4367.93</v>
      </c>
      <c r="E147" s="12" t="n">
        <v>5180.57</v>
      </c>
      <c r="F147" s="12" t="n">
        <v>6216.07</v>
      </c>
      <c r="G147" s="12" t="n">
        <v>8507.53</v>
      </c>
      <c r="H147" s="12" t="n">
        <v>9424.95</v>
      </c>
      <c r="I147" s="12" t="n">
        <v>13382.92</v>
      </c>
      <c r="J147" s="12" t="n">
        <v>15457.46</v>
      </c>
      <c r="K147" s="12" t="n">
        <v>14446.58</v>
      </c>
      <c r="L147" s="12" t="n">
        <v>20323.57</v>
      </c>
      <c r="M147" s="12" t="n">
        <v>25092.64</v>
      </c>
      <c r="N147" s="12" t="n">
        <v>30140.76</v>
      </c>
      <c r="O147" s="12" t="n">
        <v>36774.54</v>
      </c>
      <c r="P147" s="12" t="n">
        <v>36447.13</v>
      </c>
      <c r="Q147" s="12" t="n">
        <v>18991.86</v>
      </c>
      <c r="R147" s="12" t="n">
        <v>25057.67</v>
      </c>
    </row>
    <row r="148" customFormat="false" ht="15" hidden="false" customHeight="false" outlineLevel="0" collapsed="false">
      <c r="A148" s="6" t="s">
        <v>1003</v>
      </c>
      <c r="B148" s="12" t="n">
        <v>2187.62</v>
      </c>
      <c r="C148" s="12" t="n">
        <v>2501.78</v>
      </c>
      <c r="D148" s="12" t="n">
        <v>3576.71</v>
      </c>
      <c r="E148" s="12" t="n">
        <v>3622.68</v>
      </c>
      <c r="F148" s="12" t="n">
        <v>3985.06</v>
      </c>
      <c r="G148" s="12" t="n">
        <v>5347.52</v>
      </c>
      <c r="H148" s="12" t="n">
        <v>4675.73</v>
      </c>
      <c r="I148" s="12" t="n">
        <v>4083.48</v>
      </c>
      <c r="J148" s="12" t="n">
        <v>6774.14</v>
      </c>
      <c r="K148" s="12" t="n">
        <v>4152.79</v>
      </c>
      <c r="L148" s="12" t="n">
        <v>5937.88</v>
      </c>
      <c r="M148" s="12" t="n">
        <v>11622.61</v>
      </c>
      <c r="N148" s="12" t="n">
        <v>15341.25</v>
      </c>
      <c r="O148" s="12" t="n">
        <v>13374.06</v>
      </c>
      <c r="P148" s="12" t="n">
        <v>14084.76</v>
      </c>
      <c r="Q148" s="12" t="n">
        <v>6867.81</v>
      </c>
      <c r="R148" s="12" t="n">
        <v>17953.43</v>
      </c>
    </row>
    <row r="149" customFormat="false" ht="15" hidden="false" customHeight="false" outlineLevel="0" collapsed="false">
      <c r="A149" s="6" t="s">
        <v>1004</v>
      </c>
      <c r="B149" s="12" t="n">
        <v>2372.92</v>
      </c>
      <c r="C149" s="12" t="n">
        <v>1692.71</v>
      </c>
      <c r="D149" s="12" t="n">
        <v>1495.38</v>
      </c>
      <c r="E149" s="12" t="n">
        <v>1814.54</v>
      </c>
      <c r="F149" s="12" t="n">
        <v>3108.8</v>
      </c>
      <c r="G149" s="12" t="n">
        <v>5758.28</v>
      </c>
      <c r="H149" s="12" t="n">
        <v>4694.98</v>
      </c>
      <c r="I149" s="12" t="n">
        <v>4252.06</v>
      </c>
      <c r="J149" s="12" t="n">
        <v>4962.96</v>
      </c>
      <c r="K149" s="12" t="n">
        <v>7247.1</v>
      </c>
      <c r="L149" s="12" t="n">
        <v>7750.57</v>
      </c>
      <c r="M149" s="12" t="n">
        <v>8602.03</v>
      </c>
      <c r="N149" s="12" t="n">
        <v>15263.31</v>
      </c>
      <c r="O149" s="12" t="n">
        <v>13430.65</v>
      </c>
      <c r="P149" s="12" t="n">
        <v>16124.23</v>
      </c>
      <c r="Q149" s="12" t="n">
        <v>5848.97</v>
      </c>
      <c r="R149" s="12" t="n">
        <v>9442.08</v>
      </c>
    </row>
    <row r="150" customFormat="false" ht="15" hidden="false" customHeight="false" outlineLevel="0" collapsed="false">
      <c r="A150" s="6" t="s">
        <v>1005</v>
      </c>
      <c r="B150" s="12" t="n">
        <v>18604.67</v>
      </c>
      <c r="C150" s="12" t="n">
        <v>19149</v>
      </c>
      <c r="D150" s="12" t="n">
        <v>14784.04</v>
      </c>
      <c r="E150" s="12" t="n">
        <v>18791.8</v>
      </c>
      <c r="F150" s="12" t="n">
        <v>20004.29</v>
      </c>
      <c r="G150" s="12" t="n">
        <v>29655.47</v>
      </c>
      <c r="H150" s="12" t="n">
        <v>32678.54</v>
      </c>
      <c r="I150" s="12" t="n">
        <v>49158.73</v>
      </c>
      <c r="J150" s="12" t="n">
        <v>52914.79</v>
      </c>
      <c r="K150" s="12" t="n">
        <v>54646.35</v>
      </c>
      <c r="L150" s="12" t="n">
        <v>70019.41</v>
      </c>
      <c r="M150" s="12" t="n">
        <v>97121.15</v>
      </c>
      <c r="N150" s="12" t="n">
        <v>119836.35</v>
      </c>
      <c r="O150" s="12" t="n">
        <v>122708.89</v>
      </c>
      <c r="P150" s="12" t="n">
        <v>160977.55</v>
      </c>
      <c r="Q150" s="12" t="n">
        <v>66136.51</v>
      </c>
      <c r="R150" s="12" t="n">
        <v>86923.83</v>
      </c>
    </row>
    <row r="151" customFormat="false" ht="15" hidden="false" customHeight="false" outlineLevel="0" collapsed="false">
      <c r="A151" s="6" t="s">
        <v>1006</v>
      </c>
      <c r="B151" s="12" t="n">
        <v>4641.22</v>
      </c>
      <c r="C151" s="12" t="n">
        <v>7897.25</v>
      </c>
      <c r="D151" s="12" t="n">
        <v>6055.18</v>
      </c>
      <c r="E151" s="12" t="n">
        <v>3551.86</v>
      </c>
      <c r="F151" s="12" t="n">
        <v>9166.64</v>
      </c>
      <c r="G151" s="12" t="n">
        <v>10491.49</v>
      </c>
      <c r="H151" s="12" t="n">
        <v>11691.79</v>
      </c>
      <c r="I151" s="12" t="n">
        <v>9491.74</v>
      </c>
      <c r="J151" s="12" t="n">
        <v>21162.4</v>
      </c>
      <c r="K151" s="12" t="n">
        <v>18893.09</v>
      </c>
      <c r="L151" s="12" t="n">
        <v>29410.77</v>
      </c>
      <c r="M151" s="12" t="n">
        <v>40743.9</v>
      </c>
      <c r="N151" s="12" t="n">
        <v>26657.57</v>
      </c>
      <c r="O151" s="12" t="n">
        <v>26478.15</v>
      </c>
      <c r="P151" s="12" t="n">
        <v>26186.58</v>
      </c>
      <c r="Q151" s="12" t="n">
        <v>19119.28</v>
      </c>
      <c r="R151" s="12" t="n">
        <v>13625.54</v>
      </c>
    </row>
    <row r="152" customFormat="false" ht="15" hidden="false" customHeight="false" outlineLevel="0" collapsed="false">
      <c r="A152" s="4" t="s">
        <v>1007</v>
      </c>
    </row>
    <row r="153" customFormat="false" ht="15" hidden="false" customHeight="false" outlineLevel="0" collapsed="false">
      <c r="A153" s="6" t="s">
        <v>1008</v>
      </c>
      <c r="G153" s="12" t="n">
        <v>702.25</v>
      </c>
      <c r="H153" s="12" t="n">
        <v>2.22</v>
      </c>
      <c r="I153" s="12" t="n">
        <v>19607.32</v>
      </c>
      <c r="J153" s="12" t="n">
        <v>7292.27</v>
      </c>
      <c r="K153" s="12" t="n">
        <v>41946.02</v>
      </c>
      <c r="L153" s="12" t="n">
        <v>108459.18</v>
      </c>
      <c r="M153" s="12" t="n">
        <v>117961.43</v>
      </c>
      <c r="N153" s="12" t="n">
        <v>48775.03</v>
      </c>
      <c r="O153" s="12" t="n">
        <v>105802.15</v>
      </c>
      <c r="P153" s="12" t="n">
        <v>219660.26</v>
      </c>
      <c r="Q153" s="12" t="n">
        <v>92913.56</v>
      </c>
      <c r="R153" s="12" t="n">
        <v>178545.48</v>
      </c>
    </row>
    <row r="154" customFormat="false" ht="15" hidden="false" customHeight="false" outlineLevel="0" collapsed="false">
      <c r="A154" s="6" t="s">
        <v>1009</v>
      </c>
      <c r="O154" s="12" t="n">
        <v>0</v>
      </c>
      <c r="P154" s="12" t="n">
        <v>0</v>
      </c>
    </row>
    <row r="155" customFormat="false" ht="15" hidden="false" customHeight="false" outlineLevel="0" collapsed="false">
      <c r="A155" s="6" t="s">
        <v>1010</v>
      </c>
      <c r="B155" s="12" t="n">
        <v>186.54</v>
      </c>
      <c r="C155" s="12" t="n">
        <v>61.37</v>
      </c>
      <c r="D155" s="12" t="n">
        <v>60.05</v>
      </c>
      <c r="E155" s="12" t="n">
        <v>1.5</v>
      </c>
      <c r="F155" s="12" t="n">
        <v>2268.47</v>
      </c>
      <c r="G155" s="12" t="n">
        <v>19.4</v>
      </c>
      <c r="H155" s="12" t="n">
        <v>30.09</v>
      </c>
      <c r="I155" s="12" t="n">
        <v>3.36</v>
      </c>
      <c r="J155" s="12" t="n">
        <v>9.8</v>
      </c>
      <c r="K155" s="12" t="n">
        <v>33.28</v>
      </c>
      <c r="L155" s="12" t="n">
        <v>1015.57</v>
      </c>
      <c r="M155" s="12" t="n">
        <v>83.34</v>
      </c>
      <c r="N155" s="12" t="n">
        <v>73.75</v>
      </c>
      <c r="O155" s="12" t="n">
        <v>60.75</v>
      </c>
      <c r="P155" s="12" t="n">
        <v>3998.34</v>
      </c>
      <c r="Q155" s="12" t="n">
        <v>1545.03</v>
      </c>
      <c r="R155" s="12" t="n">
        <v>645.93</v>
      </c>
    </row>
    <row r="156" customFormat="false" ht="15" hidden="false" customHeight="false" outlineLevel="0" collapsed="false">
      <c r="A156" s="6" t="s">
        <v>1011</v>
      </c>
      <c r="G156" s="12" t="n">
        <v>3553.61</v>
      </c>
    </row>
    <row r="157" customFormat="false" ht="15" hidden="false" customHeight="false" outlineLevel="0" collapsed="false">
      <c r="A157" s="6" t="s">
        <v>1012</v>
      </c>
      <c r="B157" s="12" t="n">
        <v>186.54</v>
      </c>
      <c r="C157" s="12" t="n">
        <v>61.37</v>
      </c>
      <c r="D157" s="12" t="n">
        <v>60.05</v>
      </c>
      <c r="E157" s="12" t="n">
        <v>1.5</v>
      </c>
      <c r="F157" s="12" t="n">
        <v>2268.47</v>
      </c>
      <c r="G157" s="12" t="n">
        <v>4275.26</v>
      </c>
      <c r="H157" s="12" t="n">
        <v>32.31</v>
      </c>
      <c r="I157" s="12" t="n">
        <v>19610.68</v>
      </c>
      <c r="J157" s="12" t="n">
        <v>7302.07</v>
      </c>
      <c r="K157" s="12" t="n">
        <v>41979.3</v>
      </c>
      <c r="L157" s="12" t="n">
        <v>109474.74</v>
      </c>
      <c r="M157" s="12" t="n">
        <v>118044.76</v>
      </c>
      <c r="N157" s="12" t="n">
        <v>48848.78</v>
      </c>
      <c r="O157" s="12" t="n">
        <v>105862.89</v>
      </c>
      <c r="P157" s="12" t="n">
        <v>223658.6</v>
      </c>
      <c r="Q157" s="12" t="n">
        <v>94458.59</v>
      </c>
      <c r="R157" s="12" t="n">
        <v>179191.42</v>
      </c>
    </row>
    <row r="158" customFormat="false" ht="15" hidden="false" customHeight="false" outlineLevel="0" collapsed="false">
      <c r="A158" s="6" t="s">
        <v>1013</v>
      </c>
      <c r="B158" s="12" t="n">
        <v>8062.28</v>
      </c>
      <c r="C158" s="12" t="n">
        <v>3982.49</v>
      </c>
      <c r="D158" s="12" t="n">
        <v>1893.6</v>
      </c>
      <c r="E158" s="12" t="n">
        <v>1808.03</v>
      </c>
      <c r="F158" s="12" t="n">
        <v>5287.43</v>
      </c>
      <c r="G158" s="12" t="n">
        <v>15616.35</v>
      </c>
      <c r="H158" s="12" t="n">
        <v>8087.72</v>
      </c>
      <c r="I158" s="12" t="n">
        <v>14264.84</v>
      </c>
      <c r="J158" s="12" t="n">
        <v>12956.69</v>
      </c>
      <c r="K158" s="12" t="n">
        <v>20360.03</v>
      </c>
      <c r="L158" s="12" t="n">
        <v>31882.37</v>
      </c>
      <c r="M158" s="12" t="n">
        <v>57268.32</v>
      </c>
      <c r="N158" s="12" t="n">
        <v>54459.63</v>
      </c>
      <c r="O158" s="12" t="n">
        <v>36987.11</v>
      </c>
      <c r="P158" s="12" t="n">
        <v>55895.68</v>
      </c>
      <c r="Q158" s="12" t="n">
        <v>23037.38</v>
      </c>
      <c r="R158" s="12" t="n">
        <v>41760.59</v>
      </c>
    </row>
    <row r="159" customFormat="false" ht="15" hidden="false" customHeight="false" outlineLevel="0" collapsed="false">
      <c r="A159" s="6" t="s">
        <v>1014</v>
      </c>
      <c r="G159" s="12" t="n">
        <v>2200</v>
      </c>
      <c r="H159" s="12" t="n">
        <v>3250</v>
      </c>
      <c r="I159" s="12" t="n">
        <v>20780</v>
      </c>
      <c r="J159" s="12" t="n">
        <v>7266</v>
      </c>
      <c r="K159" s="12" t="n">
        <v>86500</v>
      </c>
      <c r="L159" s="12" t="n">
        <v>90588</v>
      </c>
      <c r="M159" s="12" t="n">
        <v>109366.44</v>
      </c>
      <c r="N159" s="12" t="n">
        <v>115614.37</v>
      </c>
      <c r="O159" s="12" t="n">
        <v>97135.45</v>
      </c>
      <c r="P159" s="12" t="n">
        <v>228572.25</v>
      </c>
      <c r="Q159" s="12" t="n">
        <v>80516.06</v>
      </c>
      <c r="R159" s="12" t="n">
        <v>149906.67</v>
      </c>
    </row>
    <row r="160" customFormat="false" ht="15" hidden="false" customHeight="false" outlineLevel="0" collapsed="false">
      <c r="A160" s="6" t="s">
        <v>1015</v>
      </c>
      <c r="F160" s="12" t="n">
        <v>7150</v>
      </c>
      <c r="L160" s="12" t="n">
        <v>1519.19</v>
      </c>
    </row>
    <row r="161" customFormat="false" ht="15" hidden="false" customHeight="false" outlineLevel="0" collapsed="false">
      <c r="A161" s="6" t="s">
        <v>1016</v>
      </c>
      <c r="H161" s="12" t="n">
        <v>138.84</v>
      </c>
      <c r="I161" s="12" t="n">
        <v>158.76</v>
      </c>
    </row>
    <row r="162" customFormat="false" ht="15" hidden="false" customHeight="false" outlineLevel="0" collapsed="false">
      <c r="A162" s="6" t="s">
        <v>1017</v>
      </c>
      <c r="B162" s="12" t="n">
        <v>8062.28</v>
      </c>
      <c r="C162" s="12" t="n">
        <v>3982.49</v>
      </c>
      <c r="D162" s="12" t="n">
        <v>1893.6</v>
      </c>
      <c r="E162" s="12" t="n">
        <v>1808.03</v>
      </c>
      <c r="F162" s="12" t="n">
        <v>12437.43</v>
      </c>
      <c r="G162" s="12" t="n">
        <v>17816.35</v>
      </c>
      <c r="H162" s="12" t="n">
        <v>11476.56</v>
      </c>
      <c r="I162" s="12" t="n">
        <v>35203.6</v>
      </c>
      <c r="J162" s="12" t="n">
        <v>20222.69</v>
      </c>
      <c r="K162" s="12" t="n">
        <v>106860.03</v>
      </c>
      <c r="L162" s="12" t="n">
        <v>123989.56</v>
      </c>
      <c r="M162" s="12" t="n">
        <v>166634.76</v>
      </c>
      <c r="N162" s="12" t="n">
        <v>170074</v>
      </c>
      <c r="O162" s="12" t="n">
        <v>134122.56</v>
      </c>
      <c r="P162" s="12" t="n">
        <v>284467.93</v>
      </c>
      <c r="Q162" s="12" t="n">
        <v>103553.44</v>
      </c>
      <c r="R162" s="12" t="n">
        <v>191667.26</v>
      </c>
    </row>
    <row r="163" customFormat="false" ht="15" hidden="false" customHeight="false" outlineLevel="0" collapsed="false">
      <c r="A163" s="6" t="s">
        <v>1018</v>
      </c>
      <c r="B163" s="12" t="n">
        <v>-7875.74</v>
      </c>
      <c r="C163" s="12" t="n">
        <v>-3921.12</v>
      </c>
      <c r="D163" s="12" t="n">
        <v>-1833.55</v>
      </c>
      <c r="E163" s="12" t="n">
        <v>-1806.53</v>
      </c>
      <c r="F163" s="12" t="n">
        <v>-10168.95</v>
      </c>
      <c r="G163" s="12" t="n">
        <v>-13541.09</v>
      </c>
      <c r="H163" s="12" t="n">
        <v>-11444.25</v>
      </c>
      <c r="I163" s="12" t="n">
        <v>-15592.92</v>
      </c>
      <c r="J163" s="12" t="n">
        <v>-12920.62</v>
      </c>
      <c r="K163" s="12" t="n">
        <v>-64880.73</v>
      </c>
      <c r="L163" s="12" t="n">
        <v>-14514.82</v>
      </c>
      <c r="M163" s="12" t="n">
        <v>-48590</v>
      </c>
      <c r="N163" s="12" t="n">
        <v>-121225.21</v>
      </c>
      <c r="O163" s="12" t="n">
        <v>-28259.66</v>
      </c>
      <c r="P163" s="12" t="n">
        <v>-60809.34</v>
      </c>
      <c r="Q163" s="12" t="n">
        <v>-9094.85</v>
      </c>
      <c r="R163" s="12" t="n">
        <v>-12475.85</v>
      </c>
    </row>
    <row r="164" customFormat="false" ht="15" hidden="false" customHeight="false" outlineLevel="0" collapsed="false">
      <c r="A164" s="4" t="s">
        <v>1019</v>
      </c>
    </row>
    <row r="165" customFormat="false" ht="15" hidden="false" customHeight="false" outlineLevel="0" collapsed="false">
      <c r="A165" s="6" t="s">
        <v>1020</v>
      </c>
      <c r="E165" s="12" t="n">
        <v>27891.54</v>
      </c>
      <c r="F165" s="12" t="n">
        <v>2453.4</v>
      </c>
      <c r="G165" s="12" t="n">
        <v>446.9</v>
      </c>
      <c r="H165" s="12" t="n">
        <v>3460</v>
      </c>
      <c r="I165" s="12" t="n">
        <v>357.75</v>
      </c>
      <c r="J165" s="12" t="n">
        <v>69490</v>
      </c>
      <c r="L165" s="12" t="n">
        <v>17031.55</v>
      </c>
      <c r="M165" s="12" t="n">
        <v>29676.75</v>
      </c>
      <c r="N165" s="12" t="n">
        <v>47921.13</v>
      </c>
      <c r="O165" s="12" t="n">
        <v>30971.22</v>
      </c>
      <c r="P165" s="12" t="n">
        <v>55832.68</v>
      </c>
      <c r="Q165" s="12" t="n">
        <v>7633</v>
      </c>
      <c r="R165" s="12" t="n">
        <v>35523.58</v>
      </c>
    </row>
    <row r="166" customFormat="false" ht="15" hidden="false" customHeight="false" outlineLevel="0" collapsed="false">
      <c r="A166" s="6" t="s">
        <v>1021</v>
      </c>
      <c r="G166" s="12" t="n">
        <v>50</v>
      </c>
      <c r="H166" s="12" t="n">
        <v>220</v>
      </c>
      <c r="L166" s="12" t="n">
        <v>17031.55</v>
      </c>
      <c r="M166" s="12" t="n">
        <v>29676.75</v>
      </c>
      <c r="N166" s="12" t="n">
        <v>5710.25</v>
      </c>
      <c r="O166" s="12" t="n">
        <v>26781</v>
      </c>
      <c r="P166" s="12" t="n">
        <v>50340</v>
      </c>
      <c r="Q166" s="12" t="n">
        <v>7633</v>
      </c>
      <c r="R166" s="12" t="n">
        <v>6000</v>
      </c>
    </row>
    <row r="167" customFormat="false" ht="15" hidden="false" customHeight="false" outlineLevel="0" collapsed="false">
      <c r="A167" s="6" t="s">
        <v>1022</v>
      </c>
      <c r="B167" s="12" t="n">
        <v>6978.4</v>
      </c>
      <c r="C167" s="12" t="n">
        <v>7600</v>
      </c>
      <c r="D167" s="12" t="n">
        <v>3300</v>
      </c>
      <c r="E167" s="12" t="n">
        <v>4900</v>
      </c>
      <c r="H167" s="12" t="n">
        <v>1000</v>
      </c>
      <c r="I167" s="12" t="n">
        <v>3500</v>
      </c>
      <c r="M167" s="12" t="n">
        <v>3773.4</v>
      </c>
      <c r="N167" s="12" t="n">
        <v>26468</v>
      </c>
      <c r="O167" s="12" t="n">
        <v>23816</v>
      </c>
      <c r="P167" s="12" t="n">
        <v>34543.56</v>
      </c>
      <c r="Q167" s="12" t="n">
        <v>31400</v>
      </c>
      <c r="R167" s="12" t="n">
        <v>14867.78</v>
      </c>
    </row>
    <row r="168" customFormat="false" ht="15" hidden="false" customHeight="false" outlineLevel="0" collapsed="false">
      <c r="A168" s="6" t="s">
        <v>1023</v>
      </c>
      <c r="B168" s="12" t="n">
        <v>880</v>
      </c>
      <c r="F168" s="12" t="n">
        <v>1591.92</v>
      </c>
      <c r="G168" s="12" t="n">
        <v>1012.77</v>
      </c>
      <c r="H168" s="12" t="n">
        <v>1000</v>
      </c>
      <c r="I168" s="12" t="n">
        <v>2000</v>
      </c>
      <c r="M168" s="12" t="n">
        <v>702.31</v>
      </c>
    </row>
    <row r="169" customFormat="false" ht="15" hidden="false" customHeight="false" outlineLevel="0" collapsed="false">
      <c r="A169" s="6" t="s">
        <v>1024</v>
      </c>
      <c r="B169" s="12" t="n">
        <v>7858.4</v>
      </c>
      <c r="C169" s="12" t="n">
        <v>7600</v>
      </c>
      <c r="D169" s="12" t="n">
        <v>3300</v>
      </c>
      <c r="E169" s="12" t="n">
        <v>32791.54</v>
      </c>
      <c r="F169" s="12" t="n">
        <v>4045.32</v>
      </c>
      <c r="G169" s="12" t="n">
        <v>1459.67</v>
      </c>
      <c r="H169" s="12" t="n">
        <v>5460</v>
      </c>
      <c r="I169" s="12" t="n">
        <v>5857.75</v>
      </c>
      <c r="J169" s="12" t="n">
        <v>69490</v>
      </c>
      <c r="L169" s="12" t="n">
        <v>17031.55</v>
      </c>
      <c r="M169" s="12" t="n">
        <v>34152.46</v>
      </c>
      <c r="N169" s="12" t="n">
        <v>74389.13</v>
      </c>
      <c r="O169" s="12" t="n">
        <v>54787.22</v>
      </c>
      <c r="P169" s="12" t="n">
        <v>90376.24</v>
      </c>
      <c r="Q169" s="12" t="n">
        <v>39033</v>
      </c>
      <c r="R169" s="12" t="n">
        <v>50391.36</v>
      </c>
    </row>
    <row r="170" customFormat="false" ht="15" hidden="false" customHeight="false" outlineLevel="0" collapsed="false">
      <c r="A170" s="6" t="s">
        <v>1025</v>
      </c>
      <c r="B170" s="12" t="n">
        <v>3044.45</v>
      </c>
      <c r="C170" s="12" t="n">
        <v>6100</v>
      </c>
      <c r="D170" s="12" t="n">
        <v>7400</v>
      </c>
      <c r="E170" s="12" t="n">
        <v>5300</v>
      </c>
      <c r="F170" s="12" t="n">
        <v>900</v>
      </c>
      <c r="I170" s="12" t="n">
        <v>1000</v>
      </c>
      <c r="J170" s="12" t="n">
        <v>3500</v>
      </c>
      <c r="L170" s="12" t="n">
        <v>500</v>
      </c>
      <c r="N170" s="12" t="n">
        <v>1343.5</v>
      </c>
      <c r="O170" s="12" t="n">
        <v>19891.2</v>
      </c>
      <c r="P170" s="12" t="n">
        <v>32872.7</v>
      </c>
      <c r="Q170" s="12" t="n">
        <v>13736.18</v>
      </c>
      <c r="R170" s="12" t="n">
        <v>16450</v>
      </c>
    </row>
    <row r="171" customFormat="false" ht="15" hidden="false" customHeight="false" outlineLevel="0" collapsed="false">
      <c r="A171" s="6" t="s">
        <v>1026</v>
      </c>
      <c r="B171" s="12" t="n">
        <v>941.45</v>
      </c>
      <c r="C171" s="12" t="n">
        <v>1644.11</v>
      </c>
      <c r="D171" s="12" t="n">
        <v>1638.89</v>
      </c>
      <c r="E171" s="12" t="n">
        <v>1349.07</v>
      </c>
      <c r="F171" s="12" t="n">
        <v>1623.48</v>
      </c>
      <c r="G171" s="12" t="n">
        <v>3300</v>
      </c>
      <c r="H171" s="12" t="n">
        <v>4942.1</v>
      </c>
      <c r="I171" s="12" t="n">
        <v>4550.24</v>
      </c>
      <c r="J171" s="12" t="n">
        <v>6061.97</v>
      </c>
      <c r="K171" s="12" t="n">
        <v>6164.83</v>
      </c>
      <c r="L171" s="12" t="n">
        <v>6132.99</v>
      </c>
      <c r="M171" s="12" t="n">
        <v>8414.24</v>
      </c>
      <c r="N171" s="12" t="n">
        <v>10294.46</v>
      </c>
      <c r="O171" s="12" t="n">
        <v>13297.03</v>
      </c>
      <c r="P171" s="12" t="n">
        <v>8620.34</v>
      </c>
      <c r="Q171" s="12" t="n">
        <v>7251.02</v>
      </c>
      <c r="R171" s="12" t="n">
        <v>983.81</v>
      </c>
    </row>
    <row r="172" customFormat="false" ht="15" hidden="false" customHeight="false" outlineLevel="0" collapsed="false">
      <c r="A172" s="6" t="s">
        <v>1027</v>
      </c>
      <c r="J172" s="12" t="n">
        <v>2</v>
      </c>
      <c r="K172" s="12" t="n">
        <v>80</v>
      </c>
      <c r="L172" s="12" t="n">
        <v>40</v>
      </c>
      <c r="M172" s="12" t="n">
        <v>600</v>
      </c>
      <c r="N172" s="12" t="n">
        <v>40</v>
      </c>
      <c r="O172" s="12" t="n">
        <v>1140.29</v>
      </c>
      <c r="P172" s="12" t="n">
        <v>841.77</v>
      </c>
      <c r="Q172" s="12" t="n">
        <v>12</v>
      </c>
      <c r="R172" s="12" t="n">
        <v>689.46</v>
      </c>
    </row>
    <row r="173" customFormat="false" ht="15" hidden="false" customHeight="false" outlineLevel="0" collapsed="false">
      <c r="A173" s="6" t="s">
        <v>1028</v>
      </c>
      <c r="B173" s="12" t="n">
        <v>30.48</v>
      </c>
      <c r="C173" s="12" t="n">
        <v>205.99</v>
      </c>
      <c r="E173" s="12" t="n">
        <v>637.49</v>
      </c>
      <c r="F173" s="12" t="n">
        <v>2000</v>
      </c>
      <c r="G173" s="12" t="n">
        <v>1000</v>
      </c>
      <c r="H173" s="12" t="n">
        <v>1016.06</v>
      </c>
      <c r="I173" s="12" t="n">
        <v>1046.1</v>
      </c>
      <c r="J173" s="12" t="n">
        <v>2146.7</v>
      </c>
      <c r="K173" s="12" t="n">
        <v>128.08</v>
      </c>
      <c r="L173" s="12" t="n">
        <v>47.93</v>
      </c>
      <c r="M173" s="12" t="n">
        <v>158.73</v>
      </c>
      <c r="N173" s="12" t="n">
        <v>632.78</v>
      </c>
      <c r="O173" s="12" t="n">
        <v>5462.78</v>
      </c>
      <c r="P173" s="12" t="n">
        <v>3261.7</v>
      </c>
      <c r="Q173" s="12" t="n">
        <v>29.55</v>
      </c>
      <c r="R173" s="12" t="n">
        <v>111.42</v>
      </c>
    </row>
    <row r="174" customFormat="false" ht="15" hidden="false" customHeight="false" outlineLevel="0" collapsed="false">
      <c r="A174" s="6" t="s">
        <v>1029</v>
      </c>
      <c r="B174" s="12" t="n">
        <v>4016.38</v>
      </c>
      <c r="C174" s="12" t="n">
        <v>7950.1</v>
      </c>
      <c r="D174" s="12" t="n">
        <v>9038.89</v>
      </c>
      <c r="E174" s="12" t="n">
        <v>7286.55</v>
      </c>
      <c r="F174" s="12" t="n">
        <v>4523.48</v>
      </c>
      <c r="G174" s="12" t="n">
        <v>4300</v>
      </c>
      <c r="H174" s="12" t="n">
        <v>5958.16</v>
      </c>
      <c r="I174" s="12" t="n">
        <v>6596.35</v>
      </c>
      <c r="J174" s="12" t="n">
        <v>11708.67</v>
      </c>
      <c r="K174" s="12" t="n">
        <v>6292.91</v>
      </c>
      <c r="L174" s="12" t="n">
        <v>6680.93</v>
      </c>
      <c r="M174" s="12" t="n">
        <v>8572.98</v>
      </c>
      <c r="N174" s="12" t="n">
        <v>12270.75</v>
      </c>
      <c r="O174" s="12" t="n">
        <v>38651.01</v>
      </c>
      <c r="P174" s="12" t="n">
        <v>44754.74</v>
      </c>
      <c r="Q174" s="12" t="n">
        <v>21016.75</v>
      </c>
      <c r="R174" s="12" t="n">
        <v>17545.23</v>
      </c>
    </row>
    <row r="175" customFormat="false" ht="15" hidden="false" customHeight="false" outlineLevel="0" collapsed="false">
      <c r="A175" s="6" t="s">
        <v>1030</v>
      </c>
      <c r="B175" s="12" t="n">
        <v>3842.02</v>
      </c>
      <c r="C175" s="12" t="n">
        <v>-350.1</v>
      </c>
      <c r="D175" s="12" t="n">
        <v>-5738.89</v>
      </c>
      <c r="E175" s="12" t="n">
        <v>25504.99</v>
      </c>
      <c r="F175" s="12" t="n">
        <v>-478.16</v>
      </c>
      <c r="G175" s="12" t="n">
        <v>-2840.33</v>
      </c>
      <c r="H175" s="12" t="n">
        <v>-498.16</v>
      </c>
      <c r="I175" s="12" t="n">
        <v>-738.6</v>
      </c>
      <c r="J175" s="12" t="n">
        <v>57781.32</v>
      </c>
      <c r="K175" s="12" t="n">
        <v>-6292.91</v>
      </c>
      <c r="L175" s="12" t="n">
        <v>10350.62</v>
      </c>
      <c r="M175" s="12" t="n">
        <v>25579.49</v>
      </c>
      <c r="N175" s="12" t="n">
        <v>62118.39</v>
      </c>
      <c r="O175" s="12" t="n">
        <v>16136.21</v>
      </c>
      <c r="P175" s="12" t="n">
        <v>45621.5</v>
      </c>
      <c r="Q175" s="12" t="n">
        <v>18016.25</v>
      </c>
      <c r="R175" s="12" t="n">
        <v>32846.12</v>
      </c>
    </row>
    <row r="176" customFormat="false" ht="15" hidden="false" customHeight="false" outlineLevel="0" collapsed="false">
      <c r="A176" s="6" t="s">
        <v>1031</v>
      </c>
      <c r="B176" s="12" t="n">
        <v>-32.04</v>
      </c>
      <c r="C176" s="12" t="n">
        <v>-38.47</v>
      </c>
      <c r="D176" s="12" t="n">
        <v>-97.88</v>
      </c>
      <c r="E176" s="12" t="n">
        <v>14.77</v>
      </c>
      <c r="F176" s="12" t="n">
        <v>153.57</v>
      </c>
      <c r="G176" s="12" t="n">
        <v>520.16</v>
      </c>
      <c r="H176" s="12" t="n">
        <v>-631.99</v>
      </c>
      <c r="I176" s="12" t="n">
        <v>-25.37</v>
      </c>
      <c r="J176" s="12" t="n">
        <v>58.88</v>
      </c>
      <c r="K176" s="12" t="n">
        <v>-250.42</v>
      </c>
      <c r="L176" s="12" t="n">
        <v>-106.04</v>
      </c>
      <c r="M176" s="12" t="n">
        <v>663.71</v>
      </c>
      <c r="N176" s="12" t="n">
        <v>350.88</v>
      </c>
      <c r="O176" s="12" t="n">
        <v>368.69</v>
      </c>
      <c r="P176" s="12" t="n">
        <v>-228.46</v>
      </c>
      <c r="Q176" s="12" t="n">
        <v>99.21</v>
      </c>
      <c r="R176" s="12" t="n">
        <v>-634.82</v>
      </c>
    </row>
    <row r="177" customFormat="false" ht="15" hidden="false" customHeight="false" outlineLevel="0" collapsed="false">
      <c r="A177" s="6" t="s">
        <v>562</v>
      </c>
      <c r="B177" s="12" t="n">
        <v>575.47</v>
      </c>
      <c r="C177" s="12" t="n">
        <v>3587.57</v>
      </c>
      <c r="D177" s="12" t="n">
        <v>-1615.13</v>
      </c>
      <c r="E177" s="12" t="n">
        <v>27265.09</v>
      </c>
      <c r="F177" s="12" t="n">
        <v>-1326.91</v>
      </c>
      <c r="G177" s="12" t="n">
        <v>-5369.77</v>
      </c>
      <c r="H177" s="12" t="n">
        <v>-882.62</v>
      </c>
      <c r="I177" s="12" t="n">
        <v>-6865.15</v>
      </c>
      <c r="J177" s="12" t="n">
        <v>66081.99</v>
      </c>
      <c r="K177" s="12" t="n">
        <v>-52530.98</v>
      </c>
      <c r="L177" s="12" t="n">
        <v>25140.53</v>
      </c>
      <c r="M177" s="12" t="n">
        <v>18397.1</v>
      </c>
      <c r="N177" s="12" t="n">
        <v>-32098.38</v>
      </c>
      <c r="O177" s="12" t="n">
        <v>14723.39</v>
      </c>
      <c r="P177" s="12" t="n">
        <v>10770.29</v>
      </c>
      <c r="Q177" s="12" t="n">
        <v>28139.9</v>
      </c>
      <c r="R177" s="12" t="n">
        <v>33361</v>
      </c>
    </row>
    <row r="178" customFormat="false" ht="15" hidden="false" customHeight="false" outlineLevel="0" collapsed="false">
      <c r="A178" s="6" t="s">
        <v>1032</v>
      </c>
      <c r="B178" s="12" t="n">
        <v>5866.99</v>
      </c>
      <c r="C178" s="12" t="n">
        <v>6442.46</v>
      </c>
      <c r="D178" s="12" t="n">
        <v>10030.02</v>
      </c>
      <c r="E178" s="12" t="n">
        <v>8414.89</v>
      </c>
      <c r="F178" s="12" t="n">
        <v>35679.98</v>
      </c>
      <c r="G178" s="12" t="n">
        <v>34353.06</v>
      </c>
      <c r="H178" s="12" t="n">
        <v>28983.3</v>
      </c>
      <c r="I178" s="12" t="n">
        <v>28100.68</v>
      </c>
      <c r="J178" s="12" t="n">
        <v>21235.53</v>
      </c>
      <c r="K178" s="12" t="n">
        <v>87317.52</v>
      </c>
      <c r="L178" s="12" t="n">
        <v>34786.54</v>
      </c>
      <c r="M178" s="12" t="n">
        <v>59927.07</v>
      </c>
      <c r="N178" s="12" t="n">
        <v>78324.17</v>
      </c>
      <c r="O178" s="12" t="n">
        <v>46225.8</v>
      </c>
      <c r="P178" s="12" t="n">
        <v>60949.18</v>
      </c>
      <c r="Q178" s="12" t="n">
        <v>60949.18</v>
      </c>
      <c r="R178" s="12" t="n">
        <v>71719.47</v>
      </c>
    </row>
    <row r="179" customFormat="false" ht="15" hidden="false" customHeight="false" outlineLevel="0" collapsed="false">
      <c r="A179" s="6" t="s">
        <v>1033</v>
      </c>
      <c r="B179" s="12" t="n">
        <v>6442.46</v>
      </c>
      <c r="C179" s="12" t="n">
        <v>10030.02</v>
      </c>
      <c r="D179" s="12" t="n">
        <v>8414.89</v>
      </c>
      <c r="E179" s="12" t="n">
        <v>35679.98</v>
      </c>
      <c r="F179" s="12" t="n">
        <v>34353.06</v>
      </c>
      <c r="G179" s="12" t="n">
        <v>28983.3</v>
      </c>
      <c r="H179" s="12" t="n">
        <v>28100.68</v>
      </c>
      <c r="I179" s="12" t="n">
        <v>21235.53</v>
      </c>
      <c r="J179" s="12" t="n">
        <v>87317.52</v>
      </c>
      <c r="K179" s="12" t="n">
        <v>34786.54</v>
      </c>
      <c r="L179" s="12" t="n">
        <v>59927.07</v>
      </c>
      <c r="M179" s="12" t="n">
        <v>78324.17</v>
      </c>
      <c r="N179" s="12" t="n">
        <v>46225.8</v>
      </c>
      <c r="O179" s="12" t="n">
        <v>60949.18</v>
      </c>
      <c r="P179" s="12" t="n">
        <v>71719.47</v>
      </c>
      <c r="Q179" s="12" t="n">
        <v>89089.08</v>
      </c>
      <c r="R179" s="12" t="n">
        <v>105080.47</v>
      </c>
    </row>
    <row r="180" customFormat="false" ht="15" hidden="false" customHeight="false" outlineLevel="0" collapsed="false">
      <c r="A180" s="4" t="s">
        <v>1034</v>
      </c>
    </row>
    <row r="181" customFormat="false" ht="15" hidden="false" customHeight="false" outlineLevel="0" collapsed="false">
      <c r="A181" s="6" t="s">
        <v>470</v>
      </c>
      <c r="B181" s="12" t="n">
        <v>5771.72</v>
      </c>
      <c r="C181" s="12" t="n">
        <v>6197.18</v>
      </c>
      <c r="D181" s="12" t="n">
        <v>6914.66</v>
      </c>
      <c r="E181" s="12" t="n">
        <v>6962.96</v>
      </c>
      <c r="F181" s="12" t="n">
        <v>8417.8</v>
      </c>
      <c r="G181" s="12" t="n">
        <v>10810.65</v>
      </c>
      <c r="H181" s="12" t="n">
        <v>12205.75</v>
      </c>
      <c r="I181" s="12" t="n">
        <v>16158.29</v>
      </c>
      <c r="J181" s="12" t="n">
        <v>19255.42</v>
      </c>
      <c r="K181" s="12" t="n">
        <v>23945.19</v>
      </c>
      <c r="L181" s="12" t="n">
        <v>37579.4</v>
      </c>
      <c r="M181" s="12" t="n">
        <v>51277.21</v>
      </c>
      <c r="N181" s="12" t="n">
        <v>57441.49</v>
      </c>
      <c r="O181" s="12" t="n">
        <v>32627.27</v>
      </c>
      <c r="P181" s="12" t="n">
        <v>42639.67</v>
      </c>
      <c r="Q181" s="12" t="n">
        <v>20867.91</v>
      </c>
      <c r="R181" s="12" t="n">
        <v>30840.39</v>
      </c>
    </row>
    <row r="182" customFormat="false" ht="15" hidden="false" customHeight="false" outlineLevel="0" collapsed="false">
      <c r="A182" s="6" t="s">
        <v>1035</v>
      </c>
      <c r="B182" s="12" t="n">
        <v>36.05</v>
      </c>
      <c r="C182" s="12" t="n">
        <v>476.98</v>
      </c>
      <c r="D182" s="12" t="n">
        <v>-18.31</v>
      </c>
      <c r="E182" s="12" t="n">
        <v>547.55</v>
      </c>
      <c r="F182" s="12" t="n">
        <v>449.09</v>
      </c>
      <c r="G182" s="12" t="n">
        <v>63.88</v>
      </c>
      <c r="H182" s="12" t="n">
        <v>319.7</v>
      </c>
      <c r="I182" s="12" t="n">
        <v>89.18</v>
      </c>
      <c r="J182" s="12" t="n">
        <v>401.4</v>
      </c>
      <c r="K182" s="12" t="n">
        <v>-139.61</v>
      </c>
      <c r="L182" s="12" t="n">
        <v>287</v>
      </c>
      <c r="M182" s="12" t="n">
        <v>1265.19</v>
      </c>
      <c r="N182" s="12" t="n">
        <v>2061.77</v>
      </c>
      <c r="O182" s="12" t="n">
        <v>2845.48</v>
      </c>
      <c r="P182" s="12" t="n">
        <v>5293.08</v>
      </c>
      <c r="Q182" s="12" t="n">
        <v>2705.48</v>
      </c>
      <c r="R182" s="12" t="n">
        <v>851.31</v>
      </c>
    </row>
    <row r="183" customFormat="false" ht="15" hidden="false" customHeight="false" outlineLevel="0" collapsed="false">
      <c r="A183" s="6" t="s">
        <v>1036</v>
      </c>
      <c r="B183" s="12" t="n">
        <v>1037.57</v>
      </c>
      <c r="C183" s="12" t="n">
        <v>1749.56</v>
      </c>
      <c r="D183" s="12" t="n">
        <v>2024.06</v>
      </c>
      <c r="E183" s="12" t="n">
        <v>1982.55</v>
      </c>
      <c r="F183" s="12" t="n">
        <v>2047.03</v>
      </c>
      <c r="G183" s="12" t="n">
        <v>2320.89</v>
      </c>
      <c r="H183" s="12" t="n">
        <v>2934.42</v>
      </c>
      <c r="I183" s="12" t="n">
        <v>3905.5</v>
      </c>
      <c r="J183" s="12" t="n">
        <v>4878.79</v>
      </c>
      <c r="K183" s="12" t="n">
        <v>5818.9</v>
      </c>
      <c r="L183" s="12" t="n">
        <v>7760.38</v>
      </c>
      <c r="M183" s="12" t="n">
        <v>10359.31</v>
      </c>
      <c r="N183" s="12" t="n">
        <v>15141.75</v>
      </c>
      <c r="O183" s="12" t="n">
        <v>18271.84</v>
      </c>
      <c r="P183" s="12" t="n">
        <v>22096.54</v>
      </c>
      <c r="Q183" s="12" t="n">
        <v>10191.89</v>
      </c>
      <c r="R183" s="12" t="n">
        <v>12814.72</v>
      </c>
    </row>
    <row r="184" customFormat="false" ht="15" hidden="false" customHeight="false" outlineLevel="0" collapsed="false">
      <c r="A184" s="6" t="s">
        <v>291</v>
      </c>
      <c r="B184" s="12" t="n">
        <v>33.99</v>
      </c>
      <c r="C184" s="12" t="n">
        <v>34.49</v>
      </c>
      <c r="D184" s="12" t="n">
        <v>34.41</v>
      </c>
      <c r="E184" s="12" t="n">
        <v>34.41</v>
      </c>
      <c r="F184" s="12" t="n">
        <v>46.38</v>
      </c>
      <c r="G184" s="12" t="n">
        <v>67.62</v>
      </c>
      <c r="H184" s="12" t="n">
        <v>84.89</v>
      </c>
      <c r="I184" s="12" t="n">
        <v>83.93</v>
      </c>
      <c r="J184" s="12" t="n">
        <v>98.79</v>
      </c>
      <c r="K184" s="12" t="n">
        <v>161.27</v>
      </c>
      <c r="L184" s="12" t="n">
        <v>303.65</v>
      </c>
      <c r="M184" s="12" t="n">
        <v>503.2</v>
      </c>
      <c r="N184" s="12" t="n">
        <v>817.86</v>
      </c>
      <c r="O184" s="12" t="n">
        <v>1054.02</v>
      </c>
      <c r="P184" s="12" t="n">
        <v>1210.41</v>
      </c>
      <c r="Q184" s="12" t="n">
        <v>573.19</v>
      </c>
      <c r="R184" s="12" t="n">
        <v>1028.43</v>
      </c>
    </row>
    <row r="185" customFormat="false" ht="15" hidden="false" customHeight="false" outlineLevel="0" collapsed="false">
      <c r="A185" s="6" t="s">
        <v>295</v>
      </c>
      <c r="L185" s="12" t="n">
        <v>154.43</v>
      </c>
      <c r="M185" s="12" t="n">
        <v>210.77</v>
      </c>
      <c r="N185" s="12" t="n">
        <v>416.84</v>
      </c>
      <c r="O185" s="12" t="n">
        <v>722.43</v>
      </c>
      <c r="P185" s="12" t="n">
        <v>664.71</v>
      </c>
      <c r="Q185" s="12" t="n">
        <v>337.03</v>
      </c>
      <c r="R185" s="12" t="n">
        <v>221.43</v>
      </c>
    </row>
    <row r="186" customFormat="false" ht="15" hidden="false" customHeight="false" outlineLevel="0" collapsed="false">
      <c r="A186" s="6" t="s">
        <v>1037</v>
      </c>
      <c r="B186" s="12" t="n">
        <v>8.29</v>
      </c>
      <c r="C186" s="12" t="n">
        <v>3.81</v>
      </c>
      <c r="J186" s="12" t="n">
        <v>34.09</v>
      </c>
      <c r="K186" s="12" t="n">
        <v>152.31</v>
      </c>
      <c r="L186" s="12" t="n">
        <v>293.27</v>
      </c>
      <c r="M186" s="12" t="n">
        <v>429.27</v>
      </c>
      <c r="N186" s="12" t="n">
        <v>379.67</v>
      </c>
      <c r="O186" s="12" t="n">
        <v>650.64</v>
      </c>
      <c r="P186" s="12" t="n">
        <v>859.17</v>
      </c>
      <c r="Q186" s="12" t="n">
        <v>367.78</v>
      </c>
      <c r="R186" s="12" t="n">
        <v>665.39</v>
      </c>
    </row>
    <row r="187" customFormat="false" ht="15" hidden="false" customHeight="false" outlineLevel="0" collapsed="false">
      <c r="A187" s="6" t="s">
        <v>1038</v>
      </c>
      <c r="B187" s="12" t="n">
        <v>-192.7</v>
      </c>
      <c r="C187" s="12" t="n">
        <v>65.07</v>
      </c>
      <c r="D187" s="12" t="n">
        <v>41.13</v>
      </c>
      <c r="E187" s="12" t="n">
        <v>0.47</v>
      </c>
      <c r="F187" s="12" t="n">
        <v>516.12</v>
      </c>
      <c r="G187" s="12" t="n">
        <v>17.54</v>
      </c>
      <c r="H187" s="12" t="n">
        <v>37.01</v>
      </c>
      <c r="I187" s="12" t="n">
        <v>41.32</v>
      </c>
      <c r="J187" s="12" t="n">
        <v>-2.76</v>
      </c>
      <c r="K187" s="12" t="n">
        <v>-13.38</v>
      </c>
      <c r="L187" s="12" t="n">
        <v>537.95</v>
      </c>
      <c r="M187" s="12" t="n">
        <v>-22.96</v>
      </c>
      <c r="N187" s="12" t="n">
        <v>-30.47</v>
      </c>
      <c r="O187" s="12" t="n">
        <v>207.21</v>
      </c>
      <c r="P187" s="12" t="n">
        <v>-75.67</v>
      </c>
      <c r="Q187" s="12" t="n">
        <v>6.39</v>
      </c>
      <c r="R187" s="12" t="n">
        <v>-379.62</v>
      </c>
    </row>
    <row r="188" customFormat="false" ht="15" hidden="false" customHeight="false" outlineLevel="0" collapsed="false">
      <c r="A188" s="6" t="s">
        <v>1039</v>
      </c>
      <c r="B188" s="12" t="n">
        <v>13.92</v>
      </c>
      <c r="H188" s="12" t="n">
        <v>31.99</v>
      </c>
      <c r="J188" s="12" t="n">
        <v>23.27</v>
      </c>
      <c r="K188" s="12" t="n">
        <v>535.84</v>
      </c>
      <c r="L188" s="12" t="n">
        <v>304.35</v>
      </c>
      <c r="M188" s="12" t="n">
        <v>253.99</v>
      </c>
      <c r="N188" s="12" t="n">
        <v>386.65</v>
      </c>
      <c r="O188" s="12" t="n">
        <v>733.01</v>
      </c>
      <c r="P188" s="12" t="n">
        <v>472.23</v>
      </c>
      <c r="Q188" s="12" t="n">
        <v>48.68</v>
      </c>
      <c r="R188" s="12" t="n">
        <v>408.31</v>
      </c>
    </row>
    <row r="189" customFormat="false" ht="15" hidden="false" customHeight="false" outlineLevel="0" collapsed="false">
      <c r="A189" s="6" t="s">
        <v>1040</v>
      </c>
      <c r="G189" s="12" t="n">
        <v>133.96</v>
      </c>
      <c r="K189" s="12" t="n">
        <v>-279.02</v>
      </c>
      <c r="L189" s="12" t="n">
        <v>-94.4</v>
      </c>
      <c r="M189" s="12" t="n">
        <v>-46.97</v>
      </c>
      <c r="N189" s="12" t="n">
        <v>-1587.19</v>
      </c>
      <c r="O189" s="12" t="n">
        <v>-1651.86</v>
      </c>
      <c r="P189" s="12" t="n">
        <v>-1985.39</v>
      </c>
      <c r="Q189" s="12" t="n">
        <v>293.77</v>
      </c>
      <c r="R189" s="12" t="n">
        <v>-727.24</v>
      </c>
    </row>
    <row r="190" customFormat="false" ht="15" hidden="false" customHeight="false" outlineLevel="0" collapsed="false">
      <c r="A190" s="6" t="s">
        <v>457</v>
      </c>
      <c r="B190" s="12" t="n">
        <v>350.16</v>
      </c>
      <c r="C190" s="12" t="n">
        <v>849.68</v>
      </c>
      <c r="D190" s="12" t="n">
        <v>584.01</v>
      </c>
      <c r="E190" s="12" t="n">
        <v>127.01</v>
      </c>
      <c r="F190" s="12" t="n">
        <v>-850.23</v>
      </c>
      <c r="G190" s="12" t="n">
        <v>25</v>
      </c>
      <c r="H190" s="12" t="n">
        <v>22.85</v>
      </c>
      <c r="I190" s="12" t="n">
        <v>64.21</v>
      </c>
      <c r="J190" s="12" t="n">
        <v>14.06</v>
      </c>
      <c r="L190" s="12" t="n">
        <v>-77.82</v>
      </c>
      <c r="M190" s="12" t="n">
        <v>-612.2</v>
      </c>
      <c r="N190" s="12" t="n">
        <v>-264.47</v>
      </c>
      <c r="O190" s="12" t="n">
        <v>1321.21</v>
      </c>
      <c r="P190" s="12" t="n">
        <v>933.96</v>
      </c>
      <c r="Q190" s="12" t="n">
        <v>399.41</v>
      </c>
      <c r="R190" s="12" t="n">
        <v>1060.29</v>
      </c>
    </row>
    <row r="191" customFormat="false" ht="15" hidden="false" customHeight="false" outlineLevel="0" collapsed="false">
      <c r="A191" s="6" t="s">
        <v>1041</v>
      </c>
      <c r="G191" s="12" t="n">
        <v>136.6</v>
      </c>
      <c r="H191" s="12" t="n">
        <v>86.28</v>
      </c>
      <c r="I191" s="12" t="n">
        <v>-177.32</v>
      </c>
      <c r="J191" s="12" t="n">
        <v>-26.27</v>
      </c>
      <c r="K191" s="12" t="n">
        <v>-450.59</v>
      </c>
      <c r="L191" s="12" t="n">
        <v>-1304.97</v>
      </c>
      <c r="M191" s="12" t="n">
        <v>-793.85</v>
      </c>
      <c r="N191" s="12" t="n">
        <v>-284.56</v>
      </c>
      <c r="O191" s="12" t="n">
        <v>-1197.71</v>
      </c>
      <c r="P191" s="12" t="n">
        <v>-372.16</v>
      </c>
      <c r="Q191" s="12" t="n">
        <v>-1464.86</v>
      </c>
      <c r="R191" s="12" t="n">
        <v>-227.66</v>
      </c>
    </row>
    <row r="192" customFormat="false" ht="15" hidden="false" customHeight="false" outlineLevel="0" collapsed="false">
      <c r="A192" s="6" t="s">
        <v>1042</v>
      </c>
      <c r="B192" s="12" t="n">
        <v>-10.2</v>
      </c>
      <c r="C192" s="12" t="n">
        <v>-71.68</v>
      </c>
      <c r="D192" s="12" t="n">
        <v>6.81</v>
      </c>
      <c r="E192" s="12" t="n">
        <v>-48.95</v>
      </c>
      <c r="F192" s="12" t="n">
        <v>-94.61</v>
      </c>
      <c r="G192" s="12" t="n">
        <v>-64.78</v>
      </c>
      <c r="H192" s="12" t="n">
        <v>-251.32</v>
      </c>
      <c r="I192" s="12" t="n">
        <v>113.29</v>
      </c>
      <c r="J192" s="12" t="n">
        <v>-266.08</v>
      </c>
      <c r="K192" s="12" t="n">
        <v>-0.65</v>
      </c>
      <c r="L192" s="12" t="n">
        <v>-970.95</v>
      </c>
      <c r="M192" s="12" t="n">
        <v>-3062.21</v>
      </c>
      <c r="N192" s="12" t="n">
        <v>777.98</v>
      </c>
      <c r="O192" s="12" t="n">
        <v>-1889.24</v>
      </c>
      <c r="P192" s="12" t="n">
        <v>-4528.69</v>
      </c>
      <c r="Q192" s="12" t="n">
        <v>-305.36</v>
      </c>
      <c r="R192" s="12" t="n">
        <v>5.89</v>
      </c>
    </row>
    <row r="193" customFormat="false" ht="15" hidden="false" customHeight="false" outlineLevel="0" collapsed="false">
      <c r="A193" s="6" t="s">
        <v>1043</v>
      </c>
      <c r="G193" s="12" t="n">
        <v>8.85</v>
      </c>
      <c r="H193" s="12" t="n">
        <v>-8.83</v>
      </c>
      <c r="I193" s="12" t="n">
        <v>857.03</v>
      </c>
      <c r="J193" s="12" t="n">
        <v>286.82</v>
      </c>
      <c r="K193" s="12" t="n">
        <v>1087.39</v>
      </c>
      <c r="L193" s="12" t="n">
        <v>1575.14</v>
      </c>
      <c r="M193" s="12" t="n">
        <v>2815.21</v>
      </c>
      <c r="N193" s="12" t="n">
        <v>-290.74</v>
      </c>
      <c r="O193" s="12" t="n">
        <v>-0.24</v>
      </c>
      <c r="P193" s="12" t="n">
        <v>597.93</v>
      </c>
      <c r="Q193" s="12" t="n">
        <v>-547.64</v>
      </c>
      <c r="R193" s="12" t="n">
        <v>-722.01</v>
      </c>
    </row>
    <row r="194" customFormat="false" ht="15" hidden="false" customHeight="false" outlineLevel="0" collapsed="false">
      <c r="A194" s="6" t="s">
        <v>1044</v>
      </c>
      <c r="B194" s="12" t="n">
        <v>-1170</v>
      </c>
      <c r="C194" s="12" t="n">
        <v>-994.8</v>
      </c>
      <c r="D194" s="12" t="n">
        <v>854.64</v>
      </c>
      <c r="E194" s="12" t="n">
        <v>106.06</v>
      </c>
      <c r="F194" s="12" t="n">
        <v>463.85</v>
      </c>
      <c r="G194" s="12" t="n">
        <v>-667.81</v>
      </c>
      <c r="H194" s="12" t="n">
        <v>-2468.04</v>
      </c>
      <c r="I194" s="12" t="n">
        <v>-5423.8</v>
      </c>
      <c r="J194" s="12" t="n">
        <v>-344.67</v>
      </c>
      <c r="K194" s="12" t="n">
        <v>-6952.13</v>
      </c>
      <c r="L194" s="12" t="n">
        <v>-13821.22</v>
      </c>
      <c r="M194" s="12" t="n">
        <v>-14474.69</v>
      </c>
      <c r="N194" s="12" t="n">
        <v>-20230.33</v>
      </c>
      <c r="O194" s="12" t="n">
        <v>-9539.02</v>
      </c>
      <c r="P194" s="12" t="n">
        <v>-19544.55</v>
      </c>
      <c r="Q194" s="12" t="n">
        <v>-2545.79</v>
      </c>
      <c r="R194" s="12" t="n">
        <v>-17974.22</v>
      </c>
    </row>
    <row r="195" customFormat="false" ht="15" hidden="false" customHeight="false" outlineLevel="0" collapsed="false">
      <c r="A195" s="6" t="s">
        <v>1045</v>
      </c>
      <c r="B195" s="12" t="n">
        <v>-2030.38</v>
      </c>
      <c r="C195" s="12" t="n">
        <v>-1248.54</v>
      </c>
      <c r="D195" s="12" t="n">
        <v>-4341.98</v>
      </c>
      <c r="E195" s="12" t="n">
        <v>-5252.04</v>
      </c>
      <c r="F195" s="12" t="n">
        <v>-2944.03</v>
      </c>
      <c r="G195" s="12" t="n">
        <v>427.15</v>
      </c>
      <c r="H195" s="12" t="n">
        <v>-3478</v>
      </c>
      <c r="I195" s="12" t="n">
        <v>-16225.11</v>
      </c>
      <c r="J195" s="12" t="n">
        <v>-173.32</v>
      </c>
      <c r="K195" s="12" t="n">
        <v>-13337.55</v>
      </c>
      <c r="L195" s="12" t="n">
        <v>-5488.88</v>
      </c>
      <c r="M195" s="12" t="n">
        <v>-27277.73</v>
      </c>
      <c r="N195" s="12" t="n">
        <v>-38683.26</v>
      </c>
      <c r="O195" s="12" t="n">
        <v>17995.09</v>
      </c>
      <c r="P195" s="12" t="n">
        <v>-30667.02</v>
      </c>
      <c r="Q195" s="12" t="n">
        <v>-7927.17</v>
      </c>
      <c r="R195" s="12" t="n">
        <v>-9908.85</v>
      </c>
    </row>
    <row r="196" customFormat="false" ht="15" hidden="false" customHeight="false" outlineLevel="0" collapsed="false">
      <c r="A196" s="6" t="s">
        <v>1046</v>
      </c>
      <c r="B196" s="12" t="n">
        <v>792.79</v>
      </c>
      <c r="C196" s="12" t="n">
        <v>835.49</v>
      </c>
      <c r="D196" s="12" t="n">
        <v>-44.24</v>
      </c>
      <c r="E196" s="12" t="n">
        <v>-908.15</v>
      </c>
      <c r="F196" s="12" t="n">
        <v>1115.23</v>
      </c>
      <c r="G196" s="12" t="n">
        <v>-2788.04</v>
      </c>
      <c r="H196" s="12" t="n">
        <v>2175.09</v>
      </c>
      <c r="I196" s="12" t="n">
        <v>10005.23</v>
      </c>
      <c r="J196" s="12" t="n">
        <v>-3017.12</v>
      </c>
      <c r="K196" s="12" t="n">
        <v>8365.12</v>
      </c>
      <c r="L196" s="12" t="n">
        <v>2373.44</v>
      </c>
      <c r="M196" s="12" t="n">
        <v>19920.38</v>
      </c>
      <c r="N196" s="12" t="n">
        <v>5081.21</v>
      </c>
      <c r="O196" s="12" t="n">
        <v>-33529.59</v>
      </c>
      <c r="P196" s="12" t="n">
        <v>6905.54</v>
      </c>
      <c r="Q196" s="12" t="n">
        <v>-3881.43</v>
      </c>
      <c r="R196" s="12" t="n">
        <v>-6741.97</v>
      </c>
    </row>
    <row r="197" customFormat="false" ht="15" hidden="false" customHeight="false" outlineLevel="0" collapsed="false">
      <c r="A197" s="6" t="s">
        <v>546</v>
      </c>
      <c r="N197" s="12" t="n">
        <v>5523.35</v>
      </c>
      <c r="O197" s="12" t="n">
        <v>-2142.37</v>
      </c>
      <c r="P197" s="12" t="n">
        <v>1686.83</v>
      </c>
      <c r="R197" s="12" t="n">
        <v>2410.93</v>
      </c>
    </row>
    <row r="198" customFormat="false" ht="15" hidden="false" customHeight="false" outlineLevel="0" collapsed="false">
      <c r="A198" s="4" t="s">
        <v>1047</v>
      </c>
    </row>
    <row r="199" customFormat="false" ht="15" hidden="false" customHeight="false" outlineLevel="0" collapsed="false">
      <c r="A199" s="6" t="s">
        <v>1048</v>
      </c>
      <c r="B199" s="12" t="n">
        <v>4641.22</v>
      </c>
      <c r="C199" s="12" t="n">
        <v>7897.25</v>
      </c>
      <c r="D199" s="12" t="n">
        <v>6055.18</v>
      </c>
      <c r="E199" s="12" t="n">
        <v>3551.86</v>
      </c>
      <c r="F199" s="12" t="n">
        <v>9166.64</v>
      </c>
      <c r="G199" s="12" t="n">
        <v>10491.49</v>
      </c>
      <c r="H199" s="12" t="n">
        <v>11691.79</v>
      </c>
      <c r="I199" s="12" t="n">
        <v>9491.74</v>
      </c>
      <c r="J199" s="12" t="n">
        <v>21162.4</v>
      </c>
      <c r="K199" s="12" t="n">
        <v>18893.09</v>
      </c>
      <c r="L199" s="12" t="n">
        <v>29410.77</v>
      </c>
      <c r="M199" s="12" t="n">
        <v>40743.9</v>
      </c>
      <c r="N199" s="12" t="n">
        <v>26657.57</v>
      </c>
      <c r="O199" s="12" t="n">
        <v>26478.15</v>
      </c>
      <c r="P199" s="12" t="n">
        <v>26186.58</v>
      </c>
      <c r="Q199" s="12" t="n">
        <v>19119.28</v>
      </c>
      <c r="R199" s="12" t="n">
        <v>13625.54</v>
      </c>
    </row>
    <row r="200" customFormat="false" ht="15" hidden="false" customHeight="false" outlineLevel="0" collapsed="false">
      <c r="A200" s="6" t="s">
        <v>1049</v>
      </c>
      <c r="B200" s="12" t="n">
        <v>6442.46</v>
      </c>
      <c r="C200" s="12" t="n">
        <v>10030.02</v>
      </c>
      <c r="D200" s="12" t="n">
        <v>8414.89</v>
      </c>
      <c r="E200" s="12" t="n">
        <v>35679.98</v>
      </c>
      <c r="F200" s="12" t="n">
        <v>34353.06</v>
      </c>
      <c r="G200" s="12" t="n">
        <v>28983.3</v>
      </c>
      <c r="H200" s="12" t="n">
        <v>28100.68</v>
      </c>
      <c r="I200" s="12" t="n">
        <v>21235.53</v>
      </c>
      <c r="J200" s="12" t="n">
        <v>87317.52</v>
      </c>
      <c r="K200" s="12" t="n">
        <v>34786.54</v>
      </c>
      <c r="L200" s="12" t="n">
        <v>59927.07</v>
      </c>
      <c r="M200" s="12" t="n">
        <v>78324.17</v>
      </c>
      <c r="N200" s="12" t="n">
        <v>46225.8</v>
      </c>
      <c r="O200" s="12" t="n">
        <v>60949.18</v>
      </c>
      <c r="P200" s="12" t="n">
        <v>71719.47</v>
      </c>
      <c r="Q200" s="12" t="n">
        <v>89089.08</v>
      </c>
      <c r="R200" s="12" t="n">
        <v>105080.47</v>
      </c>
    </row>
    <row r="201" customFormat="false" ht="15" hidden="false" customHeight="false" outlineLevel="0" collapsed="false">
      <c r="A201" s="6" t="s">
        <v>1050</v>
      </c>
      <c r="B201" s="12" t="n">
        <v>5866.99</v>
      </c>
      <c r="C201" s="12" t="n">
        <v>6442.46</v>
      </c>
      <c r="D201" s="12" t="n">
        <v>10030.02</v>
      </c>
      <c r="E201" s="12" t="n">
        <v>8414.89</v>
      </c>
      <c r="F201" s="12" t="n">
        <v>35679.98</v>
      </c>
      <c r="G201" s="12" t="n">
        <v>34353.06</v>
      </c>
      <c r="H201" s="12" t="n">
        <v>28983.3</v>
      </c>
      <c r="I201" s="12" t="n">
        <v>28100.68</v>
      </c>
      <c r="J201" s="12" t="n">
        <v>21235.53</v>
      </c>
      <c r="K201" s="12" t="n">
        <v>87317.52</v>
      </c>
      <c r="L201" s="12" t="n">
        <v>34786.54</v>
      </c>
      <c r="M201" s="12" t="n">
        <v>59927.07</v>
      </c>
      <c r="N201" s="12" t="n">
        <v>78324.17</v>
      </c>
      <c r="O201" s="12" t="n">
        <v>46225.8</v>
      </c>
      <c r="P201" s="12" t="n">
        <v>60949.18</v>
      </c>
      <c r="Q201" s="12" t="n">
        <v>60949.18</v>
      </c>
      <c r="R201" s="12" t="n">
        <v>71719.47</v>
      </c>
    </row>
    <row r="202" customFormat="false" ht="15" hidden="false" customHeight="false" outlineLevel="0" collapsed="false">
      <c r="A202" s="6" t="s">
        <v>1051</v>
      </c>
      <c r="B202" s="12" t="n">
        <v>575.47</v>
      </c>
      <c r="C202" s="12" t="n">
        <v>3587.57</v>
      </c>
      <c r="D202" s="12" t="n">
        <v>-1615.13</v>
      </c>
      <c r="E202" s="12" t="n">
        <v>27265.09</v>
      </c>
      <c r="F202" s="12" t="n">
        <v>-1326.91</v>
      </c>
      <c r="G202" s="12" t="n">
        <v>-5369.77</v>
      </c>
      <c r="H202" s="12" t="n">
        <v>-882.62</v>
      </c>
      <c r="I202" s="12" t="n">
        <v>-6865.15</v>
      </c>
      <c r="J202" s="12" t="n">
        <v>66081.99</v>
      </c>
      <c r="K202" s="12" t="n">
        <v>-52530.98</v>
      </c>
      <c r="L202" s="12" t="n">
        <v>25140.53</v>
      </c>
      <c r="M202" s="12" t="n">
        <v>18397.1</v>
      </c>
      <c r="N202" s="12" t="n">
        <v>-32098.38</v>
      </c>
      <c r="O202" s="12" t="n">
        <v>14723.39</v>
      </c>
      <c r="P202" s="12" t="n">
        <v>10770.29</v>
      </c>
      <c r="Q202" s="12" t="n">
        <v>28139.9</v>
      </c>
      <c r="R202" s="12" t="n">
        <v>33361</v>
      </c>
    </row>
    <row r="203" customFormat="false" ht="15" hidden="false" customHeight="false" outlineLevel="0" collapsed="false">
      <c r="A203" s="4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13"/>
    <col collapsed="false" customWidth="true" hidden="false" outlineLevel="0" max="12" min="12" style="1" width="40"/>
  </cols>
  <sheetData>
    <row r="1" customFormat="false" ht="17.35" hidden="false" customHeight="false" outlineLevel="0" collapsed="false">
      <c r="A1" s="20" t="s">
        <v>1052</v>
      </c>
    </row>
    <row r="2" customFormat="false" ht="15" hidden="false" customHeight="false" outlineLevel="0" collapsed="false">
      <c r="A2" s="21" t="s">
        <v>1053</v>
      </c>
    </row>
    <row r="4" customFormat="false" ht="15" hidden="false" customHeight="false" outlineLevel="0" collapsed="false">
      <c r="A4" s="4" t="s">
        <v>1054</v>
      </c>
    </row>
    <row r="5" customFormat="false" ht="15" hidden="false" customHeight="false" outlineLevel="0" collapsed="false">
      <c r="A5" s="4" t="s">
        <v>1055</v>
      </c>
      <c r="B5" s="5" t="s">
        <v>1056</v>
      </c>
      <c r="C5" s="5" t="s">
        <v>1057</v>
      </c>
      <c r="D5" s="5" t="s">
        <v>1058</v>
      </c>
      <c r="E5" s="5" t="s">
        <v>1059</v>
      </c>
      <c r="F5" s="5" t="s">
        <v>1060</v>
      </c>
      <c r="G5" s="5" t="s">
        <v>1061</v>
      </c>
      <c r="H5" s="5" t="s">
        <v>926</v>
      </c>
      <c r="I5" s="5" t="s">
        <v>927</v>
      </c>
    </row>
    <row r="6" customFormat="false" ht="15" hidden="false" customHeight="false" outlineLevel="0" collapsed="false">
      <c r="A6" s="6" t="s">
        <v>1062</v>
      </c>
      <c r="B6" s="19" t="n">
        <v>659.9</v>
      </c>
      <c r="C6" s="19" t="n">
        <v>921</v>
      </c>
      <c r="D6" s="19" t="n">
        <v>1218.1</v>
      </c>
      <c r="E6" s="19" t="n">
        <v>1336.3</v>
      </c>
      <c r="F6" s="19" t="n">
        <v>1050</v>
      </c>
      <c r="G6" s="19" t="n">
        <v>1258.5</v>
      </c>
      <c r="H6" s="19" t="n">
        <v>642.7</v>
      </c>
      <c r="I6" s="19" t="n">
        <v>738.4</v>
      </c>
    </row>
    <row r="7" customFormat="false" ht="15" hidden="false" customHeight="false" outlineLevel="0" collapsed="false">
      <c r="A7" s="6" t="s">
        <v>1063</v>
      </c>
      <c r="B7" s="19" t="n">
        <v>57.6</v>
      </c>
      <c r="C7" s="19" t="n">
        <v>56.3</v>
      </c>
      <c r="D7" s="19" t="n">
        <v>59.7</v>
      </c>
      <c r="E7" s="19" t="n">
        <v>60.3</v>
      </c>
      <c r="F7" s="19" t="n">
        <v>52.4</v>
      </c>
      <c r="G7" s="19" t="n">
        <v>56.6</v>
      </c>
      <c r="H7" s="19" t="n">
        <v>58.7</v>
      </c>
      <c r="I7" s="19" t="n">
        <v>51.2</v>
      </c>
    </row>
    <row r="8" customFormat="false" ht="15" hidden="false" customHeight="false" outlineLevel="0" collapsed="false">
      <c r="A8" s="6" t="s">
        <v>1064</v>
      </c>
      <c r="B8" s="19" t="n">
        <v>185</v>
      </c>
      <c r="C8" s="19" t="n">
        <v>247.9</v>
      </c>
      <c r="D8" s="19" t="n">
        <v>447.2</v>
      </c>
      <c r="E8" s="19" t="n">
        <v>680.6</v>
      </c>
      <c r="F8" s="19" t="n">
        <v>656.4</v>
      </c>
      <c r="G8" s="19" t="n">
        <v>752.4</v>
      </c>
      <c r="H8" s="19" t="n">
        <v>262.4</v>
      </c>
      <c r="I8" s="19" t="n">
        <v>556.9</v>
      </c>
    </row>
    <row r="9" customFormat="false" ht="15" hidden="false" customHeight="false" outlineLevel="0" collapsed="false">
      <c r="A9" s="6" t="s">
        <v>1065</v>
      </c>
      <c r="B9" s="19" t="n">
        <v>35.5</v>
      </c>
      <c r="C9" s="19" t="n">
        <v>34.6</v>
      </c>
      <c r="D9" s="19" t="n">
        <v>34</v>
      </c>
      <c r="E9" s="19" t="n">
        <v>31.7</v>
      </c>
      <c r="F9" s="19" t="n">
        <v>26.8</v>
      </c>
      <c r="G9" s="19" t="n">
        <v>32</v>
      </c>
      <c r="H9" s="19" t="n">
        <v>26</v>
      </c>
      <c r="I9" s="19" t="n">
        <v>47.8</v>
      </c>
    </row>
    <row r="10" customFormat="false" ht="15" hidden="false" customHeight="false" outlineLevel="0" collapsed="false">
      <c r="A10" s="6" t="s">
        <v>1066</v>
      </c>
      <c r="B10" s="19" t="n">
        <v>18.6</v>
      </c>
      <c r="C10" s="19" t="n">
        <v>54.7</v>
      </c>
      <c r="D10" s="19" t="n">
        <v>54.1</v>
      </c>
      <c r="E10" s="19" t="n">
        <v>73.6</v>
      </c>
      <c r="F10" s="19" t="n">
        <v>35.4</v>
      </c>
      <c r="G10" s="19" t="n">
        <v>5.5</v>
      </c>
      <c r="H10" s="19" t="n">
        <v>2.7</v>
      </c>
      <c r="I10" s="19" t="n">
        <v>12.6</v>
      </c>
    </row>
    <row r="11" customFormat="false" ht="15" hidden="false" customHeight="false" outlineLevel="0" collapsed="false">
      <c r="A11" s="6" t="s">
        <v>1067</v>
      </c>
      <c r="B11" s="19" t="n">
        <v>863.6</v>
      </c>
      <c r="C11" s="19" t="n">
        <v>1223.5</v>
      </c>
      <c r="D11" s="19" t="n">
        <v>1719.4</v>
      </c>
      <c r="E11" s="19" t="n">
        <v>2090.5</v>
      </c>
      <c r="F11" s="19" t="n">
        <v>1741.8</v>
      </c>
      <c r="G11" s="19" t="n">
        <v>2016.3</v>
      </c>
      <c r="H11" s="19" t="n">
        <v>907.8</v>
      </c>
      <c r="I11" s="19" t="n">
        <v>1307.8</v>
      </c>
    </row>
    <row r="12" customFormat="false" ht="15" hidden="false" customHeight="false" outlineLevel="0" collapsed="false">
      <c r="A12" s="6" t="s">
        <v>1068</v>
      </c>
      <c r="B12" s="19" t="n">
        <v>52.1</v>
      </c>
      <c r="C12" s="19" t="n">
        <v>50.8</v>
      </c>
      <c r="D12" s="19" t="n">
        <v>51.2</v>
      </c>
      <c r="E12" s="19" t="n">
        <v>49.5</v>
      </c>
      <c r="F12" s="19" t="n">
        <v>42.2</v>
      </c>
      <c r="G12" s="19" t="n">
        <v>47.4</v>
      </c>
      <c r="H12" s="19" t="n">
        <v>49.2</v>
      </c>
      <c r="I12" s="19" t="n">
        <v>50.1</v>
      </c>
    </row>
    <row r="13" customFormat="false" ht="15" hidden="false" customHeight="false" outlineLevel="0" collapsed="false">
      <c r="A13" s="6" t="s">
        <v>1069</v>
      </c>
      <c r="B13" s="19" t="n">
        <v>535.9</v>
      </c>
      <c r="C13" s="19" t="n">
        <v>843.1</v>
      </c>
      <c r="D13" s="19" t="n">
        <v>1217</v>
      </c>
      <c r="E13" s="19" t="n">
        <v>1586.7</v>
      </c>
      <c r="F13" s="19" t="n">
        <v>1182.8</v>
      </c>
      <c r="G13" s="19" t="n">
        <v>1438.5</v>
      </c>
      <c r="H13" s="19" t="n">
        <v>647.5</v>
      </c>
      <c r="I13" s="19" t="n">
        <v>888.3</v>
      </c>
    </row>
    <row r="14" customFormat="false" ht="15" hidden="false" customHeight="false" outlineLevel="0" collapsed="false">
      <c r="A14" s="6" t="s">
        <v>1070</v>
      </c>
      <c r="B14" s="19" t="n">
        <v>58.1</v>
      </c>
      <c r="C14" s="19" t="n">
        <v>54.8</v>
      </c>
      <c r="D14" s="19" t="n">
        <v>53.1</v>
      </c>
      <c r="E14" s="19" t="n">
        <v>53.9</v>
      </c>
      <c r="F14" s="19" t="n">
        <v>47.1</v>
      </c>
      <c r="G14" s="19" t="n">
        <v>51.6</v>
      </c>
      <c r="H14" s="19" t="n">
        <v>53.5</v>
      </c>
      <c r="I14" s="19" t="n">
        <v>58.5</v>
      </c>
    </row>
    <row r="15" customFormat="false" ht="15" hidden="false" customHeight="false" outlineLevel="0" collapsed="false">
      <c r="A15" s="6" t="s">
        <v>1071</v>
      </c>
      <c r="B15" s="19" t="n">
        <v>327.6</v>
      </c>
      <c r="C15" s="19" t="n">
        <v>380.4</v>
      </c>
      <c r="D15" s="19" t="n">
        <v>502.4</v>
      </c>
      <c r="E15" s="19" t="n">
        <v>503.9</v>
      </c>
      <c r="F15" s="19" t="n">
        <v>559</v>
      </c>
      <c r="G15" s="19" t="n">
        <v>577.8</v>
      </c>
      <c r="H15" s="19" t="n">
        <v>260.4</v>
      </c>
      <c r="I15" s="19" t="n">
        <v>419.5</v>
      </c>
    </row>
    <row r="16" customFormat="false" ht="15" hidden="false" customHeight="false" outlineLevel="0" collapsed="false">
      <c r="A16" s="6" t="s">
        <v>1072</v>
      </c>
      <c r="B16" s="19" t="n">
        <v>42.3</v>
      </c>
      <c r="C16" s="19" t="n">
        <v>41.9</v>
      </c>
      <c r="D16" s="19" t="n">
        <v>46.8</v>
      </c>
      <c r="E16" s="19" t="n">
        <v>35.7</v>
      </c>
      <c r="F16" s="19" t="n">
        <v>31.7</v>
      </c>
      <c r="G16" s="19" t="n">
        <v>37</v>
      </c>
      <c r="H16" s="19" t="n">
        <v>38.7</v>
      </c>
      <c r="I16" s="19" t="n">
        <v>32.4</v>
      </c>
    </row>
    <row r="17" customFormat="false" ht="15" hidden="false" customHeight="false" outlineLevel="0" collapsed="false">
      <c r="A17" s="6" t="s">
        <v>1073</v>
      </c>
    </row>
    <row r="19" customFormat="false" ht="15" hidden="false" customHeight="false" outlineLevel="0" collapsed="false">
      <c r="A19" s="4" t="s">
        <v>1074</v>
      </c>
    </row>
    <row r="20" customFormat="false" ht="15" hidden="false" customHeight="false" outlineLevel="0" collapsed="false">
      <c r="A20" s="4" t="s">
        <v>1075</v>
      </c>
      <c r="B20" s="5" t="s">
        <v>1056</v>
      </c>
      <c r="C20" s="5" t="s">
        <v>1057</v>
      </c>
      <c r="D20" s="5" t="s">
        <v>1058</v>
      </c>
      <c r="E20" s="5" t="s">
        <v>1059</v>
      </c>
      <c r="F20" s="5" t="s">
        <v>1060</v>
      </c>
      <c r="G20" s="5" t="s">
        <v>1061</v>
      </c>
    </row>
    <row r="21" customFormat="false" ht="15" hidden="false" customHeight="false" outlineLevel="0" collapsed="false">
      <c r="A21" s="6" t="s">
        <v>1076</v>
      </c>
      <c r="B21" s="12" t="n">
        <v>430</v>
      </c>
      <c r="C21" s="12" t="n">
        <v>509</v>
      </c>
      <c r="D21" s="12" t="n">
        <v>759</v>
      </c>
      <c r="E21" s="12" t="n">
        <v>979</v>
      </c>
      <c r="F21" s="12" t="n">
        <v>1103</v>
      </c>
      <c r="G21" s="12" t="n">
        <v>1442</v>
      </c>
    </row>
    <row r="22" customFormat="false" ht="15" hidden="false" customHeight="false" outlineLevel="0" collapsed="false">
      <c r="A22" s="6" t="s">
        <v>1077</v>
      </c>
      <c r="B22" s="12" t="n">
        <v>434</v>
      </c>
      <c r="C22" s="12" t="n">
        <v>505</v>
      </c>
      <c r="D22" s="12" t="n">
        <v>794</v>
      </c>
      <c r="E22" s="12" t="n">
        <v>1087</v>
      </c>
      <c r="F22" s="12" t="n">
        <v>1038</v>
      </c>
      <c r="G22" s="12" t="n">
        <v>1481</v>
      </c>
    </row>
    <row r="23" customFormat="false" ht="15" hidden="false" customHeight="false" outlineLevel="0" collapsed="false">
      <c r="A23" s="6" t="s">
        <v>1078</v>
      </c>
      <c r="B23" s="12" t="n">
        <v>34</v>
      </c>
      <c r="C23" s="12" t="n">
        <v>31</v>
      </c>
      <c r="D23" s="12" t="n">
        <v>65</v>
      </c>
      <c r="E23" s="12" t="n">
        <v>173</v>
      </c>
      <c r="F23" s="12" t="n">
        <v>108</v>
      </c>
      <c r="G23" s="12" t="n">
        <v>147</v>
      </c>
    </row>
    <row r="24" customFormat="false" ht="15" hidden="false" customHeight="false" outlineLevel="0" collapsed="false">
      <c r="A24" s="6" t="s">
        <v>1079</v>
      </c>
      <c r="B24" s="12" t="n">
        <v>620627</v>
      </c>
      <c r="C24" s="12" t="n">
        <v>748735</v>
      </c>
      <c r="D24" s="12" t="n">
        <v>1043440</v>
      </c>
      <c r="E24" s="12" t="n">
        <v>891602</v>
      </c>
      <c r="F24" s="12" t="n">
        <v>861063</v>
      </c>
      <c r="G24" s="12" t="n">
        <v>564607</v>
      </c>
    </row>
    <row r="25" customFormat="false" ht="15" hidden="false" customHeight="false" outlineLevel="0" collapsed="false">
      <c r="A25" s="6" t="s">
        <v>1080</v>
      </c>
      <c r="B25" s="12" t="n">
        <v>619464</v>
      </c>
      <c r="C25" s="12" t="n">
        <v>669714</v>
      </c>
      <c r="D25" s="12" t="n">
        <v>1046373</v>
      </c>
      <c r="E25" s="12" t="n">
        <v>895791</v>
      </c>
      <c r="F25" s="12" t="n">
        <v>897366</v>
      </c>
      <c r="G25" s="12" t="n">
        <v>522114</v>
      </c>
    </row>
    <row r="26" customFormat="false" ht="15" hidden="false" customHeight="false" outlineLevel="0" collapsed="false">
      <c r="A26" s="6" t="s">
        <v>1081</v>
      </c>
      <c r="B26" s="12" t="n">
        <v>154018</v>
      </c>
      <c r="C26" s="12" t="n">
        <v>74997</v>
      </c>
      <c r="D26" s="12" t="n">
        <v>77930</v>
      </c>
      <c r="E26" s="12" t="n">
        <v>82119</v>
      </c>
      <c r="F26" s="12" t="n">
        <v>118423</v>
      </c>
      <c r="G26" s="12" t="n">
        <v>75930</v>
      </c>
    </row>
    <row r="27" customFormat="false" ht="15" hidden="false" customHeight="false" outlineLevel="0" collapsed="false">
      <c r="A27" s="6" t="s">
        <v>1082</v>
      </c>
      <c r="B27" s="12" t="n">
        <v>1242</v>
      </c>
      <c r="C27" s="12" t="n">
        <v>2089</v>
      </c>
      <c r="D27" s="12" t="n">
        <v>2652</v>
      </c>
      <c r="E27" s="12" t="n">
        <v>3879</v>
      </c>
      <c r="F27" s="12" t="n">
        <v>3562</v>
      </c>
      <c r="G27" s="12" t="n">
        <v>2904</v>
      </c>
    </row>
    <row r="28" customFormat="false" ht="15" hidden="false" customHeight="false" outlineLevel="0" collapsed="false">
      <c r="A28" s="6" t="s">
        <v>1083</v>
      </c>
      <c r="B28" s="12" t="n">
        <v>1269</v>
      </c>
      <c r="C28" s="12" t="n">
        <v>2192</v>
      </c>
      <c r="D28" s="12" t="n">
        <v>2752</v>
      </c>
      <c r="E28" s="12" t="n">
        <v>4116</v>
      </c>
      <c r="F28" s="12" t="n">
        <v>3754</v>
      </c>
      <c r="G28" s="12" t="n">
        <v>2635</v>
      </c>
    </row>
    <row r="29" customFormat="false" ht="15" hidden="false" customHeight="false" outlineLevel="0" collapsed="false">
      <c r="A29" s="6" t="s">
        <v>1084</v>
      </c>
      <c r="B29" s="12" t="n">
        <v>69</v>
      </c>
      <c r="C29" s="12" t="n">
        <v>171</v>
      </c>
      <c r="D29" s="12" t="n">
        <v>271</v>
      </c>
      <c r="E29" s="12" t="n">
        <v>507</v>
      </c>
      <c r="F29" s="12" t="n">
        <v>699</v>
      </c>
      <c r="G29" s="12" t="n">
        <v>431</v>
      </c>
    </row>
    <row r="30" customFormat="false" ht="15" hidden="false" customHeight="false" outlineLevel="0" collapsed="false">
      <c r="A30" s="6" t="s">
        <v>1085</v>
      </c>
      <c r="C30" s="12" t="n">
        <v>4009929</v>
      </c>
      <c r="D30" s="12" t="n">
        <v>10907880</v>
      </c>
      <c r="E30" s="12" t="n">
        <v>14804873</v>
      </c>
      <c r="F30" s="12" t="n">
        <v>16149026</v>
      </c>
      <c r="G30" s="12" t="n">
        <v>17550943</v>
      </c>
    </row>
    <row r="31" customFormat="false" ht="15" hidden="false" customHeight="false" outlineLevel="0" collapsed="false">
      <c r="A31" s="6" t="s">
        <v>1086</v>
      </c>
      <c r="C31" s="12" t="n">
        <v>4135389</v>
      </c>
      <c r="D31" s="12" t="n">
        <v>11310832</v>
      </c>
      <c r="E31" s="12" t="n">
        <v>14636190</v>
      </c>
      <c r="F31" s="12" t="n">
        <v>17051028</v>
      </c>
      <c r="G31" s="12" t="n">
        <v>16538443</v>
      </c>
    </row>
    <row r="32" customFormat="false" ht="15" hidden="false" customHeight="false" outlineLevel="0" collapsed="false">
      <c r="A32" s="6" t="s">
        <v>1087</v>
      </c>
      <c r="C32" s="12" t="n">
        <v>125460</v>
      </c>
      <c r="D32" s="12" t="n">
        <v>528412</v>
      </c>
      <c r="E32" s="12" t="n">
        <v>1676947</v>
      </c>
      <c r="F32" s="12" t="n">
        <v>2578949</v>
      </c>
      <c r="G32" s="12" t="n">
        <v>1566449</v>
      </c>
    </row>
    <row r="33" customFormat="false" ht="15" hidden="false" customHeight="false" outlineLevel="0" collapsed="false">
      <c r="A33" s="6" t="s">
        <v>1088</v>
      </c>
      <c r="D33" s="12" t="n">
        <v>346</v>
      </c>
      <c r="E33" s="12" t="n">
        <v>788</v>
      </c>
      <c r="F33" s="12" t="n">
        <v>345</v>
      </c>
      <c r="G33" s="12" t="n">
        <v>528</v>
      </c>
    </row>
    <row r="34" customFormat="false" ht="15" hidden="false" customHeight="false" outlineLevel="0" collapsed="false">
      <c r="A34" s="6" t="s">
        <v>1089</v>
      </c>
      <c r="D34" s="12" t="n">
        <v>676</v>
      </c>
      <c r="E34" s="12" t="n">
        <v>1010</v>
      </c>
      <c r="F34" s="12" t="n">
        <v>1994</v>
      </c>
      <c r="G34" s="12" t="n">
        <v>963</v>
      </c>
    </row>
    <row r="35" customFormat="false" ht="15" hidden="false" customHeight="false" outlineLevel="0" collapsed="false">
      <c r="A35" s="6" t="s">
        <v>1090</v>
      </c>
      <c r="D35" s="12" t="n">
        <v>330</v>
      </c>
      <c r="E35" s="12" t="n">
        <v>552</v>
      </c>
      <c r="F35" s="12" t="n">
        <v>2201</v>
      </c>
      <c r="G35" s="12" t="n">
        <v>2637</v>
      </c>
    </row>
    <row r="36" customFormat="false" ht="15" hidden="false" customHeight="false" outlineLevel="0" collapsed="false">
      <c r="A36" s="6" t="s">
        <v>1091</v>
      </c>
    </row>
    <row r="38" customFormat="false" ht="15" hidden="false" customHeight="false" outlineLevel="0" collapsed="false">
      <c r="A38" s="4" t="s">
        <v>1092</v>
      </c>
    </row>
    <row r="39" customFormat="false" ht="15" hidden="false" customHeight="false" outlineLevel="0" collapsed="false">
      <c r="A39" s="4" t="s">
        <v>1055</v>
      </c>
      <c r="B39" s="5" t="s">
        <v>1056</v>
      </c>
      <c r="C39" s="5" t="s">
        <v>1057</v>
      </c>
      <c r="D39" s="5" t="s">
        <v>1058</v>
      </c>
      <c r="E39" s="5" t="s">
        <v>1059</v>
      </c>
      <c r="F39" s="5" t="s">
        <v>1060</v>
      </c>
      <c r="G39" s="5" t="s">
        <v>1061</v>
      </c>
    </row>
    <row r="40" customFormat="false" ht="15" hidden="false" customHeight="false" outlineLevel="0" collapsed="false">
      <c r="A40" s="6" t="s">
        <v>1093</v>
      </c>
      <c r="B40" s="19" t="n">
        <v>133.1</v>
      </c>
      <c r="C40" s="19" t="n">
        <v>169.1</v>
      </c>
      <c r="D40" s="19" t="n">
        <v>218.8</v>
      </c>
      <c r="E40" s="19" t="n">
        <v>247.1</v>
      </c>
      <c r="F40" s="19" t="n">
        <v>258.8</v>
      </c>
      <c r="G40" s="19" t="n">
        <v>288.8</v>
      </c>
    </row>
    <row r="41" customFormat="false" ht="15" hidden="false" customHeight="false" outlineLevel="0" collapsed="false">
      <c r="A41" s="6" t="s">
        <v>1094</v>
      </c>
      <c r="B41" s="19" t="n">
        <v>38.2</v>
      </c>
      <c r="C41" s="19" t="n">
        <v>61.1</v>
      </c>
      <c r="D41" s="19" t="n">
        <v>76.8</v>
      </c>
      <c r="E41" s="19" t="n">
        <v>70.7</v>
      </c>
      <c r="F41" s="19" t="n">
        <v>50.2</v>
      </c>
      <c r="G41" s="19" t="n">
        <v>52</v>
      </c>
    </row>
    <row r="42" customFormat="false" ht="15" hidden="false" customHeight="false" outlineLevel="0" collapsed="false">
      <c r="A42" s="6" t="s">
        <v>1095</v>
      </c>
      <c r="B42" s="19" t="n">
        <v>51.4</v>
      </c>
      <c r="C42" s="19" t="n">
        <v>82.6</v>
      </c>
      <c r="D42" s="19" t="n">
        <v>88.4</v>
      </c>
      <c r="E42" s="19" t="n">
        <v>87.7</v>
      </c>
      <c r="F42" s="19" t="n">
        <v>79.7</v>
      </c>
      <c r="G42" s="19" t="n">
        <v>86.1</v>
      </c>
    </row>
    <row r="43" customFormat="false" ht="15" hidden="false" customHeight="false" outlineLevel="0" collapsed="false">
      <c r="A43" s="6" t="s">
        <v>1096</v>
      </c>
      <c r="B43" s="19" t="n">
        <v>50.5</v>
      </c>
      <c r="C43" s="19" t="n">
        <v>80.8</v>
      </c>
      <c r="D43" s="19" t="n">
        <v>98.2</v>
      </c>
      <c r="E43" s="19" t="n">
        <v>114.3</v>
      </c>
      <c r="F43" s="19" t="n">
        <v>99.5</v>
      </c>
      <c r="G43" s="19" t="n">
        <v>107.1</v>
      </c>
    </row>
    <row r="44" customFormat="false" ht="15" hidden="false" customHeight="false" outlineLevel="0" collapsed="false">
      <c r="A44" s="6" t="s">
        <v>1097</v>
      </c>
      <c r="B44" s="19" t="n">
        <v>6.3</v>
      </c>
      <c r="C44" s="19" t="n">
        <v>8.7</v>
      </c>
      <c r="D44" s="19" t="n">
        <v>9.2</v>
      </c>
      <c r="E44" s="19" t="n">
        <v>10.4</v>
      </c>
      <c r="F44" s="19" t="n">
        <v>11.4</v>
      </c>
      <c r="G44" s="19" t="n">
        <v>11.8</v>
      </c>
    </row>
    <row r="45" customFormat="false" ht="15" hidden="false" customHeight="false" outlineLevel="0" collapsed="false">
      <c r="A45" s="6" t="s">
        <v>1098</v>
      </c>
      <c r="B45" s="19" t="n">
        <v>58.1</v>
      </c>
      <c r="C45" s="19" t="n">
        <v>81.6</v>
      </c>
      <c r="D45" s="19" t="n">
        <v>134</v>
      </c>
      <c r="E45" s="19" t="n">
        <v>236.2</v>
      </c>
      <c r="F45" s="19" t="n">
        <v>230</v>
      </c>
      <c r="G45" s="19" t="n">
        <v>318.1</v>
      </c>
    </row>
    <row r="46" customFormat="false" ht="15" hidden="false" customHeight="false" outlineLevel="0" collapsed="false">
      <c r="A46" s="6" t="s">
        <v>1099</v>
      </c>
      <c r="B46" s="19" t="n">
        <v>16.3</v>
      </c>
      <c r="C46" s="19" t="n">
        <v>22.3</v>
      </c>
      <c r="D46" s="19" t="n">
        <v>49.4</v>
      </c>
      <c r="E46" s="19" t="n">
        <v>76.6</v>
      </c>
      <c r="F46" s="19" t="n">
        <v>100.3</v>
      </c>
      <c r="G46" s="19" t="n">
        <v>73.7</v>
      </c>
    </row>
    <row r="47" customFormat="false" ht="15" hidden="false" customHeight="false" outlineLevel="0" collapsed="false">
      <c r="A47" s="6" t="s">
        <v>1100</v>
      </c>
      <c r="B47" s="19" t="n">
        <v>19</v>
      </c>
      <c r="C47" s="19" t="n">
        <v>20.9</v>
      </c>
      <c r="D47" s="19" t="n">
        <v>44.6</v>
      </c>
      <c r="E47" s="19" t="n">
        <v>50.9</v>
      </c>
      <c r="F47" s="19" t="n">
        <v>41.6</v>
      </c>
      <c r="G47" s="19" t="n">
        <v>33.5</v>
      </c>
    </row>
    <row r="48" customFormat="false" ht="15" hidden="false" customHeight="false" outlineLevel="0" collapsed="false">
      <c r="A48" s="6" t="s">
        <v>1101</v>
      </c>
      <c r="B48" s="19" t="n">
        <v>23.1</v>
      </c>
      <c r="C48" s="19" t="n">
        <v>32.4</v>
      </c>
      <c r="D48" s="19" t="n">
        <v>59.4</v>
      </c>
      <c r="E48" s="19" t="n">
        <v>91.2</v>
      </c>
      <c r="F48" s="19" t="n">
        <v>98.7</v>
      </c>
      <c r="G48" s="19" t="n">
        <v>77</v>
      </c>
    </row>
    <row r="49" customFormat="false" ht="15" hidden="false" customHeight="false" outlineLevel="0" collapsed="false">
      <c r="A49" s="6" t="s">
        <v>1102</v>
      </c>
      <c r="B49" s="19" t="n">
        <v>2.8</v>
      </c>
      <c r="C49" s="19" t="n">
        <v>4.9</v>
      </c>
      <c r="D49" s="19" t="n">
        <v>7.5</v>
      </c>
      <c r="E49" s="19" t="n">
        <v>9.9</v>
      </c>
      <c r="F49" s="19" t="n">
        <v>9.6</v>
      </c>
      <c r="G49" s="19" t="n">
        <v>9</v>
      </c>
    </row>
    <row r="50" customFormat="false" ht="15" hidden="false" customHeight="false" outlineLevel="0" collapsed="false">
      <c r="A50" s="6" t="s">
        <v>1103</v>
      </c>
    </row>
    <row r="52" customFormat="false" ht="15" hidden="false" customHeight="false" outlineLevel="0" collapsed="false">
      <c r="A52" s="4" t="s">
        <v>1104</v>
      </c>
    </row>
    <row r="53" customFormat="false" ht="15" hidden="false" customHeight="false" outlineLevel="0" collapsed="false">
      <c r="A53" s="4" t="s">
        <v>1055</v>
      </c>
      <c r="B53" s="5" t="s">
        <v>1057</v>
      </c>
      <c r="C53" s="5" t="s">
        <v>1058</v>
      </c>
      <c r="D53" s="5" t="s">
        <v>1059</v>
      </c>
      <c r="E53" s="5" t="s">
        <v>1060</v>
      </c>
      <c r="F53" s="5" t="s">
        <v>1061</v>
      </c>
    </row>
    <row r="54" customFormat="false" ht="15" hidden="false" customHeight="false" outlineLevel="0" collapsed="false">
      <c r="A54" s="6" t="s">
        <v>1105</v>
      </c>
      <c r="B54" s="19" t="n">
        <v>33.1</v>
      </c>
      <c r="C54" s="19" t="n">
        <v>36</v>
      </c>
      <c r="D54" s="19" t="n">
        <v>31.9</v>
      </c>
      <c r="E54" s="19" t="n">
        <v>19.4</v>
      </c>
      <c r="F54" s="19" t="n">
        <v>23.4</v>
      </c>
    </row>
    <row r="55" customFormat="false" ht="15" hidden="false" customHeight="false" outlineLevel="0" collapsed="false">
      <c r="A55" s="6" t="s">
        <v>1106</v>
      </c>
      <c r="B55" s="19" t="n">
        <v>12.9</v>
      </c>
      <c r="C55" s="19" t="n">
        <v>15.6</v>
      </c>
      <c r="D55" s="19" t="n">
        <v>9.7</v>
      </c>
      <c r="E55" s="19" t="n">
        <v>7.1</v>
      </c>
      <c r="F55" s="19" t="n">
        <v>7.5</v>
      </c>
    </row>
    <row r="56" customFormat="false" ht="15" hidden="false" customHeight="false" outlineLevel="0" collapsed="false">
      <c r="A56" s="6" t="s">
        <v>1107</v>
      </c>
      <c r="B56" s="19" t="n">
        <v>405</v>
      </c>
      <c r="C56" s="19" t="n">
        <v>618.4</v>
      </c>
      <c r="D56" s="19" t="n">
        <v>666.8</v>
      </c>
      <c r="E56" s="19" t="n">
        <v>338.2</v>
      </c>
      <c r="F56" s="19" t="n">
        <v>471.1</v>
      </c>
    </row>
    <row r="57" customFormat="false" ht="15" hidden="false" customHeight="false" outlineLevel="0" collapsed="false">
      <c r="A57" s="6" t="s">
        <v>1108</v>
      </c>
      <c r="B57" s="19" t="n">
        <v>27.3</v>
      </c>
      <c r="C57" s="19" t="n">
        <v>27.1</v>
      </c>
      <c r="D57" s="19" t="n">
        <v>25.3</v>
      </c>
      <c r="E57" s="19" t="n">
        <v>27.4</v>
      </c>
      <c r="F57" s="19" t="n">
        <v>26.6</v>
      </c>
    </row>
    <row r="58" customFormat="false" ht="15" hidden="false" customHeight="false" outlineLevel="0" collapsed="false">
      <c r="A58" s="6" t="s">
        <v>1109</v>
      </c>
    </row>
    <row r="60" customFormat="false" ht="15" hidden="false" customHeight="false" outlineLevel="0" collapsed="false">
      <c r="A60" s="4" t="s">
        <v>1110</v>
      </c>
    </row>
    <row r="61" customFormat="false" ht="15" hidden="false" customHeight="false" outlineLevel="0" collapsed="false">
      <c r="A61" s="4" t="s">
        <v>1055</v>
      </c>
      <c r="B61" s="5" t="s">
        <v>1056</v>
      </c>
      <c r="C61" s="5" t="s">
        <v>1057</v>
      </c>
      <c r="D61" s="5" t="s">
        <v>1058</v>
      </c>
      <c r="E61" s="5" t="s">
        <v>1059</v>
      </c>
      <c r="F61" s="5" t="s">
        <v>1060</v>
      </c>
      <c r="G61" s="5" t="s">
        <v>1061</v>
      </c>
      <c r="H61" s="5" t="s">
        <v>926</v>
      </c>
      <c r="I61" s="5" t="s">
        <v>927</v>
      </c>
    </row>
    <row r="62" customFormat="false" ht="15" hidden="false" customHeight="false" outlineLevel="0" collapsed="false">
      <c r="A62" s="6" t="s">
        <v>1111</v>
      </c>
      <c r="B62" s="19" t="n">
        <v>377.5</v>
      </c>
      <c r="C62" s="19" t="n">
        <v>487</v>
      </c>
      <c r="D62" s="19" t="n">
        <v>654.8</v>
      </c>
      <c r="E62" s="19" t="n">
        <v>726.5</v>
      </c>
      <c r="F62" s="19" t="n">
        <v>806.5</v>
      </c>
      <c r="G62" s="19" t="n">
        <v>897.5</v>
      </c>
      <c r="H62" s="19" t="n">
        <v>422</v>
      </c>
      <c r="I62" s="19" t="n">
        <v>558.8</v>
      </c>
    </row>
    <row r="63" customFormat="false" ht="15" hidden="false" customHeight="false" outlineLevel="0" collapsed="false">
      <c r="A63" s="6" t="s">
        <v>1112</v>
      </c>
      <c r="B63" s="19" t="n">
        <v>306.1</v>
      </c>
      <c r="C63" s="19" t="n">
        <v>430.7</v>
      </c>
      <c r="D63" s="19" t="n">
        <v>545.7</v>
      </c>
      <c r="E63" s="19" t="n">
        <v>548.6</v>
      </c>
      <c r="F63" s="19" t="n">
        <v>322.6</v>
      </c>
      <c r="G63" s="19" t="n">
        <v>426.9</v>
      </c>
      <c r="H63" s="19" t="n">
        <v>200.3</v>
      </c>
      <c r="I63" s="19" t="n">
        <v>237.9</v>
      </c>
    </row>
    <row r="64" customFormat="false" ht="15" hidden="false" customHeight="false" outlineLevel="0" collapsed="false">
      <c r="A64" s="6" t="s">
        <v>1113</v>
      </c>
      <c r="B64" s="19" t="n">
        <v>72.5</v>
      </c>
      <c r="C64" s="19" t="n">
        <v>87.5</v>
      </c>
      <c r="D64" s="19" t="n">
        <v>104</v>
      </c>
      <c r="E64" s="19" t="n">
        <v>122.5</v>
      </c>
      <c r="F64" s="19" t="n">
        <v>128.5</v>
      </c>
      <c r="G64" s="19" t="n">
        <v>184</v>
      </c>
      <c r="H64" s="19" t="n">
        <v>81.5</v>
      </c>
      <c r="I64" s="19" t="n">
        <v>119</v>
      </c>
    </row>
    <row r="65" customFormat="false" ht="15" hidden="false" customHeight="false" outlineLevel="0" collapsed="false">
      <c r="A65" s="6" t="s">
        <v>1114</v>
      </c>
      <c r="B65" s="19" t="n">
        <v>62.3</v>
      </c>
      <c r="C65" s="19" t="n">
        <v>73.8</v>
      </c>
      <c r="D65" s="19" t="n">
        <v>110.1</v>
      </c>
      <c r="E65" s="19" t="n">
        <v>146.8</v>
      </c>
      <c r="F65" s="19" t="n">
        <v>137.8</v>
      </c>
      <c r="G65" s="19" t="n">
        <v>167.3</v>
      </c>
      <c r="H65" s="19" t="n">
        <v>73</v>
      </c>
      <c r="I65" s="19" t="n">
        <v>117.6</v>
      </c>
    </row>
    <row r="66" customFormat="false" ht="15" hidden="false" customHeight="false" outlineLevel="0" collapsed="false">
      <c r="A66" s="6" t="s">
        <v>1115</v>
      </c>
      <c r="B66" s="19" t="n">
        <v>26.5</v>
      </c>
      <c r="C66" s="19" t="n">
        <v>50</v>
      </c>
      <c r="D66" s="19" t="n">
        <v>168.4</v>
      </c>
      <c r="E66" s="19" t="n">
        <v>349.8</v>
      </c>
      <c r="F66" s="19" t="n">
        <v>180.3</v>
      </c>
      <c r="G66" s="19" t="n">
        <v>89</v>
      </c>
      <c r="H66" s="19" t="n">
        <v>42.5</v>
      </c>
      <c r="I66" s="19" t="n">
        <v>33.5</v>
      </c>
    </row>
    <row r="67" customFormat="false" ht="15" hidden="false" customHeight="false" outlineLevel="0" collapsed="false">
      <c r="A67" s="6" t="s">
        <v>1116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v>2.5</v>
      </c>
      <c r="G67" s="19" t="n">
        <v>98.4</v>
      </c>
      <c r="H67" s="19" t="n">
        <v>13.1</v>
      </c>
      <c r="I67" s="19" t="n">
        <v>153</v>
      </c>
    </row>
    <row r="68" customFormat="false" ht="15" hidden="false" customHeight="false" outlineLevel="0" collapsed="false">
      <c r="A68" s="6" t="s">
        <v>1117</v>
      </c>
      <c r="B68" s="19" t="n">
        <v>18.7</v>
      </c>
      <c r="C68" s="19" t="n">
        <v>94.6</v>
      </c>
      <c r="D68" s="19" t="n">
        <v>136.3</v>
      </c>
      <c r="E68" s="19" t="n">
        <v>196.3</v>
      </c>
      <c r="F68" s="19" t="n">
        <v>163.6</v>
      </c>
      <c r="G68" s="19" t="n">
        <v>153.2</v>
      </c>
      <c r="H68" s="19" t="n">
        <v>75.4</v>
      </c>
      <c r="I68" s="19" t="n">
        <v>88</v>
      </c>
    </row>
    <row r="69" customFormat="false" ht="15" hidden="false" customHeight="false" outlineLevel="0" collapsed="false">
      <c r="A69" s="6" t="s">
        <v>1118</v>
      </c>
      <c r="B69" s="19" t="n">
        <v>50.5</v>
      </c>
      <c r="C69" s="19" t="n">
        <v>51.2</v>
      </c>
      <c r="D69" s="19" t="n">
        <v>54.8</v>
      </c>
      <c r="E69" s="19" t="n">
        <v>55.4</v>
      </c>
      <c r="F69" s="19" t="n">
        <v>49.1</v>
      </c>
      <c r="G69" s="19" t="n">
        <v>51.4</v>
      </c>
      <c r="H69" s="19" t="n">
        <v>54.4</v>
      </c>
      <c r="I69" s="19" t="n">
        <v>50.9</v>
      </c>
    </row>
    <row r="70" customFormat="false" ht="15" hidden="false" customHeight="false" outlineLevel="0" collapsed="false">
      <c r="A70" s="6" t="s">
        <v>1119</v>
      </c>
      <c r="B70" s="19" t="n">
        <v>63.1</v>
      </c>
      <c r="C70" s="19" t="n">
        <v>62.9</v>
      </c>
      <c r="D70" s="19" t="n">
        <v>67.3</v>
      </c>
      <c r="E70" s="19" t="n">
        <v>69.3</v>
      </c>
      <c r="F70" s="19" t="n">
        <v>58.2</v>
      </c>
      <c r="G70" s="19" t="n">
        <v>63.7</v>
      </c>
      <c r="H70" s="19" t="n">
        <v>66.7</v>
      </c>
      <c r="I70" s="19" t="n">
        <v>60.8</v>
      </c>
    </row>
    <row r="71" customFormat="false" ht="15" hidden="false" customHeight="false" outlineLevel="0" collapsed="false">
      <c r="A71" s="6" t="s">
        <v>1120</v>
      </c>
      <c r="B71" s="19" t="n">
        <v>50.4</v>
      </c>
      <c r="C71" s="19" t="n">
        <v>50.4</v>
      </c>
      <c r="D71" s="19" t="n">
        <v>50.2</v>
      </c>
      <c r="E71" s="19" t="n">
        <v>49.8</v>
      </c>
      <c r="F71" s="19" t="n">
        <v>47.2</v>
      </c>
      <c r="G71" s="19" t="n">
        <v>48.7</v>
      </c>
      <c r="H71" s="19" t="n">
        <v>48.7</v>
      </c>
      <c r="I71" s="19" t="n">
        <v>48.6</v>
      </c>
    </row>
    <row r="72" customFormat="false" ht="15" hidden="false" customHeight="false" outlineLevel="0" collapsed="false">
      <c r="A72" s="6" t="s">
        <v>1121</v>
      </c>
      <c r="B72" s="19" t="n">
        <v>31</v>
      </c>
      <c r="C72" s="19" t="n">
        <v>31</v>
      </c>
      <c r="D72" s="19" t="n">
        <v>31</v>
      </c>
      <c r="E72" s="19" t="n">
        <v>31.5</v>
      </c>
      <c r="F72" s="19" t="n">
        <v>23</v>
      </c>
      <c r="G72" s="19" t="n">
        <v>26</v>
      </c>
      <c r="H72" s="19" t="n">
        <v>27</v>
      </c>
      <c r="I72" s="19" t="n">
        <v>34</v>
      </c>
    </row>
    <row r="73" customFormat="false" ht="15" hidden="false" customHeight="false" outlineLevel="0" collapsed="false">
      <c r="A73" s="6" t="s">
        <v>1122</v>
      </c>
      <c r="B73" s="19" t="n">
        <v>24</v>
      </c>
      <c r="C73" s="19" t="n">
        <v>24</v>
      </c>
      <c r="D73" s="19" t="n">
        <v>26.5</v>
      </c>
      <c r="E73" s="19" t="n">
        <v>30</v>
      </c>
      <c r="F73" s="19" t="n">
        <v>12.6</v>
      </c>
      <c r="G73" s="19" t="n">
        <v>4.5</v>
      </c>
      <c r="H73" s="19" t="n">
        <v>4.5</v>
      </c>
      <c r="I73" s="19" t="n">
        <v>3</v>
      </c>
    </row>
    <row r="74" customFormat="false" ht="15" hidden="false" customHeight="false" outlineLevel="0" collapsed="false">
      <c r="A74" s="6" t="s">
        <v>1123</v>
      </c>
      <c r="B74" s="19" t="n">
        <v>60</v>
      </c>
      <c r="C74" s="19" t="n">
        <v>60</v>
      </c>
      <c r="D74" s="19" t="n">
        <v>60</v>
      </c>
      <c r="E74" s="19" t="n">
        <v>60</v>
      </c>
      <c r="F74" s="19" t="n">
        <v>45</v>
      </c>
      <c r="G74" s="19" t="n">
        <v>54</v>
      </c>
      <c r="H74" s="19" t="n">
        <v>47.5</v>
      </c>
      <c r="I74" s="19" t="n">
        <v>66.5</v>
      </c>
    </row>
    <row r="75" customFormat="false" ht="15" hidden="false" customHeight="false" outlineLevel="0" collapsed="false">
      <c r="A75" s="6" t="s">
        <v>1124</v>
      </c>
      <c r="B75" s="19" t="n">
        <v>19.6</v>
      </c>
      <c r="C75" s="19" t="n">
        <v>23.7</v>
      </c>
      <c r="D75" s="19" t="n">
        <v>17.2</v>
      </c>
      <c r="E75" s="19" t="n">
        <v>20</v>
      </c>
      <c r="F75" s="19" t="n">
        <v>21.1</v>
      </c>
      <c r="G75" s="19" t="n">
        <v>21.1</v>
      </c>
      <c r="H75" s="19" t="n">
        <v>21.3</v>
      </c>
      <c r="I75" s="19" t="n">
        <v>29.5</v>
      </c>
    </row>
    <row r="76" customFormat="false" ht="15" hidden="false" customHeight="false" outlineLevel="0" collapsed="false">
      <c r="A76" s="6" t="s">
        <v>1125</v>
      </c>
      <c r="B76" s="82" t="s">
        <v>1126</v>
      </c>
      <c r="C76" s="82" t="s">
        <v>1127</v>
      </c>
      <c r="D76" s="82" t="s">
        <v>1128</v>
      </c>
      <c r="E76" s="82" t="s">
        <v>1129</v>
      </c>
      <c r="F76" s="82" t="s">
        <v>1130</v>
      </c>
      <c r="G76" s="82" t="s">
        <v>1131</v>
      </c>
      <c r="H76" s="82" t="s">
        <v>1132</v>
      </c>
      <c r="I76" s="82" t="s">
        <v>1133</v>
      </c>
    </row>
    <row r="77" customFormat="false" ht="15" hidden="false" customHeight="false" outlineLevel="0" collapsed="false">
      <c r="A77" s="6" t="s">
        <v>1134</v>
      </c>
      <c r="B77" s="82" t="s">
        <v>1135</v>
      </c>
      <c r="C77" s="82" t="s">
        <v>1136</v>
      </c>
      <c r="D77" s="82" t="s">
        <v>1137</v>
      </c>
      <c r="E77" s="82" t="s">
        <v>1138</v>
      </c>
      <c r="F77" s="82" t="s">
        <v>1139</v>
      </c>
      <c r="G77" s="82" t="s">
        <v>1140</v>
      </c>
      <c r="H77" s="82" t="s">
        <v>1141</v>
      </c>
      <c r="I77" s="82" t="s">
        <v>1142</v>
      </c>
    </row>
    <row r="78" customFormat="false" ht="15" hidden="false" customHeight="false" outlineLevel="0" collapsed="false">
      <c r="A78" s="6" t="s">
        <v>1143</v>
      </c>
      <c r="B78" s="82" t="s">
        <v>1144</v>
      </c>
      <c r="C78" s="82" t="s">
        <v>1145</v>
      </c>
      <c r="D78" s="82" t="s">
        <v>1146</v>
      </c>
      <c r="E78" s="82" t="s">
        <v>1147</v>
      </c>
      <c r="F78" s="82" t="s">
        <v>1148</v>
      </c>
      <c r="G78" s="82" t="s">
        <v>1149</v>
      </c>
      <c r="H78" s="82" t="s">
        <v>1150</v>
      </c>
      <c r="I78" s="82" t="s">
        <v>1151</v>
      </c>
    </row>
    <row r="79" customFormat="false" ht="15" hidden="false" customHeight="false" outlineLevel="0" collapsed="false">
      <c r="A79" s="6" t="s">
        <v>1152</v>
      </c>
      <c r="B79" s="82" t="s">
        <v>1153</v>
      </c>
      <c r="C79" s="82" t="s">
        <v>1154</v>
      </c>
      <c r="D79" s="82" t="s">
        <v>1155</v>
      </c>
      <c r="E79" s="82" t="s">
        <v>1156</v>
      </c>
      <c r="F79" s="82" t="s">
        <v>1157</v>
      </c>
      <c r="G79" s="82" t="s">
        <v>1158</v>
      </c>
      <c r="H79" s="82" t="s">
        <v>1159</v>
      </c>
      <c r="I79" s="82" t="s">
        <v>1160</v>
      </c>
    </row>
    <row r="80" customFormat="false" ht="15" hidden="false" customHeight="false" outlineLevel="0" collapsed="false">
      <c r="A80" s="6" t="s">
        <v>1161</v>
      </c>
      <c r="B80" s="82" t="s">
        <v>1162</v>
      </c>
      <c r="C80" s="82" t="s">
        <v>1163</v>
      </c>
      <c r="D80" s="82" t="s">
        <v>1164</v>
      </c>
      <c r="E80" s="82" t="s">
        <v>1165</v>
      </c>
      <c r="F80" s="82" t="s">
        <v>1166</v>
      </c>
      <c r="G80" s="82" t="s">
        <v>1167</v>
      </c>
      <c r="H80" s="82" t="s">
        <v>1168</v>
      </c>
      <c r="I80" s="82" t="s">
        <v>1169</v>
      </c>
    </row>
    <row r="81" customFormat="false" ht="15" hidden="false" customHeight="false" outlineLevel="0" collapsed="false">
      <c r="A81" s="6" t="s">
        <v>1170</v>
      </c>
      <c r="B81" s="82" t="s">
        <v>1171</v>
      </c>
      <c r="C81" s="82" t="s">
        <v>1171</v>
      </c>
      <c r="D81" s="82" t="s">
        <v>1171</v>
      </c>
      <c r="E81" s="82" t="s">
        <v>1171</v>
      </c>
      <c r="F81" s="82" t="s">
        <v>1172</v>
      </c>
      <c r="G81" s="82" t="s">
        <v>1173</v>
      </c>
      <c r="H81" s="82" t="s">
        <v>1174</v>
      </c>
      <c r="I81" s="82" t="s">
        <v>1175</v>
      </c>
    </row>
    <row r="82" customFormat="false" ht="15" hidden="false" customHeight="false" outlineLevel="0" collapsed="false">
      <c r="A82" s="6" t="s">
        <v>1176</v>
      </c>
      <c r="B82" s="82" t="s">
        <v>1177</v>
      </c>
      <c r="C82" s="82" t="s">
        <v>1178</v>
      </c>
      <c r="D82" s="82" t="s">
        <v>1179</v>
      </c>
      <c r="E82" s="82" t="s">
        <v>1180</v>
      </c>
      <c r="F82" s="82" t="s">
        <v>1181</v>
      </c>
      <c r="G82" s="82" t="s">
        <v>1175</v>
      </c>
      <c r="H82" s="82" t="s">
        <v>1182</v>
      </c>
      <c r="I82" s="82" t="s">
        <v>1183</v>
      </c>
    </row>
    <row r="83" customFormat="false" ht="15" hidden="false" customHeight="false" outlineLevel="0" collapsed="false">
      <c r="A83" s="6" t="s">
        <v>1184</v>
      </c>
    </row>
    <row r="85" customFormat="false" ht="15" hidden="false" customHeight="false" outlineLevel="0" collapsed="false">
      <c r="A85" s="4" t="s">
        <v>1185</v>
      </c>
    </row>
    <row r="86" customFormat="false" ht="15" hidden="false" customHeight="false" outlineLevel="0" collapsed="false">
      <c r="A86" s="4" t="s">
        <v>1055</v>
      </c>
      <c r="B86" s="5" t="s">
        <v>86</v>
      </c>
      <c r="C86" s="5" t="s">
        <v>87</v>
      </c>
      <c r="D86" s="5" t="s">
        <v>88</v>
      </c>
      <c r="E86" s="5" t="s">
        <v>89</v>
      </c>
      <c r="F86" s="5" t="s">
        <v>3</v>
      </c>
      <c r="G86" s="5" t="s">
        <v>926</v>
      </c>
      <c r="H86" s="5" t="s">
        <v>927</v>
      </c>
    </row>
    <row r="87" customFormat="false" ht="15" hidden="false" customHeight="false" outlineLevel="0" collapsed="false">
      <c r="A87" s="6" t="s">
        <v>1186</v>
      </c>
      <c r="B87" s="19" t="n">
        <v>293.2</v>
      </c>
      <c r="C87" s="19" t="n">
        <v>429.3</v>
      </c>
      <c r="D87" s="19" t="n">
        <v>673.2</v>
      </c>
      <c r="E87" s="19" t="n">
        <v>620</v>
      </c>
      <c r="F87" s="19" t="n">
        <v>407.3</v>
      </c>
      <c r="G87" s="19" t="n">
        <v>185.7</v>
      </c>
      <c r="H87" s="19" t="n">
        <v>259.4</v>
      </c>
    </row>
    <row r="88" customFormat="false" ht="15" hidden="false" customHeight="false" outlineLevel="0" collapsed="false">
      <c r="A88" s="6" t="s">
        <v>1187</v>
      </c>
      <c r="B88" s="19" t="n">
        <v>17.9</v>
      </c>
      <c r="C88" s="19" t="n">
        <v>47.5</v>
      </c>
      <c r="D88" s="19" t="n">
        <v>59.5</v>
      </c>
      <c r="E88" s="19" t="n">
        <v>12.3</v>
      </c>
      <c r="F88" s="19" t="n">
        <v>-77.3</v>
      </c>
      <c r="G88" s="19" t="n">
        <v>-33.9</v>
      </c>
      <c r="H88" s="19" t="n">
        <v>-31.3</v>
      </c>
    </row>
    <row r="89" customFormat="false" ht="15" hidden="false" customHeight="false" outlineLevel="0" collapsed="false">
      <c r="A89" s="6" t="s">
        <v>1188</v>
      </c>
      <c r="B89" s="19" t="n">
        <v>551.1</v>
      </c>
      <c r="C89" s="19" t="n">
        <v>867</v>
      </c>
      <c r="D89" s="19" t="n">
        <v>1109.9</v>
      </c>
      <c r="E89" s="19" t="n">
        <v>1263.6</v>
      </c>
      <c r="F89" s="19" t="n">
        <v>1527.4</v>
      </c>
      <c r="G89" s="19" t="n">
        <v>1229.7</v>
      </c>
      <c r="H89" s="19" t="n">
        <v>1559.2</v>
      </c>
    </row>
    <row r="90" customFormat="false" ht="15" hidden="false" customHeight="false" outlineLevel="0" collapsed="false">
      <c r="A90" s="6" t="s">
        <v>1189</v>
      </c>
      <c r="B90" s="19" t="n">
        <v>255.3</v>
      </c>
      <c r="C90" s="19" t="n">
        <v>289.4</v>
      </c>
      <c r="D90" s="19" t="n">
        <v>389</v>
      </c>
      <c r="E90" s="19" t="n">
        <v>331.9</v>
      </c>
      <c r="F90" s="19" t="n">
        <v>425</v>
      </c>
      <c r="G90" s="19" t="n">
        <v>193.7</v>
      </c>
      <c r="H90" s="19" t="n">
        <v>247.6</v>
      </c>
    </row>
    <row r="91" customFormat="false" ht="15" hidden="false" customHeight="false" outlineLevel="0" collapsed="false">
      <c r="A91" s="6" t="s">
        <v>1190</v>
      </c>
      <c r="B91" s="19" t="n">
        <v>49.3</v>
      </c>
      <c r="C91" s="19" t="n">
        <v>53.3</v>
      </c>
      <c r="D91" s="19" t="n">
        <v>70.6</v>
      </c>
      <c r="E91" s="19" t="n">
        <v>65.4</v>
      </c>
      <c r="F91" s="19" t="n">
        <v>44</v>
      </c>
      <c r="G91" s="19" t="n">
        <v>14.4</v>
      </c>
      <c r="H91" s="19" t="n">
        <v>39.3</v>
      </c>
    </row>
    <row r="92" customFormat="false" ht="15" hidden="false" customHeight="false" outlineLevel="0" collapsed="false">
      <c r="A92" s="6" t="s">
        <v>1191</v>
      </c>
      <c r="B92" s="19" t="n">
        <v>215</v>
      </c>
      <c r="C92" s="19" t="n">
        <v>281.5</v>
      </c>
      <c r="D92" s="19" t="n">
        <v>357.3</v>
      </c>
      <c r="E92" s="19" t="n">
        <v>422.3</v>
      </c>
      <c r="F92" s="19" t="n">
        <v>448.2</v>
      </c>
      <c r="G92" s="19" t="n">
        <v>436.7</v>
      </c>
      <c r="H92" s="19" t="n">
        <v>488.6</v>
      </c>
    </row>
    <row r="93" customFormat="false" ht="15" hidden="false" customHeight="false" outlineLevel="0" collapsed="false">
      <c r="A93" s="6" t="s">
        <v>1192</v>
      </c>
      <c r="B93" s="19" t="n">
        <v>39.9</v>
      </c>
      <c r="C93" s="19" t="n">
        <v>82.2</v>
      </c>
      <c r="D93" s="19" t="n">
        <v>122.8</v>
      </c>
      <c r="E93" s="19" t="n">
        <v>130.7</v>
      </c>
      <c r="F93" s="19" t="n">
        <v>246.1</v>
      </c>
      <c r="G93" s="19" t="n">
        <v>85.9</v>
      </c>
      <c r="H93" s="19" t="n">
        <v>228.4</v>
      </c>
    </row>
    <row r="94" customFormat="false" ht="15" hidden="false" customHeight="false" outlineLevel="0" collapsed="false">
      <c r="A94" s="6" t="s">
        <v>1193</v>
      </c>
      <c r="B94" s="19" t="n">
        <v>2.5</v>
      </c>
      <c r="C94" s="19" t="n">
        <v>12</v>
      </c>
      <c r="D94" s="19" t="n">
        <v>17.4</v>
      </c>
      <c r="E94" s="19" t="n">
        <v>13.9</v>
      </c>
      <c r="F94" s="19" t="n">
        <v>46.5</v>
      </c>
      <c r="G94" s="19" t="n">
        <v>9.9</v>
      </c>
      <c r="H94" s="19" t="n">
        <v>80.5</v>
      </c>
    </row>
    <row r="95" customFormat="false" ht="15" hidden="false" customHeight="false" outlineLevel="0" collapsed="false">
      <c r="A95" s="6" t="s">
        <v>1194</v>
      </c>
      <c r="B95" s="19" t="n">
        <v>83.6</v>
      </c>
      <c r="C95" s="19" t="n">
        <v>110.8</v>
      </c>
      <c r="D95" s="19" t="n">
        <v>128.5</v>
      </c>
      <c r="E95" s="19" t="n">
        <v>146.9</v>
      </c>
      <c r="F95" s="19" t="n">
        <v>348.4</v>
      </c>
      <c r="G95" s="19" t="n">
        <v>207.1</v>
      </c>
      <c r="H95" s="19" t="n">
        <v>416.8</v>
      </c>
    </row>
    <row r="96" customFormat="false" ht="15" hidden="false" customHeight="false" outlineLevel="0" collapsed="false">
      <c r="A96" s="6" t="s">
        <v>1195</v>
      </c>
    </row>
    <row r="98" customFormat="false" ht="15" hidden="false" customHeight="false" outlineLevel="0" collapsed="false">
      <c r="A98" s="4" t="s">
        <v>1196</v>
      </c>
    </row>
    <row r="99" customFormat="false" ht="15" hidden="false" customHeight="false" outlineLevel="0" collapsed="false">
      <c r="A99" s="4" t="s">
        <v>1197</v>
      </c>
      <c r="B99" s="5" t="s">
        <v>86</v>
      </c>
      <c r="C99" s="5" t="s">
        <v>87</v>
      </c>
      <c r="D99" s="5" t="s">
        <v>88</v>
      </c>
      <c r="E99" s="5" t="s">
        <v>89</v>
      </c>
      <c r="F99" s="5" t="s">
        <v>926</v>
      </c>
      <c r="G99" s="5" t="s">
        <v>3</v>
      </c>
      <c r="H99" s="5" t="s">
        <v>927</v>
      </c>
    </row>
    <row r="100" customFormat="false" ht="15" hidden="false" customHeight="false" outlineLevel="0" collapsed="false">
      <c r="A100" s="6" t="s">
        <v>1198</v>
      </c>
      <c r="B100" s="19" t="n">
        <v>73.1</v>
      </c>
      <c r="C100" s="19" t="n">
        <v>57.2</v>
      </c>
      <c r="D100" s="19" t="n">
        <v>59.1</v>
      </c>
      <c r="E100" s="19" t="n">
        <v>59.1</v>
      </c>
      <c r="F100" s="19" t="n">
        <v>59.1</v>
      </c>
      <c r="G100" s="19" t="n">
        <v>51.1</v>
      </c>
      <c r="H100" s="19" t="n">
        <v>51.1</v>
      </c>
    </row>
    <row r="101" customFormat="false" ht="15" hidden="false" customHeight="false" outlineLevel="0" collapsed="false">
      <c r="A101" s="6" t="s">
        <v>1199</v>
      </c>
      <c r="B101" s="19" t="n">
        <v>60</v>
      </c>
      <c r="C101" s="19" t="n">
        <v>60</v>
      </c>
      <c r="D101" s="19" t="n">
        <v>60</v>
      </c>
      <c r="E101" s="19" t="n">
        <v>60</v>
      </c>
      <c r="F101" s="19" t="n">
        <v>55.8</v>
      </c>
      <c r="G101" s="19" t="n">
        <v>48.1</v>
      </c>
      <c r="H101" s="19" t="n">
        <v>48.1</v>
      </c>
    </row>
    <row r="102" customFormat="false" ht="15" hidden="false" customHeight="false" outlineLevel="0" collapsed="false">
      <c r="A102" s="6" t="s">
        <v>1200</v>
      </c>
      <c r="D102" s="19" t="n">
        <v>59.1</v>
      </c>
      <c r="E102" s="19" t="n">
        <v>35.5</v>
      </c>
      <c r="F102" s="19" t="n">
        <v>35.5</v>
      </c>
      <c r="G102" s="19" t="n">
        <v>30.7</v>
      </c>
      <c r="H102" s="19" t="n">
        <v>30.7</v>
      </c>
    </row>
    <row r="103" customFormat="false" ht="15" hidden="false" customHeight="false" outlineLevel="0" collapsed="false">
      <c r="A103" s="6" t="s">
        <v>1201</v>
      </c>
      <c r="B103" s="19" t="n">
        <v>73.1</v>
      </c>
      <c r="C103" s="19" t="n">
        <v>57.2</v>
      </c>
      <c r="D103" s="19" t="n">
        <v>59.1</v>
      </c>
      <c r="E103" s="19" t="n">
        <v>59.1</v>
      </c>
      <c r="F103" s="19" t="n">
        <v>59.1</v>
      </c>
      <c r="G103" s="19" t="n">
        <v>51.1</v>
      </c>
      <c r="H103" s="19" t="n">
        <v>51.1</v>
      </c>
    </row>
    <row r="104" customFormat="false" ht="15" hidden="false" customHeight="false" outlineLevel="0" collapsed="false">
      <c r="A104" s="6" t="s">
        <v>1202</v>
      </c>
      <c r="C104" s="19" t="n">
        <v>57.2</v>
      </c>
      <c r="D104" s="19" t="n">
        <v>59.1</v>
      </c>
      <c r="E104" s="19" t="n">
        <v>59.1</v>
      </c>
      <c r="F104" s="19" t="n">
        <v>59.1</v>
      </c>
      <c r="G104" s="19" t="n">
        <v>51.1</v>
      </c>
      <c r="H104" s="19" t="n">
        <v>51.1</v>
      </c>
    </row>
    <row r="105" customFormat="false" ht="15" hidden="false" customHeight="false" outlineLevel="0" collapsed="false">
      <c r="A105" s="6" t="s">
        <v>1203</v>
      </c>
      <c r="B105" s="19" t="n">
        <v>51</v>
      </c>
      <c r="C105" s="19" t="n">
        <v>70</v>
      </c>
      <c r="D105" s="19" t="n">
        <v>70</v>
      </c>
      <c r="E105" s="19" t="n">
        <v>70</v>
      </c>
      <c r="F105" s="19" t="n">
        <v>70</v>
      </c>
      <c r="G105" s="19" t="n">
        <v>100</v>
      </c>
      <c r="H105" s="19" t="n">
        <v>100</v>
      </c>
    </row>
    <row r="106" customFormat="false" ht="15" hidden="false" customHeight="false" outlineLevel="0" collapsed="false">
      <c r="A106" s="6" t="s">
        <v>1204</v>
      </c>
      <c r="C106" s="19" t="n">
        <v>60</v>
      </c>
      <c r="D106" s="19" t="n">
        <v>60</v>
      </c>
      <c r="E106" s="19" t="n">
        <v>60</v>
      </c>
      <c r="F106" s="19" t="n">
        <v>60</v>
      </c>
      <c r="G106" s="19" t="n">
        <v>60</v>
      </c>
      <c r="H106" s="19" t="n">
        <v>60</v>
      </c>
    </row>
    <row r="107" customFormat="false" ht="15" hidden="false" customHeight="false" outlineLevel="0" collapsed="false">
      <c r="A107" s="6" t="s">
        <v>1205</v>
      </c>
      <c r="D107" s="19" t="n">
        <v>65.1</v>
      </c>
      <c r="E107" s="19" t="n">
        <v>69.6</v>
      </c>
      <c r="F107" s="19" t="n">
        <v>80</v>
      </c>
      <c r="G107" s="19" t="n">
        <v>76</v>
      </c>
      <c r="H107" s="19" t="n">
        <v>78.7</v>
      </c>
    </row>
    <row r="108" customFormat="false" ht="15" hidden="false" customHeight="false" outlineLevel="0" collapsed="false">
      <c r="A108" s="6" t="s">
        <v>1206</v>
      </c>
      <c r="D108" s="19" t="n">
        <v>100</v>
      </c>
      <c r="E108" s="19" t="n">
        <v>74</v>
      </c>
      <c r="F108" s="19" t="n">
        <v>72.8</v>
      </c>
      <c r="G108" s="19" t="n">
        <v>65.6</v>
      </c>
      <c r="H108" s="19" t="n">
        <v>65.6</v>
      </c>
    </row>
    <row r="109" customFormat="false" ht="15" hidden="false" customHeight="false" outlineLevel="0" collapsed="false">
      <c r="A109" s="6" t="s">
        <v>1207</v>
      </c>
      <c r="B109" s="19" t="n">
        <v>60</v>
      </c>
      <c r="C109" s="19" t="n">
        <v>60</v>
      </c>
      <c r="D109" s="19" t="n">
        <v>60</v>
      </c>
      <c r="E109" s="19" t="n">
        <v>60</v>
      </c>
      <c r="F109" s="19" t="n">
        <v>60</v>
      </c>
      <c r="G109" s="19" t="n">
        <v>60</v>
      </c>
      <c r="H109" s="19" t="n">
        <v>60</v>
      </c>
    </row>
    <row r="110" customFormat="false" ht="15" hidden="false" customHeight="false" outlineLevel="0" collapsed="false">
      <c r="A110" s="6" t="s">
        <v>1208</v>
      </c>
      <c r="B110" s="19" t="n">
        <v>29.7</v>
      </c>
      <c r="C110" s="19" t="n">
        <v>29.7</v>
      </c>
      <c r="D110" s="19" t="n">
        <v>29.7</v>
      </c>
      <c r="E110" s="19" t="n">
        <v>29.7</v>
      </c>
      <c r="F110" s="19" t="n">
        <v>27.6</v>
      </c>
      <c r="G110" s="19" t="n">
        <v>48.1</v>
      </c>
      <c r="H110" s="19" t="n">
        <v>48.1</v>
      </c>
    </row>
    <row r="111" customFormat="false" ht="15" hidden="false" customHeight="false" outlineLevel="0" collapsed="false">
      <c r="A111" s="6" t="s">
        <v>1209</v>
      </c>
    </row>
    <row r="113" customFormat="false" ht="15" hidden="false" customHeight="false" outlineLevel="0" collapsed="false">
      <c r="A113" s="4" t="s">
        <v>1210</v>
      </c>
    </row>
    <row r="114" customFormat="false" ht="15" hidden="false" customHeight="false" outlineLevel="0" collapsed="false">
      <c r="A114" s="4" t="s">
        <v>1211</v>
      </c>
      <c r="B114" s="4" t="s">
        <v>1212</v>
      </c>
      <c r="C114" s="4" t="s">
        <v>389</v>
      </c>
      <c r="D114" s="4" t="s">
        <v>527</v>
      </c>
    </row>
    <row r="115" customFormat="false" ht="15" hidden="false" customHeight="false" outlineLevel="0" collapsed="false">
      <c r="A115" s="9" t="s">
        <v>1213</v>
      </c>
      <c r="B115" s="19" t="n">
        <v>40.9</v>
      </c>
      <c r="C115" s="19" t="n">
        <v>5.7</v>
      </c>
      <c r="D115" s="19" t="n">
        <v>452.9</v>
      </c>
    </row>
    <row r="116" customFormat="false" ht="15" hidden="false" customHeight="false" outlineLevel="0" collapsed="false">
      <c r="A116" s="9" t="s">
        <v>1214</v>
      </c>
      <c r="B116" s="19" t="n">
        <v>48.9</v>
      </c>
      <c r="C116" s="19" t="n">
        <v>-40.5</v>
      </c>
      <c r="D116" s="19" t="n">
        <v>821.2</v>
      </c>
    </row>
    <row r="117" customFormat="false" ht="15" hidden="false" customHeight="false" outlineLevel="0" collapsed="false">
      <c r="A117" s="9" t="s">
        <v>1215</v>
      </c>
      <c r="B117" s="19" t="n">
        <v>51.9</v>
      </c>
      <c r="C117" s="19" t="n">
        <v>22.6</v>
      </c>
      <c r="D117" s="19" t="n">
        <v>180.8</v>
      </c>
    </row>
    <row r="118" customFormat="false" ht="15" hidden="false" customHeight="false" outlineLevel="0" collapsed="false">
      <c r="A118" s="9" t="s">
        <v>1216</v>
      </c>
      <c r="B118" s="19" t="n">
        <v>48.9</v>
      </c>
      <c r="C118" s="19" t="n">
        <v>-21.6</v>
      </c>
      <c r="D118" s="19" t="n">
        <v>861.1</v>
      </c>
    </row>
    <row r="119" customFormat="false" ht="15" hidden="false" customHeight="false" outlineLevel="0" collapsed="false">
      <c r="A119" s="9" t="s">
        <v>1217</v>
      </c>
      <c r="B119" s="19" t="n">
        <v>51.9</v>
      </c>
      <c r="C119" s="19" t="n">
        <v>41.8</v>
      </c>
      <c r="D119" s="19" t="n">
        <v>216.2</v>
      </c>
    </row>
    <row r="120" customFormat="false" ht="15" hidden="false" customHeight="false" outlineLevel="0" collapsed="false">
      <c r="A120" s="6" t="s">
        <v>1218</v>
      </c>
    </row>
    <row r="122" customFormat="false" ht="15" hidden="false" customHeight="false" outlineLevel="0" collapsed="false">
      <c r="A122" s="4" t="s">
        <v>1219</v>
      </c>
    </row>
    <row r="123" customFormat="false" ht="15" hidden="false" customHeight="false" outlineLevel="0" collapsed="false">
      <c r="A123" s="4" t="s">
        <v>1055</v>
      </c>
      <c r="B123" s="5" t="s">
        <v>1057</v>
      </c>
      <c r="C123" s="5" t="s">
        <v>1058</v>
      </c>
      <c r="D123" s="5" t="s">
        <v>1059</v>
      </c>
      <c r="E123" s="5" t="s">
        <v>1060</v>
      </c>
      <c r="F123" s="5" t="s">
        <v>1061</v>
      </c>
      <c r="G123" s="5" t="s">
        <v>927</v>
      </c>
    </row>
    <row r="124" customFormat="false" ht="15" hidden="false" customHeight="false" outlineLevel="0" collapsed="false">
      <c r="A124" s="6" t="s">
        <v>1220</v>
      </c>
      <c r="B124" s="19" t="n">
        <v>1296.8</v>
      </c>
      <c r="C124" s="19" t="n">
        <v>1766.4</v>
      </c>
      <c r="D124" s="19" t="n">
        <v>2312.6</v>
      </c>
      <c r="E124" s="19" t="n">
        <v>2572.9</v>
      </c>
      <c r="F124" s="19" t="n">
        <v>3230.7</v>
      </c>
      <c r="G124" s="19" t="n">
        <v>3391.4</v>
      </c>
    </row>
    <row r="125" customFormat="false" ht="15" hidden="false" customHeight="false" outlineLevel="0" collapsed="false">
      <c r="A125" s="6" t="s">
        <v>1221</v>
      </c>
      <c r="B125" s="19" t="n">
        <v>460.1</v>
      </c>
      <c r="C125" s="19" t="n">
        <v>479.5</v>
      </c>
      <c r="D125" s="19" t="n">
        <v>584.9</v>
      </c>
      <c r="E125" s="19" t="n">
        <v>294.7</v>
      </c>
      <c r="F125" s="19" t="n">
        <v>680.9</v>
      </c>
      <c r="G125" s="19" t="n">
        <v>177.9</v>
      </c>
    </row>
    <row r="126" customFormat="false" ht="15" hidden="false" customHeight="false" outlineLevel="0" collapsed="false">
      <c r="A126" s="6" t="s">
        <v>1222</v>
      </c>
      <c r="B126" s="19" t="n">
        <v>379.4</v>
      </c>
      <c r="C126" s="19" t="n">
        <v>380.1</v>
      </c>
      <c r="D126" s="19" t="n">
        <v>390.7</v>
      </c>
      <c r="E126" s="19" t="n">
        <v>157.6</v>
      </c>
      <c r="F126" s="19" t="n">
        <v>551.8</v>
      </c>
      <c r="G126" s="19" t="n">
        <v>168.4</v>
      </c>
    </row>
    <row r="127" customFormat="false" ht="15" hidden="false" customHeight="false" outlineLevel="0" collapsed="false">
      <c r="A127" s="6" t="s">
        <v>1223</v>
      </c>
      <c r="B127" s="19" t="n">
        <v>40</v>
      </c>
      <c r="C127" s="19" t="n">
        <v>99.4</v>
      </c>
      <c r="D127" s="19" t="n">
        <v>194.2</v>
      </c>
      <c r="E127" s="19" t="n">
        <v>137.1</v>
      </c>
      <c r="F127" s="19" t="n">
        <v>129.1</v>
      </c>
      <c r="G127" s="19" t="n">
        <v>9.6</v>
      </c>
    </row>
    <row r="128" customFormat="false" ht="15" hidden="false" customHeight="false" outlineLevel="0" collapsed="false">
      <c r="A128" s="6" t="s">
        <v>1224</v>
      </c>
      <c r="B128" s="19" t="n">
        <v>77.6</v>
      </c>
      <c r="C128" s="19" t="n">
        <v>103.6</v>
      </c>
      <c r="D128" s="19" t="n">
        <v>151.4</v>
      </c>
      <c r="E128" s="19" t="n">
        <v>182.7</v>
      </c>
      <c r="F128" s="19" t="n">
        <v>221</v>
      </c>
      <c r="G128" s="19" t="n">
        <v>128.2</v>
      </c>
    </row>
    <row r="129" customFormat="false" ht="15" hidden="false" customHeight="false" outlineLevel="0" collapsed="false">
      <c r="A129" s="6" t="s">
        <v>1225</v>
      </c>
      <c r="B129" s="19" t="n">
        <v>970.5</v>
      </c>
      <c r="C129" s="19" t="n">
        <v>1343.1</v>
      </c>
      <c r="D129" s="19" t="n">
        <v>1765.1</v>
      </c>
      <c r="E129" s="19" t="n">
        <v>1863.3</v>
      </c>
      <c r="F129" s="19" t="n">
        <v>2318.5</v>
      </c>
      <c r="G129" s="19" t="n">
        <v>2361.3</v>
      </c>
    </row>
    <row r="130" customFormat="false" ht="15" hidden="false" customHeight="false" outlineLevel="0" collapsed="false">
      <c r="A130" s="6" t="s">
        <v>1226</v>
      </c>
    </row>
    <row r="132" customFormat="false" ht="15" hidden="false" customHeight="false" outlineLevel="0" collapsed="false">
      <c r="A132" s="4" t="s">
        <v>1227</v>
      </c>
    </row>
    <row r="133" customFormat="false" ht="15" hidden="false" customHeight="false" outlineLevel="0" collapsed="false">
      <c r="A133" s="4" t="s">
        <v>1055</v>
      </c>
      <c r="B133" s="4" t="s">
        <v>1228</v>
      </c>
      <c r="C133" s="4" t="s">
        <v>1229</v>
      </c>
      <c r="D133" s="4" t="s">
        <v>1230</v>
      </c>
      <c r="E133" s="4" t="s">
        <v>1231</v>
      </c>
    </row>
    <row r="134" customFormat="false" ht="15" hidden="false" customHeight="false" outlineLevel="0" collapsed="false">
      <c r="A134" s="6" t="s">
        <v>1232</v>
      </c>
      <c r="B134" s="83" t="s">
        <v>1233</v>
      </c>
      <c r="C134" s="19" t="n">
        <v>304</v>
      </c>
      <c r="D134" s="19" t="n">
        <v>294.9</v>
      </c>
      <c r="E134" s="82" t="s">
        <v>1234</v>
      </c>
    </row>
    <row r="135" customFormat="false" ht="15" hidden="false" customHeight="false" outlineLevel="0" collapsed="false">
      <c r="A135" s="6" t="s">
        <v>1235</v>
      </c>
      <c r="B135" s="83" t="s">
        <v>1233</v>
      </c>
      <c r="C135" s="19" t="n">
        <v>297.7</v>
      </c>
      <c r="D135" s="19" t="n">
        <v>278.3</v>
      </c>
      <c r="E135" s="82" t="s">
        <v>1236</v>
      </c>
    </row>
    <row r="136" customFormat="false" ht="15" hidden="false" customHeight="false" outlineLevel="0" collapsed="false">
      <c r="A136" s="6" t="s">
        <v>1237</v>
      </c>
      <c r="B136" s="83" t="s">
        <v>1238</v>
      </c>
      <c r="C136" s="19" t="n">
        <v>246.5</v>
      </c>
      <c r="D136" s="19" t="n">
        <v>199.8</v>
      </c>
      <c r="E136" s="82" t="s">
        <v>1239</v>
      </c>
    </row>
    <row r="137" customFormat="false" ht="15" hidden="false" customHeight="false" outlineLevel="0" collapsed="false">
      <c r="A137" s="6" t="s">
        <v>1240</v>
      </c>
      <c r="B137" s="83" t="s">
        <v>1241</v>
      </c>
      <c r="C137" s="19" t="n">
        <v>300</v>
      </c>
      <c r="D137" s="19" t="n">
        <v>90.8</v>
      </c>
      <c r="E137" s="82" t="s">
        <v>1242</v>
      </c>
    </row>
    <row r="138" customFormat="false" ht="15" hidden="false" customHeight="false" outlineLevel="0" collapsed="false">
      <c r="A138" s="6" t="s">
        <v>1243</v>
      </c>
      <c r="B138" s="83" t="s">
        <v>1244</v>
      </c>
      <c r="D138" s="19" t="n">
        <v>108.3</v>
      </c>
      <c r="E138" s="82" t="s">
        <v>1245</v>
      </c>
    </row>
    <row r="139" customFormat="false" ht="15" hidden="false" customHeight="false" outlineLevel="0" collapsed="false">
      <c r="A139" s="6" t="s">
        <v>1246</v>
      </c>
      <c r="B139" s="82" t="s">
        <v>1247</v>
      </c>
      <c r="C139" s="19" t="n">
        <v>148.7</v>
      </c>
      <c r="D139" s="19" t="n">
        <v>101.2</v>
      </c>
      <c r="E139" s="82" t="s">
        <v>1248</v>
      </c>
    </row>
    <row r="140" customFormat="false" ht="15" hidden="false" customHeight="false" outlineLevel="0" collapsed="false">
      <c r="A140" s="6" t="s">
        <v>1249</v>
      </c>
      <c r="B140" s="83" t="s">
        <v>1233</v>
      </c>
      <c r="C140" s="19" t="n">
        <v>231.5</v>
      </c>
      <c r="D140" s="19" t="n">
        <v>200.9</v>
      </c>
      <c r="E140" s="82" t="s">
        <v>1250</v>
      </c>
    </row>
    <row r="141" customFormat="false" ht="15" hidden="false" customHeight="false" outlineLevel="0" collapsed="false">
      <c r="A141" s="6" t="s">
        <v>1251</v>
      </c>
      <c r="B141" s="83" t="s">
        <v>1252</v>
      </c>
      <c r="C141" s="19" t="n">
        <v>47.6</v>
      </c>
      <c r="D141" s="19" t="n">
        <v>44.4</v>
      </c>
      <c r="E141" s="82" t="s">
        <v>1253</v>
      </c>
    </row>
    <row r="142" customFormat="false" ht="15" hidden="false" customHeight="false" outlineLevel="0" collapsed="false">
      <c r="A142" s="6" t="s">
        <v>1254</v>
      </c>
      <c r="B142" s="83" t="s">
        <v>1255</v>
      </c>
      <c r="C142" s="19" t="n">
        <v>448.7</v>
      </c>
      <c r="D142" s="19" t="n">
        <v>403.6</v>
      </c>
      <c r="E142" s="82" t="s">
        <v>1256</v>
      </c>
    </row>
    <row r="143" customFormat="false" ht="15" hidden="false" customHeight="false" outlineLevel="0" collapsed="false">
      <c r="A143" s="6" t="s">
        <v>1257</v>
      </c>
      <c r="B143" s="82" t="s">
        <v>1247</v>
      </c>
      <c r="C143" s="19" t="n">
        <v>95</v>
      </c>
      <c r="D143" s="19" t="n">
        <v>46.8</v>
      </c>
      <c r="E143" s="83" t="s">
        <v>1258</v>
      </c>
    </row>
    <row r="144" customFormat="false" ht="15" hidden="false" customHeight="false" outlineLevel="0" collapsed="false">
      <c r="A144" s="6" t="s">
        <v>1259</v>
      </c>
      <c r="B144" s="82" t="s">
        <v>1247</v>
      </c>
      <c r="C144" s="19" t="n">
        <v>37.1</v>
      </c>
      <c r="D144" s="19" t="n">
        <v>35.3</v>
      </c>
      <c r="E144" s="83" t="s">
        <v>1260</v>
      </c>
    </row>
    <row r="145" customFormat="false" ht="15" hidden="false" customHeight="false" outlineLevel="0" collapsed="false">
      <c r="A145" s="6" t="s">
        <v>1261</v>
      </c>
      <c r="B145" s="83" t="s">
        <v>1262</v>
      </c>
      <c r="C145" s="19" t="n">
        <v>494.8</v>
      </c>
      <c r="D145" s="19" t="n">
        <v>308</v>
      </c>
      <c r="E145" s="82" t="s">
        <v>1263</v>
      </c>
    </row>
    <row r="146" customFormat="false" ht="15" hidden="false" customHeight="false" outlineLevel="0" collapsed="false">
      <c r="A146" s="6" t="s">
        <v>1264</v>
      </c>
      <c r="B146" s="82" t="s">
        <v>1265</v>
      </c>
      <c r="C146" s="19" t="n">
        <v>200.4</v>
      </c>
      <c r="D146" s="19" t="n">
        <v>99</v>
      </c>
      <c r="E146" s="82" t="s">
        <v>1266</v>
      </c>
    </row>
    <row r="147" customFormat="false" ht="15" hidden="false" customHeight="false" outlineLevel="0" collapsed="false">
      <c r="A147" s="6" t="s">
        <v>1267</v>
      </c>
      <c r="B147" s="83" t="s">
        <v>1268</v>
      </c>
      <c r="C147" s="19" t="n">
        <v>328</v>
      </c>
      <c r="D147" s="19" t="n">
        <v>71.6</v>
      </c>
      <c r="E147" s="82" t="s">
        <v>1269</v>
      </c>
    </row>
    <row r="148" customFormat="false" ht="15" hidden="false" customHeight="false" outlineLevel="0" collapsed="false">
      <c r="A148" s="6" t="s">
        <v>1270</v>
      </c>
    </row>
    <row r="150" customFormat="false" ht="15" hidden="false" customHeight="false" outlineLevel="0" collapsed="false">
      <c r="A150" s="4" t="s">
        <v>1271</v>
      </c>
    </row>
    <row r="151" customFormat="false" ht="15" hidden="false" customHeight="false" outlineLevel="0" collapsed="false">
      <c r="A151" s="4" t="s">
        <v>1272</v>
      </c>
      <c r="B151" s="4" t="s">
        <v>1273</v>
      </c>
      <c r="C151" s="4" t="s">
        <v>1274</v>
      </c>
      <c r="D151" s="4" t="s">
        <v>591</v>
      </c>
      <c r="E151" s="4" t="s">
        <v>1275</v>
      </c>
      <c r="F151" s="4" t="s">
        <v>1276</v>
      </c>
    </row>
    <row r="152" customFormat="false" ht="15" hidden="false" customHeight="false" outlineLevel="0" collapsed="false">
      <c r="A152" s="9" t="s">
        <v>1277</v>
      </c>
      <c r="B152" s="19" t="n">
        <v>0.2</v>
      </c>
      <c r="C152" s="19" t="n">
        <v>59.9</v>
      </c>
      <c r="D152" s="19" t="n">
        <v>161.2</v>
      </c>
      <c r="E152" s="19" t="n">
        <v>37.1</v>
      </c>
      <c r="F152" s="82"/>
    </row>
    <row r="153" customFormat="false" ht="15" hidden="false" customHeight="false" outlineLevel="0" collapsed="false">
      <c r="A153" s="9" t="s">
        <v>1278</v>
      </c>
      <c r="B153" s="19" t="n">
        <v>0.18</v>
      </c>
      <c r="C153" s="19" t="n">
        <v>60.8</v>
      </c>
      <c r="D153" s="19" t="n">
        <v>191.6</v>
      </c>
      <c r="E153" s="19" t="n">
        <v>31.7</v>
      </c>
      <c r="F153" s="82"/>
    </row>
    <row r="154" customFormat="false" ht="15" hidden="false" customHeight="false" outlineLevel="0" collapsed="false">
      <c r="A154" s="9" t="s">
        <v>1056</v>
      </c>
      <c r="B154" s="19" t="n">
        <v>0.18</v>
      </c>
      <c r="C154" s="19" t="n">
        <v>60.8</v>
      </c>
      <c r="D154" s="19" t="n">
        <v>238.1</v>
      </c>
      <c r="E154" s="19" t="n">
        <v>25.5</v>
      </c>
      <c r="F154" s="82"/>
    </row>
    <row r="155" customFormat="false" ht="15" hidden="false" customHeight="false" outlineLevel="0" collapsed="false">
      <c r="A155" s="9" t="s">
        <v>1057</v>
      </c>
      <c r="B155" s="19" t="n">
        <v>0.23</v>
      </c>
      <c r="C155" s="19" t="n">
        <v>77.7</v>
      </c>
      <c r="D155" s="19" t="n">
        <v>370.1</v>
      </c>
      <c r="E155" s="19" t="n">
        <v>21</v>
      </c>
      <c r="F155" s="83" t="s">
        <v>1279</v>
      </c>
    </row>
    <row r="156" customFormat="false" ht="15" hidden="false" customHeight="false" outlineLevel="0" collapsed="false">
      <c r="A156" s="9" t="s">
        <v>1058</v>
      </c>
      <c r="B156" s="19" t="n">
        <v>0.19</v>
      </c>
      <c r="C156" s="19" t="n">
        <v>98</v>
      </c>
      <c r="D156" s="19" t="n">
        <v>488.7</v>
      </c>
      <c r="E156" s="19" t="n">
        <v>20.1</v>
      </c>
      <c r="F156" s="82"/>
    </row>
    <row r="157" customFormat="false" ht="15" hidden="false" customHeight="false" outlineLevel="0" collapsed="false">
      <c r="A157" s="9" t="s">
        <v>1059</v>
      </c>
      <c r="B157" s="19" t="n">
        <v>0.21</v>
      </c>
      <c r="C157" s="19" t="n">
        <v>109</v>
      </c>
      <c r="D157" s="19" t="n">
        <v>537.6</v>
      </c>
      <c r="E157" s="19" t="n">
        <v>20.3</v>
      </c>
      <c r="F157" s="82"/>
    </row>
    <row r="158" customFormat="false" ht="15" hidden="false" customHeight="false" outlineLevel="0" collapsed="false">
      <c r="A158" s="9" t="s">
        <v>1060</v>
      </c>
      <c r="B158" s="19" t="n">
        <v>0.13</v>
      </c>
      <c r="C158" s="19" t="n">
        <v>67.7</v>
      </c>
      <c r="D158" s="19" t="n">
        <v>314.2</v>
      </c>
      <c r="E158" s="19" t="n">
        <v>21.5</v>
      </c>
      <c r="F158" s="82"/>
    </row>
    <row r="159" customFormat="false" ht="15" hidden="false" customHeight="false" outlineLevel="0" collapsed="false">
      <c r="A159" s="9" t="s">
        <v>1061</v>
      </c>
      <c r="B159" s="19" t="n">
        <v>0</v>
      </c>
      <c r="C159" s="19" t="n">
        <v>0</v>
      </c>
      <c r="D159" s="19" t="n">
        <v>443.2</v>
      </c>
      <c r="E159" s="19" t="n">
        <v>0</v>
      </c>
      <c r="F159" s="82"/>
    </row>
    <row r="160" customFormat="false" ht="15" hidden="false" customHeight="false" outlineLevel="0" collapsed="false">
      <c r="A160" s="9" t="s">
        <v>1280</v>
      </c>
      <c r="B160" s="19" t="n">
        <v>0.17</v>
      </c>
      <c r="C160" s="19" t="n">
        <v>89.3</v>
      </c>
      <c r="F160" s="82"/>
    </row>
    <row r="161" customFormat="false" ht="15" hidden="false" customHeight="false" outlineLevel="0" collapsed="false">
      <c r="A161" s="6" t="s">
        <v>1281</v>
      </c>
    </row>
    <row r="163" customFormat="false" ht="15" hidden="false" customHeight="false" outlineLevel="0" collapsed="false">
      <c r="A163" s="4" t="s">
        <v>1282</v>
      </c>
    </row>
    <row r="164" customFormat="false" ht="15" hidden="false" customHeight="false" outlineLevel="0" collapsed="false">
      <c r="A164" s="4" t="s">
        <v>1283</v>
      </c>
      <c r="B164" s="4" t="s">
        <v>1284</v>
      </c>
      <c r="C164" s="4" t="s">
        <v>802</v>
      </c>
    </row>
    <row r="165" customFormat="false" ht="15" hidden="false" customHeight="false" outlineLevel="0" collapsed="false">
      <c r="A165" s="9" t="s">
        <v>1285</v>
      </c>
      <c r="B165" s="19" t="n">
        <v>0</v>
      </c>
      <c r="C165" s="82"/>
    </row>
    <row r="166" customFormat="false" ht="15" hidden="false" customHeight="false" outlineLevel="0" collapsed="false">
      <c r="A166" s="9" t="s">
        <v>86</v>
      </c>
      <c r="B166" s="19" t="n">
        <v>38.98</v>
      </c>
      <c r="C166" s="82" t="s">
        <v>1286</v>
      </c>
    </row>
    <row r="167" customFormat="false" ht="15" hidden="false" customHeight="false" outlineLevel="0" collapsed="false">
      <c r="A167" s="9" t="s">
        <v>1287</v>
      </c>
      <c r="B167" s="19" t="n">
        <v>46.32</v>
      </c>
      <c r="C167" s="82"/>
    </row>
    <row r="168" customFormat="false" ht="15" hidden="false" customHeight="false" outlineLevel="0" collapsed="false">
      <c r="A168" s="9" t="s">
        <v>87</v>
      </c>
      <c r="B168" s="19" t="n">
        <v>86.47</v>
      </c>
      <c r="C168" s="82"/>
    </row>
    <row r="169" customFormat="false" ht="15" hidden="false" customHeight="false" outlineLevel="0" collapsed="false">
      <c r="A169" s="9" t="s">
        <v>1288</v>
      </c>
      <c r="B169" s="19" t="n">
        <v>37.43</v>
      </c>
      <c r="C169" s="82"/>
    </row>
    <row r="170" customFormat="false" ht="15" hidden="false" customHeight="false" outlineLevel="0" collapsed="false">
      <c r="A170" s="9" t="s">
        <v>88</v>
      </c>
      <c r="B170" s="19" t="n">
        <v>55.23</v>
      </c>
      <c r="C170" s="82"/>
    </row>
    <row r="171" customFormat="false" ht="15" hidden="false" customHeight="false" outlineLevel="0" collapsed="false">
      <c r="A171" s="9" t="s">
        <v>1289</v>
      </c>
      <c r="B171" s="19" t="n">
        <v>15.65</v>
      </c>
      <c r="C171" s="82"/>
    </row>
    <row r="172" customFormat="false" ht="15" hidden="false" customHeight="false" outlineLevel="0" collapsed="false">
      <c r="A172" s="9" t="s">
        <v>89</v>
      </c>
      <c r="B172" s="19" t="n">
        <v>-21.71</v>
      </c>
      <c r="C172" s="82" t="s">
        <v>1290</v>
      </c>
    </row>
    <row r="173" customFormat="false" ht="15" hidden="false" customHeight="false" outlineLevel="0" collapsed="false">
      <c r="A173" s="9" t="s">
        <v>926</v>
      </c>
      <c r="B173" s="19" t="n">
        <v>0</v>
      </c>
      <c r="C173" s="82"/>
    </row>
    <row r="174" customFormat="false" ht="15" hidden="false" customHeight="false" outlineLevel="0" collapsed="false">
      <c r="A174" s="9" t="s">
        <v>3</v>
      </c>
      <c r="B174" s="19" t="n">
        <v>16.23</v>
      </c>
      <c r="C174" s="82" t="s">
        <v>1291</v>
      </c>
    </row>
    <row r="175" customFormat="false" ht="15" hidden="false" customHeight="false" outlineLevel="0" collapsed="false">
      <c r="A175" s="9" t="s">
        <v>927</v>
      </c>
      <c r="B175" s="19" t="n">
        <v>24.11</v>
      </c>
      <c r="C175" s="82"/>
    </row>
    <row r="176" customFormat="false" ht="15" hidden="false" customHeight="false" outlineLevel="0" collapsed="false">
      <c r="A176" s="6" t="s">
        <v>1292</v>
      </c>
    </row>
    <row r="178" customFormat="false" ht="15" hidden="false" customHeight="false" outlineLevel="0" collapsed="false">
      <c r="A178" s="4" t="s">
        <v>1293</v>
      </c>
    </row>
    <row r="179" customFormat="false" ht="15" hidden="false" customHeight="false" outlineLevel="0" collapsed="false">
      <c r="A179" s="4" t="s">
        <v>1294</v>
      </c>
      <c r="B179" s="4" t="s">
        <v>1295</v>
      </c>
    </row>
    <row r="180" customFormat="false" ht="15" hidden="false" customHeight="false" outlineLevel="0" collapsed="false">
      <c r="A180" s="9" t="s">
        <v>86</v>
      </c>
      <c r="B180" s="12" t="n">
        <v>9166</v>
      </c>
    </row>
    <row r="181" customFormat="false" ht="15" hidden="false" customHeight="false" outlineLevel="0" collapsed="false">
      <c r="A181" s="9" t="s">
        <v>87</v>
      </c>
      <c r="B181" s="12" t="n">
        <v>11917</v>
      </c>
    </row>
    <row r="182" customFormat="false" ht="15" hidden="false" customHeight="false" outlineLevel="0" collapsed="false">
      <c r="A182" s="9" t="s">
        <v>88</v>
      </c>
      <c r="B182" s="12" t="n">
        <v>16357</v>
      </c>
    </row>
    <row r="183" customFormat="false" ht="15" hidden="false" customHeight="false" outlineLevel="0" collapsed="false">
      <c r="A183" s="9" t="s">
        <v>89</v>
      </c>
      <c r="B183" s="12" t="n">
        <v>19533</v>
      </c>
    </row>
    <row r="184" customFormat="false" ht="15" hidden="false" customHeight="false" outlineLevel="0" collapsed="false">
      <c r="A184" s="9" t="s">
        <v>580</v>
      </c>
      <c r="B184" s="12" t="n">
        <v>13146</v>
      </c>
    </row>
    <row r="185" customFormat="false" ht="15" hidden="false" customHeight="false" outlineLevel="0" collapsed="false">
      <c r="A185" s="9" t="s">
        <v>926</v>
      </c>
      <c r="B185" s="12" t="n">
        <v>14545</v>
      </c>
    </row>
    <row r="186" customFormat="false" ht="15" hidden="false" customHeight="false" outlineLevel="0" collapsed="false">
      <c r="A186" s="9" t="s">
        <v>582</v>
      </c>
      <c r="B186" s="12" t="n">
        <v>31386</v>
      </c>
    </row>
    <row r="187" customFormat="false" ht="15" hidden="false" customHeight="false" outlineLevel="0" collapsed="false">
      <c r="A187" s="9" t="s">
        <v>3</v>
      </c>
      <c r="B187" s="12" t="n">
        <v>68145</v>
      </c>
    </row>
    <row r="188" customFormat="false" ht="15" hidden="false" customHeight="false" outlineLevel="0" collapsed="false">
      <c r="A188" s="9" t="s">
        <v>584</v>
      </c>
      <c r="B188" s="12" t="n">
        <v>90818</v>
      </c>
    </row>
    <row r="189" customFormat="false" ht="15" hidden="false" customHeight="false" outlineLevel="0" collapsed="false">
      <c r="A189" s="9" t="s">
        <v>927</v>
      </c>
      <c r="B189" s="12" t="n">
        <v>165543</v>
      </c>
    </row>
    <row r="190" customFormat="false" ht="15" hidden="false" customHeight="false" outlineLevel="0" collapsed="false">
      <c r="A190" s="6" t="s">
        <v>1296</v>
      </c>
    </row>
    <row r="192" customFormat="false" ht="15" hidden="false" customHeight="false" outlineLevel="0" collapsed="false">
      <c r="A192" s="4" t="s">
        <v>1297</v>
      </c>
    </row>
    <row r="193" customFormat="false" ht="15" hidden="false" customHeight="false" outlineLevel="0" collapsed="false">
      <c r="A193" s="4" t="s">
        <v>1298</v>
      </c>
      <c r="B193" s="4" t="s">
        <v>1299</v>
      </c>
    </row>
    <row r="194" customFormat="false" ht="15" hidden="false" customHeight="false" outlineLevel="0" collapsed="false">
      <c r="A194" s="6" t="s">
        <v>1300</v>
      </c>
      <c r="B194" s="12" t="n">
        <v>-2602008</v>
      </c>
    </row>
    <row r="195" customFormat="false" ht="15" hidden="false" customHeight="false" outlineLevel="0" collapsed="false">
      <c r="A195" s="6" t="s">
        <v>1301</v>
      </c>
      <c r="B195" s="12" t="n">
        <v>-2490900</v>
      </c>
    </row>
    <row r="196" customFormat="false" ht="15" hidden="false" customHeight="false" outlineLevel="0" collapsed="false">
      <c r="A196" s="6" t="s">
        <v>1302</v>
      </c>
      <c r="B196" s="12" t="n">
        <v>-450000</v>
      </c>
    </row>
    <row r="197" customFormat="false" ht="15" hidden="false" customHeight="false" outlineLevel="0" collapsed="false">
      <c r="A197" s="6" t="s">
        <v>1303</v>
      </c>
      <c r="B197" s="12" t="n">
        <v>-77400</v>
      </c>
    </row>
    <row r="198" customFormat="false" ht="15" hidden="false" customHeight="false" outlineLevel="0" collapsed="false">
      <c r="A198" s="6" t="s">
        <v>1304</v>
      </c>
      <c r="B198" s="12" t="n">
        <v>-60700</v>
      </c>
    </row>
    <row r="199" customFormat="false" ht="15" hidden="false" customHeight="false" outlineLevel="0" collapsed="false">
      <c r="A199" s="6" t="s">
        <v>1305</v>
      </c>
      <c r="B199" s="12" t="n">
        <v>-60900</v>
      </c>
    </row>
    <row r="200" customFormat="false" ht="15" hidden="false" customHeight="false" outlineLevel="0" collapsed="false">
      <c r="A200" s="6" t="s">
        <v>1306</v>
      </c>
      <c r="B200" s="12" t="n">
        <v>-49900</v>
      </c>
    </row>
    <row r="201" customFormat="false" ht="15" hidden="false" customHeight="false" outlineLevel="0" collapsed="false">
      <c r="A201" s="9" t="s">
        <v>1307</v>
      </c>
      <c r="B201" s="12" t="n">
        <v>-5092908</v>
      </c>
    </row>
    <row r="202" customFormat="false" ht="15" hidden="false" customHeight="false" outlineLevel="0" collapsed="false">
      <c r="A202" s="9" t="s">
        <v>1308</v>
      </c>
      <c r="B202" s="12" t="n">
        <v>0.98</v>
      </c>
    </row>
    <row r="203" customFormat="false" ht="15" hidden="false" customHeight="false" outlineLevel="0" collapsed="false">
      <c r="A203" s="9" t="s">
        <v>1309</v>
      </c>
      <c r="B203" s="12" t="n">
        <v>-698900</v>
      </c>
    </row>
    <row r="204" customFormat="false" ht="15" hidden="false" customHeight="false" outlineLevel="0" collapsed="false">
      <c r="A204" s="6" t="s">
        <v>1310</v>
      </c>
    </row>
    <row r="206" customFormat="false" ht="15" hidden="false" customHeight="false" outlineLevel="0" collapsed="false">
      <c r="A206" s="4" t="s">
        <v>1311</v>
      </c>
    </row>
    <row r="207" customFormat="false" ht="15" hidden="false" customHeight="false" outlineLevel="0" collapsed="false">
      <c r="A207" s="4" t="s">
        <v>1055</v>
      </c>
      <c r="B207" s="5" t="s">
        <v>1057</v>
      </c>
      <c r="C207" s="5" t="s">
        <v>1058</v>
      </c>
      <c r="D207" s="5" t="s">
        <v>1059</v>
      </c>
      <c r="E207" s="5" t="s">
        <v>1060</v>
      </c>
      <c r="F207" s="5" t="s">
        <v>1061</v>
      </c>
      <c r="G207" s="5" t="s">
        <v>927</v>
      </c>
    </row>
    <row r="208" customFormat="false" ht="15" hidden="false" customHeight="false" outlineLevel="0" collapsed="false">
      <c r="A208" s="6" t="s">
        <v>1312</v>
      </c>
      <c r="B208" s="19" t="n">
        <v>166.8</v>
      </c>
      <c r="C208" s="19" t="n">
        <v>236.8</v>
      </c>
      <c r="D208" s="19" t="n">
        <v>388.5</v>
      </c>
      <c r="E208" s="19" t="n">
        <v>490.6</v>
      </c>
      <c r="F208" s="19" t="n">
        <v>596.3</v>
      </c>
      <c r="G208" s="19" t="n">
        <v>711</v>
      </c>
    </row>
    <row r="209" customFormat="false" ht="15" hidden="false" customHeight="false" outlineLevel="0" collapsed="false">
      <c r="A209" s="6" t="s">
        <v>1313</v>
      </c>
      <c r="B209" s="19" t="n">
        <v>24</v>
      </c>
      <c r="C209" s="19" t="n">
        <v>35.7</v>
      </c>
      <c r="D209" s="19" t="n">
        <v>75.3</v>
      </c>
      <c r="E209" s="19" t="n">
        <v>51.4</v>
      </c>
      <c r="F209" s="19" t="n">
        <v>64.7</v>
      </c>
      <c r="G209" s="19" t="n">
        <v>76.5</v>
      </c>
    </row>
    <row r="210" customFormat="false" ht="15" hidden="false" customHeight="false" outlineLevel="0" collapsed="false">
      <c r="A210" s="6" t="s">
        <v>1314</v>
      </c>
      <c r="B210" s="19" t="n">
        <v>47.1</v>
      </c>
      <c r="C210" s="19" t="n">
        <v>106.8</v>
      </c>
      <c r="D210" s="19" t="n">
        <v>117.3</v>
      </c>
      <c r="E210" s="19" t="n">
        <v>180.5</v>
      </c>
      <c r="F210" s="19" t="n">
        <v>194.8</v>
      </c>
      <c r="G210" s="19" t="n">
        <v>235.9</v>
      </c>
    </row>
    <row r="211" customFormat="false" ht="15" hidden="false" customHeight="false" outlineLevel="0" collapsed="false">
      <c r="A211" s="6" t="s">
        <v>1315</v>
      </c>
      <c r="B211" s="19" t="n">
        <v>79.1</v>
      </c>
      <c r="C211" s="19" t="n">
        <v>77.8</v>
      </c>
      <c r="D211" s="19" t="n">
        <v>86.4</v>
      </c>
      <c r="E211" s="19" t="n">
        <v>35.1</v>
      </c>
      <c r="F211" s="19" t="n">
        <v>85.7</v>
      </c>
      <c r="G211" s="19" t="n">
        <v>84.2</v>
      </c>
    </row>
    <row r="212" customFormat="false" ht="15" hidden="false" customHeight="false" outlineLevel="0" collapsed="false">
      <c r="A212" s="6" t="s">
        <v>1316</v>
      </c>
      <c r="B212" s="19" t="n">
        <v>9.7</v>
      </c>
      <c r="C212" s="19" t="n">
        <v>13.8</v>
      </c>
      <c r="D212" s="19" t="n">
        <v>5.9</v>
      </c>
      <c r="E212" s="19" t="n">
        <v>11.3</v>
      </c>
      <c r="F212" s="19" t="n">
        <v>21.9</v>
      </c>
      <c r="G212" s="19" t="n">
        <v>35.3</v>
      </c>
    </row>
    <row r="213" customFormat="false" ht="15" hidden="false" customHeight="false" outlineLevel="0" collapsed="false">
      <c r="A213" s="6" t="s">
        <v>1317</v>
      </c>
      <c r="B213" s="19" t="n">
        <v>3.1</v>
      </c>
      <c r="C213" s="19" t="n">
        <v>7.7</v>
      </c>
      <c r="D213" s="19" t="n">
        <v>8.1</v>
      </c>
      <c r="E213" s="19" t="n">
        <v>26.2</v>
      </c>
      <c r="F213" s="19" t="n">
        <v>48.8</v>
      </c>
      <c r="G213" s="19" t="n">
        <v>32.5</v>
      </c>
    </row>
    <row r="214" customFormat="false" ht="15" hidden="false" customHeight="false" outlineLevel="0" collapsed="false">
      <c r="A214" s="6" t="s">
        <v>1318</v>
      </c>
      <c r="B214" s="19" t="n">
        <v>245.4</v>
      </c>
      <c r="C214" s="19" t="n">
        <v>355.1</v>
      </c>
      <c r="D214" s="19" t="n">
        <v>512</v>
      </c>
      <c r="E214" s="19" t="n">
        <v>537.8</v>
      </c>
      <c r="F214" s="19" t="n">
        <v>765.8</v>
      </c>
      <c r="G214" s="19" t="n">
        <v>984.9</v>
      </c>
    </row>
    <row r="215" customFormat="false" ht="15" hidden="false" customHeight="false" outlineLevel="0" collapsed="false">
      <c r="A215" s="6" t="s">
        <v>1319</v>
      </c>
      <c r="B215" s="19" t="n">
        <v>13.4</v>
      </c>
      <c r="C215" s="19" t="n">
        <v>20.1</v>
      </c>
      <c r="D215" s="19" t="n">
        <v>29.5</v>
      </c>
      <c r="E215" s="19" t="n">
        <v>36.4</v>
      </c>
      <c r="F215" s="19" t="n">
        <v>49.6</v>
      </c>
      <c r="G215" s="19" t="n">
        <v>59.6</v>
      </c>
    </row>
    <row r="216" customFormat="false" ht="15" hidden="false" customHeight="false" outlineLevel="0" collapsed="false">
      <c r="A216" s="6" t="s">
        <v>1320</v>
      </c>
      <c r="B216" s="19" t="n">
        <v>97.3</v>
      </c>
      <c r="C216" s="19" t="n">
        <v>97.7</v>
      </c>
      <c r="D216" s="19" t="n">
        <v>95.9</v>
      </c>
      <c r="E216" s="19" t="n">
        <v>90.4</v>
      </c>
      <c r="F216" s="19" t="n">
        <v>95.2</v>
      </c>
      <c r="G216" s="19" t="n">
        <v>97</v>
      </c>
    </row>
    <row r="217" customFormat="false" ht="15" hidden="false" customHeight="false" outlineLevel="0" collapsed="false">
      <c r="A217" s="6" t="s">
        <v>1321</v>
      </c>
      <c r="B217" s="19" t="n">
        <v>30.1</v>
      </c>
      <c r="C217" s="19" t="n">
        <v>29.6</v>
      </c>
      <c r="D217" s="19" t="n">
        <v>30.9</v>
      </c>
      <c r="E217" s="19" t="n">
        <v>27.6</v>
      </c>
      <c r="F217" s="19" t="n">
        <v>35.6</v>
      </c>
      <c r="G217" s="19" t="n">
        <v>39.4</v>
      </c>
    </row>
    <row r="218" customFormat="false" ht="15" hidden="false" customHeight="false" outlineLevel="0" collapsed="false">
      <c r="A218" s="6" t="s">
        <v>1322</v>
      </c>
    </row>
    <row r="220" customFormat="false" ht="15" hidden="false" customHeight="false" outlineLevel="0" collapsed="false">
      <c r="A220" s="4" t="s">
        <v>1323</v>
      </c>
    </row>
    <row r="221" customFormat="false" ht="15" hidden="false" customHeight="false" outlineLevel="0" collapsed="false">
      <c r="A221" s="4" t="s">
        <v>1283</v>
      </c>
      <c r="B221" s="4" t="s">
        <v>470</v>
      </c>
      <c r="C221" s="4" t="s">
        <v>1324</v>
      </c>
      <c r="D221" s="5" t="s">
        <v>1325</v>
      </c>
      <c r="E221" s="4" t="s">
        <v>1326</v>
      </c>
      <c r="F221" s="4" t="s">
        <v>1327</v>
      </c>
      <c r="G221" s="4" t="s">
        <v>1328</v>
      </c>
    </row>
    <row r="222" customFormat="false" ht="15" hidden="false" customHeight="false" outlineLevel="0" collapsed="false">
      <c r="A222" s="9" t="s">
        <v>1056</v>
      </c>
      <c r="B222" s="19" t="n">
        <v>239.4</v>
      </c>
      <c r="C222" s="19" t="n">
        <v>188.9</v>
      </c>
      <c r="D222" s="19" t="n">
        <v>0.79</v>
      </c>
      <c r="E222" s="19" t="n">
        <v>-69.5</v>
      </c>
      <c r="F222" s="19" t="n">
        <v>-133.4</v>
      </c>
      <c r="G222" s="19" t="n">
        <v>86.2</v>
      </c>
    </row>
    <row r="223" customFormat="false" ht="15" hidden="false" customHeight="false" outlineLevel="0" collapsed="false">
      <c r="A223" s="9" t="s">
        <v>1057</v>
      </c>
      <c r="B223" s="19" t="n">
        <v>375.8</v>
      </c>
      <c r="C223" s="19" t="n">
        <v>294.1</v>
      </c>
      <c r="D223" s="19" t="n">
        <v>0.78</v>
      </c>
      <c r="E223" s="19" t="n">
        <v>-138.2</v>
      </c>
      <c r="F223" s="19" t="n">
        <v>-54.9</v>
      </c>
      <c r="G223" s="19" t="n">
        <v>23.7</v>
      </c>
    </row>
    <row r="224" customFormat="false" ht="15" hidden="false" customHeight="false" outlineLevel="0" collapsed="false">
      <c r="A224" s="9" t="s">
        <v>1058</v>
      </c>
      <c r="B224" s="19" t="n">
        <v>513</v>
      </c>
      <c r="C224" s="19" t="n">
        <v>407.4</v>
      </c>
      <c r="D224" s="19" t="n">
        <v>0.79</v>
      </c>
      <c r="E224" s="19" t="n">
        <v>-144.8</v>
      </c>
      <c r="F224" s="19" t="n">
        <v>-306.7</v>
      </c>
      <c r="G224" s="19" t="n">
        <v>148</v>
      </c>
    </row>
    <row r="225" customFormat="false" ht="15" hidden="false" customHeight="false" outlineLevel="0" collapsed="false">
      <c r="A225" s="9" t="s">
        <v>1059</v>
      </c>
      <c r="B225" s="19" t="n">
        <v>574.4</v>
      </c>
      <c r="C225" s="19" t="n">
        <v>266.6</v>
      </c>
      <c r="D225" s="19" t="n">
        <v>0.46</v>
      </c>
      <c r="E225" s="19" t="n">
        <v>-202.3</v>
      </c>
      <c r="F225" s="19" t="n">
        <v>-386.8</v>
      </c>
      <c r="G225" s="19" t="n">
        <v>50.8</v>
      </c>
    </row>
    <row r="226" customFormat="false" ht="15" hidden="false" customHeight="false" outlineLevel="0" collapsed="false">
      <c r="A226" s="9" t="s">
        <v>1060</v>
      </c>
      <c r="B226" s="19" t="n">
        <v>326.3</v>
      </c>
      <c r="C226" s="19" t="n">
        <v>264.8</v>
      </c>
      <c r="D226" s="19" t="n">
        <v>0.81</v>
      </c>
      <c r="E226" s="19" t="n">
        <v>-95.4</v>
      </c>
      <c r="F226" s="19" t="n">
        <v>179.9</v>
      </c>
      <c r="G226" s="19" t="n">
        <v>-335.3</v>
      </c>
    </row>
    <row r="227" customFormat="false" ht="15" hidden="false" customHeight="false" outlineLevel="0" collapsed="false">
      <c r="A227" s="9" t="s">
        <v>1061</v>
      </c>
      <c r="B227" s="19" t="n">
        <v>426.4</v>
      </c>
      <c r="C227" s="19" t="n">
        <v>261.9</v>
      </c>
      <c r="D227" s="19" t="n">
        <v>0.61</v>
      </c>
      <c r="E227" s="19" t="n">
        <v>-195.4</v>
      </c>
      <c r="F227" s="19" t="n">
        <v>-306.7</v>
      </c>
      <c r="G227" s="19" t="n">
        <v>69.1</v>
      </c>
    </row>
    <row r="228" customFormat="false" ht="15" hidden="false" customHeight="false" outlineLevel="0" collapsed="false">
      <c r="A228" s="9" t="s">
        <v>927</v>
      </c>
      <c r="B228" s="19" t="n">
        <v>308.4</v>
      </c>
      <c r="C228" s="19" t="n">
        <v>136.3</v>
      </c>
      <c r="D228" s="19" t="n">
        <v>0.44</v>
      </c>
      <c r="E228" s="19" t="n">
        <v>-179.7</v>
      </c>
      <c r="F228" s="19" t="n">
        <v>-99.1</v>
      </c>
      <c r="G228" s="19" t="n">
        <v>-67.4</v>
      </c>
    </row>
    <row r="229" customFormat="false" ht="15" hidden="false" customHeight="false" outlineLevel="0" collapsed="false">
      <c r="A229" s="6" t="s">
        <v>1329</v>
      </c>
    </row>
    <row r="231" customFormat="false" ht="15" hidden="false" customHeight="false" outlineLevel="0" collapsed="false">
      <c r="A231" s="4" t="s">
        <v>1330</v>
      </c>
    </row>
    <row r="232" customFormat="false" ht="15" hidden="false" customHeight="false" outlineLevel="0" collapsed="false">
      <c r="A232" s="4" t="s">
        <v>1055</v>
      </c>
      <c r="B232" s="5" t="s">
        <v>1056</v>
      </c>
      <c r="C232" s="5" t="s">
        <v>1057</v>
      </c>
      <c r="D232" s="5" t="s">
        <v>1058</v>
      </c>
      <c r="E232" s="5" t="s">
        <v>1059</v>
      </c>
      <c r="F232" s="5" t="s">
        <v>1060</v>
      </c>
      <c r="G232" s="5" t="s">
        <v>1061</v>
      </c>
      <c r="H232" s="5" t="s">
        <v>927</v>
      </c>
    </row>
    <row r="233" customFormat="false" ht="15" hidden="false" customHeight="false" outlineLevel="0" collapsed="false">
      <c r="A233" s="6" t="s">
        <v>591</v>
      </c>
      <c r="B233" s="19" t="n">
        <v>238.1</v>
      </c>
      <c r="C233" s="19" t="n">
        <v>370.1</v>
      </c>
      <c r="D233" s="19" t="n">
        <v>488.7</v>
      </c>
      <c r="E233" s="19" t="n">
        <v>537.6</v>
      </c>
      <c r="F233" s="19" t="n">
        <v>314.2</v>
      </c>
      <c r="G233" s="19" t="n">
        <v>443.2</v>
      </c>
      <c r="H233" s="19" t="n">
        <v>294.8</v>
      </c>
    </row>
    <row r="234" customFormat="false" ht="15" hidden="false" customHeight="false" outlineLevel="0" collapsed="false">
      <c r="A234" s="6" t="s">
        <v>1331</v>
      </c>
      <c r="B234" s="19" t="n">
        <v>7.7</v>
      </c>
      <c r="C234" s="19" t="n">
        <v>20.9</v>
      </c>
      <c r="D234" s="19" t="n">
        <v>15.7</v>
      </c>
      <c r="E234" s="19" t="n">
        <v>41.8</v>
      </c>
      <c r="F234" s="19" t="n">
        <v>50</v>
      </c>
      <c r="G234" s="19" t="n">
        <v>56.9</v>
      </c>
      <c r="H234" s="19" t="n">
        <v>21</v>
      </c>
    </row>
    <row r="235" customFormat="false" ht="15" hidden="false" customHeight="false" outlineLevel="0" collapsed="false">
      <c r="A235" s="6" t="s">
        <v>1332</v>
      </c>
      <c r="B235" s="19" t="n">
        <v>230.5</v>
      </c>
      <c r="C235" s="19" t="n">
        <v>349.2</v>
      </c>
      <c r="D235" s="19" t="n">
        <v>473</v>
      </c>
      <c r="E235" s="19" t="n">
        <v>495.8</v>
      </c>
      <c r="F235" s="19" t="n">
        <v>264.2</v>
      </c>
      <c r="G235" s="19" t="n">
        <v>386.2</v>
      </c>
      <c r="H235" s="19" t="n">
        <v>273.7</v>
      </c>
    </row>
    <row r="236" customFormat="false" ht="15" hidden="false" customHeight="false" outlineLevel="0" collapsed="false">
      <c r="A236" s="6" t="s">
        <v>1333</v>
      </c>
      <c r="B236" s="19" t="n">
        <v>21.6</v>
      </c>
      <c r="C236" s="19" t="n">
        <v>41</v>
      </c>
      <c r="D236" s="19" t="n">
        <v>55.7</v>
      </c>
      <c r="E236" s="19" t="n">
        <v>62.1</v>
      </c>
      <c r="F236" s="19" t="n">
        <v>36.9</v>
      </c>
      <c r="G236" s="19" t="n">
        <v>79.4</v>
      </c>
      <c r="H236" s="19" t="n">
        <v>61.9</v>
      </c>
    </row>
    <row r="237" customFormat="false" ht="15" hidden="false" customHeight="false" outlineLevel="0" collapsed="false">
      <c r="A237" s="6" t="s">
        <v>1334</v>
      </c>
      <c r="B237" s="19" t="n">
        <v>11.5</v>
      </c>
      <c r="C237" s="19" t="n">
        <v>6</v>
      </c>
      <c r="D237" s="19" t="n">
        <v>-2.5</v>
      </c>
      <c r="E237" s="19" t="n">
        <v>7.7</v>
      </c>
      <c r="F237" s="19" t="n">
        <v>-18.8</v>
      </c>
      <c r="G237" s="19" t="n">
        <v>-39.3</v>
      </c>
      <c r="H237" s="19" t="n">
        <v>-7.2</v>
      </c>
    </row>
    <row r="238" customFormat="false" ht="15" hidden="false" customHeight="false" outlineLevel="0" collapsed="false">
      <c r="A238" s="6" t="s">
        <v>1335</v>
      </c>
      <c r="B238" s="19" t="n">
        <v>12.1</v>
      </c>
      <c r="C238" s="19" t="n">
        <v>11.1</v>
      </c>
      <c r="D238" s="19" t="n">
        <v>9.4</v>
      </c>
      <c r="E238" s="19" t="n">
        <v>10.8</v>
      </c>
      <c r="F238" s="19" t="n">
        <v>5.2</v>
      </c>
      <c r="G238" s="19" t="n">
        <v>8.6</v>
      </c>
      <c r="H238" s="19" t="n">
        <v>15.1</v>
      </c>
    </row>
    <row r="239" customFormat="false" ht="15" hidden="false" customHeight="false" outlineLevel="0" collapsed="false">
      <c r="A239" s="6" t="s">
        <v>1336</v>
      </c>
      <c r="B239" s="19" t="n">
        <v>73.5</v>
      </c>
      <c r="C239" s="19" t="n">
        <v>94.9</v>
      </c>
      <c r="D239" s="19" t="n">
        <v>154.7</v>
      </c>
      <c r="E239" s="19" t="n">
        <v>223.2</v>
      </c>
      <c r="F239" s="19" t="n">
        <v>249.9</v>
      </c>
      <c r="G239" s="19" t="n">
        <v>282.3</v>
      </c>
      <c r="H239" s="19" t="n">
        <v>160.6</v>
      </c>
    </row>
    <row r="240" customFormat="false" ht="15" hidden="false" customHeight="false" outlineLevel="0" collapsed="false">
      <c r="A240" s="6" t="s">
        <v>1337</v>
      </c>
      <c r="B240" s="19" t="n">
        <v>269</v>
      </c>
      <c r="C240" s="19" t="n">
        <v>399</v>
      </c>
      <c r="D240" s="19" t="n">
        <v>489</v>
      </c>
      <c r="E240" s="19" t="n">
        <v>677</v>
      </c>
      <c r="F240" s="19" t="n">
        <v>724</v>
      </c>
      <c r="G240" s="19" t="n">
        <v>692</v>
      </c>
    </row>
    <row r="241" customFormat="false" ht="15" hidden="false" customHeight="false" outlineLevel="0" collapsed="false">
      <c r="A241" s="6" t="s">
        <v>1338</v>
      </c>
      <c r="B241" s="19" t="n">
        <v>1392</v>
      </c>
      <c r="C241" s="19" t="n">
        <v>1991</v>
      </c>
      <c r="D241" s="19" t="n">
        <v>2161</v>
      </c>
      <c r="E241" s="19" t="n">
        <v>2764</v>
      </c>
      <c r="F241" s="19" t="n">
        <v>2513</v>
      </c>
      <c r="G241" s="19" t="n">
        <v>3018</v>
      </c>
    </row>
    <row r="242" customFormat="false" ht="15" hidden="false" customHeight="false" outlineLevel="0" collapsed="false">
      <c r="A242" s="6" t="s">
        <v>1339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4"/>
    <col collapsed="false" customWidth="true" hidden="false" outlineLevel="0" max="3" min="3" style="1" width="50"/>
  </cols>
  <sheetData>
    <row r="1" customFormat="false" ht="17.35" hidden="false" customHeight="false" outlineLevel="0" collapsed="false">
      <c r="A1" s="20" t="s">
        <v>1340</v>
      </c>
    </row>
    <row r="3" customFormat="false" ht="15" hidden="false" customHeight="false" outlineLevel="0" collapsed="false">
      <c r="A3" s="4" t="s">
        <v>1341</v>
      </c>
      <c r="B3" s="4" t="s">
        <v>1342</v>
      </c>
      <c r="C3" s="4" t="s">
        <v>1343</v>
      </c>
    </row>
    <row r="4" customFormat="false" ht="15" hidden="false" customHeight="false" outlineLevel="0" collapsed="false">
      <c r="A4" s="6" t="s">
        <v>1344</v>
      </c>
      <c r="B4" s="59" t="n">
        <f aca="false">MAX(ABS(资产负债表!C63),ABS(资产负债表!D63),ABS(资产负债表!E63),ABS(资产负债表!F63),ABS(资产负债表!G63),ABS(资产负债表!H63),ABS(资产负债表!I63),ABS(资产负债表!J63),ABS(资产负债表!K63),ABS(资产负债表!L63),ABS(资产负债表!M63))</f>
        <v>0</v>
      </c>
      <c r="C4" s="6" t="s">
        <v>1345</v>
      </c>
    </row>
    <row r="5" customFormat="false" ht="15" hidden="false" customHeight="false" outlineLevel="0" collapsed="false">
      <c r="A5" s="6" t="s">
        <v>1346</v>
      </c>
      <c r="B5" s="59" t="n">
        <f aca="false">MAX(ABS(资产负债表!C29-资产负债表!C64),ABS(资产负债表!D29-资产负债表!D64),ABS(资产负债表!E29-资产负债表!E64),ABS(资产负债表!F29-资产负债表!F64),ABS(资产负债表!G29-资产负债表!G64),ABS(资产负债表!H29-资产负债表!H64))</f>
        <v>0.000199999999495049</v>
      </c>
      <c r="C5" s="6" t="s">
        <v>1347</v>
      </c>
    </row>
    <row r="6" customFormat="false" ht="15" hidden="false" customHeight="false" outlineLevel="0" collapsed="false">
      <c r="A6" s="6" t="s">
        <v>1348</v>
      </c>
      <c r="B6" s="59" t="n">
        <f aca="false">MAX(ABS(业务拆分!C47),ABS(业务拆分!D47),ABS(业务拆分!E47),ABS(业务拆分!F47),ABS(业务拆分!G47),ABS(业务拆分!H47))</f>
        <v>0.00739999999996144</v>
      </c>
      <c r="C6" s="6" t="s">
        <v>1345</v>
      </c>
    </row>
    <row r="7" customFormat="false" ht="15" hidden="false" customHeight="false" outlineLevel="0" collapsed="false">
      <c r="A7" s="6" t="s">
        <v>1349</v>
      </c>
      <c r="B7" s="59" t="n">
        <f aca="false">MAX(ABS(资产负债表!I6-资产负债表!H6-现金流量表!I26),ABS(资产负债表!J6-资产负债表!I6-现金流量表!J26),ABS(资产负债表!K6-资产负债表!J6-现金流量表!K26),ABS(资产负债表!L6-资产负债表!K6-现金流量表!L26),ABS(资产负债表!M6-资产负债表!L6-现金流量表!M26))</f>
        <v>0</v>
      </c>
      <c r="C7" s="6" t="s">
        <v>1345</v>
      </c>
    </row>
    <row r="8" customFormat="false" ht="15" hidden="false" customHeight="false" outlineLevel="0" collapsed="false">
      <c r="A8" s="6" t="s">
        <v>1350</v>
      </c>
      <c r="B8" s="77" t="n">
        <f aca="false">MIN(资产负债表!I6,资产负债表!J6,资产负债表!K6,资产负债表!L6,资产负债表!M6)-融资!$C$38</f>
        <v>360.810057211377</v>
      </c>
      <c r="C8" s="6" t="s">
        <v>1351</v>
      </c>
    </row>
    <row r="9" customFormat="false" ht="15" hidden="false" customHeight="false" outlineLevel="0" collapsed="false">
      <c r="A9" s="6" t="s">
        <v>1352</v>
      </c>
      <c r="B9" s="77" t="n">
        <f aca="false">MAX(融资!I12,融资!J12,融资!K12,融资!L12,融资!M12)</f>
        <v>0</v>
      </c>
      <c r="C9" s="9" t="s">
        <v>1353</v>
      </c>
    </row>
    <row r="10" customFormat="false" ht="15" hidden="false" customHeight="false" outlineLevel="0" collapsed="false">
      <c r="A10" s="6" t="s">
        <v>1354</v>
      </c>
      <c r="B10" s="13" t="n">
        <f aca="false">MAX(业务拆分!I33,业务拆分!J33,业务拆分!K33,业务拆分!L33,业务拆分!M33)</f>
        <v>0.8</v>
      </c>
      <c r="C10" s="6" t="s">
        <v>1355</v>
      </c>
    </row>
    <row r="11" customFormat="false" ht="15" hidden="false" customHeight="false" outlineLevel="0" collapsed="false">
      <c r="A11" s="9" t="s">
        <v>1356</v>
      </c>
      <c r="B11" s="13" t="n">
        <f aca="false">DCF!C16-DCF!C18</f>
        <v>0.067</v>
      </c>
      <c r="C11" s="6" t="s">
        <v>1357</v>
      </c>
    </row>
    <row r="12" customFormat="false" ht="15" hidden="false" customHeight="false" outlineLevel="0" collapsed="false">
      <c r="A12" s="9" t="s">
        <v>1358</v>
      </c>
      <c r="B12" s="59" t="n">
        <f aca="false">DCF!E83-DCF!C64</f>
        <v>0</v>
      </c>
      <c r="C12" s="6" t="s">
        <v>1345</v>
      </c>
    </row>
    <row r="13" customFormat="false" ht="15" hidden="false" customHeight="false" outlineLevel="0" collapsed="false">
      <c r="A13" s="9" t="s">
        <v>1359</v>
      </c>
      <c r="B13" s="59" t="n">
        <f aca="false">DCF!E93-DCF!C64</f>
        <v>0</v>
      </c>
      <c r="C13" s="6" t="s">
        <v>1345</v>
      </c>
    </row>
    <row r="14" customFormat="false" ht="15" hidden="false" customHeight="false" outlineLevel="0" collapsed="false">
      <c r="A14" s="9" t="s">
        <v>1360</v>
      </c>
      <c r="B14" s="59" t="n">
        <f aca="false">MAX(ABS(相对估值!B38-利润表!J27),ABS(相对估值!E38-利润表!K27))</f>
        <v>0</v>
      </c>
      <c r="C14" s="6" t="s">
        <v>1345</v>
      </c>
    </row>
    <row r="15" customFormat="false" ht="15" hidden="false" customHeight="false" outlineLevel="0" collapsed="false">
      <c r="A15" s="6" t="s">
        <v>1361</v>
      </c>
      <c r="B15" s="59" t="n">
        <f aca="false">季度!M24+季度!N24+季度!O24-季度!P24</f>
        <v>0</v>
      </c>
      <c r="C15" s="6" t="s">
        <v>1345</v>
      </c>
    </row>
    <row r="16" customFormat="false" ht="15" hidden="false" customHeight="false" outlineLevel="0" collapsed="false">
      <c r="A16" s="6" t="s">
        <v>1362</v>
      </c>
      <c r="B16" s="13" t="n">
        <f aca="false">MAX(费用税率!I27,费用税率!J27,费用税率!K27,费用税率!L27,费用税率!M27)</f>
        <v>0.201319845403317</v>
      </c>
      <c r="C16" s="6" t="s">
        <v>1363</v>
      </c>
    </row>
    <row r="17" customFormat="false" ht="15" hidden="false" customHeight="false" outlineLevel="0" collapsed="false">
      <c r="A17" s="6" t="s">
        <v>1364</v>
      </c>
      <c r="B17" s="13" t="n">
        <f aca="false">MIN(费用税率!I27,费用税率!J27,费用税率!K27,费用税率!L27,费用税率!M27)</f>
        <v>0.0696395536490132</v>
      </c>
      <c r="C17" s="6" t="s">
        <v>1365</v>
      </c>
    </row>
    <row r="19" customFormat="false" ht="15" hidden="false" customHeight="false" outlineLevel="0" collapsed="false">
      <c r="A19" s="4" t="s">
        <v>1366</v>
      </c>
      <c r="B19" s="84" t="str">
        <f aca="false">IF(AND(ABS(B4)&lt;0.01,ABS(B5)&lt;0.01,ABS(B6)&lt;0.01,ABS(B7)&lt;0.01,B8&gt;-0.01,B10&lt;=1.0001,B11&gt;0,ABS(B12)&lt;0.01,ABS(B13)&lt;0.01,ABS(B14)&lt;0.01,ABS(B15)&lt;0.01,B16&lt;=0.3,B17&gt;=0),"通过","需检查")</f>
        <v>通过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2026-10-06T04:15:22Z</dcterms:created>
  <dc:creator>openpyxl</dc:creator>
  <dc:description/>
  <dc:language>en-US</dc:language>
  <cp:lastModifiedBy/>
  <dcterms:modified xsi:type="dcterms:W3CDTF">2026-10-06T04:15:46Z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